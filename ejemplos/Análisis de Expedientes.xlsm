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drawings/drawing10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showInkAnnotation="0"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HP AMD\Desktop\Documentos Valorapp\"/>
    </mc:Choice>
  </mc:AlternateContent>
  <xr:revisionPtr revIDLastSave="0" documentId="8_{35B82112-245E-4DC7-A083-591CCDA61BAC}" xr6:coauthVersionLast="47" xr6:coauthVersionMax="47" xr10:uidLastSave="{00000000-0000-0000-0000-000000000000}"/>
  <bookViews>
    <workbookView xWindow="-108" yWindow="-108" windowWidth="23256" windowHeight="12456" tabRatio="772" xr2:uid="{00000000-000D-0000-FFFF-FFFF00000000}"/>
  </bookViews>
  <sheets>
    <sheet name="Entrada datos" sheetId="1" r:id="rId1"/>
    <sheet name="Suma" sheetId="13" state="hidden" r:id="rId2"/>
    <sheet name="Temp Hisfa" sheetId="4" state="hidden" r:id="rId3"/>
    <sheet name="Vista por años" sheetId="10" r:id="rId4"/>
    <sheet name="Comparativa mensual" sheetId="16" r:id="rId5"/>
    <sheet name="Listado" sheetId="7" r:id="rId6"/>
    <sheet name="Gráfico" sheetId="24" r:id="rId7"/>
    <sheet name="Gráfico ER" sheetId="21" r:id="rId8"/>
    <sheet name="Resumen" sheetId="17" r:id="rId9"/>
    <sheet name="Valoración" sheetId="26" r:id="rId10"/>
    <sheet name="Comentario" sheetId="28" r:id="rId11"/>
  </sheets>
  <definedNames>
    <definedName name="_xlnm._FilterDatabase" localSheetId="0" hidden="1">'Entrada datos'!$F$1:$F$148</definedName>
    <definedName name="_xlnm._FilterDatabase" localSheetId="5" hidden="1">Listado!$A$2:$AB$202</definedName>
    <definedName name="_xlnm._FilterDatabase" localSheetId="9" hidden="1">Valoración!$A$4:$R$200</definedName>
    <definedName name="_xlnm.Print_Area" localSheetId="5">Listado!$A$2:$M$200</definedName>
    <definedName name="_xlnm.Print_Area" localSheetId="8">Resumen!$A$1:$L$78</definedName>
    <definedName name="_xlnm.Print_Area" localSheetId="9">Valoración!$A$1:$S$200</definedName>
    <definedName name="_xlnm.Print_Area" localSheetId="3">'Vista por años'!$A$1:$I$19</definedName>
    <definedName name="SegmentaciónDeDatos_Mes">#N/A</definedName>
  </definedNames>
  <calcPr calcId="191028"/>
  <pivotCaches>
    <pivotCache cacheId="3" r:id="rId12"/>
    <pivotCache cacheId="4" r:id="rId13"/>
    <pivotCache cacheId="5" r:id="rId14"/>
  </pivotCaches>
  <extLst>
    <ext xmlns:x14="http://schemas.microsoft.com/office/spreadsheetml/2009/9/main" uri="{BBE1A952-AA13-448e-AADC-164F8A28A991}">
      <x14:slicerCaches>
        <x14:slicerCache r:id="rId1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26" l="1"/>
  <c r="H6" i="26"/>
  <c r="I6" i="26"/>
  <c r="J6" i="26"/>
  <c r="G7" i="26"/>
  <c r="V7" i="26" s="1"/>
  <c r="H7" i="26"/>
  <c r="I7" i="26"/>
  <c r="J7" i="26"/>
  <c r="G8" i="26"/>
  <c r="H8" i="26"/>
  <c r="I8" i="26"/>
  <c r="J8" i="26"/>
  <c r="G9" i="26"/>
  <c r="H9" i="26"/>
  <c r="I9" i="26"/>
  <c r="J9" i="26"/>
  <c r="G10" i="26"/>
  <c r="H10" i="26"/>
  <c r="I10" i="26"/>
  <c r="V10" i="26"/>
  <c r="J10" i="26"/>
  <c r="G11" i="26"/>
  <c r="H11" i="26"/>
  <c r="I11" i="26"/>
  <c r="J11" i="26"/>
  <c r="G12" i="26"/>
  <c r="H12" i="26"/>
  <c r="I12" i="26"/>
  <c r="V12" i="26"/>
  <c r="J12" i="26"/>
  <c r="G13" i="26"/>
  <c r="H13" i="26"/>
  <c r="I13" i="26"/>
  <c r="J13" i="26"/>
  <c r="G14" i="26"/>
  <c r="H14" i="26"/>
  <c r="I14" i="26"/>
  <c r="J14" i="26"/>
  <c r="G15" i="26"/>
  <c r="H15" i="26"/>
  <c r="I15" i="26"/>
  <c r="J15" i="26"/>
  <c r="G16" i="26"/>
  <c r="H16" i="26"/>
  <c r="I16" i="26"/>
  <c r="J16" i="26"/>
  <c r="G17" i="26"/>
  <c r="V17" i="26" s="1"/>
  <c r="H17" i="26"/>
  <c r="I17" i="26"/>
  <c r="J17" i="26"/>
  <c r="G18" i="26"/>
  <c r="H18" i="26"/>
  <c r="I18" i="26"/>
  <c r="J18" i="26"/>
  <c r="G19" i="26"/>
  <c r="H19" i="26"/>
  <c r="I19" i="26"/>
  <c r="J19" i="26"/>
  <c r="G20" i="26"/>
  <c r="H20" i="26"/>
  <c r="I20" i="26"/>
  <c r="J20" i="26"/>
  <c r="G21" i="26"/>
  <c r="V21" i="26" s="1"/>
  <c r="H21" i="26"/>
  <c r="I21" i="26"/>
  <c r="J21" i="26"/>
  <c r="G22" i="26"/>
  <c r="H22" i="26"/>
  <c r="V22" i="26" s="1"/>
  <c r="I22" i="26"/>
  <c r="J22" i="26"/>
  <c r="G23" i="26"/>
  <c r="H23" i="26"/>
  <c r="I23" i="26"/>
  <c r="J23" i="26"/>
  <c r="G24" i="26"/>
  <c r="H24" i="26"/>
  <c r="I24" i="26"/>
  <c r="J24" i="26"/>
  <c r="G25" i="26"/>
  <c r="V25" i="26" s="1"/>
  <c r="H25" i="26"/>
  <c r="I25" i="26"/>
  <c r="J25" i="26"/>
  <c r="G26" i="26"/>
  <c r="H26" i="26"/>
  <c r="I26" i="26"/>
  <c r="J26" i="26"/>
  <c r="G27" i="26"/>
  <c r="H27" i="26"/>
  <c r="I27" i="26"/>
  <c r="J27" i="26"/>
  <c r="G28" i="26"/>
  <c r="H28" i="26"/>
  <c r="I28" i="26"/>
  <c r="V28" i="26"/>
  <c r="J28" i="26"/>
  <c r="G29" i="26"/>
  <c r="H29" i="26"/>
  <c r="I29" i="26"/>
  <c r="J29" i="26"/>
  <c r="G30" i="26"/>
  <c r="V30" i="26" s="1"/>
  <c r="H30" i="26"/>
  <c r="I30" i="26"/>
  <c r="J30" i="26"/>
  <c r="G31" i="26"/>
  <c r="H31" i="26"/>
  <c r="I31" i="26"/>
  <c r="J31" i="26"/>
  <c r="G32" i="26"/>
  <c r="H32" i="26"/>
  <c r="I32" i="26"/>
  <c r="J32" i="26"/>
  <c r="G33" i="26"/>
  <c r="H33" i="26"/>
  <c r="I33" i="26"/>
  <c r="J33" i="26"/>
  <c r="G34" i="26"/>
  <c r="H34" i="26"/>
  <c r="I34" i="26"/>
  <c r="J34" i="26"/>
  <c r="G35" i="26"/>
  <c r="H35" i="26"/>
  <c r="I35" i="26"/>
  <c r="J35" i="26"/>
  <c r="G36" i="26"/>
  <c r="H36" i="26"/>
  <c r="I36" i="26"/>
  <c r="J36" i="26"/>
  <c r="G37" i="26"/>
  <c r="H37" i="26"/>
  <c r="I37" i="26"/>
  <c r="J37" i="26"/>
  <c r="G38" i="26"/>
  <c r="H38" i="26"/>
  <c r="I38" i="26"/>
  <c r="J38" i="26"/>
  <c r="G39" i="26"/>
  <c r="H39" i="26"/>
  <c r="I39" i="26"/>
  <c r="V39" i="26" s="1"/>
  <c r="J39" i="26"/>
  <c r="G40" i="26"/>
  <c r="H40" i="26"/>
  <c r="I40" i="26"/>
  <c r="J40" i="26"/>
  <c r="G41" i="26"/>
  <c r="H41" i="26"/>
  <c r="I41" i="26"/>
  <c r="J41" i="26"/>
  <c r="G42" i="26"/>
  <c r="V42" i="26" s="1"/>
  <c r="H42" i="26"/>
  <c r="I42" i="26"/>
  <c r="J42" i="26"/>
  <c r="G43" i="26"/>
  <c r="H43" i="26"/>
  <c r="I43" i="26"/>
  <c r="V43" i="26" s="1"/>
  <c r="J43" i="26"/>
  <c r="G44" i="26"/>
  <c r="H44" i="26"/>
  <c r="I44" i="26"/>
  <c r="J44" i="26"/>
  <c r="G45" i="26"/>
  <c r="H45" i="26"/>
  <c r="I45" i="26"/>
  <c r="J45" i="26"/>
  <c r="G46" i="26"/>
  <c r="H46" i="26"/>
  <c r="I46" i="26"/>
  <c r="J46" i="26"/>
  <c r="G47" i="26"/>
  <c r="H47" i="26"/>
  <c r="I47" i="26"/>
  <c r="V47" i="26" s="1"/>
  <c r="J47" i="26"/>
  <c r="G48" i="26"/>
  <c r="H48" i="26"/>
  <c r="I48" i="26"/>
  <c r="J48" i="26"/>
  <c r="G49" i="26"/>
  <c r="H49" i="26"/>
  <c r="I49" i="26"/>
  <c r="J49" i="26"/>
  <c r="G50" i="26"/>
  <c r="V50" i="26" s="1"/>
  <c r="H50" i="26"/>
  <c r="I50" i="26"/>
  <c r="J50" i="26"/>
  <c r="G51" i="26"/>
  <c r="H51" i="26"/>
  <c r="I51" i="26"/>
  <c r="J51" i="26"/>
  <c r="G52" i="26"/>
  <c r="H52" i="26"/>
  <c r="I52" i="26"/>
  <c r="J52" i="26"/>
  <c r="G53" i="26"/>
  <c r="H53" i="26"/>
  <c r="I53" i="26"/>
  <c r="J53" i="26"/>
  <c r="G54" i="26"/>
  <c r="H54" i="26"/>
  <c r="I54" i="26"/>
  <c r="J54" i="26"/>
  <c r="G55" i="26"/>
  <c r="H55" i="26"/>
  <c r="I55" i="26"/>
  <c r="J55" i="26"/>
  <c r="G56" i="26"/>
  <c r="H56" i="26"/>
  <c r="I56" i="26"/>
  <c r="J56" i="26"/>
  <c r="G57" i="26"/>
  <c r="H57" i="26"/>
  <c r="I57" i="26"/>
  <c r="V57" i="26" s="1"/>
  <c r="J57" i="26"/>
  <c r="G58" i="26"/>
  <c r="H58" i="26"/>
  <c r="V58" i="26" s="1"/>
  <c r="I58" i="26"/>
  <c r="J58" i="26"/>
  <c r="G59" i="26"/>
  <c r="H59" i="26"/>
  <c r="I59" i="26"/>
  <c r="J59" i="26"/>
  <c r="G60" i="26"/>
  <c r="V60" i="26" s="1"/>
  <c r="H60" i="26"/>
  <c r="I60" i="26"/>
  <c r="J60" i="26"/>
  <c r="G61" i="26"/>
  <c r="H61" i="26"/>
  <c r="I61" i="26"/>
  <c r="J61" i="26"/>
  <c r="G62" i="26"/>
  <c r="H62" i="26"/>
  <c r="I62" i="26"/>
  <c r="J62" i="26"/>
  <c r="G63" i="26"/>
  <c r="H63" i="26"/>
  <c r="I63" i="26"/>
  <c r="V63" i="26" s="1"/>
  <c r="J63" i="26"/>
  <c r="G64" i="26"/>
  <c r="H64" i="26"/>
  <c r="I64" i="26"/>
  <c r="J64" i="26"/>
  <c r="G65" i="26"/>
  <c r="H65" i="26"/>
  <c r="I65" i="26"/>
  <c r="V65" i="26" s="1"/>
  <c r="J65" i="26"/>
  <c r="G66" i="26"/>
  <c r="H66" i="26"/>
  <c r="I66" i="26"/>
  <c r="J66" i="26"/>
  <c r="G67" i="26"/>
  <c r="H67" i="26"/>
  <c r="I67" i="26"/>
  <c r="V67" i="26" s="1"/>
  <c r="J67" i="26"/>
  <c r="G68" i="26"/>
  <c r="H68" i="26"/>
  <c r="I68" i="26"/>
  <c r="J68" i="26"/>
  <c r="G69" i="26"/>
  <c r="H69" i="26"/>
  <c r="I69" i="26"/>
  <c r="J69" i="26"/>
  <c r="G70" i="26"/>
  <c r="H70" i="26"/>
  <c r="V70" i="26" s="1"/>
  <c r="I70" i="26"/>
  <c r="J70" i="26"/>
  <c r="G71" i="26"/>
  <c r="H71" i="26"/>
  <c r="I71" i="26"/>
  <c r="J71" i="26"/>
  <c r="G72" i="26"/>
  <c r="H72" i="26"/>
  <c r="I72" i="26"/>
  <c r="J72" i="26"/>
  <c r="G73" i="26"/>
  <c r="H73" i="26"/>
  <c r="I73" i="26"/>
  <c r="V73" i="26" s="1"/>
  <c r="J73" i="26"/>
  <c r="G74" i="26"/>
  <c r="H74" i="26"/>
  <c r="I74" i="26"/>
  <c r="J74" i="26"/>
  <c r="G75" i="26"/>
  <c r="H75" i="26"/>
  <c r="I75" i="26"/>
  <c r="J75" i="26"/>
  <c r="G76" i="26"/>
  <c r="H76" i="26"/>
  <c r="I76" i="26"/>
  <c r="J76" i="26"/>
  <c r="G77" i="26"/>
  <c r="H77" i="26"/>
  <c r="I77" i="26"/>
  <c r="V77" i="26" s="1"/>
  <c r="J77" i="26"/>
  <c r="G78" i="26"/>
  <c r="H78" i="26"/>
  <c r="V78" i="26" s="1"/>
  <c r="I78" i="26"/>
  <c r="J78" i="26"/>
  <c r="G79" i="26"/>
  <c r="H79" i="26"/>
  <c r="I79" i="26"/>
  <c r="J79" i="26"/>
  <c r="G80" i="26"/>
  <c r="V80" i="26" s="1"/>
  <c r="H80" i="26"/>
  <c r="I80" i="26"/>
  <c r="J80" i="26"/>
  <c r="G81" i="26"/>
  <c r="H81" i="26"/>
  <c r="I81" i="26"/>
  <c r="J81" i="26"/>
  <c r="G82" i="26"/>
  <c r="H82" i="26"/>
  <c r="I82" i="26"/>
  <c r="J82" i="26"/>
  <c r="G83" i="26"/>
  <c r="H83" i="26"/>
  <c r="I83" i="26"/>
  <c r="J83" i="26"/>
  <c r="G84" i="26"/>
  <c r="H84" i="26"/>
  <c r="I84" i="26"/>
  <c r="J84" i="26"/>
  <c r="G85" i="26"/>
  <c r="H85" i="26"/>
  <c r="I85" i="26"/>
  <c r="J85" i="26"/>
  <c r="G86" i="26"/>
  <c r="H86" i="26"/>
  <c r="V86" i="26" s="1"/>
  <c r="I86" i="26"/>
  <c r="J86" i="26"/>
  <c r="G87" i="26"/>
  <c r="H87" i="26"/>
  <c r="I87" i="26"/>
  <c r="J87" i="26"/>
  <c r="G88" i="26"/>
  <c r="H88" i="26"/>
  <c r="I88" i="26"/>
  <c r="J88" i="26"/>
  <c r="G89" i="26"/>
  <c r="H89" i="26"/>
  <c r="I89" i="26"/>
  <c r="J89" i="26"/>
  <c r="G90" i="26"/>
  <c r="H90" i="26"/>
  <c r="I90" i="26"/>
  <c r="J90" i="26"/>
  <c r="G91" i="26"/>
  <c r="H91" i="26"/>
  <c r="I91" i="26"/>
  <c r="J91" i="26"/>
  <c r="G92" i="26"/>
  <c r="H92" i="26"/>
  <c r="I92" i="26"/>
  <c r="J92" i="26"/>
  <c r="G93" i="26"/>
  <c r="H93" i="26"/>
  <c r="I93" i="26"/>
  <c r="J93" i="26"/>
  <c r="G94" i="26"/>
  <c r="H94" i="26"/>
  <c r="I94" i="26"/>
  <c r="J94" i="26"/>
  <c r="G95" i="26"/>
  <c r="H95" i="26"/>
  <c r="I95" i="26"/>
  <c r="V95" i="26" s="1"/>
  <c r="J95" i="26"/>
  <c r="G96" i="26"/>
  <c r="H96" i="26"/>
  <c r="I96" i="26"/>
  <c r="J96" i="26"/>
  <c r="G97" i="26"/>
  <c r="H97" i="26"/>
  <c r="I97" i="26"/>
  <c r="J97" i="26"/>
  <c r="G98" i="26"/>
  <c r="H98" i="26"/>
  <c r="V98" i="26" s="1"/>
  <c r="I98" i="26"/>
  <c r="J98" i="26"/>
  <c r="G99" i="26"/>
  <c r="H99" i="26"/>
  <c r="I99" i="26"/>
  <c r="J99" i="26"/>
  <c r="G100" i="26"/>
  <c r="H100" i="26"/>
  <c r="I100" i="26"/>
  <c r="J100" i="26"/>
  <c r="G101" i="26"/>
  <c r="H101" i="26"/>
  <c r="I101" i="26"/>
  <c r="J101" i="26"/>
  <c r="G102" i="26"/>
  <c r="H102" i="26"/>
  <c r="I102" i="26"/>
  <c r="J102" i="26"/>
  <c r="G103" i="26"/>
  <c r="H103" i="26"/>
  <c r="I103" i="26"/>
  <c r="J103" i="26"/>
  <c r="G104" i="26"/>
  <c r="H104" i="26"/>
  <c r="I104" i="26"/>
  <c r="J104" i="26"/>
  <c r="G105" i="26"/>
  <c r="H105" i="26"/>
  <c r="I105" i="26"/>
  <c r="J105" i="26"/>
  <c r="G106" i="26"/>
  <c r="H106" i="26"/>
  <c r="I106" i="26"/>
  <c r="J106" i="26"/>
  <c r="G107" i="26"/>
  <c r="H107" i="26"/>
  <c r="I107" i="26"/>
  <c r="J107" i="26"/>
  <c r="G108" i="26"/>
  <c r="H108" i="26"/>
  <c r="I108" i="26"/>
  <c r="J108" i="26"/>
  <c r="G109" i="26"/>
  <c r="H109" i="26"/>
  <c r="I109" i="26"/>
  <c r="J109" i="26"/>
  <c r="G110" i="26"/>
  <c r="H110" i="26"/>
  <c r="V110" i="26" s="1"/>
  <c r="I110" i="26"/>
  <c r="J110" i="26"/>
  <c r="G111" i="26"/>
  <c r="H111" i="26"/>
  <c r="I111" i="26"/>
  <c r="J111" i="26"/>
  <c r="G112" i="26"/>
  <c r="H112" i="26"/>
  <c r="I112" i="26"/>
  <c r="J112" i="26"/>
  <c r="G113" i="26"/>
  <c r="H113" i="26"/>
  <c r="I113" i="26"/>
  <c r="J113" i="26"/>
  <c r="G114" i="26"/>
  <c r="H114" i="26"/>
  <c r="I114" i="26"/>
  <c r="J114" i="26"/>
  <c r="G115" i="26"/>
  <c r="H115" i="26"/>
  <c r="I115" i="26"/>
  <c r="J115" i="26"/>
  <c r="G116" i="26"/>
  <c r="H116" i="26"/>
  <c r="I116" i="26"/>
  <c r="J116" i="26"/>
  <c r="G117" i="26"/>
  <c r="H117" i="26"/>
  <c r="I117" i="26"/>
  <c r="J117" i="26"/>
  <c r="G118" i="26"/>
  <c r="H118" i="26"/>
  <c r="I118" i="26"/>
  <c r="J118" i="26"/>
  <c r="G119" i="26"/>
  <c r="H119" i="26"/>
  <c r="I119" i="26"/>
  <c r="J119" i="26"/>
  <c r="G120" i="26"/>
  <c r="H120" i="26"/>
  <c r="I120" i="26"/>
  <c r="J120" i="26"/>
  <c r="G121" i="26"/>
  <c r="H121" i="26"/>
  <c r="I121" i="26"/>
  <c r="J121" i="26"/>
  <c r="G122" i="26"/>
  <c r="H122" i="26"/>
  <c r="V122" i="26" s="1"/>
  <c r="I122" i="26"/>
  <c r="J122" i="26"/>
  <c r="G123" i="26"/>
  <c r="H123" i="26"/>
  <c r="I123" i="26"/>
  <c r="J123" i="26"/>
  <c r="G124" i="26"/>
  <c r="H124" i="26"/>
  <c r="I124" i="26"/>
  <c r="J124" i="26"/>
  <c r="G125" i="26"/>
  <c r="H125" i="26"/>
  <c r="I125" i="26"/>
  <c r="J125" i="26"/>
  <c r="G126" i="26"/>
  <c r="H126" i="26"/>
  <c r="V126" i="26" s="1"/>
  <c r="I126" i="26"/>
  <c r="J126" i="26"/>
  <c r="G127" i="26"/>
  <c r="H127" i="26"/>
  <c r="I127" i="26"/>
  <c r="J127" i="26"/>
  <c r="G128" i="26"/>
  <c r="H128" i="26"/>
  <c r="I128" i="26"/>
  <c r="J128" i="26"/>
  <c r="G129" i="26"/>
  <c r="H129" i="26"/>
  <c r="I129" i="26"/>
  <c r="J129" i="26"/>
  <c r="G130" i="26"/>
  <c r="H130" i="26"/>
  <c r="I130" i="26"/>
  <c r="J130" i="26"/>
  <c r="G131" i="26"/>
  <c r="H131" i="26"/>
  <c r="I131" i="26"/>
  <c r="J131" i="26"/>
  <c r="G132" i="26"/>
  <c r="H132" i="26"/>
  <c r="I132" i="26"/>
  <c r="J132" i="26"/>
  <c r="G133" i="26"/>
  <c r="H133" i="26"/>
  <c r="I133" i="26"/>
  <c r="J133" i="26"/>
  <c r="G134" i="26"/>
  <c r="H134" i="26"/>
  <c r="V134" i="26" s="1"/>
  <c r="I134" i="26"/>
  <c r="J134" i="26"/>
  <c r="G135" i="26"/>
  <c r="H135" i="26"/>
  <c r="I135" i="26"/>
  <c r="J135" i="26"/>
  <c r="G136" i="26"/>
  <c r="H136" i="26"/>
  <c r="I136" i="26"/>
  <c r="J136" i="26"/>
  <c r="G137" i="26"/>
  <c r="H137" i="26"/>
  <c r="I137" i="26"/>
  <c r="J137" i="26"/>
  <c r="G138" i="26"/>
  <c r="H138" i="26"/>
  <c r="V138" i="26" s="1"/>
  <c r="I138" i="26"/>
  <c r="J138" i="26"/>
  <c r="G139" i="26"/>
  <c r="H139" i="26"/>
  <c r="I139" i="26"/>
  <c r="V139" i="26" s="1"/>
  <c r="J139" i="26"/>
  <c r="G140" i="26"/>
  <c r="H140" i="26"/>
  <c r="I140" i="26"/>
  <c r="J140" i="26"/>
  <c r="G141" i="26"/>
  <c r="H141" i="26"/>
  <c r="I141" i="26"/>
  <c r="J141" i="26"/>
  <c r="G142" i="26"/>
  <c r="V142" i="26" s="1"/>
  <c r="H142" i="26"/>
  <c r="I142" i="26"/>
  <c r="J142" i="26"/>
  <c r="G143" i="26"/>
  <c r="H143" i="26"/>
  <c r="I143" i="26"/>
  <c r="J143" i="26"/>
  <c r="G144" i="26"/>
  <c r="H144" i="26"/>
  <c r="I144" i="26"/>
  <c r="J144" i="26"/>
  <c r="G145" i="26"/>
  <c r="H145" i="26"/>
  <c r="I145" i="26"/>
  <c r="J145" i="26"/>
  <c r="G146" i="26"/>
  <c r="V146" i="26" s="1"/>
  <c r="H146" i="26"/>
  <c r="I146" i="26"/>
  <c r="J146" i="26"/>
  <c r="G147" i="26"/>
  <c r="H147" i="26"/>
  <c r="I147" i="26"/>
  <c r="J147" i="26"/>
  <c r="G148" i="26"/>
  <c r="V148" i="26" s="1"/>
  <c r="H148" i="26"/>
  <c r="I148" i="26"/>
  <c r="J148" i="26"/>
  <c r="G149" i="26"/>
  <c r="H149" i="26"/>
  <c r="I149" i="26"/>
  <c r="J149" i="26"/>
  <c r="G150" i="26"/>
  <c r="V150" i="26" s="1"/>
  <c r="H150" i="26"/>
  <c r="I150" i="26"/>
  <c r="J150" i="26"/>
  <c r="G151" i="26"/>
  <c r="H151" i="26"/>
  <c r="I151" i="26"/>
  <c r="J151" i="26"/>
  <c r="G152" i="26"/>
  <c r="V152" i="26" s="1"/>
  <c r="H152" i="26"/>
  <c r="I152" i="26"/>
  <c r="J152" i="26"/>
  <c r="G153" i="26"/>
  <c r="H153" i="26"/>
  <c r="I153" i="26"/>
  <c r="J153" i="26"/>
  <c r="G154" i="26"/>
  <c r="H154" i="26"/>
  <c r="I154" i="26"/>
  <c r="J154" i="26"/>
  <c r="G155" i="26"/>
  <c r="H155" i="26"/>
  <c r="I155" i="26"/>
  <c r="V155" i="26"/>
  <c r="J155" i="26"/>
  <c r="G156" i="26"/>
  <c r="H156" i="26"/>
  <c r="I156" i="26"/>
  <c r="J156" i="26"/>
  <c r="G157" i="26"/>
  <c r="H157" i="26"/>
  <c r="V157" i="26" s="1"/>
  <c r="I157" i="26"/>
  <c r="J157" i="26"/>
  <c r="G158" i="26"/>
  <c r="H158" i="26"/>
  <c r="V158" i="26" s="1"/>
  <c r="I158" i="26"/>
  <c r="J158" i="26"/>
  <c r="G159" i="26"/>
  <c r="H159" i="26"/>
  <c r="I159" i="26"/>
  <c r="J159" i="26"/>
  <c r="G160" i="26"/>
  <c r="H160" i="26"/>
  <c r="I160" i="26"/>
  <c r="V160" i="26" s="1"/>
  <c r="J160" i="26"/>
  <c r="G161" i="26"/>
  <c r="H161" i="26"/>
  <c r="I161" i="26"/>
  <c r="J161" i="26"/>
  <c r="G162" i="26"/>
  <c r="H162" i="26"/>
  <c r="I162" i="26"/>
  <c r="J162" i="26"/>
  <c r="G163" i="26"/>
  <c r="H163" i="26"/>
  <c r="I163" i="26"/>
  <c r="J163" i="26"/>
  <c r="G164" i="26"/>
  <c r="H164" i="26"/>
  <c r="I164" i="26"/>
  <c r="J164" i="26"/>
  <c r="G165" i="26"/>
  <c r="H165" i="26"/>
  <c r="I165" i="26"/>
  <c r="J165" i="26"/>
  <c r="G166" i="26"/>
  <c r="H166" i="26"/>
  <c r="V166" i="26" s="1"/>
  <c r="I166" i="26"/>
  <c r="J166" i="26"/>
  <c r="G167" i="26"/>
  <c r="H167" i="26"/>
  <c r="I167" i="26"/>
  <c r="J167" i="26"/>
  <c r="G168" i="26"/>
  <c r="H168" i="26"/>
  <c r="V168" i="26" s="1"/>
  <c r="I168" i="26"/>
  <c r="J168" i="26"/>
  <c r="G169" i="26"/>
  <c r="H169" i="26"/>
  <c r="I169" i="26"/>
  <c r="J169" i="26"/>
  <c r="G170" i="26"/>
  <c r="H170" i="26"/>
  <c r="I170" i="26"/>
  <c r="J170" i="26"/>
  <c r="G171" i="26"/>
  <c r="H171" i="26"/>
  <c r="V171" i="26" s="1"/>
  <c r="I171" i="26"/>
  <c r="J171" i="26"/>
  <c r="G172" i="26"/>
  <c r="H172" i="26"/>
  <c r="V172" i="26" s="1"/>
  <c r="I172" i="26"/>
  <c r="J172" i="26"/>
  <c r="G173" i="26"/>
  <c r="H173" i="26"/>
  <c r="V173" i="26" s="1"/>
  <c r="I173" i="26"/>
  <c r="J173" i="26"/>
  <c r="G174" i="26"/>
  <c r="H174" i="26"/>
  <c r="I174" i="26"/>
  <c r="J174" i="26"/>
  <c r="G175" i="26"/>
  <c r="H175" i="26"/>
  <c r="I175" i="26"/>
  <c r="J175" i="26"/>
  <c r="G176" i="26"/>
  <c r="H176" i="26"/>
  <c r="I176" i="26"/>
  <c r="J176" i="26"/>
  <c r="G177" i="26"/>
  <c r="H177" i="26"/>
  <c r="I177" i="26"/>
  <c r="J177" i="26"/>
  <c r="G178" i="26"/>
  <c r="V178" i="26" s="1"/>
  <c r="H178" i="26"/>
  <c r="I178" i="26"/>
  <c r="J178" i="26"/>
  <c r="G179" i="26"/>
  <c r="V179" i="26" s="1"/>
  <c r="H179" i="26"/>
  <c r="I179" i="26"/>
  <c r="J179" i="26"/>
  <c r="G180" i="26"/>
  <c r="V180" i="26" s="1"/>
  <c r="H180" i="26"/>
  <c r="I180" i="26"/>
  <c r="J180" i="26"/>
  <c r="G181" i="26"/>
  <c r="H181" i="26"/>
  <c r="I181" i="26"/>
  <c r="J181" i="26"/>
  <c r="G182" i="26"/>
  <c r="V182" i="26" s="1"/>
  <c r="H182" i="26"/>
  <c r="I182" i="26"/>
  <c r="J182" i="26"/>
  <c r="G183" i="26"/>
  <c r="H183" i="26"/>
  <c r="I183" i="26"/>
  <c r="J183" i="26"/>
  <c r="G184" i="26"/>
  <c r="V184" i="26" s="1"/>
  <c r="H184" i="26"/>
  <c r="I184" i="26"/>
  <c r="J184" i="26"/>
  <c r="G185" i="26"/>
  <c r="H185" i="26"/>
  <c r="I185" i="26"/>
  <c r="J185" i="26"/>
  <c r="G186" i="26"/>
  <c r="V186" i="26" s="1"/>
  <c r="H186" i="26"/>
  <c r="I186" i="26"/>
  <c r="J186" i="26"/>
  <c r="G187" i="26"/>
  <c r="H187" i="26"/>
  <c r="I187" i="26"/>
  <c r="V187" i="26" s="1"/>
  <c r="J187" i="26"/>
  <c r="G188" i="26"/>
  <c r="H188" i="26"/>
  <c r="I188" i="26"/>
  <c r="J188" i="26"/>
  <c r="G189" i="26"/>
  <c r="H189" i="26"/>
  <c r="I189" i="26"/>
  <c r="J189" i="26"/>
  <c r="G190" i="26"/>
  <c r="H190" i="26"/>
  <c r="I190" i="26"/>
  <c r="J190" i="26"/>
  <c r="G191" i="26"/>
  <c r="H191" i="26"/>
  <c r="I191" i="26"/>
  <c r="V191" i="26" s="1"/>
  <c r="J191" i="26"/>
  <c r="G192" i="26"/>
  <c r="H192" i="26"/>
  <c r="V192" i="26"/>
  <c r="I192" i="26"/>
  <c r="J192" i="26"/>
  <c r="G193" i="26"/>
  <c r="H193" i="26"/>
  <c r="I193" i="26"/>
  <c r="J193" i="26"/>
  <c r="G194" i="26"/>
  <c r="H194" i="26"/>
  <c r="I194" i="26"/>
  <c r="J194" i="26"/>
  <c r="G195" i="26"/>
  <c r="H195" i="26"/>
  <c r="I195" i="26"/>
  <c r="J195" i="26"/>
  <c r="G196" i="26"/>
  <c r="H196" i="26"/>
  <c r="I196" i="26"/>
  <c r="J196" i="26"/>
  <c r="G197" i="26"/>
  <c r="H197" i="26"/>
  <c r="I197" i="26"/>
  <c r="J197" i="26"/>
  <c r="G198" i="26"/>
  <c r="H198" i="26"/>
  <c r="I198" i="26"/>
  <c r="J198" i="26"/>
  <c r="G199" i="26"/>
  <c r="H199" i="26"/>
  <c r="I199" i="26"/>
  <c r="J199" i="26"/>
  <c r="G200" i="26"/>
  <c r="H200" i="26"/>
  <c r="I200" i="26"/>
  <c r="J200" i="26"/>
  <c r="G5" i="26"/>
  <c r="H5" i="26"/>
  <c r="I5" i="26"/>
  <c r="V196" i="26"/>
  <c r="V181" i="26"/>
  <c r="V183" i="26"/>
  <c r="V189" i="26"/>
  <c r="AE80" i="7"/>
  <c r="AE83" i="7"/>
  <c r="V141" i="26"/>
  <c r="V133" i="26"/>
  <c r="V129" i="26"/>
  <c r="V123" i="26"/>
  <c r="V101" i="26"/>
  <c r="V89" i="26"/>
  <c r="V149" i="26"/>
  <c r="V154" i="26"/>
  <c r="V82" i="26"/>
  <c r="V54" i="26"/>
  <c r="V34" i="26"/>
  <c r="V90" i="26"/>
  <c r="V38" i="26"/>
  <c r="V74" i="26"/>
  <c r="V46" i="26"/>
  <c r="V97" i="26"/>
  <c r="V93" i="26"/>
  <c r="V85" i="26"/>
  <c r="V69" i="26"/>
  <c r="V61" i="26"/>
  <c r="V53" i="26"/>
  <c r="V45" i="26"/>
  <c r="V37" i="26"/>
  <c r="V29" i="26"/>
  <c r="V23" i="26"/>
  <c r="V15" i="26"/>
  <c r="V6" i="26"/>
  <c r="V190" i="26"/>
  <c r="V137" i="26"/>
  <c r="V62" i="26"/>
  <c r="V177" i="26"/>
  <c r="V113" i="26"/>
  <c r="V81" i="26"/>
  <c r="V49" i="26"/>
  <c r="V41" i="26"/>
  <c r="V33" i="26"/>
  <c r="AA20" i="28"/>
  <c r="A6" i="26"/>
  <c r="B6" i="26"/>
  <c r="C6" i="26"/>
  <c r="E6" i="26" s="1"/>
  <c r="D6" i="26"/>
  <c r="K6" i="26"/>
  <c r="L6" i="26"/>
  <c r="A7" i="26"/>
  <c r="B7" i="26"/>
  <c r="C7" i="26"/>
  <c r="E7" i="26" s="1"/>
  <c r="D7" i="26"/>
  <c r="K7" i="26"/>
  <c r="L7" i="26"/>
  <c r="A8" i="26"/>
  <c r="B8" i="26"/>
  <c r="C8" i="26"/>
  <c r="D8" i="26"/>
  <c r="K8" i="26"/>
  <c r="L8" i="26"/>
  <c r="A9" i="26"/>
  <c r="B9" i="26"/>
  <c r="C9" i="26"/>
  <c r="D9" i="26"/>
  <c r="K9" i="26"/>
  <c r="L9" i="26"/>
  <c r="A10" i="26"/>
  <c r="B10" i="26"/>
  <c r="C10" i="26"/>
  <c r="D10" i="26"/>
  <c r="E10" i="26" s="1"/>
  <c r="K10" i="26"/>
  <c r="L10" i="26"/>
  <c r="A11" i="26"/>
  <c r="B11" i="26"/>
  <c r="C11" i="26"/>
  <c r="D11" i="26"/>
  <c r="K11" i="26"/>
  <c r="L11" i="26"/>
  <c r="A12" i="26"/>
  <c r="B12" i="26"/>
  <c r="C12" i="26"/>
  <c r="D12" i="26"/>
  <c r="E12" i="26" s="1"/>
  <c r="K12" i="26"/>
  <c r="L12" i="26"/>
  <c r="A13" i="26"/>
  <c r="B13" i="26"/>
  <c r="C13" i="26"/>
  <c r="D13" i="26"/>
  <c r="K13" i="26"/>
  <c r="L13" i="26"/>
  <c r="A14" i="26"/>
  <c r="B14" i="26"/>
  <c r="C14" i="26"/>
  <c r="E14" i="26" s="1"/>
  <c r="D14" i="26"/>
  <c r="K14" i="26"/>
  <c r="L14" i="26"/>
  <c r="A15" i="26"/>
  <c r="B15" i="26"/>
  <c r="C15" i="26"/>
  <c r="E15" i="26" s="1"/>
  <c r="D15" i="26"/>
  <c r="K15" i="26"/>
  <c r="L15" i="26"/>
  <c r="A16" i="26"/>
  <c r="B16" i="26"/>
  <c r="C16" i="26"/>
  <c r="D16" i="26"/>
  <c r="E16" i="26" s="1"/>
  <c r="K16" i="26"/>
  <c r="L16" i="26"/>
  <c r="A17" i="26"/>
  <c r="B17" i="26"/>
  <c r="C17" i="26"/>
  <c r="D17" i="26"/>
  <c r="D2" i="26" s="1"/>
  <c r="K17" i="26"/>
  <c r="L17" i="26"/>
  <c r="A18" i="26"/>
  <c r="B18" i="26"/>
  <c r="C18" i="26"/>
  <c r="D18" i="26"/>
  <c r="E18" i="26" s="1"/>
  <c r="K18" i="26"/>
  <c r="L18" i="26"/>
  <c r="A19" i="26"/>
  <c r="B19" i="26"/>
  <c r="C19" i="26"/>
  <c r="E19" i="26" s="1"/>
  <c r="D19" i="26"/>
  <c r="K19" i="26"/>
  <c r="L19" i="26"/>
  <c r="A20" i="26"/>
  <c r="B20" i="26"/>
  <c r="C20" i="26"/>
  <c r="D20" i="26"/>
  <c r="E20" i="26" s="1"/>
  <c r="K20" i="26"/>
  <c r="L20" i="26"/>
  <c r="A21" i="26"/>
  <c r="B21" i="26"/>
  <c r="C21" i="26"/>
  <c r="D21" i="26"/>
  <c r="K21" i="26"/>
  <c r="L21" i="26"/>
  <c r="A22" i="26"/>
  <c r="B22" i="26"/>
  <c r="C22" i="26"/>
  <c r="E22" i="26" s="1"/>
  <c r="D22" i="26"/>
  <c r="K22" i="26"/>
  <c r="L22" i="26"/>
  <c r="A23" i="26"/>
  <c r="B23" i="26"/>
  <c r="C23" i="26"/>
  <c r="E23" i="26" s="1"/>
  <c r="D23" i="26"/>
  <c r="K23" i="26"/>
  <c r="L23" i="26"/>
  <c r="A24" i="26"/>
  <c r="B24" i="26"/>
  <c r="C24" i="26"/>
  <c r="D24" i="26"/>
  <c r="E24" i="26" s="1"/>
  <c r="K24" i="26"/>
  <c r="L24" i="26"/>
  <c r="A25" i="26"/>
  <c r="B25" i="26"/>
  <c r="C25" i="26"/>
  <c r="E25" i="26" s="1"/>
  <c r="D25" i="26"/>
  <c r="K25" i="26"/>
  <c r="L25" i="26"/>
  <c r="A26" i="26"/>
  <c r="B26" i="26"/>
  <c r="C26" i="26"/>
  <c r="D26" i="26"/>
  <c r="K26" i="26"/>
  <c r="L26" i="26"/>
  <c r="A27" i="26"/>
  <c r="B27" i="26"/>
  <c r="C27" i="26"/>
  <c r="E27" i="26" s="1"/>
  <c r="D27" i="26"/>
  <c r="K27" i="26"/>
  <c r="L27" i="26"/>
  <c r="A28" i="26"/>
  <c r="B28" i="26"/>
  <c r="C28" i="26"/>
  <c r="D28" i="26"/>
  <c r="K28" i="26"/>
  <c r="L28" i="26"/>
  <c r="A29" i="26"/>
  <c r="B29" i="26"/>
  <c r="C29" i="26"/>
  <c r="D29" i="26"/>
  <c r="K29" i="26"/>
  <c r="L29" i="26"/>
  <c r="A30" i="26"/>
  <c r="B30" i="26"/>
  <c r="C30" i="26"/>
  <c r="E30" i="26" s="1"/>
  <c r="D30" i="26"/>
  <c r="K30" i="26"/>
  <c r="L30" i="26"/>
  <c r="A31" i="26"/>
  <c r="B31" i="26"/>
  <c r="C31" i="26"/>
  <c r="D31" i="26"/>
  <c r="K31" i="26"/>
  <c r="L31" i="26"/>
  <c r="A32" i="26"/>
  <c r="B32" i="26"/>
  <c r="C32" i="26"/>
  <c r="D32" i="26"/>
  <c r="K32" i="26"/>
  <c r="L32" i="26"/>
  <c r="A33" i="26"/>
  <c r="B33" i="26"/>
  <c r="C33" i="26"/>
  <c r="E33" i="26" s="1"/>
  <c r="D33" i="26"/>
  <c r="K33" i="26"/>
  <c r="L33" i="26"/>
  <c r="A34" i="26"/>
  <c r="B34" i="26"/>
  <c r="C34" i="26"/>
  <c r="D34" i="26"/>
  <c r="E34" i="26" s="1"/>
  <c r="K34" i="26"/>
  <c r="L34" i="26"/>
  <c r="A35" i="26"/>
  <c r="B35" i="26"/>
  <c r="C35" i="26"/>
  <c r="E35" i="26" s="1"/>
  <c r="D35" i="26"/>
  <c r="K35" i="26"/>
  <c r="L35" i="26"/>
  <c r="A36" i="26"/>
  <c r="B36" i="26"/>
  <c r="C36" i="26"/>
  <c r="D36" i="26"/>
  <c r="E36" i="26" s="1"/>
  <c r="K36" i="26"/>
  <c r="L36" i="26"/>
  <c r="A37" i="26"/>
  <c r="B37" i="26"/>
  <c r="C37" i="26"/>
  <c r="D37" i="26"/>
  <c r="K37" i="26"/>
  <c r="L37" i="26"/>
  <c r="A38" i="26"/>
  <c r="B38" i="26"/>
  <c r="C38" i="26"/>
  <c r="D38" i="26"/>
  <c r="K38" i="26"/>
  <c r="L38" i="26"/>
  <c r="A39" i="26"/>
  <c r="B39" i="26"/>
  <c r="C39" i="26"/>
  <c r="D39" i="26"/>
  <c r="K39" i="26"/>
  <c r="L39" i="26"/>
  <c r="A40" i="26"/>
  <c r="B40" i="26"/>
  <c r="C40" i="26"/>
  <c r="D40" i="26"/>
  <c r="K40" i="26"/>
  <c r="L40" i="26"/>
  <c r="A41" i="26"/>
  <c r="B41" i="26"/>
  <c r="C41" i="26"/>
  <c r="D41" i="26"/>
  <c r="K41" i="26"/>
  <c r="L41" i="26"/>
  <c r="A42" i="26"/>
  <c r="B42" i="26"/>
  <c r="C42" i="26"/>
  <c r="D42" i="26"/>
  <c r="K42" i="26"/>
  <c r="L42" i="26"/>
  <c r="A43" i="26"/>
  <c r="B43" i="26"/>
  <c r="C43" i="26"/>
  <c r="E43" i="26" s="1"/>
  <c r="D43" i="26"/>
  <c r="K43" i="26"/>
  <c r="L43" i="26"/>
  <c r="A44" i="26"/>
  <c r="B44" i="26"/>
  <c r="C44" i="26"/>
  <c r="D44" i="26"/>
  <c r="E44" i="26" s="1"/>
  <c r="K44" i="26"/>
  <c r="L44" i="26"/>
  <c r="A45" i="26"/>
  <c r="B45" i="26"/>
  <c r="C45" i="26"/>
  <c r="D45" i="26"/>
  <c r="K45" i="26"/>
  <c r="L45" i="26"/>
  <c r="A46" i="26"/>
  <c r="B46" i="26"/>
  <c r="C46" i="26"/>
  <c r="E46" i="26" s="1"/>
  <c r="D46" i="26"/>
  <c r="K46" i="26"/>
  <c r="L46" i="26"/>
  <c r="A47" i="26"/>
  <c r="B47" i="26"/>
  <c r="C47" i="26"/>
  <c r="D47" i="26"/>
  <c r="K47" i="26"/>
  <c r="L47" i="26"/>
  <c r="A48" i="26"/>
  <c r="B48" i="26"/>
  <c r="C48" i="26"/>
  <c r="D48" i="26"/>
  <c r="K48" i="26"/>
  <c r="L48" i="26"/>
  <c r="A49" i="26"/>
  <c r="B49" i="26"/>
  <c r="C49" i="26"/>
  <c r="D49" i="26"/>
  <c r="K49" i="26"/>
  <c r="L49" i="26"/>
  <c r="A50" i="26"/>
  <c r="B50" i="26"/>
  <c r="C50" i="26"/>
  <c r="D50" i="26"/>
  <c r="E50" i="26" s="1"/>
  <c r="K50" i="26"/>
  <c r="L50" i="26"/>
  <c r="A51" i="26"/>
  <c r="B51" i="26"/>
  <c r="C51" i="26"/>
  <c r="E51" i="26" s="1"/>
  <c r="D51" i="26"/>
  <c r="K51" i="26"/>
  <c r="L51" i="26"/>
  <c r="A52" i="26"/>
  <c r="B52" i="26"/>
  <c r="C52" i="26"/>
  <c r="D52" i="26"/>
  <c r="K52" i="26"/>
  <c r="L52" i="26"/>
  <c r="A53" i="26"/>
  <c r="B53" i="26"/>
  <c r="C53" i="26"/>
  <c r="D53" i="26"/>
  <c r="K53" i="26"/>
  <c r="L53" i="26"/>
  <c r="A54" i="26"/>
  <c r="B54" i="26"/>
  <c r="C54" i="26"/>
  <c r="E54" i="26" s="1"/>
  <c r="D54" i="26"/>
  <c r="K54" i="26"/>
  <c r="L54" i="26"/>
  <c r="A55" i="26"/>
  <c r="B55" i="26"/>
  <c r="C55" i="26"/>
  <c r="E55" i="26" s="1"/>
  <c r="D55" i="26"/>
  <c r="K55" i="26"/>
  <c r="L55" i="26"/>
  <c r="A56" i="26"/>
  <c r="B56" i="26"/>
  <c r="C56" i="26"/>
  <c r="D56" i="26"/>
  <c r="E56" i="26" s="1"/>
  <c r="K56" i="26"/>
  <c r="L56" i="26"/>
  <c r="A57" i="26"/>
  <c r="B57" i="26"/>
  <c r="C57" i="26"/>
  <c r="E57" i="26" s="1"/>
  <c r="D57" i="26"/>
  <c r="K57" i="26"/>
  <c r="L57" i="26"/>
  <c r="A58" i="26"/>
  <c r="B58" i="26"/>
  <c r="C58" i="26"/>
  <c r="D58" i="26"/>
  <c r="E58" i="26" s="1"/>
  <c r="K58" i="26"/>
  <c r="L58" i="26"/>
  <c r="A59" i="26"/>
  <c r="B59" i="26"/>
  <c r="C59" i="26"/>
  <c r="D59" i="26"/>
  <c r="K59" i="26"/>
  <c r="L59" i="26"/>
  <c r="A60" i="26"/>
  <c r="B60" i="26"/>
  <c r="C60" i="26"/>
  <c r="D60" i="26"/>
  <c r="E60" i="26" s="1"/>
  <c r="K60" i="26"/>
  <c r="L60" i="26"/>
  <c r="A61" i="26"/>
  <c r="B61" i="26"/>
  <c r="C61" i="26"/>
  <c r="D61" i="26"/>
  <c r="K61" i="26"/>
  <c r="L61" i="26"/>
  <c r="A62" i="26"/>
  <c r="B62" i="26"/>
  <c r="C62" i="26"/>
  <c r="E62" i="26" s="1"/>
  <c r="D62" i="26"/>
  <c r="K62" i="26"/>
  <c r="L62" i="26"/>
  <c r="A63" i="26"/>
  <c r="B63" i="26"/>
  <c r="C63" i="26"/>
  <c r="E63" i="26" s="1"/>
  <c r="D63" i="26"/>
  <c r="K63" i="26"/>
  <c r="L63" i="26"/>
  <c r="A64" i="26"/>
  <c r="B64" i="26"/>
  <c r="C64" i="26"/>
  <c r="D64" i="26"/>
  <c r="E64" i="26" s="1"/>
  <c r="K64" i="26"/>
  <c r="L64" i="26"/>
  <c r="A65" i="26"/>
  <c r="B65" i="26"/>
  <c r="C65" i="26"/>
  <c r="D65" i="26"/>
  <c r="K65" i="26"/>
  <c r="L65" i="26"/>
  <c r="A66" i="26"/>
  <c r="B66" i="26"/>
  <c r="C66" i="26"/>
  <c r="D66" i="26"/>
  <c r="K66" i="26"/>
  <c r="L66" i="26"/>
  <c r="A67" i="26"/>
  <c r="B67" i="26"/>
  <c r="C67" i="26"/>
  <c r="E67" i="26" s="1"/>
  <c r="D67" i="26"/>
  <c r="K67" i="26"/>
  <c r="L67" i="26"/>
  <c r="A68" i="26"/>
  <c r="B68" i="26"/>
  <c r="C68" i="26"/>
  <c r="D68" i="26"/>
  <c r="K68" i="26"/>
  <c r="L68" i="26"/>
  <c r="A69" i="26"/>
  <c r="B69" i="26"/>
  <c r="C69" i="26"/>
  <c r="D69" i="26"/>
  <c r="K69" i="26"/>
  <c r="L69" i="26"/>
  <c r="A70" i="26"/>
  <c r="B70" i="26"/>
  <c r="C70" i="26"/>
  <c r="E70" i="26" s="1"/>
  <c r="D70" i="26"/>
  <c r="K70" i="26"/>
  <c r="L70" i="26"/>
  <c r="A71" i="26"/>
  <c r="B71" i="26"/>
  <c r="C71" i="26"/>
  <c r="D71" i="26"/>
  <c r="K71" i="26"/>
  <c r="L71" i="26"/>
  <c r="A72" i="26"/>
  <c r="B72" i="26"/>
  <c r="C72" i="26"/>
  <c r="D72" i="26"/>
  <c r="E72" i="26" s="1"/>
  <c r="K72" i="26"/>
  <c r="L72" i="26"/>
  <c r="A73" i="26"/>
  <c r="B73" i="26"/>
  <c r="C73" i="26"/>
  <c r="D73" i="26"/>
  <c r="K73" i="26"/>
  <c r="L73" i="26"/>
  <c r="A74" i="26"/>
  <c r="B74" i="26"/>
  <c r="C74" i="26"/>
  <c r="D74" i="26"/>
  <c r="E74" i="26" s="1"/>
  <c r="K74" i="26"/>
  <c r="L74" i="26"/>
  <c r="A75" i="26"/>
  <c r="B75" i="26"/>
  <c r="C75" i="26"/>
  <c r="E75" i="26" s="1"/>
  <c r="D75" i="26"/>
  <c r="K75" i="26"/>
  <c r="L75" i="26"/>
  <c r="A76" i="26"/>
  <c r="B76" i="26"/>
  <c r="C76" i="26"/>
  <c r="D76" i="26"/>
  <c r="E76" i="26" s="1"/>
  <c r="K76" i="26"/>
  <c r="L76" i="26"/>
  <c r="A77" i="26"/>
  <c r="B77" i="26"/>
  <c r="C77" i="26"/>
  <c r="D77" i="26"/>
  <c r="K77" i="26"/>
  <c r="L77" i="26"/>
  <c r="A78" i="26"/>
  <c r="B78" i="26"/>
  <c r="C78" i="26"/>
  <c r="E78" i="26" s="1"/>
  <c r="D78" i="26"/>
  <c r="K78" i="26"/>
  <c r="L78" i="26"/>
  <c r="A79" i="26"/>
  <c r="B79" i="26"/>
  <c r="C79" i="26"/>
  <c r="D79" i="26"/>
  <c r="K79" i="26"/>
  <c r="L79" i="26"/>
  <c r="A80" i="26"/>
  <c r="B80" i="26"/>
  <c r="C80" i="26"/>
  <c r="D80" i="26"/>
  <c r="K80" i="26"/>
  <c r="L80" i="26"/>
  <c r="A81" i="26"/>
  <c r="B81" i="26"/>
  <c r="C81" i="26"/>
  <c r="D81" i="26"/>
  <c r="K81" i="26"/>
  <c r="L81" i="26"/>
  <c r="A82" i="26"/>
  <c r="B82" i="26"/>
  <c r="C82" i="26"/>
  <c r="D82" i="26"/>
  <c r="K82" i="26"/>
  <c r="L82" i="26"/>
  <c r="A83" i="26"/>
  <c r="B83" i="26"/>
  <c r="C83" i="26"/>
  <c r="E83" i="26" s="1"/>
  <c r="D83" i="26"/>
  <c r="K83" i="26"/>
  <c r="L83" i="26"/>
  <c r="A84" i="26"/>
  <c r="B84" i="26"/>
  <c r="C84" i="26"/>
  <c r="D84" i="26"/>
  <c r="K84" i="26"/>
  <c r="L84" i="26"/>
  <c r="A85" i="26"/>
  <c r="B85" i="26"/>
  <c r="C85" i="26"/>
  <c r="D85" i="26"/>
  <c r="K85" i="26"/>
  <c r="L85" i="26"/>
  <c r="A86" i="26"/>
  <c r="B86" i="26"/>
  <c r="C86" i="26"/>
  <c r="E86" i="26" s="1"/>
  <c r="D86" i="26"/>
  <c r="K86" i="26"/>
  <c r="L86" i="26"/>
  <c r="A87" i="26"/>
  <c r="B87" i="26"/>
  <c r="C87" i="26"/>
  <c r="E87" i="26" s="1"/>
  <c r="D87" i="26"/>
  <c r="K87" i="26"/>
  <c r="L87" i="26"/>
  <c r="A88" i="26"/>
  <c r="B88" i="26"/>
  <c r="C88" i="26"/>
  <c r="D88" i="26"/>
  <c r="E88" i="26" s="1"/>
  <c r="K88" i="26"/>
  <c r="L88" i="26"/>
  <c r="A89" i="26"/>
  <c r="B89" i="26"/>
  <c r="C89" i="26"/>
  <c r="E89" i="26" s="1"/>
  <c r="D89" i="26"/>
  <c r="K89" i="26"/>
  <c r="L89" i="26"/>
  <c r="A90" i="26"/>
  <c r="B90" i="26"/>
  <c r="C90" i="26"/>
  <c r="D90" i="26"/>
  <c r="K90" i="26"/>
  <c r="L90" i="26"/>
  <c r="A91" i="26"/>
  <c r="B91" i="26"/>
  <c r="C91" i="26"/>
  <c r="D91" i="26"/>
  <c r="K91" i="26"/>
  <c r="L91" i="26"/>
  <c r="A92" i="26"/>
  <c r="B92" i="26"/>
  <c r="C92" i="26"/>
  <c r="D92" i="26"/>
  <c r="E92" i="26" s="1"/>
  <c r="K92" i="26"/>
  <c r="L92" i="26"/>
  <c r="A93" i="26"/>
  <c r="B93" i="26"/>
  <c r="C93" i="26"/>
  <c r="D93" i="26"/>
  <c r="K93" i="26"/>
  <c r="L93" i="26"/>
  <c r="A94" i="26"/>
  <c r="B94" i="26"/>
  <c r="C94" i="26"/>
  <c r="E94" i="26" s="1"/>
  <c r="D94" i="26"/>
  <c r="K94" i="26"/>
  <c r="L94" i="26"/>
  <c r="A95" i="26"/>
  <c r="B95" i="26"/>
  <c r="C95" i="26"/>
  <c r="D95" i="26"/>
  <c r="K95" i="26"/>
  <c r="L95" i="26"/>
  <c r="A96" i="26"/>
  <c r="B96" i="26"/>
  <c r="C96" i="26"/>
  <c r="D96" i="26"/>
  <c r="K96" i="26"/>
  <c r="L96" i="26"/>
  <c r="A97" i="26"/>
  <c r="B97" i="26"/>
  <c r="C97" i="26"/>
  <c r="D97" i="26"/>
  <c r="K97" i="26"/>
  <c r="L97" i="26"/>
  <c r="A98" i="26"/>
  <c r="B98" i="26"/>
  <c r="C98" i="26"/>
  <c r="D98" i="26"/>
  <c r="K98" i="26"/>
  <c r="L98" i="26"/>
  <c r="A99" i="26"/>
  <c r="B99" i="26"/>
  <c r="C99" i="26"/>
  <c r="D99" i="26"/>
  <c r="E99" i="26" s="1"/>
  <c r="K99" i="26"/>
  <c r="L99" i="26"/>
  <c r="A100" i="26"/>
  <c r="B100" i="26"/>
  <c r="C100" i="26"/>
  <c r="D100" i="26"/>
  <c r="E100" i="26" s="1"/>
  <c r="K100" i="26"/>
  <c r="L100" i="26"/>
  <c r="A101" i="26"/>
  <c r="B101" i="26"/>
  <c r="C101" i="26"/>
  <c r="D101" i="26"/>
  <c r="K101" i="26"/>
  <c r="L101" i="26"/>
  <c r="A102" i="26"/>
  <c r="B102" i="26"/>
  <c r="C102" i="26"/>
  <c r="E102" i="26" s="1"/>
  <c r="D102" i="26"/>
  <c r="K102" i="26"/>
  <c r="L102" i="26"/>
  <c r="A103" i="26"/>
  <c r="B103" i="26"/>
  <c r="C103" i="26"/>
  <c r="D103" i="26"/>
  <c r="K103" i="26"/>
  <c r="L103" i="26"/>
  <c r="A104" i="26"/>
  <c r="B104" i="26"/>
  <c r="C104" i="26"/>
  <c r="D104" i="26"/>
  <c r="K104" i="26"/>
  <c r="L104" i="26"/>
  <c r="A105" i="26"/>
  <c r="B105" i="26"/>
  <c r="C105" i="26"/>
  <c r="D105" i="26"/>
  <c r="K105" i="26"/>
  <c r="L105" i="26"/>
  <c r="A106" i="26"/>
  <c r="B106" i="26"/>
  <c r="C106" i="26"/>
  <c r="D106" i="26"/>
  <c r="E106" i="26" s="1"/>
  <c r="K106" i="26"/>
  <c r="L106" i="26"/>
  <c r="A107" i="26"/>
  <c r="B107" i="26"/>
  <c r="C107" i="26"/>
  <c r="E107" i="26" s="1"/>
  <c r="D107" i="26"/>
  <c r="K107" i="26"/>
  <c r="L107" i="26"/>
  <c r="A108" i="26"/>
  <c r="B108" i="26"/>
  <c r="C108" i="26"/>
  <c r="D108" i="26"/>
  <c r="E108" i="26" s="1"/>
  <c r="K108" i="26"/>
  <c r="L108" i="26"/>
  <c r="A109" i="26"/>
  <c r="B109" i="26"/>
  <c r="C109" i="26"/>
  <c r="D109" i="26"/>
  <c r="K109" i="26"/>
  <c r="L109" i="26"/>
  <c r="A110" i="26"/>
  <c r="B110" i="26"/>
  <c r="C110" i="26"/>
  <c r="E110" i="26" s="1"/>
  <c r="D110" i="26"/>
  <c r="K110" i="26"/>
  <c r="L110" i="26"/>
  <c r="A111" i="26"/>
  <c r="B111" i="26"/>
  <c r="C111" i="26"/>
  <c r="D111" i="26"/>
  <c r="K111" i="26"/>
  <c r="L111" i="26"/>
  <c r="A112" i="26"/>
  <c r="B112" i="26"/>
  <c r="C112" i="26"/>
  <c r="D112" i="26"/>
  <c r="K112" i="26"/>
  <c r="L112" i="26"/>
  <c r="A113" i="26"/>
  <c r="B113" i="26"/>
  <c r="C113" i="26"/>
  <c r="D113" i="26"/>
  <c r="K113" i="26"/>
  <c r="L113" i="26"/>
  <c r="A114" i="26"/>
  <c r="B114" i="26"/>
  <c r="C114" i="26"/>
  <c r="D114" i="26"/>
  <c r="E114" i="26" s="1"/>
  <c r="K114" i="26"/>
  <c r="L114" i="26"/>
  <c r="A115" i="26"/>
  <c r="B115" i="26"/>
  <c r="C115" i="26"/>
  <c r="D115" i="26"/>
  <c r="E115" i="26" s="1"/>
  <c r="K115" i="26"/>
  <c r="L115" i="26"/>
  <c r="A116" i="26"/>
  <c r="B116" i="26"/>
  <c r="C116" i="26"/>
  <c r="D116" i="26"/>
  <c r="K116" i="26"/>
  <c r="L116" i="26"/>
  <c r="A117" i="26"/>
  <c r="B117" i="26"/>
  <c r="C117" i="26"/>
  <c r="D117" i="26"/>
  <c r="K117" i="26"/>
  <c r="L117" i="26"/>
  <c r="A118" i="26"/>
  <c r="B118" i="26"/>
  <c r="C118" i="26"/>
  <c r="E118" i="26" s="1"/>
  <c r="D118" i="26"/>
  <c r="K118" i="26"/>
  <c r="L118" i="26"/>
  <c r="A119" i="26"/>
  <c r="B119" i="26"/>
  <c r="C119" i="26"/>
  <c r="D119" i="26"/>
  <c r="K119" i="26"/>
  <c r="L119" i="26"/>
  <c r="A120" i="26"/>
  <c r="B120" i="26"/>
  <c r="C120" i="26"/>
  <c r="D120" i="26"/>
  <c r="E120" i="26" s="1"/>
  <c r="K120" i="26"/>
  <c r="L120" i="26"/>
  <c r="A121" i="26"/>
  <c r="B121" i="26"/>
  <c r="C121" i="26"/>
  <c r="D121" i="26"/>
  <c r="K121" i="26"/>
  <c r="L121" i="26"/>
  <c r="A122" i="26"/>
  <c r="B122" i="26"/>
  <c r="C122" i="26"/>
  <c r="D122" i="26"/>
  <c r="K122" i="26"/>
  <c r="L122" i="26"/>
  <c r="A123" i="26"/>
  <c r="B123" i="26"/>
  <c r="C123" i="26"/>
  <c r="D123" i="26"/>
  <c r="E123" i="26" s="1"/>
  <c r="K123" i="26"/>
  <c r="L123" i="26"/>
  <c r="A124" i="26"/>
  <c r="B124" i="26"/>
  <c r="C124" i="26"/>
  <c r="D124" i="26"/>
  <c r="E124" i="26" s="1"/>
  <c r="K124" i="26"/>
  <c r="L124" i="26"/>
  <c r="A125" i="26"/>
  <c r="B125" i="26"/>
  <c r="C125" i="26"/>
  <c r="D125" i="26"/>
  <c r="K125" i="26"/>
  <c r="L125" i="26"/>
  <c r="A126" i="26"/>
  <c r="B126" i="26"/>
  <c r="C126" i="26"/>
  <c r="E126" i="26" s="1"/>
  <c r="D126" i="26"/>
  <c r="K126" i="26"/>
  <c r="L126" i="26"/>
  <c r="A127" i="26"/>
  <c r="B127" i="26"/>
  <c r="C127" i="26"/>
  <c r="E127" i="26" s="1"/>
  <c r="D127" i="26"/>
  <c r="K127" i="26"/>
  <c r="L127" i="26"/>
  <c r="A128" i="26"/>
  <c r="B128" i="26"/>
  <c r="C128" i="26"/>
  <c r="D128" i="26"/>
  <c r="E128" i="26" s="1"/>
  <c r="K128" i="26"/>
  <c r="L128" i="26"/>
  <c r="A129" i="26"/>
  <c r="B129" i="26"/>
  <c r="C129" i="26"/>
  <c r="D129" i="26"/>
  <c r="K129" i="26"/>
  <c r="L129" i="26"/>
  <c r="A130" i="26"/>
  <c r="B130" i="26"/>
  <c r="C130" i="26"/>
  <c r="D130" i="26"/>
  <c r="K130" i="26"/>
  <c r="L130" i="26"/>
  <c r="A131" i="26"/>
  <c r="B131" i="26"/>
  <c r="C131" i="26"/>
  <c r="E131" i="26" s="1"/>
  <c r="D131" i="26"/>
  <c r="K131" i="26"/>
  <c r="L131" i="26"/>
  <c r="A132" i="26"/>
  <c r="B132" i="26"/>
  <c r="C132" i="26"/>
  <c r="D132" i="26"/>
  <c r="E132" i="26" s="1"/>
  <c r="K132" i="26"/>
  <c r="L132" i="26"/>
  <c r="A133" i="26"/>
  <c r="B133" i="26"/>
  <c r="C133" i="26"/>
  <c r="D133" i="26"/>
  <c r="K133" i="26"/>
  <c r="L133" i="26"/>
  <c r="A134" i="26"/>
  <c r="B134" i="26"/>
  <c r="C134" i="26"/>
  <c r="E134" i="26" s="1"/>
  <c r="D134" i="26"/>
  <c r="K134" i="26"/>
  <c r="L134" i="26"/>
  <c r="A135" i="26"/>
  <c r="B135" i="26"/>
  <c r="C135" i="26"/>
  <c r="E135" i="26" s="1"/>
  <c r="D135" i="26"/>
  <c r="K135" i="26"/>
  <c r="L135" i="26"/>
  <c r="A136" i="26"/>
  <c r="B136" i="26"/>
  <c r="C136" i="26"/>
  <c r="D136" i="26"/>
  <c r="E136" i="26" s="1"/>
  <c r="K136" i="26"/>
  <c r="L136" i="26"/>
  <c r="A137" i="26"/>
  <c r="B137" i="26"/>
  <c r="C137" i="26"/>
  <c r="D137" i="26"/>
  <c r="K137" i="26"/>
  <c r="L137" i="26"/>
  <c r="A138" i="26"/>
  <c r="B138" i="26"/>
  <c r="C138" i="26"/>
  <c r="D138" i="26"/>
  <c r="E138" i="26" s="1"/>
  <c r="K138" i="26"/>
  <c r="L138" i="26"/>
  <c r="A139" i="26"/>
  <c r="B139" i="26"/>
  <c r="C139" i="26"/>
  <c r="E139" i="26" s="1"/>
  <c r="D139" i="26"/>
  <c r="K139" i="26"/>
  <c r="L139" i="26"/>
  <c r="A140" i="26"/>
  <c r="B140" i="26"/>
  <c r="C140" i="26"/>
  <c r="D140" i="26"/>
  <c r="E140" i="26" s="1"/>
  <c r="K140" i="26"/>
  <c r="L140" i="26"/>
  <c r="A141" i="26"/>
  <c r="B141" i="26"/>
  <c r="C141" i="26"/>
  <c r="D141" i="26"/>
  <c r="K141" i="26"/>
  <c r="L141" i="26"/>
  <c r="A142" i="26"/>
  <c r="B142" i="26"/>
  <c r="C142" i="26"/>
  <c r="E142" i="26" s="1"/>
  <c r="D142" i="26"/>
  <c r="K142" i="26"/>
  <c r="L142" i="26"/>
  <c r="A143" i="26"/>
  <c r="B143" i="26"/>
  <c r="C143" i="26"/>
  <c r="E143" i="26" s="1"/>
  <c r="D143" i="26"/>
  <c r="K143" i="26"/>
  <c r="L143" i="26"/>
  <c r="A144" i="26"/>
  <c r="B144" i="26"/>
  <c r="C144" i="26"/>
  <c r="D144" i="26"/>
  <c r="K144" i="26"/>
  <c r="L144" i="26"/>
  <c r="A145" i="26"/>
  <c r="B145" i="26"/>
  <c r="C145" i="26"/>
  <c r="D145" i="26"/>
  <c r="K145" i="26"/>
  <c r="L145" i="26"/>
  <c r="A146" i="26"/>
  <c r="B146" i="26"/>
  <c r="C146" i="26"/>
  <c r="D146" i="26"/>
  <c r="K146" i="26"/>
  <c r="L146" i="26"/>
  <c r="A147" i="26"/>
  <c r="B147" i="26"/>
  <c r="C147" i="26"/>
  <c r="E147" i="26" s="1"/>
  <c r="D147" i="26"/>
  <c r="K147" i="26"/>
  <c r="L147" i="26"/>
  <c r="A148" i="26"/>
  <c r="B148" i="26"/>
  <c r="C148" i="26"/>
  <c r="D148" i="26"/>
  <c r="E148" i="26" s="1"/>
  <c r="K148" i="26"/>
  <c r="L148" i="26"/>
  <c r="A149" i="26"/>
  <c r="B149" i="26"/>
  <c r="C149" i="26"/>
  <c r="D149" i="26"/>
  <c r="K149" i="26"/>
  <c r="L149" i="26"/>
  <c r="A150" i="26"/>
  <c r="B150" i="26"/>
  <c r="C150" i="26"/>
  <c r="E150" i="26" s="1"/>
  <c r="D150" i="26"/>
  <c r="K150" i="26"/>
  <c r="L150" i="26"/>
  <c r="A151" i="26"/>
  <c r="B151" i="26"/>
  <c r="C151" i="26"/>
  <c r="E151" i="26" s="1"/>
  <c r="D151" i="26"/>
  <c r="K151" i="26"/>
  <c r="L151" i="26"/>
  <c r="A152" i="26"/>
  <c r="B152" i="26"/>
  <c r="C152" i="26"/>
  <c r="D152" i="26"/>
  <c r="K152" i="26"/>
  <c r="L152" i="26"/>
  <c r="A153" i="26"/>
  <c r="B153" i="26"/>
  <c r="C153" i="26"/>
  <c r="D153" i="26"/>
  <c r="K153" i="26"/>
  <c r="L153" i="26"/>
  <c r="A154" i="26"/>
  <c r="B154" i="26"/>
  <c r="C154" i="26"/>
  <c r="D154" i="26"/>
  <c r="K154" i="26"/>
  <c r="L154" i="26"/>
  <c r="A155" i="26"/>
  <c r="B155" i="26"/>
  <c r="C155" i="26"/>
  <c r="E155" i="26" s="1"/>
  <c r="D155" i="26"/>
  <c r="K155" i="26"/>
  <c r="L155" i="26"/>
  <c r="A156" i="26"/>
  <c r="B156" i="26"/>
  <c r="C156" i="26"/>
  <c r="D156" i="26"/>
  <c r="E156" i="26" s="1"/>
  <c r="K156" i="26"/>
  <c r="L156" i="26"/>
  <c r="A157" i="26"/>
  <c r="B157" i="26"/>
  <c r="C157" i="26"/>
  <c r="E157" i="26" s="1"/>
  <c r="D157" i="26"/>
  <c r="K157" i="26"/>
  <c r="L157" i="26"/>
  <c r="A158" i="26"/>
  <c r="B158" i="26"/>
  <c r="C158" i="26"/>
  <c r="E158" i="26" s="1"/>
  <c r="D158" i="26"/>
  <c r="K158" i="26"/>
  <c r="L158" i="26"/>
  <c r="A159" i="26"/>
  <c r="B159" i="26"/>
  <c r="C159" i="26"/>
  <c r="D159" i="26"/>
  <c r="K159" i="26"/>
  <c r="L159" i="26"/>
  <c r="A160" i="26"/>
  <c r="B160" i="26"/>
  <c r="C160" i="26"/>
  <c r="D160" i="26"/>
  <c r="K160" i="26"/>
  <c r="L160" i="26"/>
  <c r="A161" i="26"/>
  <c r="B161" i="26"/>
  <c r="C161" i="26"/>
  <c r="D161" i="26"/>
  <c r="K161" i="26"/>
  <c r="L161" i="26"/>
  <c r="A162" i="26"/>
  <c r="B162" i="26"/>
  <c r="C162" i="26"/>
  <c r="D162" i="26"/>
  <c r="K162" i="26"/>
  <c r="L162" i="26"/>
  <c r="A163" i="26"/>
  <c r="B163" i="26"/>
  <c r="C163" i="26"/>
  <c r="E163" i="26" s="1"/>
  <c r="D163" i="26"/>
  <c r="K163" i="26"/>
  <c r="L163" i="26"/>
  <c r="A164" i="26"/>
  <c r="B164" i="26"/>
  <c r="C164" i="26"/>
  <c r="D164" i="26"/>
  <c r="K164" i="26"/>
  <c r="L164" i="26"/>
  <c r="A165" i="26"/>
  <c r="B165" i="26"/>
  <c r="C165" i="26"/>
  <c r="D165" i="26"/>
  <c r="K165" i="26"/>
  <c r="L165" i="26"/>
  <c r="A166" i="26"/>
  <c r="B166" i="26"/>
  <c r="C166" i="26"/>
  <c r="E166" i="26" s="1"/>
  <c r="D166" i="26"/>
  <c r="K166" i="26"/>
  <c r="L166" i="26"/>
  <c r="A167" i="26"/>
  <c r="B167" i="26"/>
  <c r="C167" i="26"/>
  <c r="E167" i="26" s="1"/>
  <c r="D167" i="26"/>
  <c r="K167" i="26"/>
  <c r="L167" i="26"/>
  <c r="A168" i="26"/>
  <c r="B168" i="26"/>
  <c r="C168" i="26"/>
  <c r="D168" i="26"/>
  <c r="K168" i="26"/>
  <c r="L168" i="26"/>
  <c r="A169" i="26"/>
  <c r="B169" i="26"/>
  <c r="C169" i="26"/>
  <c r="D169" i="26"/>
  <c r="K169" i="26"/>
  <c r="L169" i="26"/>
  <c r="A170" i="26"/>
  <c r="B170" i="26"/>
  <c r="C170" i="26"/>
  <c r="D170" i="26"/>
  <c r="E170" i="26" s="1"/>
  <c r="K170" i="26"/>
  <c r="L170" i="26"/>
  <c r="A171" i="26"/>
  <c r="B171" i="26"/>
  <c r="C171" i="26"/>
  <c r="E171" i="26" s="1"/>
  <c r="D171" i="26"/>
  <c r="K171" i="26"/>
  <c r="L171" i="26"/>
  <c r="A172" i="26"/>
  <c r="B172" i="26"/>
  <c r="C172" i="26"/>
  <c r="D172" i="26"/>
  <c r="E172" i="26" s="1"/>
  <c r="K172" i="26"/>
  <c r="L172" i="26"/>
  <c r="A173" i="26"/>
  <c r="B173" i="26"/>
  <c r="C173" i="26"/>
  <c r="D173" i="26"/>
  <c r="K173" i="26"/>
  <c r="L173" i="26"/>
  <c r="A174" i="26"/>
  <c r="B174" i="26"/>
  <c r="C174" i="26"/>
  <c r="E174" i="26" s="1"/>
  <c r="D174" i="26"/>
  <c r="K174" i="26"/>
  <c r="L174" i="26"/>
  <c r="A175" i="26"/>
  <c r="B175" i="26"/>
  <c r="C175" i="26"/>
  <c r="D175" i="26"/>
  <c r="K175" i="26"/>
  <c r="L175" i="26"/>
  <c r="A176" i="26"/>
  <c r="B176" i="26"/>
  <c r="C176" i="26"/>
  <c r="D176" i="26"/>
  <c r="K176" i="26"/>
  <c r="L176" i="26"/>
  <c r="A177" i="26"/>
  <c r="B177" i="26"/>
  <c r="C177" i="26"/>
  <c r="E177" i="26" s="1"/>
  <c r="D177" i="26"/>
  <c r="K177" i="26"/>
  <c r="L177" i="26"/>
  <c r="A178" i="26"/>
  <c r="B178" i="26"/>
  <c r="C178" i="26"/>
  <c r="D178" i="26"/>
  <c r="E178" i="26" s="1"/>
  <c r="K178" i="26"/>
  <c r="L178" i="26"/>
  <c r="A179" i="26"/>
  <c r="B179" i="26"/>
  <c r="C179" i="26"/>
  <c r="E179" i="26" s="1"/>
  <c r="D179" i="26"/>
  <c r="K179" i="26"/>
  <c r="L179" i="26"/>
  <c r="A180" i="26"/>
  <c r="B180" i="26"/>
  <c r="C180" i="26"/>
  <c r="E180" i="26" s="1"/>
  <c r="D180" i="26"/>
  <c r="K180" i="26"/>
  <c r="L180" i="26"/>
  <c r="A181" i="26"/>
  <c r="B181" i="26"/>
  <c r="C181" i="26"/>
  <c r="D181" i="26"/>
  <c r="E181" i="26" s="1"/>
  <c r="K181" i="26"/>
  <c r="L181" i="26"/>
  <c r="A182" i="26"/>
  <c r="B182" i="26"/>
  <c r="C182" i="26"/>
  <c r="D182" i="26"/>
  <c r="K182" i="26"/>
  <c r="L182" i="26"/>
  <c r="A183" i="26"/>
  <c r="B183" i="26"/>
  <c r="C183" i="26"/>
  <c r="D183" i="26"/>
  <c r="K183" i="26"/>
  <c r="L183" i="26"/>
  <c r="A184" i="26"/>
  <c r="B184" i="26"/>
  <c r="C184" i="26"/>
  <c r="D184" i="26"/>
  <c r="K184" i="26"/>
  <c r="L184" i="26"/>
  <c r="A185" i="26"/>
  <c r="B185" i="26"/>
  <c r="C185" i="26"/>
  <c r="D185" i="26"/>
  <c r="K185" i="26"/>
  <c r="L185" i="26"/>
  <c r="A186" i="26"/>
  <c r="B186" i="26"/>
  <c r="C186" i="26"/>
  <c r="D186" i="26"/>
  <c r="K186" i="26"/>
  <c r="L186" i="26"/>
  <c r="A187" i="26"/>
  <c r="B187" i="26"/>
  <c r="C187" i="26"/>
  <c r="D187" i="26"/>
  <c r="K187" i="26"/>
  <c r="L187" i="26"/>
  <c r="A188" i="26"/>
  <c r="B188" i="26"/>
  <c r="C188" i="26"/>
  <c r="E188" i="26" s="1"/>
  <c r="D188" i="26"/>
  <c r="K188" i="26"/>
  <c r="L188" i="26"/>
  <c r="A189" i="26"/>
  <c r="B189" i="26"/>
  <c r="C189" i="26"/>
  <c r="D189" i="26"/>
  <c r="E189" i="26" s="1"/>
  <c r="K189" i="26"/>
  <c r="L189" i="26"/>
  <c r="A190" i="26"/>
  <c r="B190" i="26"/>
  <c r="C190" i="26"/>
  <c r="D190" i="26"/>
  <c r="K190" i="26"/>
  <c r="L190" i="26"/>
  <c r="A191" i="26"/>
  <c r="B191" i="26"/>
  <c r="C191" i="26"/>
  <c r="D191" i="26"/>
  <c r="E191" i="26" s="1"/>
  <c r="K191" i="26"/>
  <c r="L191" i="26"/>
  <c r="A192" i="26"/>
  <c r="B192" i="26"/>
  <c r="C192" i="26"/>
  <c r="D192" i="26"/>
  <c r="E192" i="26"/>
  <c r="K192" i="26"/>
  <c r="L192" i="26"/>
  <c r="A193" i="26"/>
  <c r="B193" i="26"/>
  <c r="C193" i="26"/>
  <c r="D193" i="26"/>
  <c r="E193" i="26" s="1"/>
  <c r="K193" i="26"/>
  <c r="L193" i="26"/>
  <c r="A194" i="26"/>
  <c r="B194" i="26"/>
  <c r="C194" i="26"/>
  <c r="D194" i="26"/>
  <c r="E194" i="26" s="1"/>
  <c r="K194" i="26"/>
  <c r="L194" i="26"/>
  <c r="A195" i="26"/>
  <c r="B195" i="26"/>
  <c r="C195" i="26"/>
  <c r="D195" i="26"/>
  <c r="E195" i="26" s="1"/>
  <c r="K195" i="26"/>
  <c r="L195" i="26"/>
  <c r="A196" i="26"/>
  <c r="B196" i="26"/>
  <c r="C196" i="26"/>
  <c r="D196" i="26"/>
  <c r="E196" i="26"/>
  <c r="K196" i="26"/>
  <c r="L196" i="26"/>
  <c r="A197" i="26"/>
  <c r="B197" i="26"/>
  <c r="C197" i="26"/>
  <c r="D197" i="26"/>
  <c r="E197" i="26"/>
  <c r="K197" i="26"/>
  <c r="L197" i="26"/>
  <c r="A198" i="26"/>
  <c r="B198" i="26"/>
  <c r="C198" i="26"/>
  <c r="E198" i="26" s="1"/>
  <c r="D198" i="26"/>
  <c r="K198" i="26"/>
  <c r="L198" i="26"/>
  <c r="A199" i="26"/>
  <c r="B199" i="26"/>
  <c r="C199" i="26"/>
  <c r="D199" i="26"/>
  <c r="E199" i="26" s="1"/>
  <c r="K199" i="26"/>
  <c r="L199" i="26"/>
  <c r="A200" i="26"/>
  <c r="B200" i="26"/>
  <c r="C200" i="26"/>
  <c r="D200" i="26"/>
  <c r="E200" i="26" s="1"/>
  <c r="K200" i="26"/>
  <c r="L200" i="26"/>
  <c r="L5" i="26"/>
  <c r="K5" i="26"/>
  <c r="J5" i="26"/>
  <c r="D5" i="26"/>
  <c r="C5" i="26"/>
  <c r="C2" i="26" s="1"/>
  <c r="F7" i="26" s="1"/>
  <c r="B5" i="26"/>
  <c r="A5" i="26"/>
  <c r="E80" i="26"/>
  <c r="E40" i="26"/>
  <c r="E85" i="26"/>
  <c r="E77" i="26"/>
  <c r="E48" i="26"/>
  <c r="E32" i="26"/>
  <c r="E29" i="26"/>
  <c r="E159" i="26"/>
  <c r="E125" i="26"/>
  <c r="E93" i="26"/>
  <c r="E8" i="26"/>
  <c r="E168" i="26"/>
  <c r="E164" i="26"/>
  <c r="E162" i="26"/>
  <c r="E160" i="26"/>
  <c r="E154" i="26"/>
  <c r="E144" i="26"/>
  <c r="E130" i="26"/>
  <c r="E122" i="26"/>
  <c r="E112" i="26"/>
  <c r="E104" i="26"/>
  <c r="E98" i="26"/>
  <c r="E96" i="26"/>
  <c r="E117" i="26"/>
  <c r="E91" i="26"/>
  <c r="E59" i="26"/>
  <c r="E47" i="26"/>
  <c r="E176" i="26"/>
  <c r="E11" i="26"/>
  <c r="E90" i="26"/>
  <c r="E82" i="26"/>
  <c r="E42" i="26"/>
  <c r="E38" i="26"/>
  <c r="E26" i="26"/>
  <c r="L2" i="26"/>
  <c r="R2" i="26"/>
  <c r="F44" i="26"/>
  <c r="F50" i="26"/>
  <c r="F151" i="26"/>
  <c r="F63" i="26"/>
  <c r="F49" i="26"/>
  <c r="F105" i="26"/>
  <c r="F55" i="26"/>
  <c r="AE72" i="7"/>
  <c r="AE75" i="7"/>
  <c r="B13" i="28"/>
  <c r="B12" i="28"/>
  <c r="D11" i="28"/>
  <c r="B11" i="28"/>
  <c r="AA18" i="28"/>
  <c r="AA11" i="28"/>
  <c r="AA13" i="28"/>
  <c r="AA12" i="28"/>
  <c r="AA1" i="28"/>
  <c r="B9" i="28"/>
  <c r="AA9" i="28"/>
  <c r="A3" i="28"/>
  <c r="AA3" i="28"/>
  <c r="A15" i="28"/>
  <c r="B15" i="28"/>
  <c r="AA15" i="28"/>
  <c r="A1" i="13"/>
  <c r="A1" i="4" s="1"/>
  <c r="C17" i="28"/>
  <c r="AA17" i="28"/>
  <c r="A202" i="17"/>
  <c r="A202" i="7"/>
  <c r="A202" i="16"/>
  <c r="A202" i="10"/>
  <c r="F1" i="17"/>
  <c r="A201" i="17"/>
  <c r="A201" i="7"/>
  <c r="A201" i="16"/>
  <c r="A201" i="10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A2" i="7"/>
  <c r="AQ200" i="13"/>
  <c r="AR200" i="13" s="1"/>
  <c r="AS200" i="13" s="1"/>
  <c r="AP200" i="13"/>
  <c r="AO200" i="13"/>
  <c r="AN200" i="13"/>
  <c r="AM200" i="13"/>
  <c r="AL200" i="13"/>
  <c r="AJ200" i="13"/>
  <c r="AI200" i="13"/>
  <c r="AH200" i="13"/>
  <c r="AG200" i="13"/>
  <c r="AF200" i="13"/>
  <c r="AE200" i="13"/>
  <c r="AK200" i="13" s="1"/>
  <c r="AC200" i="13"/>
  <c r="AB200" i="13"/>
  <c r="AA200" i="13"/>
  <c r="Z200" i="13"/>
  <c r="Y200" i="13"/>
  <c r="AD200" i="13" s="1"/>
  <c r="AV200" i="13" s="1"/>
  <c r="AY200" i="13" s="1"/>
  <c r="X200" i="13"/>
  <c r="V200" i="13"/>
  <c r="U200" i="13"/>
  <c r="T200" i="13"/>
  <c r="S200" i="13"/>
  <c r="R200" i="13"/>
  <c r="Q200" i="13"/>
  <c r="O200" i="13"/>
  <c r="N200" i="13"/>
  <c r="M200" i="13"/>
  <c r="L200" i="13"/>
  <c r="K200" i="13"/>
  <c r="J200" i="13"/>
  <c r="P200" i="13" s="1"/>
  <c r="I200" i="13"/>
  <c r="H200" i="13"/>
  <c r="G200" i="13"/>
  <c r="F200" i="13"/>
  <c r="E200" i="13"/>
  <c r="AT200" i="13" s="1"/>
  <c r="D200" i="13"/>
  <c r="C200" i="13"/>
  <c r="B200" i="13"/>
  <c r="A200" i="13"/>
  <c r="AQ199" i="13"/>
  <c r="AP199" i="13"/>
  <c r="AO199" i="13"/>
  <c r="AN199" i="13"/>
  <c r="AM199" i="13"/>
  <c r="AR199" i="13" s="1"/>
  <c r="AS199" i="13" s="1"/>
  <c r="K200" i="4" s="1"/>
  <c r="AL199" i="13"/>
  <c r="AJ199" i="13"/>
  <c r="AI199" i="13"/>
  <c r="AH199" i="13"/>
  <c r="AG199" i="13"/>
  <c r="AK199" i="13" s="1"/>
  <c r="J200" i="4" s="1"/>
  <c r="AF199" i="13"/>
  <c r="AE199" i="13"/>
  <c r="AC199" i="13"/>
  <c r="AB199" i="13"/>
  <c r="AA199" i="13"/>
  <c r="Z199" i="13"/>
  <c r="Y199" i="13"/>
  <c r="X199" i="13"/>
  <c r="V199" i="13"/>
  <c r="U199" i="13"/>
  <c r="T199" i="13"/>
  <c r="S199" i="13"/>
  <c r="R199" i="13"/>
  <c r="Q199" i="13"/>
  <c r="O199" i="13"/>
  <c r="Z200" i="4" s="1"/>
  <c r="N199" i="13"/>
  <c r="P199" i="13" s="1"/>
  <c r="AX199" i="13" s="1"/>
  <c r="R200" i="4" s="1"/>
  <c r="M199" i="13"/>
  <c r="L199" i="13"/>
  <c r="K199" i="13"/>
  <c r="J199" i="13"/>
  <c r="I199" i="13"/>
  <c r="H199" i="13"/>
  <c r="G199" i="13"/>
  <c r="F199" i="13"/>
  <c r="E199" i="13"/>
  <c r="D199" i="13"/>
  <c r="C199" i="13"/>
  <c r="B199" i="13"/>
  <c r="A199" i="13"/>
  <c r="AQ198" i="13"/>
  <c r="AP198" i="13"/>
  <c r="AO198" i="13"/>
  <c r="AR198" i="13" s="1"/>
  <c r="AS198" i="13" s="1"/>
  <c r="K199" i="4" s="1"/>
  <c r="AN198" i="13"/>
  <c r="AM198" i="13"/>
  <c r="AL198" i="13"/>
  <c r="AJ198" i="13"/>
  <c r="AI198" i="13"/>
  <c r="AH198" i="13"/>
  <c r="AG198" i="13"/>
  <c r="AF198" i="13"/>
  <c r="AE198" i="13"/>
  <c r="AC198" i="13"/>
  <c r="AB198" i="13"/>
  <c r="AA198" i="13"/>
  <c r="Z198" i="13"/>
  <c r="Y198" i="13"/>
  <c r="X198" i="13"/>
  <c r="AD198" i="13" s="1"/>
  <c r="AV198" i="13" s="1"/>
  <c r="V198" i="13"/>
  <c r="W198" i="13" s="1"/>
  <c r="G199" i="4" s="1"/>
  <c r="U198" i="13"/>
  <c r="T198" i="13"/>
  <c r="S198" i="13"/>
  <c r="R198" i="13"/>
  <c r="Q198" i="13"/>
  <c r="O198" i="13"/>
  <c r="N198" i="13"/>
  <c r="M198" i="13"/>
  <c r="L198" i="13"/>
  <c r="K198" i="13"/>
  <c r="J198" i="13"/>
  <c r="P198" i="13" s="1"/>
  <c r="I198" i="13"/>
  <c r="H198" i="13"/>
  <c r="M199" i="4" s="1"/>
  <c r="G198" i="13"/>
  <c r="F198" i="13"/>
  <c r="E198" i="13"/>
  <c r="D198" i="13"/>
  <c r="C198" i="13"/>
  <c r="B198" i="13"/>
  <c r="A198" i="13"/>
  <c r="AQ197" i="13"/>
  <c r="AP197" i="13"/>
  <c r="AO197" i="13"/>
  <c r="AN197" i="13"/>
  <c r="AM197" i="13"/>
  <c r="AL197" i="13"/>
  <c r="AJ197" i="13"/>
  <c r="AI197" i="13"/>
  <c r="AH197" i="13"/>
  <c r="AG197" i="13"/>
  <c r="AF197" i="13"/>
  <c r="AE197" i="13"/>
  <c r="AK197" i="13" s="1"/>
  <c r="J198" i="4" s="1"/>
  <c r="AC197" i="13"/>
  <c r="AB197" i="13"/>
  <c r="AA197" i="13"/>
  <c r="Z197" i="13"/>
  <c r="Y197" i="13"/>
  <c r="X197" i="13"/>
  <c r="V197" i="13"/>
  <c r="U197" i="13"/>
  <c r="T197" i="13"/>
  <c r="S197" i="13"/>
  <c r="R197" i="13"/>
  <c r="Q197" i="13"/>
  <c r="O197" i="13"/>
  <c r="Z198" i="4" s="1"/>
  <c r="N197" i="13"/>
  <c r="Y198" i="4" s="1"/>
  <c r="M197" i="13"/>
  <c r="X198" i="4" s="1"/>
  <c r="L197" i="13"/>
  <c r="K197" i="13"/>
  <c r="J197" i="13"/>
  <c r="I197" i="13"/>
  <c r="H197" i="13"/>
  <c r="G197" i="13"/>
  <c r="L198" i="4" s="1"/>
  <c r="F197" i="13"/>
  <c r="E197" i="13"/>
  <c r="AT197" i="13" s="1"/>
  <c r="N198" i="4" s="1"/>
  <c r="D197" i="13"/>
  <c r="C197" i="13"/>
  <c r="B197" i="13"/>
  <c r="A197" i="13"/>
  <c r="AQ196" i="13"/>
  <c r="AP196" i="13"/>
  <c r="AO196" i="13"/>
  <c r="AN196" i="13"/>
  <c r="AM196" i="13"/>
  <c r="AR196" i="13" s="1"/>
  <c r="AS196" i="13" s="1"/>
  <c r="K197" i="4" s="1"/>
  <c r="AL196" i="13"/>
  <c r="AJ196" i="13"/>
  <c r="AI196" i="13"/>
  <c r="AH196" i="13"/>
  <c r="AG196" i="13"/>
  <c r="AF196" i="13"/>
  <c r="AE196" i="13"/>
  <c r="AC196" i="13"/>
  <c r="AB196" i="13"/>
  <c r="AA196" i="13"/>
  <c r="Z196" i="13"/>
  <c r="Y196" i="13"/>
  <c r="X196" i="13"/>
  <c r="AD196" i="13" s="1"/>
  <c r="I197" i="4" s="1"/>
  <c r="V196" i="13"/>
  <c r="U196" i="13"/>
  <c r="T196" i="13"/>
  <c r="W196" i="13" s="1"/>
  <c r="G197" i="4" s="1"/>
  <c r="S196" i="13"/>
  <c r="R196" i="13"/>
  <c r="Q196" i="13"/>
  <c r="O196" i="13"/>
  <c r="N196" i="13"/>
  <c r="Y197" i="4" s="1"/>
  <c r="M196" i="13"/>
  <c r="L196" i="13"/>
  <c r="K196" i="13"/>
  <c r="J196" i="13"/>
  <c r="I196" i="13"/>
  <c r="H196" i="13"/>
  <c r="G196" i="13"/>
  <c r="F196" i="13"/>
  <c r="E196" i="13"/>
  <c r="AU196" i="13" s="1"/>
  <c r="D196" i="13"/>
  <c r="B197" i="4" s="1"/>
  <c r="C196" i="13"/>
  <c r="A197" i="4" s="1"/>
  <c r="B196" i="13"/>
  <c r="A196" i="13"/>
  <c r="AQ195" i="13"/>
  <c r="AP195" i="13"/>
  <c r="AO195" i="13"/>
  <c r="AN195" i="13"/>
  <c r="AM195" i="13"/>
  <c r="AL195" i="13"/>
  <c r="AJ195" i="13"/>
  <c r="AI195" i="13"/>
  <c r="AH195" i="13"/>
  <c r="AG195" i="13"/>
  <c r="AF195" i="13"/>
  <c r="AK195" i="13" s="1"/>
  <c r="J196" i="4" s="1"/>
  <c r="AE195" i="13"/>
  <c r="AC195" i="13"/>
  <c r="AB195" i="13"/>
  <c r="AD195" i="13" s="1"/>
  <c r="AA195" i="13"/>
  <c r="Z195" i="13"/>
  <c r="Y195" i="13"/>
  <c r="X195" i="13"/>
  <c r="V195" i="13"/>
  <c r="U195" i="13"/>
  <c r="T195" i="13"/>
  <c r="S195" i="13"/>
  <c r="R195" i="13"/>
  <c r="Q195" i="13"/>
  <c r="O195" i="13"/>
  <c r="Z196" i="4" s="1"/>
  <c r="N195" i="13"/>
  <c r="M195" i="13"/>
  <c r="X196" i="4" s="1"/>
  <c r="L195" i="13"/>
  <c r="K195" i="13"/>
  <c r="V196" i="4" s="1"/>
  <c r="J195" i="13"/>
  <c r="P195" i="13" s="1"/>
  <c r="I195" i="13"/>
  <c r="H195" i="13"/>
  <c r="G195" i="13"/>
  <c r="F195" i="13"/>
  <c r="E195" i="13"/>
  <c r="D195" i="13"/>
  <c r="C195" i="13"/>
  <c r="B195" i="13"/>
  <c r="A195" i="13"/>
  <c r="AQ194" i="13"/>
  <c r="AP194" i="13"/>
  <c r="AO194" i="13"/>
  <c r="AN194" i="13"/>
  <c r="AM194" i="13"/>
  <c r="AL194" i="13"/>
  <c r="AR194" i="13" s="1"/>
  <c r="AS194" i="13" s="1"/>
  <c r="K195" i="4" s="1"/>
  <c r="AJ194" i="13"/>
  <c r="AK194" i="13" s="1"/>
  <c r="AI194" i="13"/>
  <c r="AH194" i="13"/>
  <c r="AG194" i="13"/>
  <c r="AF194" i="13"/>
  <c r="AE194" i="13"/>
  <c r="AC194" i="13"/>
  <c r="AB194" i="13"/>
  <c r="AA194" i="13"/>
  <c r="Z194" i="13"/>
  <c r="Y194" i="13"/>
  <c r="X194" i="13"/>
  <c r="V194" i="13"/>
  <c r="U194" i="13"/>
  <c r="T194" i="13"/>
  <c r="S194" i="13"/>
  <c r="R194" i="13"/>
  <c r="W194" i="13" s="1"/>
  <c r="Q194" i="13"/>
  <c r="O194" i="13"/>
  <c r="N194" i="13"/>
  <c r="M194" i="13"/>
  <c r="L194" i="13"/>
  <c r="K194" i="13"/>
  <c r="J194" i="13"/>
  <c r="I194" i="13"/>
  <c r="H194" i="13"/>
  <c r="G194" i="13"/>
  <c r="F194" i="13"/>
  <c r="AW194" i="13" s="1"/>
  <c r="E194" i="13"/>
  <c r="AU194" i="13" s="1"/>
  <c r="D194" i="13"/>
  <c r="C194" i="13"/>
  <c r="B194" i="13"/>
  <c r="S195" i="4" s="1"/>
  <c r="A194" i="13"/>
  <c r="AQ193" i="13"/>
  <c r="AP193" i="13"/>
  <c r="AO193" i="13"/>
  <c r="AN193" i="13"/>
  <c r="AM193" i="13"/>
  <c r="AL193" i="13"/>
  <c r="AJ193" i="13"/>
  <c r="AI193" i="13"/>
  <c r="AH193" i="13"/>
  <c r="AG193" i="13"/>
  <c r="AF193" i="13"/>
  <c r="AK193" i="13" s="1"/>
  <c r="J194" i="4" s="1"/>
  <c r="AE193" i="13"/>
  <c r="AC193" i="13"/>
  <c r="AB193" i="13"/>
  <c r="AA193" i="13"/>
  <c r="Z193" i="13"/>
  <c r="AD193" i="13" s="1"/>
  <c r="Y193" i="13"/>
  <c r="X193" i="13"/>
  <c r="V193" i="13"/>
  <c r="U193" i="13"/>
  <c r="T193" i="13"/>
  <c r="S193" i="13"/>
  <c r="R193" i="13"/>
  <c r="Q193" i="13"/>
  <c r="O193" i="13"/>
  <c r="N193" i="13"/>
  <c r="M193" i="13"/>
  <c r="L193" i="13"/>
  <c r="K193" i="13"/>
  <c r="V194" i="4" s="1"/>
  <c r="J193" i="13"/>
  <c r="I193" i="13"/>
  <c r="H193" i="13"/>
  <c r="M194" i="4" s="1"/>
  <c r="G193" i="13"/>
  <c r="F193" i="13"/>
  <c r="E193" i="13"/>
  <c r="D193" i="13"/>
  <c r="C193" i="13"/>
  <c r="B193" i="13"/>
  <c r="A193" i="13"/>
  <c r="AQ192" i="13"/>
  <c r="AP192" i="13"/>
  <c r="AO192" i="13"/>
  <c r="AN192" i="13"/>
  <c r="AM192" i="13"/>
  <c r="AL192" i="13"/>
  <c r="AR192" i="13" s="1"/>
  <c r="AS192" i="13" s="1"/>
  <c r="AJ192" i="13"/>
  <c r="AI192" i="13"/>
  <c r="AH192" i="13"/>
  <c r="AK192" i="13" s="1"/>
  <c r="AG192" i="13"/>
  <c r="AF192" i="13"/>
  <c r="AE192" i="13"/>
  <c r="AC192" i="13"/>
  <c r="AB192" i="13"/>
  <c r="AA192" i="13"/>
  <c r="Z192" i="13"/>
  <c r="Y192" i="13"/>
  <c r="X192" i="13"/>
  <c r="V192" i="13"/>
  <c r="U192" i="13"/>
  <c r="T192" i="13"/>
  <c r="S192" i="13"/>
  <c r="R192" i="13"/>
  <c r="Q192" i="13"/>
  <c r="W192" i="13" s="1"/>
  <c r="G193" i="4" s="1"/>
  <c r="O192" i="13"/>
  <c r="P192" i="13" s="1"/>
  <c r="BD192" i="13" s="1"/>
  <c r="N192" i="13"/>
  <c r="M192" i="13"/>
  <c r="L192" i="13"/>
  <c r="K192" i="13"/>
  <c r="J192" i="13"/>
  <c r="I192" i="13"/>
  <c r="H192" i="13"/>
  <c r="G192" i="13"/>
  <c r="F192" i="13"/>
  <c r="E192" i="13"/>
  <c r="AT192" i="13" s="1"/>
  <c r="D192" i="13"/>
  <c r="C192" i="13"/>
  <c r="B192" i="13"/>
  <c r="V193" i="4" s="1"/>
  <c r="A192" i="13"/>
  <c r="AQ191" i="13"/>
  <c r="AP191" i="13"/>
  <c r="AR191" i="13" s="1"/>
  <c r="AS191" i="13" s="1"/>
  <c r="K192" i="4" s="1"/>
  <c r="AO191" i="13"/>
  <c r="AN191" i="13"/>
  <c r="AM191" i="13"/>
  <c r="AL191" i="13"/>
  <c r="AJ191" i="13"/>
  <c r="AI191" i="13"/>
  <c r="AH191" i="13"/>
  <c r="AG191" i="13"/>
  <c r="AF191" i="13"/>
  <c r="AE191" i="13"/>
  <c r="AC191" i="13"/>
  <c r="AB191" i="13"/>
  <c r="AA191" i="13"/>
  <c r="Z191" i="13"/>
  <c r="Y191" i="13"/>
  <c r="X191" i="13"/>
  <c r="V191" i="13"/>
  <c r="U191" i="13"/>
  <c r="T191" i="13"/>
  <c r="S191" i="13"/>
  <c r="R191" i="13"/>
  <c r="Q191" i="13"/>
  <c r="O191" i="13"/>
  <c r="Z192" i="4" s="1"/>
  <c r="N191" i="13"/>
  <c r="M191" i="13"/>
  <c r="L191" i="13"/>
  <c r="K191" i="13"/>
  <c r="J191" i="13"/>
  <c r="I191" i="13"/>
  <c r="H191" i="13"/>
  <c r="G191" i="13"/>
  <c r="L192" i="4" s="1"/>
  <c r="F191" i="13"/>
  <c r="AW191" i="13" s="1"/>
  <c r="Q192" i="4" s="1"/>
  <c r="E191" i="13"/>
  <c r="D191" i="13"/>
  <c r="C191" i="13"/>
  <c r="B191" i="13"/>
  <c r="N192" i="4" s="1"/>
  <c r="A191" i="13"/>
  <c r="AQ190" i="13"/>
  <c r="AP190" i="13"/>
  <c r="AO190" i="13"/>
  <c r="AN190" i="13"/>
  <c r="AM190" i="13"/>
  <c r="AL190" i="13"/>
  <c r="AJ190" i="13"/>
  <c r="AI190" i="13"/>
  <c r="AH190" i="13"/>
  <c r="AG190" i="13"/>
  <c r="AF190" i="13"/>
  <c r="AE190" i="13"/>
  <c r="AC190" i="13"/>
  <c r="AB190" i="13"/>
  <c r="AA190" i="13"/>
  <c r="Z190" i="13"/>
  <c r="Y190" i="13"/>
  <c r="X190" i="13"/>
  <c r="V190" i="13"/>
  <c r="U190" i="13"/>
  <c r="T190" i="13"/>
  <c r="S190" i="13"/>
  <c r="R190" i="13"/>
  <c r="Q190" i="13"/>
  <c r="W190" i="13" s="1"/>
  <c r="G191" i="4" s="1"/>
  <c r="O190" i="13"/>
  <c r="N190" i="13"/>
  <c r="M190" i="13"/>
  <c r="L190" i="13"/>
  <c r="K190" i="13"/>
  <c r="J190" i="13"/>
  <c r="I190" i="13"/>
  <c r="H190" i="13"/>
  <c r="G190" i="13"/>
  <c r="F190" i="13"/>
  <c r="E190" i="13"/>
  <c r="D190" i="13"/>
  <c r="C190" i="13"/>
  <c r="B190" i="13"/>
  <c r="A190" i="13"/>
  <c r="AQ189" i="13"/>
  <c r="AP189" i="13"/>
  <c r="AO189" i="13"/>
  <c r="AN189" i="13"/>
  <c r="AM189" i="13"/>
  <c r="AL189" i="13"/>
  <c r="AJ189" i="13"/>
  <c r="AI189" i="13"/>
  <c r="AH189" i="13"/>
  <c r="AG189" i="13"/>
  <c r="AF189" i="13"/>
  <c r="AE189" i="13"/>
  <c r="AC189" i="13"/>
  <c r="AB189" i="13"/>
  <c r="AA189" i="13"/>
  <c r="Z189" i="13"/>
  <c r="Y189" i="13"/>
  <c r="AD189" i="13" s="1"/>
  <c r="X189" i="13"/>
  <c r="V189" i="13"/>
  <c r="U189" i="13"/>
  <c r="W189" i="13" s="1"/>
  <c r="G190" i="4" s="1"/>
  <c r="T189" i="13"/>
  <c r="S189" i="13"/>
  <c r="R189" i="13"/>
  <c r="Q189" i="13"/>
  <c r="O189" i="13"/>
  <c r="Z190" i="4" s="1"/>
  <c r="N189" i="13"/>
  <c r="M189" i="13"/>
  <c r="P189" i="13" s="1"/>
  <c r="L189" i="13"/>
  <c r="K189" i="13"/>
  <c r="J189" i="13"/>
  <c r="I189" i="13"/>
  <c r="H189" i="13"/>
  <c r="M190" i="4" s="1"/>
  <c r="G189" i="13"/>
  <c r="L190" i="4" s="1"/>
  <c r="F189" i="13"/>
  <c r="D190" i="4" s="1"/>
  <c r="E189" i="13"/>
  <c r="D189" i="13"/>
  <c r="B190" i="4" s="1"/>
  <c r="C189" i="13"/>
  <c r="B189" i="13"/>
  <c r="A189" i="13"/>
  <c r="AQ188" i="13"/>
  <c r="AP188" i="13"/>
  <c r="AO188" i="13"/>
  <c r="AN188" i="13"/>
  <c r="AM188" i="13"/>
  <c r="AL188" i="13"/>
  <c r="AJ188" i="13"/>
  <c r="AI188" i="13"/>
  <c r="AH188" i="13"/>
  <c r="AG188" i="13"/>
  <c r="AF188" i="13"/>
  <c r="AE188" i="13"/>
  <c r="AC188" i="13"/>
  <c r="AD188" i="13" s="1"/>
  <c r="I189" i="4" s="1"/>
  <c r="AB188" i="13"/>
  <c r="AA188" i="13"/>
  <c r="Z188" i="13"/>
  <c r="Y188" i="13"/>
  <c r="X188" i="13"/>
  <c r="V188" i="13"/>
  <c r="U188" i="13"/>
  <c r="T188" i="13"/>
  <c r="S188" i="13"/>
  <c r="R188" i="13"/>
  <c r="Q188" i="13"/>
  <c r="W188" i="13" s="1"/>
  <c r="G189" i="4" s="1"/>
  <c r="H189" i="4" s="1"/>
  <c r="O188" i="13"/>
  <c r="N188" i="13"/>
  <c r="M188" i="13"/>
  <c r="L188" i="13"/>
  <c r="W189" i="4" s="1"/>
  <c r="K188" i="13"/>
  <c r="V189" i="4" s="1"/>
  <c r="J188" i="13"/>
  <c r="I188" i="13"/>
  <c r="H188" i="13"/>
  <c r="G188" i="13"/>
  <c r="F188" i="13"/>
  <c r="D189" i="4" s="1"/>
  <c r="E188" i="13"/>
  <c r="D188" i="13"/>
  <c r="C188" i="13"/>
  <c r="B188" i="13"/>
  <c r="A188" i="13"/>
  <c r="AQ187" i="13"/>
  <c r="AP187" i="13"/>
  <c r="AO187" i="13"/>
  <c r="AN187" i="13"/>
  <c r="AM187" i="13"/>
  <c r="AL187" i="13"/>
  <c r="AJ187" i="13"/>
  <c r="AI187" i="13"/>
  <c r="AH187" i="13"/>
  <c r="AG187" i="13"/>
  <c r="AF187" i="13"/>
  <c r="AE187" i="13"/>
  <c r="AC187" i="13"/>
  <c r="AB187" i="13"/>
  <c r="AA187" i="13"/>
  <c r="Z187" i="13"/>
  <c r="Y187" i="13"/>
  <c r="AD187" i="13" s="1"/>
  <c r="X187" i="13"/>
  <c r="V187" i="13"/>
  <c r="U187" i="13"/>
  <c r="T187" i="13"/>
  <c r="S187" i="13"/>
  <c r="R187" i="13"/>
  <c r="Q187" i="13"/>
  <c r="O187" i="13"/>
  <c r="N187" i="13"/>
  <c r="M187" i="13"/>
  <c r="L187" i="13"/>
  <c r="K187" i="13"/>
  <c r="J187" i="13"/>
  <c r="I187" i="13"/>
  <c r="H187" i="13"/>
  <c r="G187" i="13"/>
  <c r="F187" i="13"/>
  <c r="E187" i="13"/>
  <c r="D187" i="13"/>
  <c r="C187" i="13"/>
  <c r="B187" i="13"/>
  <c r="P188" i="4" s="1"/>
  <c r="A187" i="13"/>
  <c r="AQ186" i="13"/>
  <c r="AP186" i="13"/>
  <c r="AO186" i="13"/>
  <c r="AN186" i="13"/>
  <c r="AM186" i="13"/>
  <c r="AL186" i="13"/>
  <c r="AJ186" i="13"/>
  <c r="AI186" i="13"/>
  <c r="AH186" i="13"/>
  <c r="AG186" i="13"/>
  <c r="AF186" i="13"/>
  <c r="AE186" i="13"/>
  <c r="AK186" i="13" s="1"/>
  <c r="J187" i="4" s="1"/>
  <c r="AC186" i="13"/>
  <c r="AB186" i="13"/>
  <c r="AA186" i="13"/>
  <c r="AD186" i="13" s="1"/>
  <c r="I187" i="4" s="1"/>
  <c r="Z186" i="13"/>
  <c r="Y186" i="13"/>
  <c r="X186" i="13"/>
  <c r="V186" i="13"/>
  <c r="U186" i="13"/>
  <c r="T186" i="13"/>
  <c r="S186" i="13"/>
  <c r="W186" i="13" s="1"/>
  <c r="R186" i="13"/>
  <c r="Q186" i="13"/>
  <c r="O186" i="13"/>
  <c r="N186" i="13"/>
  <c r="Y187" i="4" s="1"/>
  <c r="M186" i="13"/>
  <c r="L186" i="13"/>
  <c r="K186" i="13"/>
  <c r="J186" i="13"/>
  <c r="U187" i="4" s="1"/>
  <c r="I186" i="13"/>
  <c r="H186" i="13"/>
  <c r="G186" i="13"/>
  <c r="F186" i="13"/>
  <c r="E186" i="13"/>
  <c r="AT186" i="13" s="1"/>
  <c r="D186" i="13"/>
  <c r="C186" i="13"/>
  <c r="B186" i="13"/>
  <c r="A186" i="13"/>
  <c r="AQ185" i="13"/>
  <c r="AP185" i="13"/>
  <c r="AO185" i="13"/>
  <c r="AN185" i="13"/>
  <c r="AM185" i="13"/>
  <c r="AR185" i="13" s="1"/>
  <c r="AS185" i="13" s="1"/>
  <c r="K186" i="4" s="1"/>
  <c r="AL185" i="13"/>
  <c r="AJ185" i="13"/>
  <c r="AI185" i="13"/>
  <c r="AK185" i="13" s="1"/>
  <c r="AH185" i="13"/>
  <c r="AG185" i="13"/>
  <c r="AF185" i="13"/>
  <c r="AE185" i="13"/>
  <c r="AC185" i="13"/>
  <c r="AB185" i="13"/>
  <c r="AA185" i="13"/>
  <c r="Z185" i="13"/>
  <c r="Y185" i="13"/>
  <c r="X185" i="13"/>
  <c r="V185" i="13"/>
  <c r="U185" i="13"/>
  <c r="T185" i="13"/>
  <c r="S185" i="13"/>
  <c r="R185" i="13"/>
  <c r="Q185" i="13"/>
  <c r="O185" i="13"/>
  <c r="N185" i="13"/>
  <c r="M185" i="13"/>
  <c r="L185" i="13"/>
  <c r="K185" i="13"/>
  <c r="J185" i="13"/>
  <c r="I185" i="13"/>
  <c r="H185" i="13"/>
  <c r="G185" i="13"/>
  <c r="F185" i="13"/>
  <c r="E185" i="13"/>
  <c r="D185" i="13"/>
  <c r="C185" i="13"/>
  <c r="A186" i="4" s="1"/>
  <c r="B185" i="13"/>
  <c r="A185" i="13"/>
  <c r="AQ184" i="13"/>
  <c r="AR184" i="13" s="1"/>
  <c r="AS184" i="13" s="1"/>
  <c r="K185" i="4" s="1"/>
  <c r="AP184" i="13"/>
  <c r="AO184" i="13"/>
  <c r="AN184" i="13"/>
  <c r="AM184" i="13"/>
  <c r="AL184" i="13"/>
  <c r="AJ184" i="13"/>
  <c r="AI184" i="13"/>
  <c r="AH184" i="13"/>
  <c r="AG184" i="13"/>
  <c r="AF184" i="13"/>
  <c r="AE184" i="13"/>
  <c r="AK184" i="13" s="1"/>
  <c r="J185" i="4" s="1"/>
  <c r="AC184" i="13"/>
  <c r="AB184" i="13"/>
  <c r="AA184" i="13"/>
  <c r="Z184" i="13"/>
  <c r="Y184" i="13"/>
  <c r="X184" i="13"/>
  <c r="V184" i="13"/>
  <c r="U184" i="13"/>
  <c r="T184" i="13"/>
  <c r="S184" i="13"/>
  <c r="R184" i="13"/>
  <c r="Q184" i="13"/>
  <c r="O184" i="13"/>
  <c r="N184" i="13"/>
  <c r="M184" i="13"/>
  <c r="L184" i="13"/>
  <c r="W185" i="4" s="1"/>
  <c r="K184" i="13"/>
  <c r="J184" i="13"/>
  <c r="I184" i="13"/>
  <c r="H184" i="13"/>
  <c r="M185" i="4" s="1"/>
  <c r="G184" i="13"/>
  <c r="F184" i="13"/>
  <c r="E184" i="13"/>
  <c r="D184" i="13"/>
  <c r="C184" i="13"/>
  <c r="B184" i="13"/>
  <c r="A184" i="13"/>
  <c r="AQ183" i="13"/>
  <c r="AP183" i="13"/>
  <c r="AO183" i="13"/>
  <c r="AN183" i="13"/>
  <c r="AM183" i="13"/>
  <c r="AL183" i="13"/>
  <c r="AJ183" i="13"/>
  <c r="AI183" i="13"/>
  <c r="AH183" i="13"/>
  <c r="AG183" i="13"/>
  <c r="AF183" i="13"/>
  <c r="AE183" i="13"/>
  <c r="AC183" i="13"/>
  <c r="AB183" i="13"/>
  <c r="AA183" i="13"/>
  <c r="Z183" i="13"/>
  <c r="Y183" i="13"/>
  <c r="X183" i="13"/>
  <c r="V183" i="13"/>
  <c r="U183" i="13"/>
  <c r="T183" i="13"/>
  <c r="S183" i="13"/>
  <c r="R183" i="13"/>
  <c r="W183" i="13" s="1"/>
  <c r="G184" i="4" s="1"/>
  <c r="Q183" i="13"/>
  <c r="O183" i="13"/>
  <c r="N183" i="13"/>
  <c r="P183" i="13" s="1"/>
  <c r="M183" i="13"/>
  <c r="L183" i="13"/>
  <c r="K183" i="13"/>
  <c r="J183" i="13"/>
  <c r="I183" i="13"/>
  <c r="H183" i="13"/>
  <c r="G183" i="13"/>
  <c r="F183" i="13"/>
  <c r="E183" i="13"/>
  <c r="D183" i="13"/>
  <c r="C183" i="13"/>
  <c r="B183" i="13"/>
  <c r="A183" i="13"/>
  <c r="AQ182" i="13"/>
  <c r="AP182" i="13"/>
  <c r="AO182" i="13"/>
  <c r="AR182" i="13" s="1"/>
  <c r="AS182" i="13" s="1"/>
  <c r="K183" i="4" s="1"/>
  <c r="AN182" i="13"/>
  <c r="AM182" i="13"/>
  <c r="AL182" i="13"/>
  <c r="AJ182" i="13"/>
  <c r="AI182" i="13"/>
  <c r="AH182" i="13"/>
  <c r="AG182" i="13"/>
  <c r="AF182" i="13"/>
  <c r="AE182" i="13"/>
  <c r="AC182" i="13"/>
  <c r="AB182" i="13"/>
  <c r="AA182" i="13"/>
  <c r="Z182" i="13"/>
  <c r="Y182" i="13"/>
  <c r="X182" i="13"/>
  <c r="V182" i="13"/>
  <c r="W182" i="13" s="1"/>
  <c r="G183" i="4" s="1"/>
  <c r="U182" i="13"/>
  <c r="T182" i="13"/>
  <c r="S182" i="13"/>
  <c r="R182" i="13"/>
  <c r="Q182" i="13"/>
  <c r="O182" i="13"/>
  <c r="N182" i="13"/>
  <c r="M182" i="13"/>
  <c r="L182" i="13"/>
  <c r="K182" i="13"/>
  <c r="J182" i="13"/>
  <c r="I182" i="13"/>
  <c r="H182" i="13"/>
  <c r="M183" i="4" s="1"/>
  <c r="G182" i="13"/>
  <c r="F182" i="13"/>
  <c r="E182" i="13"/>
  <c r="C183" i="4" s="1"/>
  <c r="D182" i="13"/>
  <c r="C182" i="13"/>
  <c r="B182" i="13"/>
  <c r="A182" i="13"/>
  <c r="AQ181" i="13"/>
  <c r="AP181" i="13"/>
  <c r="AO181" i="13"/>
  <c r="AN181" i="13"/>
  <c r="AM181" i="13"/>
  <c r="AL181" i="13"/>
  <c r="AJ181" i="13"/>
  <c r="AI181" i="13"/>
  <c r="AH181" i="13"/>
  <c r="AG181" i="13"/>
  <c r="AF181" i="13"/>
  <c r="AE181" i="13"/>
  <c r="AC181" i="13"/>
  <c r="AB181" i="13"/>
  <c r="AA181" i="13"/>
  <c r="Z181" i="13"/>
  <c r="Y181" i="13"/>
  <c r="X181" i="13"/>
  <c r="V181" i="13"/>
  <c r="U181" i="13"/>
  <c r="T181" i="13"/>
  <c r="S181" i="13"/>
  <c r="R181" i="13"/>
  <c r="W181" i="13" s="1"/>
  <c r="G182" i="4" s="1"/>
  <c r="Q181" i="13"/>
  <c r="O181" i="13"/>
  <c r="N181" i="13"/>
  <c r="Y182" i="4" s="1"/>
  <c r="M181" i="13"/>
  <c r="X182" i="4" s="1"/>
  <c r="L181" i="13"/>
  <c r="W182" i="4" s="1"/>
  <c r="K181" i="13"/>
  <c r="J181" i="13"/>
  <c r="I181" i="13"/>
  <c r="H181" i="13"/>
  <c r="G181" i="13"/>
  <c r="F181" i="13"/>
  <c r="E181" i="13"/>
  <c r="D181" i="13"/>
  <c r="C181" i="13"/>
  <c r="B181" i="13"/>
  <c r="A181" i="13"/>
  <c r="AQ180" i="13"/>
  <c r="AP180" i="13"/>
  <c r="AO180" i="13"/>
  <c r="AN180" i="13"/>
  <c r="AM180" i="13"/>
  <c r="AL180" i="13"/>
  <c r="AJ180" i="13"/>
  <c r="AI180" i="13"/>
  <c r="AH180" i="13"/>
  <c r="AG180" i="13"/>
  <c r="AF180" i="13"/>
  <c r="AE180" i="13"/>
  <c r="AC180" i="13"/>
  <c r="AB180" i="13"/>
  <c r="AA180" i="13"/>
  <c r="Z180" i="13"/>
  <c r="Y180" i="13"/>
  <c r="X180" i="13"/>
  <c r="AD180" i="13" s="1"/>
  <c r="V180" i="13"/>
  <c r="U180" i="13"/>
  <c r="T180" i="13"/>
  <c r="W180" i="13" s="1"/>
  <c r="G181" i="4" s="1"/>
  <c r="S180" i="13"/>
  <c r="R180" i="13"/>
  <c r="Q180" i="13"/>
  <c r="O180" i="13"/>
  <c r="N180" i="13"/>
  <c r="M180" i="13"/>
  <c r="L180" i="13"/>
  <c r="P180" i="13" s="1"/>
  <c r="K180" i="13"/>
  <c r="J180" i="13"/>
  <c r="I180" i="13"/>
  <c r="H180" i="13"/>
  <c r="M181" i="4" s="1"/>
  <c r="G180" i="13"/>
  <c r="F180" i="13"/>
  <c r="E180" i="13"/>
  <c r="AT180" i="13" s="1"/>
  <c r="D180" i="13"/>
  <c r="B181" i="4" s="1"/>
  <c r="C180" i="13"/>
  <c r="A181" i="4" s="1"/>
  <c r="B180" i="13"/>
  <c r="A180" i="13"/>
  <c r="AQ179" i="13"/>
  <c r="AP179" i="13"/>
  <c r="AO179" i="13"/>
  <c r="AN179" i="13"/>
  <c r="AM179" i="13"/>
  <c r="AL179" i="13"/>
  <c r="AJ179" i="13"/>
  <c r="AI179" i="13"/>
  <c r="AH179" i="13"/>
  <c r="AG179" i="13"/>
  <c r="AF179" i="13"/>
  <c r="AK179" i="13" s="1"/>
  <c r="J180" i="4" s="1"/>
  <c r="AE179" i="13"/>
  <c r="AC179" i="13"/>
  <c r="AB179" i="13"/>
  <c r="AD179" i="13" s="1"/>
  <c r="I180" i="4" s="1"/>
  <c r="AA179" i="13"/>
  <c r="Z179" i="13"/>
  <c r="Y179" i="13"/>
  <c r="X179" i="13"/>
  <c r="V179" i="13"/>
  <c r="U179" i="13"/>
  <c r="T179" i="13"/>
  <c r="S179" i="13"/>
  <c r="R179" i="13"/>
  <c r="Q179" i="13"/>
  <c r="O179" i="13"/>
  <c r="Z180" i="4" s="1"/>
  <c r="N179" i="13"/>
  <c r="M179" i="13"/>
  <c r="L179" i="13"/>
  <c r="K179" i="13"/>
  <c r="V180" i="4" s="1"/>
  <c r="J179" i="13"/>
  <c r="U180" i="4" s="1"/>
  <c r="I179" i="13"/>
  <c r="H179" i="13"/>
  <c r="G179" i="13"/>
  <c r="F179" i="13"/>
  <c r="E179" i="13"/>
  <c r="D179" i="13"/>
  <c r="C179" i="13"/>
  <c r="B179" i="13"/>
  <c r="A179" i="13"/>
  <c r="AQ178" i="13"/>
  <c r="AP178" i="13"/>
  <c r="AO178" i="13"/>
  <c r="AN178" i="13"/>
  <c r="AM178" i="13"/>
  <c r="AL178" i="13"/>
  <c r="AJ178" i="13"/>
  <c r="AK178" i="13" s="1"/>
  <c r="J179" i="4" s="1"/>
  <c r="AI178" i="13"/>
  <c r="AH178" i="13"/>
  <c r="AG178" i="13"/>
  <c r="AF178" i="13"/>
  <c r="AE178" i="13"/>
  <c r="AC178" i="13"/>
  <c r="AB178" i="13"/>
  <c r="AA178" i="13"/>
  <c r="Z178" i="13"/>
  <c r="Y178" i="13"/>
  <c r="X178" i="13"/>
  <c r="AD178" i="13" s="1"/>
  <c r="V178" i="13"/>
  <c r="U178" i="13"/>
  <c r="T178" i="13"/>
  <c r="S178" i="13"/>
  <c r="R178" i="13"/>
  <c r="Q178" i="13"/>
  <c r="O178" i="13"/>
  <c r="N178" i="13"/>
  <c r="M178" i="13"/>
  <c r="L178" i="13"/>
  <c r="K178" i="13"/>
  <c r="J178" i="13"/>
  <c r="I178" i="13"/>
  <c r="H178" i="13"/>
  <c r="G178" i="13"/>
  <c r="F178" i="13"/>
  <c r="AW178" i="13" s="1"/>
  <c r="E178" i="13"/>
  <c r="AT178" i="13" s="1"/>
  <c r="D178" i="13"/>
  <c r="C178" i="13"/>
  <c r="B178" i="13"/>
  <c r="Z179" i="4" s="1"/>
  <c r="A178" i="13"/>
  <c r="AQ177" i="13"/>
  <c r="AP177" i="13"/>
  <c r="AO177" i="13"/>
  <c r="AN177" i="13"/>
  <c r="AM177" i="13"/>
  <c r="AL177" i="13"/>
  <c r="AJ177" i="13"/>
  <c r="AI177" i="13"/>
  <c r="AH177" i="13"/>
  <c r="AG177" i="13"/>
  <c r="AF177" i="13"/>
  <c r="AE177" i="13"/>
  <c r="AC177" i="13"/>
  <c r="AB177" i="13"/>
  <c r="AA177" i="13"/>
  <c r="Z177" i="13"/>
  <c r="Y177" i="13"/>
  <c r="X177" i="13"/>
  <c r="V177" i="13"/>
  <c r="U177" i="13"/>
  <c r="T177" i="13"/>
  <c r="S177" i="13"/>
  <c r="R177" i="13"/>
  <c r="Q177" i="13"/>
  <c r="O177" i="13"/>
  <c r="N177" i="13"/>
  <c r="M177" i="13"/>
  <c r="X178" i="4" s="1"/>
  <c r="L177" i="13"/>
  <c r="K177" i="13"/>
  <c r="J177" i="13"/>
  <c r="I177" i="13"/>
  <c r="H177" i="13"/>
  <c r="M178" i="4" s="1"/>
  <c r="G177" i="13"/>
  <c r="F177" i="13"/>
  <c r="E177" i="13"/>
  <c r="D177" i="13"/>
  <c r="C177" i="13"/>
  <c r="B177" i="13"/>
  <c r="A177" i="13"/>
  <c r="AQ176" i="13"/>
  <c r="AP176" i="13"/>
  <c r="AO176" i="13"/>
  <c r="AN176" i="13"/>
  <c r="AM176" i="13"/>
  <c r="AL176" i="13"/>
  <c r="AR176" i="13" s="1"/>
  <c r="AS176" i="13" s="1"/>
  <c r="AJ176" i="13"/>
  <c r="AI176" i="13"/>
  <c r="AH176" i="13"/>
  <c r="AK176" i="13" s="1"/>
  <c r="AG176" i="13"/>
  <c r="AF176" i="13"/>
  <c r="AE176" i="13"/>
  <c r="AC176" i="13"/>
  <c r="AB176" i="13"/>
  <c r="AA176" i="13"/>
  <c r="Z176" i="13"/>
  <c r="AD176" i="13" s="1"/>
  <c r="Y176" i="13"/>
  <c r="X176" i="13"/>
  <c r="V176" i="13"/>
  <c r="U176" i="13"/>
  <c r="T176" i="13"/>
  <c r="S176" i="13"/>
  <c r="R176" i="13"/>
  <c r="Q176" i="13"/>
  <c r="O176" i="13"/>
  <c r="P176" i="13" s="1"/>
  <c r="N176" i="13"/>
  <c r="M176" i="13"/>
  <c r="L176" i="13"/>
  <c r="K176" i="13"/>
  <c r="J176" i="13"/>
  <c r="I176" i="13"/>
  <c r="H176" i="13"/>
  <c r="G176" i="13"/>
  <c r="F176" i="13"/>
  <c r="E176" i="13"/>
  <c r="AU176" i="13" s="1"/>
  <c r="D176" i="13"/>
  <c r="C176" i="13"/>
  <c r="B176" i="13"/>
  <c r="A176" i="13"/>
  <c r="AQ175" i="13"/>
  <c r="AP175" i="13"/>
  <c r="AR175" i="13" s="1"/>
  <c r="AS175" i="13" s="1"/>
  <c r="K176" i="4" s="1"/>
  <c r="AO175" i="13"/>
  <c r="AN175" i="13"/>
  <c r="AM175" i="13"/>
  <c r="AL175" i="13"/>
  <c r="AJ175" i="13"/>
  <c r="AI175" i="13"/>
  <c r="AH175" i="13"/>
  <c r="AK175" i="13" s="1"/>
  <c r="AG175" i="13"/>
  <c r="AF175" i="13"/>
  <c r="AE175" i="13"/>
  <c r="AC175" i="13"/>
  <c r="AB175" i="13"/>
  <c r="AA175" i="13"/>
  <c r="Z175" i="13"/>
  <c r="Y175" i="13"/>
  <c r="X175" i="13"/>
  <c r="V175" i="13"/>
  <c r="U175" i="13"/>
  <c r="T175" i="13"/>
  <c r="S175" i="13"/>
  <c r="R175" i="13"/>
  <c r="Q175" i="13"/>
  <c r="O175" i="13"/>
  <c r="Z176" i="4" s="1"/>
  <c r="N175" i="13"/>
  <c r="M175" i="13"/>
  <c r="L175" i="13"/>
  <c r="K175" i="13"/>
  <c r="V176" i="4" s="1"/>
  <c r="J175" i="13"/>
  <c r="U176" i="4" s="1"/>
  <c r="I175" i="13"/>
  <c r="H175" i="13"/>
  <c r="G175" i="13"/>
  <c r="L176" i="4" s="1"/>
  <c r="F175" i="13"/>
  <c r="E175" i="13"/>
  <c r="D175" i="13"/>
  <c r="C175" i="13"/>
  <c r="B175" i="13"/>
  <c r="A175" i="13"/>
  <c r="AQ174" i="13"/>
  <c r="AP174" i="13"/>
  <c r="AO174" i="13"/>
  <c r="AN174" i="13"/>
  <c r="AM174" i="13"/>
  <c r="AL174" i="13"/>
  <c r="AR174" i="13" s="1"/>
  <c r="AS174" i="13" s="1"/>
  <c r="K175" i="4" s="1"/>
  <c r="AJ174" i="13"/>
  <c r="AI174" i="13"/>
  <c r="AH174" i="13"/>
  <c r="AG174" i="13"/>
  <c r="AF174" i="13"/>
  <c r="AE174" i="13"/>
  <c r="AC174" i="13"/>
  <c r="AB174" i="13"/>
  <c r="AA174" i="13"/>
  <c r="Z174" i="13"/>
  <c r="Y174" i="13"/>
  <c r="X174" i="13"/>
  <c r="V174" i="13"/>
  <c r="U174" i="13"/>
  <c r="T174" i="13"/>
  <c r="S174" i="13"/>
  <c r="R174" i="13"/>
  <c r="Q174" i="13"/>
  <c r="W174" i="13" s="1"/>
  <c r="G175" i="4" s="1"/>
  <c r="O174" i="13"/>
  <c r="N174" i="13"/>
  <c r="M174" i="13"/>
  <c r="L174" i="13"/>
  <c r="K174" i="13"/>
  <c r="J174" i="13"/>
  <c r="I174" i="13"/>
  <c r="H174" i="13"/>
  <c r="G174" i="13"/>
  <c r="F174" i="13"/>
  <c r="E174" i="13"/>
  <c r="D174" i="13"/>
  <c r="C174" i="13"/>
  <c r="B174" i="13"/>
  <c r="A174" i="13"/>
  <c r="AQ173" i="13"/>
  <c r="AP173" i="13"/>
  <c r="AO173" i="13"/>
  <c r="AN173" i="13"/>
  <c r="AM173" i="13"/>
  <c r="AL173" i="13"/>
  <c r="AJ173" i="13"/>
  <c r="AI173" i="13"/>
  <c r="AH173" i="13"/>
  <c r="AG173" i="13"/>
  <c r="AF173" i="13"/>
  <c r="AK173" i="13" s="1"/>
  <c r="J174" i="4" s="1"/>
  <c r="AE173" i="13"/>
  <c r="AC173" i="13"/>
  <c r="AB173" i="13"/>
  <c r="AA173" i="13"/>
  <c r="Z173" i="13"/>
  <c r="Y173" i="13"/>
  <c r="AD173" i="13" s="1"/>
  <c r="X173" i="13"/>
  <c r="V173" i="13"/>
  <c r="U173" i="13"/>
  <c r="W173" i="13" s="1"/>
  <c r="G174" i="4" s="1"/>
  <c r="T173" i="13"/>
  <c r="S173" i="13"/>
  <c r="R173" i="13"/>
  <c r="Q173" i="13"/>
  <c r="O173" i="13"/>
  <c r="N173" i="13"/>
  <c r="M173" i="13"/>
  <c r="L173" i="13"/>
  <c r="K173" i="13"/>
  <c r="J173" i="13"/>
  <c r="I173" i="13"/>
  <c r="H173" i="13"/>
  <c r="M174" i="4" s="1"/>
  <c r="G173" i="13"/>
  <c r="L174" i="4" s="1"/>
  <c r="F173" i="13"/>
  <c r="E173" i="13"/>
  <c r="C174" i="4" s="1"/>
  <c r="D173" i="13"/>
  <c r="B174" i="4" s="1"/>
  <c r="C173" i="13"/>
  <c r="B173" i="13"/>
  <c r="A173" i="13"/>
  <c r="AQ172" i="13"/>
  <c r="AP172" i="13"/>
  <c r="AO172" i="13"/>
  <c r="AN172" i="13"/>
  <c r="AM172" i="13"/>
  <c r="AL172" i="13"/>
  <c r="AJ172" i="13"/>
  <c r="AI172" i="13"/>
  <c r="AH172" i="13"/>
  <c r="AG172" i="13"/>
  <c r="AF172" i="13"/>
  <c r="AE172" i="13"/>
  <c r="AC172" i="13"/>
  <c r="AD172" i="13" s="1"/>
  <c r="I173" i="4" s="1"/>
  <c r="AB172" i="13"/>
  <c r="AA172" i="13"/>
  <c r="Z172" i="13"/>
  <c r="Y172" i="13"/>
  <c r="X172" i="13"/>
  <c r="V172" i="13"/>
  <c r="U172" i="13"/>
  <c r="T172" i="13"/>
  <c r="S172" i="13"/>
  <c r="R172" i="13"/>
  <c r="Q172" i="13"/>
  <c r="W172" i="13" s="1"/>
  <c r="G173" i="4" s="1"/>
  <c r="O172" i="13"/>
  <c r="N172" i="13"/>
  <c r="M172" i="13"/>
  <c r="L172" i="13"/>
  <c r="W173" i="4" s="1"/>
  <c r="K172" i="13"/>
  <c r="V173" i="4" s="1"/>
  <c r="J172" i="13"/>
  <c r="I172" i="13"/>
  <c r="H172" i="13"/>
  <c r="G172" i="13"/>
  <c r="F172" i="13"/>
  <c r="E172" i="13"/>
  <c r="D172" i="13"/>
  <c r="B173" i="4" s="1"/>
  <c r="C172" i="13"/>
  <c r="B172" i="13"/>
  <c r="A172" i="13"/>
  <c r="AQ171" i="13"/>
  <c r="AP171" i="13"/>
  <c r="AO171" i="13"/>
  <c r="AN171" i="13"/>
  <c r="AM171" i="13"/>
  <c r="AL171" i="13"/>
  <c r="AJ171" i="13"/>
  <c r="AI171" i="13"/>
  <c r="AH171" i="13"/>
  <c r="AG171" i="13"/>
  <c r="AF171" i="13"/>
  <c r="AE171" i="13"/>
  <c r="AC171" i="13"/>
  <c r="AB171" i="13"/>
  <c r="AA171" i="13"/>
  <c r="Z171" i="13"/>
  <c r="Y171" i="13"/>
  <c r="AD171" i="13" s="1"/>
  <c r="X171" i="13"/>
  <c r="V171" i="13"/>
  <c r="U171" i="13"/>
  <c r="T171" i="13"/>
  <c r="S171" i="13"/>
  <c r="R171" i="13"/>
  <c r="Q171" i="13"/>
  <c r="O171" i="13"/>
  <c r="N171" i="13"/>
  <c r="M171" i="13"/>
  <c r="L171" i="13"/>
  <c r="K171" i="13"/>
  <c r="J171" i="13"/>
  <c r="I171" i="13"/>
  <c r="H171" i="13"/>
  <c r="G171" i="13"/>
  <c r="F171" i="13"/>
  <c r="E171" i="13"/>
  <c r="D171" i="13"/>
  <c r="C171" i="13"/>
  <c r="B171" i="13"/>
  <c r="M172" i="4" s="1"/>
  <c r="A171" i="13"/>
  <c r="AQ170" i="13"/>
  <c r="AP170" i="13"/>
  <c r="AO170" i="13"/>
  <c r="AN170" i="13"/>
  <c r="AM170" i="13"/>
  <c r="AL170" i="13"/>
  <c r="AJ170" i="13"/>
  <c r="AI170" i="13"/>
  <c r="AH170" i="13"/>
  <c r="AG170" i="13"/>
  <c r="AF170" i="13"/>
  <c r="AE170" i="13"/>
  <c r="AK170" i="13" s="1"/>
  <c r="J171" i="4" s="1"/>
  <c r="AC170" i="13"/>
  <c r="AB170" i="13"/>
  <c r="AA170" i="13"/>
  <c r="AD170" i="13" s="1"/>
  <c r="I171" i="4" s="1"/>
  <c r="Z170" i="13"/>
  <c r="Y170" i="13"/>
  <c r="X170" i="13"/>
  <c r="V170" i="13"/>
  <c r="U170" i="13"/>
  <c r="T170" i="13"/>
  <c r="S170" i="13"/>
  <c r="R170" i="13"/>
  <c r="Q170" i="13"/>
  <c r="O170" i="13"/>
  <c r="N170" i="13"/>
  <c r="M170" i="13"/>
  <c r="L170" i="13"/>
  <c r="K170" i="13"/>
  <c r="J170" i="13"/>
  <c r="U171" i="4" s="1"/>
  <c r="I170" i="13"/>
  <c r="H170" i="13"/>
  <c r="G170" i="13"/>
  <c r="F170" i="13"/>
  <c r="E170" i="13"/>
  <c r="D170" i="13"/>
  <c r="C170" i="13"/>
  <c r="B170" i="13"/>
  <c r="A170" i="13"/>
  <c r="AQ169" i="13"/>
  <c r="AP169" i="13"/>
  <c r="AO169" i="13"/>
  <c r="AN169" i="13"/>
  <c r="AM169" i="13"/>
  <c r="AR169" i="13" s="1"/>
  <c r="AS169" i="13" s="1"/>
  <c r="K170" i="4" s="1"/>
  <c r="AL169" i="13"/>
  <c r="AJ169" i="13"/>
  <c r="AI169" i="13"/>
  <c r="AK169" i="13" s="1"/>
  <c r="AH169" i="13"/>
  <c r="AG169" i="13"/>
  <c r="AF169" i="13"/>
  <c r="AE169" i="13"/>
  <c r="AC169" i="13"/>
  <c r="AB169" i="13"/>
  <c r="AA169" i="13"/>
  <c r="Z169" i="13"/>
  <c r="Y169" i="13"/>
  <c r="X169" i="13"/>
  <c r="V169" i="13"/>
  <c r="U169" i="13"/>
  <c r="T169" i="13"/>
  <c r="S169" i="13"/>
  <c r="R169" i="13"/>
  <c r="Q169" i="13"/>
  <c r="O169" i="13"/>
  <c r="N169" i="13"/>
  <c r="M169" i="13"/>
  <c r="L169" i="13"/>
  <c r="K169" i="13"/>
  <c r="J169" i="13"/>
  <c r="I169" i="13"/>
  <c r="H169" i="13"/>
  <c r="G169" i="13"/>
  <c r="F169" i="13"/>
  <c r="E169" i="13"/>
  <c r="D169" i="13"/>
  <c r="C169" i="13"/>
  <c r="A170" i="4" s="1"/>
  <c r="B169" i="13"/>
  <c r="A169" i="13"/>
  <c r="AQ168" i="13"/>
  <c r="AR168" i="13" s="1"/>
  <c r="AS168" i="13" s="1"/>
  <c r="K169" i="4" s="1"/>
  <c r="AP168" i="13"/>
  <c r="AO168" i="13"/>
  <c r="AN168" i="13"/>
  <c r="AM168" i="13"/>
  <c r="AL168" i="13"/>
  <c r="AJ168" i="13"/>
  <c r="AI168" i="13"/>
  <c r="AH168" i="13"/>
  <c r="AG168" i="13"/>
  <c r="AF168" i="13"/>
  <c r="AE168" i="13"/>
  <c r="AC168" i="13"/>
  <c r="AB168" i="13"/>
  <c r="AA168" i="13"/>
  <c r="Z168" i="13"/>
  <c r="Y168" i="13"/>
  <c r="X168" i="13"/>
  <c r="V168" i="13"/>
  <c r="U168" i="13"/>
  <c r="T168" i="13"/>
  <c r="S168" i="13"/>
  <c r="R168" i="13"/>
  <c r="Q168" i="13"/>
  <c r="O168" i="13"/>
  <c r="N168" i="13"/>
  <c r="M168" i="13"/>
  <c r="L168" i="13"/>
  <c r="K168" i="13"/>
  <c r="V169" i="4" s="1"/>
  <c r="J168" i="13"/>
  <c r="I168" i="13"/>
  <c r="H168" i="13"/>
  <c r="M169" i="4" s="1"/>
  <c r="G168" i="13"/>
  <c r="L169" i="4" s="1"/>
  <c r="F168" i="13"/>
  <c r="E168" i="13"/>
  <c r="D168" i="13"/>
  <c r="C168" i="13"/>
  <c r="B168" i="13"/>
  <c r="A168" i="13"/>
  <c r="AQ167" i="13"/>
  <c r="AP167" i="13"/>
  <c r="AO167" i="13"/>
  <c r="AN167" i="13"/>
  <c r="AM167" i="13"/>
  <c r="AL167" i="13"/>
  <c r="AJ167" i="13"/>
  <c r="AI167" i="13"/>
  <c r="AH167" i="13"/>
  <c r="AG167" i="13"/>
  <c r="AF167" i="13"/>
  <c r="AE167" i="13"/>
  <c r="AC167" i="13"/>
  <c r="AB167" i="13"/>
  <c r="AA167" i="13"/>
  <c r="Z167" i="13"/>
  <c r="Y167" i="13"/>
  <c r="AD167" i="13" s="1"/>
  <c r="X167" i="13"/>
  <c r="V167" i="13"/>
  <c r="U167" i="13"/>
  <c r="T167" i="13"/>
  <c r="S167" i="13"/>
  <c r="R167" i="13"/>
  <c r="W167" i="13" s="1"/>
  <c r="G168" i="4" s="1"/>
  <c r="H168" i="4" s="1"/>
  <c r="Q167" i="13"/>
  <c r="O167" i="13"/>
  <c r="Z168" i="4" s="1"/>
  <c r="N167" i="13"/>
  <c r="Y168" i="4" s="1"/>
  <c r="M167" i="13"/>
  <c r="L167" i="13"/>
  <c r="K167" i="13"/>
  <c r="J167" i="13"/>
  <c r="I167" i="13"/>
  <c r="H167" i="13"/>
  <c r="G167" i="13"/>
  <c r="F167" i="13"/>
  <c r="E167" i="13"/>
  <c r="D167" i="13"/>
  <c r="C167" i="13"/>
  <c r="A168" i="4" s="1"/>
  <c r="B167" i="13"/>
  <c r="B168" i="4" s="1"/>
  <c r="A167" i="13"/>
  <c r="AQ166" i="13"/>
  <c r="AP166" i="13"/>
  <c r="AO166" i="13"/>
  <c r="AR166" i="13" s="1"/>
  <c r="AS166" i="13" s="1"/>
  <c r="K167" i="4" s="1"/>
  <c r="AN166" i="13"/>
  <c r="AM166" i="13"/>
  <c r="AL166" i="13"/>
  <c r="AJ166" i="13"/>
  <c r="AI166" i="13"/>
  <c r="AH166" i="13"/>
  <c r="AG166" i="13"/>
  <c r="AF166" i="13"/>
  <c r="AE166" i="13"/>
  <c r="AC166" i="13"/>
  <c r="AB166" i="13"/>
  <c r="AA166" i="13"/>
  <c r="Z166" i="13"/>
  <c r="Y166" i="13"/>
  <c r="X166" i="13"/>
  <c r="V166" i="13"/>
  <c r="W166" i="13" s="1"/>
  <c r="G167" i="4" s="1"/>
  <c r="U166" i="13"/>
  <c r="T166" i="13"/>
  <c r="S166" i="13"/>
  <c r="R166" i="13"/>
  <c r="Q166" i="13"/>
  <c r="O166" i="13"/>
  <c r="N166" i="13"/>
  <c r="M166" i="13"/>
  <c r="L166" i="13"/>
  <c r="K166" i="13"/>
  <c r="J166" i="13"/>
  <c r="U167" i="4" s="1"/>
  <c r="I166" i="13"/>
  <c r="H166" i="13"/>
  <c r="M167" i="4" s="1"/>
  <c r="G166" i="13"/>
  <c r="F166" i="13"/>
  <c r="E166" i="13"/>
  <c r="D166" i="13"/>
  <c r="C166" i="13"/>
  <c r="B166" i="13"/>
  <c r="A166" i="13"/>
  <c r="AQ165" i="13"/>
  <c r="AP165" i="13"/>
  <c r="AO165" i="13"/>
  <c r="AN165" i="13"/>
  <c r="AM165" i="13"/>
  <c r="AL165" i="13"/>
  <c r="AJ165" i="13"/>
  <c r="AI165" i="13"/>
  <c r="AH165" i="13"/>
  <c r="AG165" i="13"/>
  <c r="AF165" i="13"/>
  <c r="AE165" i="13"/>
  <c r="AC165" i="13"/>
  <c r="AB165" i="13"/>
  <c r="AA165" i="13"/>
  <c r="Z165" i="13"/>
  <c r="Y165" i="13"/>
  <c r="X165" i="13"/>
  <c r="V165" i="13"/>
  <c r="U165" i="13"/>
  <c r="T165" i="13"/>
  <c r="S165" i="13"/>
  <c r="R165" i="13"/>
  <c r="W165" i="13" s="1"/>
  <c r="G166" i="4" s="1"/>
  <c r="Q165" i="13"/>
  <c r="O165" i="13"/>
  <c r="N165" i="13"/>
  <c r="M165" i="13"/>
  <c r="X166" i="4" s="1"/>
  <c r="L165" i="13"/>
  <c r="W166" i="4" s="1"/>
  <c r="K165" i="13"/>
  <c r="J165" i="13"/>
  <c r="I165" i="13"/>
  <c r="H165" i="13"/>
  <c r="G165" i="13"/>
  <c r="F165" i="13"/>
  <c r="E165" i="13"/>
  <c r="D165" i="13"/>
  <c r="C165" i="13"/>
  <c r="B165" i="13"/>
  <c r="A165" i="13"/>
  <c r="AQ164" i="13"/>
  <c r="AP164" i="13"/>
  <c r="AO164" i="13"/>
  <c r="AN164" i="13"/>
  <c r="AM164" i="13"/>
  <c r="AL164" i="13"/>
  <c r="AJ164" i="13"/>
  <c r="AI164" i="13"/>
  <c r="AH164" i="13"/>
  <c r="AG164" i="13"/>
  <c r="AF164" i="13"/>
  <c r="AE164" i="13"/>
  <c r="AC164" i="13"/>
  <c r="AB164" i="13"/>
  <c r="AA164" i="13"/>
  <c r="Z164" i="13"/>
  <c r="Y164" i="13"/>
  <c r="X164" i="13"/>
  <c r="AD164" i="13" s="1"/>
  <c r="V164" i="13"/>
  <c r="U164" i="13"/>
  <c r="T164" i="13"/>
  <c r="W164" i="13" s="1"/>
  <c r="G165" i="4" s="1"/>
  <c r="S164" i="13"/>
  <c r="R164" i="13"/>
  <c r="Q164" i="13"/>
  <c r="O164" i="13"/>
  <c r="N164" i="13"/>
  <c r="Y165" i="4" s="1"/>
  <c r="M164" i="13"/>
  <c r="L164" i="13"/>
  <c r="W165" i="4" s="1"/>
  <c r="K164" i="13"/>
  <c r="J164" i="13"/>
  <c r="I164" i="13"/>
  <c r="H164" i="13"/>
  <c r="G164" i="13"/>
  <c r="L165" i="4" s="1"/>
  <c r="F164" i="13"/>
  <c r="E164" i="13"/>
  <c r="D164" i="13"/>
  <c r="B165" i="4" s="1"/>
  <c r="C164" i="13"/>
  <c r="A165" i="4" s="1"/>
  <c r="B164" i="13"/>
  <c r="A164" i="13"/>
  <c r="AQ163" i="13"/>
  <c r="AP163" i="13"/>
  <c r="AO163" i="13"/>
  <c r="AN163" i="13"/>
  <c r="AM163" i="13"/>
  <c r="AL163" i="13"/>
  <c r="AJ163" i="13"/>
  <c r="AI163" i="13"/>
  <c r="AH163" i="13"/>
  <c r="AG163" i="13"/>
  <c r="AF163" i="13"/>
  <c r="AK163" i="13" s="1"/>
  <c r="J164" i="4" s="1"/>
  <c r="AE163" i="13"/>
  <c r="AC163" i="13"/>
  <c r="AB163" i="13"/>
  <c r="AD163" i="13" s="1"/>
  <c r="I164" i="4" s="1"/>
  <c r="AA163" i="13"/>
  <c r="Z163" i="13"/>
  <c r="Y163" i="13"/>
  <c r="X163" i="13"/>
  <c r="V163" i="13"/>
  <c r="U163" i="13"/>
  <c r="T163" i="13"/>
  <c r="S163" i="13"/>
  <c r="R163" i="13"/>
  <c r="Q163" i="13"/>
  <c r="O163" i="13"/>
  <c r="N163" i="13"/>
  <c r="M163" i="13"/>
  <c r="L163" i="13"/>
  <c r="K163" i="13"/>
  <c r="V164" i="4" s="1"/>
  <c r="J163" i="13"/>
  <c r="U164" i="4" s="1"/>
  <c r="I163" i="13"/>
  <c r="H163" i="13"/>
  <c r="G163" i="13"/>
  <c r="F163" i="13"/>
  <c r="E163" i="13"/>
  <c r="D163" i="13"/>
  <c r="C163" i="13"/>
  <c r="B163" i="13"/>
  <c r="A163" i="13"/>
  <c r="AQ162" i="13"/>
  <c r="AP162" i="13"/>
  <c r="AO162" i="13"/>
  <c r="AN162" i="13"/>
  <c r="AM162" i="13"/>
  <c r="AL162" i="13"/>
  <c r="AJ162" i="13"/>
  <c r="AK162" i="13" s="1"/>
  <c r="J163" i="4" s="1"/>
  <c r="AI162" i="13"/>
  <c r="AH162" i="13"/>
  <c r="AG162" i="13"/>
  <c r="AF162" i="13"/>
  <c r="AE162" i="13"/>
  <c r="AC162" i="13"/>
  <c r="AB162" i="13"/>
  <c r="AA162" i="13"/>
  <c r="Z162" i="13"/>
  <c r="Y162" i="13"/>
  <c r="X162" i="13"/>
  <c r="V162" i="13"/>
  <c r="U162" i="13"/>
  <c r="T162" i="13"/>
  <c r="S162" i="13"/>
  <c r="R162" i="13"/>
  <c r="Q162" i="13"/>
  <c r="O162" i="13"/>
  <c r="N162" i="13"/>
  <c r="M162" i="13"/>
  <c r="L162" i="13"/>
  <c r="K162" i="13"/>
  <c r="J162" i="13"/>
  <c r="I162" i="13"/>
  <c r="H162" i="13"/>
  <c r="G162" i="13"/>
  <c r="F162" i="13"/>
  <c r="E162" i="13"/>
  <c r="D162" i="13"/>
  <c r="C162" i="13"/>
  <c r="B162" i="13"/>
  <c r="A162" i="13"/>
  <c r="AQ161" i="13"/>
  <c r="AP161" i="13"/>
  <c r="AO161" i="13"/>
  <c r="AN161" i="13"/>
  <c r="AM161" i="13"/>
  <c r="AL161" i="13"/>
  <c r="AJ161" i="13"/>
  <c r="AI161" i="13"/>
  <c r="AH161" i="13"/>
  <c r="AG161" i="13"/>
  <c r="AF161" i="13"/>
  <c r="AK161" i="13" s="1"/>
  <c r="J162" i="4" s="1"/>
  <c r="AE161" i="13"/>
  <c r="AC161" i="13"/>
  <c r="AB161" i="13"/>
  <c r="AA161" i="13"/>
  <c r="Z161" i="13"/>
  <c r="Y161" i="13"/>
  <c r="X161" i="13"/>
  <c r="V161" i="13"/>
  <c r="U161" i="13"/>
  <c r="T161" i="13"/>
  <c r="S161" i="13"/>
  <c r="R161" i="13"/>
  <c r="Q161" i="13"/>
  <c r="O161" i="13"/>
  <c r="N161" i="13"/>
  <c r="M161" i="13"/>
  <c r="L161" i="13"/>
  <c r="K161" i="13"/>
  <c r="J161" i="13"/>
  <c r="U162" i="4" s="1"/>
  <c r="I161" i="13"/>
  <c r="H161" i="13"/>
  <c r="M162" i="4" s="1"/>
  <c r="G161" i="13"/>
  <c r="F161" i="13"/>
  <c r="E161" i="13"/>
  <c r="D161" i="13"/>
  <c r="C161" i="13"/>
  <c r="B161" i="13"/>
  <c r="A161" i="13"/>
  <c r="AQ160" i="13"/>
  <c r="AP160" i="13"/>
  <c r="AO160" i="13"/>
  <c r="AN160" i="13"/>
  <c r="AM160" i="13"/>
  <c r="AL160" i="13"/>
  <c r="AR160" i="13" s="1"/>
  <c r="AS160" i="13" s="1"/>
  <c r="AJ160" i="13"/>
  <c r="AI160" i="13"/>
  <c r="AH160" i="13"/>
  <c r="AG160" i="13"/>
  <c r="AF160" i="13"/>
  <c r="AE160" i="13"/>
  <c r="AC160" i="13"/>
  <c r="AB160" i="13"/>
  <c r="AA160" i="13"/>
  <c r="Z160" i="13"/>
  <c r="Y160" i="13"/>
  <c r="X160" i="13"/>
  <c r="V160" i="13"/>
  <c r="U160" i="13"/>
  <c r="T160" i="13"/>
  <c r="S160" i="13"/>
  <c r="R160" i="13"/>
  <c r="Q160" i="13"/>
  <c r="O160" i="13"/>
  <c r="P160" i="13" s="1"/>
  <c r="N160" i="13"/>
  <c r="M160" i="13"/>
  <c r="L160" i="13"/>
  <c r="K160" i="13"/>
  <c r="J160" i="13"/>
  <c r="I160" i="13"/>
  <c r="H160" i="13"/>
  <c r="G160" i="13"/>
  <c r="F160" i="13"/>
  <c r="E160" i="13"/>
  <c r="D160" i="13"/>
  <c r="C160" i="13"/>
  <c r="B160" i="13"/>
  <c r="A160" i="13"/>
  <c r="AQ159" i="13"/>
  <c r="AP159" i="13"/>
  <c r="AO159" i="13"/>
  <c r="AN159" i="13"/>
  <c r="AM159" i="13"/>
  <c r="AL159" i="13"/>
  <c r="AJ159" i="13"/>
  <c r="AI159" i="13"/>
  <c r="AH159" i="13"/>
  <c r="AG159" i="13"/>
  <c r="AF159" i="13"/>
  <c r="AE159" i="13"/>
  <c r="AC159" i="13"/>
  <c r="AB159" i="13"/>
  <c r="AA159" i="13"/>
  <c r="Z159" i="13"/>
  <c r="Y159" i="13"/>
  <c r="X159" i="13"/>
  <c r="V159" i="13"/>
  <c r="U159" i="13"/>
  <c r="T159" i="13"/>
  <c r="S159" i="13"/>
  <c r="R159" i="13"/>
  <c r="Q159" i="13"/>
  <c r="O159" i="13"/>
  <c r="N159" i="13"/>
  <c r="M159" i="13"/>
  <c r="L159" i="13"/>
  <c r="K159" i="13"/>
  <c r="J159" i="13"/>
  <c r="U160" i="4" s="1"/>
  <c r="I159" i="13"/>
  <c r="H159" i="13"/>
  <c r="M160" i="4" s="1"/>
  <c r="G159" i="13"/>
  <c r="L160" i="4" s="1"/>
  <c r="F159" i="13"/>
  <c r="E159" i="13"/>
  <c r="D159" i="13"/>
  <c r="C159" i="13"/>
  <c r="B159" i="13"/>
  <c r="A159" i="13"/>
  <c r="AQ158" i="13"/>
  <c r="AP158" i="13"/>
  <c r="AO158" i="13"/>
  <c r="AN158" i="13"/>
  <c r="AM158" i="13"/>
  <c r="AL158" i="13"/>
  <c r="AR158" i="13" s="1"/>
  <c r="AS158" i="13" s="1"/>
  <c r="AJ158" i="13"/>
  <c r="AI158" i="13"/>
  <c r="AH158" i="13"/>
  <c r="AG158" i="13"/>
  <c r="AF158" i="13"/>
  <c r="AE158" i="13"/>
  <c r="AC158" i="13"/>
  <c r="AB158" i="13"/>
  <c r="AA158" i="13"/>
  <c r="Z158" i="13"/>
  <c r="Y158" i="13"/>
  <c r="X158" i="13"/>
  <c r="V158" i="13"/>
  <c r="U158" i="13"/>
  <c r="T158" i="13"/>
  <c r="S158" i="13"/>
  <c r="R158" i="13"/>
  <c r="Q158" i="13"/>
  <c r="W158" i="13" s="1"/>
  <c r="G159" i="4" s="1"/>
  <c r="H159" i="4" s="1"/>
  <c r="O158" i="13"/>
  <c r="N158" i="13"/>
  <c r="M158" i="13"/>
  <c r="X159" i="4" s="1"/>
  <c r="L158" i="13"/>
  <c r="K158" i="13"/>
  <c r="J158" i="13"/>
  <c r="I158" i="13"/>
  <c r="H158" i="13"/>
  <c r="G158" i="13"/>
  <c r="F158" i="13"/>
  <c r="E158" i="13"/>
  <c r="D158" i="13"/>
  <c r="C158" i="13"/>
  <c r="B158" i="13"/>
  <c r="C159" i="4" s="1"/>
  <c r="A158" i="13"/>
  <c r="AQ157" i="13"/>
  <c r="AP157" i="13"/>
  <c r="AO157" i="13"/>
  <c r="AN157" i="13"/>
  <c r="AM157" i="13"/>
  <c r="AL157" i="13"/>
  <c r="AJ157" i="13"/>
  <c r="AI157" i="13"/>
  <c r="AH157" i="13"/>
  <c r="AG157" i="13"/>
  <c r="AF157" i="13"/>
  <c r="AE157" i="13"/>
  <c r="AC157" i="13"/>
  <c r="AB157" i="13"/>
  <c r="AA157" i="13"/>
  <c r="Z157" i="13"/>
  <c r="Y157" i="13"/>
  <c r="AD157" i="13" s="1"/>
  <c r="X157" i="13"/>
  <c r="V157" i="13"/>
  <c r="U157" i="13"/>
  <c r="T157" i="13"/>
  <c r="S157" i="13"/>
  <c r="R157" i="13"/>
  <c r="Q157" i="13"/>
  <c r="O157" i="13"/>
  <c r="N157" i="13"/>
  <c r="M157" i="13"/>
  <c r="X158" i="4" s="1"/>
  <c r="L157" i="13"/>
  <c r="K157" i="13"/>
  <c r="J157" i="13"/>
  <c r="I157" i="13"/>
  <c r="H157" i="13"/>
  <c r="G157" i="13"/>
  <c r="L158" i="4" s="1"/>
  <c r="F157" i="13"/>
  <c r="E157" i="13"/>
  <c r="D157" i="13"/>
  <c r="B158" i="4" s="1"/>
  <c r="C157" i="13"/>
  <c r="B157" i="13"/>
  <c r="A157" i="13"/>
  <c r="AQ156" i="13"/>
  <c r="AP156" i="13"/>
  <c r="AO156" i="13"/>
  <c r="AN156" i="13"/>
  <c r="AM156" i="13"/>
  <c r="AL156" i="13"/>
  <c r="AJ156" i="13"/>
  <c r="AI156" i="13"/>
  <c r="AH156" i="13"/>
  <c r="AG156" i="13"/>
  <c r="AF156" i="13"/>
  <c r="AE156" i="13"/>
  <c r="AC156" i="13"/>
  <c r="AD156" i="13" s="1"/>
  <c r="I157" i="4" s="1"/>
  <c r="AB156" i="13"/>
  <c r="AA156" i="13"/>
  <c r="Z156" i="13"/>
  <c r="Y156" i="13"/>
  <c r="X156" i="13"/>
  <c r="V156" i="13"/>
  <c r="U156" i="13"/>
  <c r="T156" i="13"/>
  <c r="S156" i="13"/>
  <c r="R156" i="13"/>
  <c r="Q156" i="13"/>
  <c r="W156" i="13" s="1"/>
  <c r="G157" i="4" s="1"/>
  <c r="H157" i="4" s="1"/>
  <c r="O156" i="13"/>
  <c r="Z157" i="4" s="1"/>
  <c r="N156" i="13"/>
  <c r="Y157" i="4" s="1"/>
  <c r="M156" i="13"/>
  <c r="L156" i="13"/>
  <c r="K156" i="13"/>
  <c r="V157" i="4" s="1"/>
  <c r="J156" i="13"/>
  <c r="I156" i="13"/>
  <c r="H156" i="13"/>
  <c r="G156" i="13"/>
  <c r="F156" i="13"/>
  <c r="E156" i="13"/>
  <c r="D156" i="13"/>
  <c r="C156" i="13"/>
  <c r="B156" i="13"/>
  <c r="A156" i="13"/>
  <c r="AQ155" i="13"/>
  <c r="AP155" i="13"/>
  <c r="AO155" i="13"/>
  <c r="AN155" i="13"/>
  <c r="AM155" i="13"/>
  <c r="AL155" i="13"/>
  <c r="AJ155" i="13"/>
  <c r="AI155" i="13"/>
  <c r="AH155" i="13"/>
  <c r="AG155" i="13"/>
  <c r="AF155" i="13"/>
  <c r="AE155" i="13"/>
  <c r="AC155" i="13"/>
  <c r="AB155" i="13"/>
  <c r="AA155" i="13"/>
  <c r="Z155" i="13"/>
  <c r="Y155" i="13"/>
  <c r="X155" i="13"/>
  <c r="V155" i="13"/>
  <c r="U155" i="13"/>
  <c r="T155" i="13"/>
  <c r="S155" i="13"/>
  <c r="R155" i="13"/>
  <c r="Q155" i="13"/>
  <c r="O155" i="13"/>
  <c r="N155" i="13"/>
  <c r="M155" i="13"/>
  <c r="L155" i="13"/>
  <c r="K155" i="13"/>
  <c r="J155" i="13"/>
  <c r="I155" i="13"/>
  <c r="H155" i="13"/>
  <c r="G155" i="13"/>
  <c r="F155" i="13"/>
  <c r="E155" i="13"/>
  <c r="D155" i="13"/>
  <c r="C155" i="13"/>
  <c r="B155" i="13"/>
  <c r="U156" i="4" s="1"/>
  <c r="A155" i="13"/>
  <c r="AQ154" i="13"/>
  <c r="AP154" i="13"/>
  <c r="AO154" i="13"/>
  <c r="AN154" i="13"/>
  <c r="AM154" i="13"/>
  <c r="AL154" i="13"/>
  <c r="AJ154" i="13"/>
  <c r="AI154" i="13"/>
  <c r="AH154" i="13"/>
  <c r="AG154" i="13"/>
  <c r="AF154" i="13"/>
  <c r="AE154" i="13"/>
  <c r="AK154" i="13" s="1"/>
  <c r="J155" i="4" s="1"/>
  <c r="AC154" i="13"/>
  <c r="AB154" i="13"/>
  <c r="AA154" i="13"/>
  <c r="AD154" i="13" s="1"/>
  <c r="Z154" i="13"/>
  <c r="Y154" i="13"/>
  <c r="X154" i="13"/>
  <c r="V154" i="13"/>
  <c r="U154" i="13"/>
  <c r="T154" i="13"/>
  <c r="S154" i="13"/>
  <c r="R154" i="13"/>
  <c r="Q154" i="13"/>
  <c r="O154" i="13"/>
  <c r="N154" i="13"/>
  <c r="Y155" i="4" s="1"/>
  <c r="M154" i="13"/>
  <c r="L154" i="13"/>
  <c r="W155" i="4" s="1"/>
  <c r="K154" i="13"/>
  <c r="J154" i="13"/>
  <c r="I154" i="13"/>
  <c r="H154" i="13"/>
  <c r="G154" i="13"/>
  <c r="F154" i="13"/>
  <c r="E154" i="13"/>
  <c r="D154" i="13"/>
  <c r="C154" i="13"/>
  <c r="B154" i="13"/>
  <c r="A154" i="13"/>
  <c r="AQ153" i="13"/>
  <c r="AP153" i="13"/>
  <c r="AO153" i="13"/>
  <c r="AN153" i="13"/>
  <c r="AM153" i="13"/>
  <c r="AR153" i="13" s="1"/>
  <c r="AS153" i="13" s="1"/>
  <c r="K154" i="4" s="1"/>
  <c r="AL153" i="13"/>
  <c r="AJ153" i="13"/>
  <c r="AI153" i="13"/>
  <c r="AK153" i="13" s="1"/>
  <c r="BA153" i="13" s="1"/>
  <c r="AH153" i="13"/>
  <c r="AG153" i="13"/>
  <c r="AF153" i="13"/>
  <c r="AE153" i="13"/>
  <c r="AC153" i="13"/>
  <c r="AB153" i="13"/>
  <c r="AA153" i="13"/>
  <c r="AD153" i="13" s="1"/>
  <c r="Z153" i="13"/>
  <c r="Y153" i="13"/>
  <c r="X153" i="13"/>
  <c r="V153" i="13"/>
  <c r="U153" i="13"/>
  <c r="T153" i="13"/>
  <c r="S153" i="13"/>
  <c r="R153" i="13"/>
  <c r="Q153" i="13"/>
  <c r="O153" i="13"/>
  <c r="N153" i="13"/>
  <c r="M153" i="13"/>
  <c r="L153" i="13"/>
  <c r="K153" i="13"/>
  <c r="J153" i="13"/>
  <c r="I153" i="13"/>
  <c r="H153" i="13"/>
  <c r="G153" i="13"/>
  <c r="F153" i="13"/>
  <c r="E153" i="13"/>
  <c r="AT153" i="13" s="1"/>
  <c r="D153" i="13"/>
  <c r="C153" i="13"/>
  <c r="A154" i="4" s="1"/>
  <c r="B153" i="13"/>
  <c r="V154" i="4" s="1"/>
  <c r="A153" i="13"/>
  <c r="AQ152" i="13"/>
  <c r="AR152" i="13" s="1"/>
  <c r="AS152" i="13" s="1"/>
  <c r="K153" i="4" s="1"/>
  <c r="AP152" i="13"/>
  <c r="AO152" i="13"/>
  <c r="AN152" i="13"/>
  <c r="AM152" i="13"/>
  <c r="AL152" i="13"/>
  <c r="AJ152" i="13"/>
  <c r="AI152" i="13"/>
  <c r="AH152" i="13"/>
  <c r="AG152" i="13"/>
  <c r="AF152" i="13"/>
  <c r="AE152" i="13"/>
  <c r="AC152" i="13"/>
  <c r="AB152" i="13"/>
  <c r="AA152" i="13"/>
  <c r="Z152" i="13"/>
  <c r="Y152" i="13"/>
  <c r="X152" i="13"/>
  <c r="V152" i="13"/>
  <c r="U152" i="13"/>
  <c r="T152" i="13"/>
  <c r="S152" i="13"/>
  <c r="R152" i="13"/>
  <c r="Q152" i="13"/>
  <c r="W152" i="13" s="1"/>
  <c r="G153" i="4" s="1"/>
  <c r="O152" i="13"/>
  <c r="N152" i="13"/>
  <c r="M152" i="13"/>
  <c r="L152" i="13"/>
  <c r="W153" i="4" s="1"/>
  <c r="K152" i="13"/>
  <c r="J152" i="13"/>
  <c r="I152" i="13"/>
  <c r="H152" i="13"/>
  <c r="M153" i="4" s="1"/>
  <c r="G152" i="13"/>
  <c r="L153" i="4" s="1"/>
  <c r="F152" i="13"/>
  <c r="E152" i="13"/>
  <c r="AT152" i="13" s="1"/>
  <c r="D152" i="13"/>
  <c r="C152" i="13"/>
  <c r="B152" i="13"/>
  <c r="X153" i="4" s="1"/>
  <c r="A152" i="13"/>
  <c r="AQ151" i="13"/>
  <c r="AP151" i="13"/>
  <c r="AO151" i="13"/>
  <c r="AN151" i="13"/>
  <c r="AM151" i="13"/>
  <c r="AR151" i="13" s="1"/>
  <c r="AS151" i="13" s="1"/>
  <c r="K152" i="4" s="1"/>
  <c r="AL151" i="13"/>
  <c r="AJ151" i="13"/>
  <c r="AI151" i="13"/>
  <c r="AH151" i="13"/>
  <c r="AG151" i="13"/>
  <c r="AF151" i="13"/>
  <c r="AE151" i="13"/>
  <c r="AC151" i="13"/>
  <c r="AB151" i="13"/>
  <c r="AA151" i="13"/>
  <c r="Z151" i="13"/>
  <c r="Y151" i="13"/>
  <c r="X151" i="13"/>
  <c r="V151" i="13"/>
  <c r="U151" i="13"/>
  <c r="T151" i="13"/>
  <c r="S151" i="13"/>
  <c r="R151" i="13"/>
  <c r="W151" i="13" s="1"/>
  <c r="G152" i="4" s="1"/>
  <c r="Q151" i="13"/>
  <c r="O151" i="13"/>
  <c r="Z152" i="4" s="1"/>
  <c r="N151" i="13"/>
  <c r="Y152" i="4" s="1"/>
  <c r="M151" i="13"/>
  <c r="L151" i="13"/>
  <c r="K151" i="13"/>
  <c r="J151" i="13"/>
  <c r="I151" i="13"/>
  <c r="H151" i="13"/>
  <c r="G151" i="13"/>
  <c r="F151" i="13"/>
  <c r="E151" i="13"/>
  <c r="D151" i="13"/>
  <c r="C151" i="13"/>
  <c r="B151" i="13"/>
  <c r="A151" i="13"/>
  <c r="AQ150" i="13"/>
  <c r="AP150" i="13"/>
  <c r="AO150" i="13"/>
  <c r="AR150" i="13" s="1"/>
  <c r="AS150" i="13" s="1"/>
  <c r="K151" i="4" s="1"/>
  <c r="AN150" i="13"/>
  <c r="AM150" i="13"/>
  <c r="AL150" i="13"/>
  <c r="AJ150" i="13"/>
  <c r="AI150" i="13"/>
  <c r="AH150" i="13"/>
  <c r="AG150" i="13"/>
  <c r="AF150" i="13"/>
  <c r="AE150" i="13"/>
  <c r="AC150" i="13"/>
  <c r="AB150" i="13"/>
  <c r="AA150" i="13"/>
  <c r="Z150" i="13"/>
  <c r="Y150" i="13"/>
  <c r="X150" i="13"/>
  <c r="V150" i="13"/>
  <c r="W150" i="13" s="1"/>
  <c r="G151" i="4" s="1"/>
  <c r="U150" i="13"/>
  <c r="T150" i="13"/>
  <c r="S150" i="13"/>
  <c r="R150" i="13"/>
  <c r="Q150" i="13"/>
  <c r="O150" i="13"/>
  <c r="N150" i="13"/>
  <c r="M150" i="13"/>
  <c r="X151" i="4" s="1"/>
  <c r="L150" i="13"/>
  <c r="K150" i="13"/>
  <c r="J150" i="13"/>
  <c r="I150" i="13"/>
  <c r="H150" i="13"/>
  <c r="M151" i="4" s="1"/>
  <c r="G150" i="13"/>
  <c r="L151" i="4" s="1"/>
  <c r="F150" i="13"/>
  <c r="E150" i="13"/>
  <c r="D150" i="13"/>
  <c r="C150" i="13"/>
  <c r="B150" i="13"/>
  <c r="A150" i="13"/>
  <c r="AQ149" i="13"/>
  <c r="AP149" i="13"/>
  <c r="AO149" i="13"/>
  <c r="AR149" i="13" s="1"/>
  <c r="AS149" i="13" s="1"/>
  <c r="K150" i="4" s="1"/>
  <c r="AN149" i="13"/>
  <c r="AM149" i="13"/>
  <c r="AL149" i="13"/>
  <c r="AJ149" i="13"/>
  <c r="AI149" i="13"/>
  <c r="AH149" i="13"/>
  <c r="AG149" i="13"/>
  <c r="AF149" i="13"/>
  <c r="AE149" i="13"/>
  <c r="AC149" i="13"/>
  <c r="AB149" i="13"/>
  <c r="AA149" i="13"/>
  <c r="Z149" i="13"/>
  <c r="Y149" i="13"/>
  <c r="X149" i="13"/>
  <c r="V149" i="13"/>
  <c r="U149" i="13"/>
  <c r="T149" i="13"/>
  <c r="S149" i="13"/>
  <c r="R149" i="13"/>
  <c r="W149" i="13" s="1"/>
  <c r="G150" i="4" s="1"/>
  <c r="Q149" i="13"/>
  <c r="O149" i="13"/>
  <c r="Z150" i="4" s="1"/>
  <c r="N149" i="13"/>
  <c r="M149" i="13"/>
  <c r="X150" i="4" s="1"/>
  <c r="L149" i="13"/>
  <c r="K149" i="13"/>
  <c r="J149" i="13"/>
  <c r="I149" i="13"/>
  <c r="H149" i="13"/>
  <c r="G149" i="13"/>
  <c r="F149" i="13"/>
  <c r="E149" i="13"/>
  <c r="D149" i="13"/>
  <c r="C149" i="13"/>
  <c r="B149" i="13"/>
  <c r="A149" i="13"/>
  <c r="AQ148" i="13"/>
  <c r="AP148" i="13"/>
  <c r="AO148" i="13"/>
  <c r="AN148" i="13"/>
  <c r="AM148" i="13"/>
  <c r="AL148" i="13"/>
  <c r="AJ148" i="13"/>
  <c r="AI148" i="13"/>
  <c r="AH148" i="13"/>
  <c r="AG148" i="13"/>
  <c r="AF148" i="13"/>
  <c r="AE148" i="13"/>
  <c r="AC148" i="13"/>
  <c r="AB148" i="13"/>
  <c r="AA148" i="13"/>
  <c r="Z148" i="13"/>
  <c r="Y148" i="13"/>
  <c r="X148" i="13"/>
  <c r="AD148" i="13" s="1"/>
  <c r="V148" i="13"/>
  <c r="U148" i="13"/>
  <c r="T148" i="13"/>
  <c r="W148" i="13" s="1"/>
  <c r="G149" i="4" s="1"/>
  <c r="S148" i="13"/>
  <c r="R148" i="13"/>
  <c r="Q148" i="13"/>
  <c r="O148" i="13"/>
  <c r="N148" i="13"/>
  <c r="M148" i="13"/>
  <c r="L148" i="13"/>
  <c r="K148" i="13"/>
  <c r="J148" i="13"/>
  <c r="I148" i="13"/>
  <c r="H148" i="13"/>
  <c r="M149" i="4" s="1"/>
  <c r="G148" i="13"/>
  <c r="F148" i="13"/>
  <c r="E148" i="13"/>
  <c r="C149" i="4" s="1"/>
  <c r="D148" i="13"/>
  <c r="B149" i="4" s="1"/>
  <c r="C148" i="13"/>
  <c r="A149" i="4" s="1"/>
  <c r="B148" i="13"/>
  <c r="A148" i="13"/>
  <c r="AQ147" i="13"/>
  <c r="AP147" i="13"/>
  <c r="AO147" i="13"/>
  <c r="AN147" i="13"/>
  <c r="AM147" i="13"/>
  <c r="AR147" i="13" s="1"/>
  <c r="AS147" i="13" s="1"/>
  <c r="AL147" i="13"/>
  <c r="AJ147" i="13"/>
  <c r="AI147" i="13"/>
  <c r="AH147" i="13"/>
  <c r="AG147" i="13"/>
  <c r="AF147" i="13"/>
  <c r="AK147" i="13" s="1"/>
  <c r="J148" i="4" s="1"/>
  <c r="AE147" i="13"/>
  <c r="AC147" i="13"/>
  <c r="AB147" i="13"/>
  <c r="AD147" i="13" s="1"/>
  <c r="I148" i="4" s="1"/>
  <c r="AA147" i="13"/>
  <c r="Z147" i="13"/>
  <c r="Y147" i="13"/>
  <c r="X147" i="13"/>
  <c r="V147" i="13"/>
  <c r="U147" i="13"/>
  <c r="T147" i="13"/>
  <c r="S147" i="13"/>
  <c r="R147" i="13"/>
  <c r="Q147" i="13"/>
  <c r="O147" i="13"/>
  <c r="N147" i="13"/>
  <c r="M147" i="13"/>
  <c r="X148" i="4" s="1"/>
  <c r="L147" i="13"/>
  <c r="K147" i="13"/>
  <c r="V148" i="4" s="1"/>
  <c r="J147" i="13"/>
  <c r="I147" i="13"/>
  <c r="H147" i="13"/>
  <c r="G147" i="13"/>
  <c r="F147" i="13"/>
  <c r="E147" i="13"/>
  <c r="D147" i="13"/>
  <c r="C147" i="13"/>
  <c r="A148" i="4" s="1"/>
  <c r="B147" i="13"/>
  <c r="A147" i="13"/>
  <c r="AQ146" i="13"/>
  <c r="AP146" i="13"/>
  <c r="AO146" i="13"/>
  <c r="AN146" i="13"/>
  <c r="AM146" i="13"/>
  <c r="AL146" i="13"/>
  <c r="AJ146" i="13"/>
  <c r="AK146" i="13" s="1"/>
  <c r="J147" i="4" s="1"/>
  <c r="AI146" i="13"/>
  <c r="AH146" i="13"/>
  <c r="AG146" i="13"/>
  <c r="AF146" i="13"/>
  <c r="AE146" i="13"/>
  <c r="AC146" i="13"/>
  <c r="AB146" i="13"/>
  <c r="AA146" i="13"/>
  <c r="Z146" i="13"/>
  <c r="Y146" i="13"/>
  <c r="X146" i="13"/>
  <c r="V146" i="13"/>
  <c r="U146" i="13"/>
  <c r="T146" i="13"/>
  <c r="S146" i="13"/>
  <c r="R146" i="13"/>
  <c r="Q146" i="13"/>
  <c r="O146" i="13"/>
  <c r="N146" i="13"/>
  <c r="M146" i="13"/>
  <c r="L146" i="13"/>
  <c r="K146" i="13"/>
  <c r="J146" i="13"/>
  <c r="I146" i="13"/>
  <c r="H146" i="13"/>
  <c r="G146" i="13"/>
  <c r="F146" i="13"/>
  <c r="E146" i="13"/>
  <c r="AU146" i="13" s="1"/>
  <c r="D146" i="13"/>
  <c r="C146" i="13"/>
  <c r="B146" i="13"/>
  <c r="A146" i="13"/>
  <c r="AQ145" i="13"/>
  <c r="AP145" i="13"/>
  <c r="AO145" i="13"/>
  <c r="AN145" i="13"/>
  <c r="AM145" i="13"/>
  <c r="AL145" i="13"/>
  <c r="AJ145" i="13"/>
  <c r="AI145" i="13"/>
  <c r="AH145" i="13"/>
  <c r="AG145" i="13"/>
  <c r="AF145" i="13"/>
  <c r="AK145" i="13" s="1"/>
  <c r="J146" i="4" s="1"/>
  <c r="AE145" i="13"/>
  <c r="AC145" i="13"/>
  <c r="AB145" i="13"/>
  <c r="AA145" i="13"/>
  <c r="Z145" i="13"/>
  <c r="Y145" i="13"/>
  <c r="X145" i="13"/>
  <c r="V145" i="13"/>
  <c r="U145" i="13"/>
  <c r="T145" i="13"/>
  <c r="S145" i="13"/>
  <c r="R145" i="13"/>
  <c r="Q145" i="13"/>
  <c r="O145" i="13"/>
  <c r="N145" i="13"/>
  <c r="Y146" i="4" s="1"/>
  <c r="M145" i="13"/>
  <c r="X146" i="4" s="1"/>
  <c r="L145" i="13"/>
  <c r="K145" i="13"/>
  <c r="J145" i="13"/>
  <c r="U146" i="4" s="1"/>
  <c r="I145" i="13"/>
  <c r="H145" i="13"/>
  <c r="M146" i="4" s="1"/>
  <c r="G145" i="13"/>
  <c r="F145" i="13"/>
  <c r="E145" i="13"/>
  <c r="D145" i="13"/>
  <c r="C145" i="13"/>
  <c r="B145" i="13"/>
  <c r="A145" i="13"/>
  <c r="AQ144" i="13"/>
  <c r="AP144" i="13"/>
  <c r="AO144" i="13"/>
  <c r="AN144" i="13"/>
  <c r="AM144" i="13"/>
  <c r="AL144" i="13"/>
  <c r="AR144" i="13" s="1"/>
  <c r="AS144" i="13" s="1"/>
  <c r="AJ144" i="13"/>
  <c r="AI144" i="13"/>
  <c r="AH144" i="13"/>
  <c r="AK144" i="13" s="1"/>
  <c r="AG144" i="13"/>
  <c r="AF144" i="13"/>
  <c r="AE144" i="13"/>
  <c r="AC144" i="13"/>
  <c r="AB144" i="13"/>
  <c r="AA144" i="13"/>
  <c r="Z144" i="13"/>
  <c r="Y144" i="13"/>
  <c r="X144" i="13"/>
  <c r="V144" i="13"/>
  <c r="U144" i="13"/>
  <c r="T144" i="13"/>
  <c r="S144" i="13"/>
  <c r="R144" i="13"/>
  <c r="Q144" i="13"/>
  <c r="O144" i="13"/>
  <c r="P144" i="13" s="1"/>
  <c r="N144" i="13"/>
  <c r="M144" i="13"/>
  <c r="L144" i="13"/>
  <c r="K144" i="13"/>
  <c r="J144" i="13"/>
  <c r="I144" i="13"/>
  <c r="H144" i="13"/>
  <c r="G144" i="13"/>
  <c r="F144" i="13"/>
  <c r="E144" i="13"/>
  <c r="AT144" i="13" s="1"/>
  <c r="D144" i="13"/>
  <c r="C144" i="13"/>
  <c r="B144" i="13"/>
  <c r="A144" i="13"/>
  <c r="AQ143" i="13"/>
  <c r="AP143" i="13"/>
  <c r="AR143" i="13" s="1"/>
  <c r="AS143" i="13" s="1"/>
  <c r="K144" i="4" s="1"/>
  <c r="AO143" i="13"/>
  <c r="AN143" i="13"/>
  <c r="AM143" i="13"/>
  <c r="AL143" i="13"/>
  <c r="AJ143" i="13"/>
  <c r="AI143" i="13"/>
  <c r="AH143" i="13"/>
  <c r="AG143" i="13"/>
  <c r="AF143" i="13"/>
  <c r="AE143" i="13"/>
  <c r="AC143" i="13"/>
  <c r="AB143" i="13"/>
  <c r="AA143" i="13"/>
  <c r="Z143" i="13"/>
  <c r="Y143" i="13"/>
  <c r="X143" i="13"/>
  <c r="V143" i="13"/>
  <c r="U143" i="13"/>
  <c r="T143" i="13"/>
  <c r="S143" i="13"/>
  <c r="R143" i="13"/>
  <c r="Q143" i="13"/>
  <c r="O143" i="13"/>
  <c r="N143" i="13"/>
  <c r="M143" i="13"/>
  <c r="L143" i="13"/>
  <c r="K143" i="13"/>
  <c r="V144" i="4" s="1"/>
  <c r="J143" i="13"/>
  <c r="U144" i="4" s="1"/>
  <c r="I143" i="13"/>
  <c r="H143" i="13"/>
  <c r="G143" i="13"/>
  <c r="L144" i="4" s="1"/>
  <c r="F143" i="13"/>
  <c r="E143" i="13"/>
  <c r="D143" i="13"/>
  <c r="C143" i="13"/>
  <c r="B143" i="13"/>
  <c r="A143" i="13"/>
  <c r="AQ142" i="13"/>
  <c r="AP142" i="13"/>
  <c r="AO142" i="13"/>
  <c r="AN142" i="13"/>
  <c r="AM142" i="13"/>
  <c r="AL142" i="13"/>
  <c r="AJ142" i="13"/>
  <c r="AI142" i="13"/>
  <c r="AH142" i="13"/>
  <c r="AG142" i="13"/>
  <c r="AF142" i="13"/>
  <c r="AE142" i="13"/>
  <c r="AC142" i="13"/>
  <c r="AB142" i="13"/>
  <c r="AA142" i="13"/>
  <c r="Z142" i="13"/>
  <c r="Y142" i="13"/>
  <c r="X142" i="13"/>
  <c r="V142" i="13"/>
  <c r="U142" i="13"/>
  <c r="T142" i="13"/>
  <c r="S142" i="13"/>
  <c r="R142" i="13"/>
  <c r="Q142" i="13"/>
  <c r="W142" i="13" s="1"/>
  <c r="G143" i="4" s="1"/>
  <c r="O142" i="13"/>
  <c r="N142" i="13"/>
  <c r="Y143" i="4" s="1"/>
  <c r="M142" i="13"/>
  <c r="L142" i="13"/>
  <c r="K142" i="13"/>
  <c r="J142" i="13"/>
  <c r="I142" i="13"/>
  <c r="H142" i="13"/>
  <c r="G142" i="13"/>
  <c r="F142" i="13"/>
  <c r="E142" i="13"/>
  <c r="AT142" i="13" s="1"/>
  <c r="D142" i="13"/>
  <c r="C142" i="13"/>
  <c r="B142" i="13"/>
  <c r="A142" i="13"/>
  <c r="AQ141" i="13"/>
  <c r="AP141" i="13"/>
  <c r="AO141" i="13"/>
  <c r="AN141" i="13"/>
  <c r="AM141" i="13"/>
  <c r="AL141" i="13"/>
  <c r="AJ141" i="13"/>
  <c r="AI141" i="13"/>
  <c r="AH141" i="13"/>
  <c r="AG141" i="13"/>
  <c r="AF141" i="13"/>
  <c r="AE141" i="13"/>
  <c r="AC141" i="13"/>
  <c r="AB141" i="13"/>
  <c r="AA141" i="13"/>
  <c r="Z141" i="13"/>
  <c r="Y141" i="13"/>
  <c r="AD141" i="13" s="1"/>
  <c r="X141" i="13"/>
  <c r="V141" i="13"/>
  <c r="U141" i="13"/>
  <c r="W141" i="13" s="1"/>
  <c r="G142" i="4" s="1"/>
  <c r="T141" i="13"/>
  <c r="S141" i="13"/>
  <c r="R141" i="13"/>
  <c r="Q141" i="13"/>
  <c r="O141" i="13"/>
  <c r="N141" i="13"/>
  <c r="M141" i="13"/>
  <c r="L141" i="13"/>
  <c r="K141" i="13"/>
  <c r="J141" i="13"/>
  <c r="U142" i="4" s="1"/>
  <c r="I141" i="13"/>
  <c r="H141" i="13"/>
  <c r="G141" i="13"/>
  <c r="L142" i="4" s="1"/>
  <c r="F141" i="13"/>
  <c r="E141" i="13"/>
  <c r="D141" i="13"/>
  <c r="B142" i="4" s="1"/>
  <c r="C141" i="13"/>
  <c r="B141" i="13"/>
  <c r="A141" i="13"/>
  <c r="AQ140" i="13"/>
  <c r="AP140" i="13"/>
  <c r="AO140" i="13"/>
  <c r="AN140" i="13"/>
  <c r="AM140" i="13"/>
  <c r="AL140" i="13"/>
  <c r="AJ140" i="13"/>
  <c r="AI140" i="13"/>
  <c r="AH140" i="13"/>
  <c r="AG140" i="13"/>
  <c r="AF140" i="13"/>
  <c r="AE140" i="13"/>
  <c r="AC140" i="13"/>
  <c r="AD140" i="13" s="1"/>
  <c r="I141" i="4" s="1"/>
  <c r="AB140" i="13"/>
  <c r="AA140" i="13"/>
  <c r="Z140" i="13"/>
  <c r="Y140" i="13"/>
  <c r="X140" i="13"/>
  <c r="V140" i="13"/>
  <c r="U140" i="13"/>
  <c r="T140" i="13"/>
  <c r="S140" i="13"/>
  <c r="R140" i="13"/>
  <c r="Q140" i="13"/>
  <c r="O140" i="13"/>
  <c r="N140" i="13"/>
  <c r="Y141" i="4" s="1"/>
  <c r="M140" i="13"/>
  <c r="L140" i="13"/>
  <c r="W141" i="4" s="1"/>
  <c r="K140" i="13"/>
  <c r="J140" i="13"/>
  <c r="I140" i="13"/>
  <c r="H140" i="13"/>
  <c r="G140" i="13"/>
  <c r="F140" i="13"/>
  <c r="E140" i="13"/>
  <c r="D140" i="13"/>
  <c r="C140" i="13"/>
  <c r="A141" i="4" s="1"/>
  <c r="B140" i="13"/>
  <c r="A140" i="13"/>
  <c r="AQ139" i="13"/>
  <c r="AP139" i="13"/>
  <c r="AO139" i="13"/>
  <c r="AN139" i="13"/>
  <c r="AM139" i="13"/>
  <c r="AL139" i="13"/>
  <c r="AJ139" i="13"/>
  <c r="AI139" i="13"/>
  <c r="AH139" i="13"/>
  <c r="AG139" i="13"/>
  <c r="AF139" i="13"/>
  <c r="AE139" i="13"/>
  <c r="AC139" i="13"/>
  <c r="AB139" i="13"/>
  <c r="AA139" i="13"/>
  <c r="Z139" i="13"/>
  <c r="Y139" i="13"/>
  <c r="X139" i="13"/>
  <c r="V139" i="13"/>
  <c r="U139" i="13"/>
  <c r="T139" i="13"/>
  <c r="S139" i="13"/>
  <c r="R139" i="13"/>
  <c r="Q139" i="13"/>
  <c r="O139" i="13"/>
  <c r="N139" i="13"/>
  <c r="M139" i="13"/>
  <c r="L139" i="13"/>
  <c r="K139" i="13"/>
  <c r="J139" i="13"/>
  <c r="I139" i="13"/>
  <c r="H139" i="13"/>
  <c r="G139" i="13"/>
  <c r="F139" i="13"/>
  <c r="E139" i="13"/>
  <c r="D139" i="13"/>
  <c r="C139" i="13"/>
  <c r="B139" i="13"/>
  <c r="A139" i="13"/>
  <c r="AQ138" i="13"/>
  <c r="AP138" i="13"/>
  <c r="AO138" i="13"/>
  <c r="AN138" i="13"/>
  <c r="AM138" i="13"/>
  <c r="AL138" i="13"/>
  <c r="AJ138" i="13"/>
  <c r="AI138" i="13"/>
  <c r="AH138" i="13"/>
  <c r="AG138" i="13"/>
  <c r="AF138" i="13"/>
  <c r="AE138" i="13"/>
  <c r="AK138" i="13" s="1"/>
  <c r="J139" i="4" s="1"/>
  <c r="AC138" i="13"/>
  <c r="AB138" i="13"/>
  <c r="AA138" i="13"/>
  <c r="AD138" i="13" s="1"/>
  <c r="I139" i="4" s="1"/>
  <c r="Z138" i="13"/>
  <c r="Y138" i="13"/>
  <c r="X138" i="13"/>
  <c r="V138" i="13"/>
  <c r="U138" i="13"/>
  <c r="T138" i="13"/>
  <c r="S138" i="13"/>
  <c r="R138" i="13"/>
  <c r="Q138" i="13"/>
  <c r="O138" i="13"/>
  <c r="N138" i="13"/>
  <c r="M138" i="13"/>
  <c r="L138" i="13"/>
  <c r="W139" i="4" s="1"/>
  <c r="K138" i="13"/>
  <c r="J138" i="13"/>
  <c r="I138" i="13"/>
  <c r="H138" i="13"/>
  <c r="G138" i="13"/>
  <c r="F138" i="13"/>
  <c r="E138" i="13"/>
  <c r="AT138" i="13" s="1"/>
  <c r="D138" i="13"/>
  <c r="C138" i="13"/>
  <c r="B138" i="13"/>
  <c r="A138" i="13"/>
  <c r="AQ137" i="13"/>
  <c r="AP137" i="13"/>
  <c r="AO137" i="13"/>
  <c r="AN137" i="13"/>
  <c r="AM137" i="13"/>
  <c r="AR137" i="13" s="1"/>
  <c r="AS137" i="13" s="1"/>
  <c r="K138" i="4" s="1"/>
  <c r="AL137" i="13"/>
  <c r="AJ137" i="13"/>
  <c r="AI137" i="13"/>
  <c r="AK137" i="13" s="1"/>
  <c r="AH137" i="13"/>
  <c r="AG137" i="13"/>
  <c r="AF137" i="13"/>
  <c r="AE137" i="13"/>
  <c r="AC137" i="13"/>
  <c r="AB137" i="13"/>
  <c r="AA137" i="13"/>
  <c r="Z137" i="13"/>
  <c r="Y137" i="13"/>
  <c r="X137" i="13"/>
  <c r="V137" i="13"/>
  <c r="U137" i="13"/>
  <c r="T137" i="13"/>
  <c r="S137" i="13"/>
  <c r="R137" i="13"/>
  <c r="Q137" i="13"/>
  <c r="O137" i="13"/>
  <c r="N137" i="13"/>
  <c r="M137" i="13"/>
  <c r="L137" i="13"/>
  <c r="K137" i="13"/>
  <c r="J137" i="13"/>
  <c r="I137" i="13"/>
  <c r="H137" i="13"/>
  <c r="G137" i="13"/>
  <c r="F137" i="13"/>
  <c r="E137" i="13"/>
  <c r="D137" i="13"/>
  <c r="C137" i="13"/>
  <c r="A138" i="4" s="1"/>
  <c r="B137" i="13"/>
  <c r="A137" i="13"/>
  <c r="AQ136" i="13"/>
  <c r="AR136" i="13" s="1"/>
  <c r="AS136" i="13" s="1"/>
  <c r="K137" i="4" s="1"/>
  <c r="AP136" i="13"/>
  <c r="AO136" i="13"/>
  <c r="AN136" i="13"/>
  <c r="AM136" i="13"/>
  <c r="AL136" i="13"/>
  <c r="AJ136" i="13"/>
  <c r="AI136" i="13"/>
  <c r="AH136" i="13"/>
  <c r="AG136" i="13"/>
  <c r="AF136" i="13"/>
  <c r="AE136" i="13"/>
  <c r="AC136" i="13"/>
  <c r="AB136" i="13"/>
  <c r="AA136" i="13"/>
  <c r="Z136" i="13"/>
  <c r="Y136" i="13"/>
  <c r="X136" i="13"/>
  <c r="V136" i="13"/>
  <c r="U136" i="13"/>
  <c r="T136" i="13"/>
  <c r="S136" i="13"/>
  <c r="R136" i="13"/>
  <c r="Q136" i="13"/>
  <c r="O136" i="13"/>
  <c r="N136" i="13"/>
  <c r="M136" i="13"/>
  <c r="L136" i="13"/>
  <c r="K136" i="13"/>
  <c r="J136" i="13"/>
  <c r="I136" i="13"/>
  <c r="H136" i="13"/>
  <c r="M137" i="4" s="1"/>
  <c r="G136" i="13"/>
  <c r="L137" i="4" s="1"/>
  <c r="F136" i="13"/>
  <c r="E136" i="13"/>
  <c r="D136" i="13"/>
  <c r="C136" i="13"/>
  <c r="B136" i="13"/>
  <c r="A136" i="13"/>
  <c r="AQ135" i="13"/>
  <c r="AP135" i="13"/>
  <c r="AO135" i="13"/>
  <c r="AN135" i="13"/>
  <c r="AM135" i="13"/>
  <c r="AR135" i="13" s="1"/>
  <c r="AS135" i="13" s="1"/>
  <c r="K136" i="4" s="1"/>
  <c r="AL135" i="13"/>
  <c r="AJ135" i="13"/>
  <c r="AI135" i="13"/>
  <c r="AH135" i="13"/>
  <c r="AG135" i="13"/>
  <c r="AF135" i="13"/>
  <c r="AE135" i="13"/>
  <c r="AC135" i="13"/>
  <c r="AB135" i="13"/>
  <c r="AA135" i="13"/>
  <c r="Z135" i="13"/>
  <c r="Y135" i="13"/>
  <c r="X135" i="13"/>
  <c r="V135" i="13"/>
  <c r="U135" i="13"/>
  <c r="T135" i="13"/>
  <c r="S135" i="13"/>
  <c r="R135" i="13"/>
  <c r="W135" i="13" s="1"/>
  <c r="G136" i="4" s="1"/>
  <c r="Q135" i="13"/>
  <c r="O135" i="13"/>
  <c r="Z136" i="4" s="1"/>
  <c r="N135" i="13"/>
  <c r="M135" i="13"/>
  <c r="L135" i="13"/>
  <c r="K135" i="13"/>
  <c r="J135" i="13"/>
  <c r="I135" i="13"/>
  <c r="H135" i="13"/>
  <c r="G135" i="13"/>
  <c r="F135" i="13"/>
  <c r="E135" i="13"/>
  <c r="D135" i="13"/>
  <c r="C135" i="13"/>
  <c r="A136" i="4" s="1"/>
  <c r="B135" i="13"/>
  <c r="A135" i="13"/>
  <c r="AQ134" i="13"/>
  <c r="AP134" i="13"/>
  <c r="AO134" i="13"/>
  <c r="AR134" i="13" s="1"/>
  <c r="AS134" i="13" s="1"/>
  <c r="K135" i="4" s="1"/>
  <c r="AN134" i="13"/>
  <c r="AM134" i="13"/>
  <c r="AL134" i="13"/>
  <c r="AJ134" i="13"/>
  <c r="AI134" i="13"/>
  <c r="AH134" i="13"/>
  <c r="AG134" i="13"/>
  <c r="AF134" i="13"/>
  <c r="AE134" i="13"/>
  <c r="AC134" i="13"/>
  <c r="AB134" i="13"/>
  <c r="AA134" i="13"/>
  <c r="Z134" i="13"/>
  <c r="Y134" i="13"/>
  <c r="X134" i="13"/>
  <c r="V134" i="13"/>
  <c r="W134" i="13" s="1"/>
  <c r="G135" i="4" s="1"/>
  <c r="U134" i="13"/>
  <c r="T134" i="13"/>
  <c r="S134" i="13"/>
  <c r="R134" i="13"/>
  <c r="Q134" i="13"/>
  <c r="O134" i="13"/>
  <c r="N134" i="13"/>
  <c r="M134" i="13"/>
  <c r="X135" i="4" s="1"/>
  <c r="L134" i="13"/>
  <c r="K134" i="13"/>
  <c r="J134" i="13"/>
  <c r="P134" i="13" s="1"/>
  <c r="BA134" i="13" s="1"/>
  <c r="I134" i="13"/>
  <c r="H134" i="13"/>
  <c r="M135" i="4" s="1"/>
  <c r="G134" i="13"/>
  <c r="F134" i="13"/>
  <c r="E134" i="13"/>
  <c r="D134" i="13"/>
  <c r="C134" i="13"/>
  <c r="B134" i="13"/>
  <c r="A134" i="13"/>
  <c r="AQ133" i="13"/>
  <c r="AP133" i="13"/>
  <c r="AO133" i="13"/>
  <c r="AN133" i="13"/>
  <c r="AM133" i="13"/>
  <c r="AL133" i="13"/>
  <c r="AJ133" i="13"/>
  <c r="AI133" i="13"/>
  <c r="AH133" i="13"/>
  <c r="AG133" i="13"/>
  <c r="AF133" i="13"/>
  <c r="AE133" i="13"/>
  <c r="AC133" i="13"/>
  <c r="AB133" i="13"/>
  <c r="AA133" i="13"/>
  <c r="Z133" i="13"/>
  <c r="Y133" i="13"/>
  <c r="X133" i="13"/>
  <c r="V133" i="13"/>
  <c r="U133" i="13"/>
  <c r="T133" i="13"/>
  <c r="S133" i="13"/>
  <c r="R133" i="13"/>
  <c r="W133" i="13" s="1"/>
  <c r="G134" i="4" s="1"/>
  <c r="Q133" i="13"/>
  <c r="O133" i="13"/>
  <c r="Z134" i="4" s="1"/>
  <c r="N133" i="13"/>
  <c r="M133" i="13"/>
  <c r="X134" i="4" s="1"/>
  <c r="L133" i="13"/>
  <c r="K133" i="13"/>
  <c r="J133" i="13"/>
  <c r="I133" i="13"/>
  <c r="H133" i="13"/>
  <c r="G133" i="13"/>
  <c r="L134" i="4" s="1"/>
  <c r="F133" i="13"/>
  <c r="E133" i="13"/>
  <c r="AT133" i="13" s="1"/>
  <c r="D133" i="13"/>
  <c r="C133" i="13"/>
  <c r="B133" i="13"/>
  <c r="A133" i="13"/>
  <c r="AQ132" i="13"/>
  <c r="AP132" i="13"/>
  <c r="AO132" i="13"/>
  <c r="AN132" i="13"/>
  <c r="AM132" i="13"/>
  <c r="AL132" i="13"/>
  <c r="AJ132" i="13"/>
  <c r="AI132" i="13"/>
  <c r="AH132" i="13"/>
  <c r="AG132" i="13"/>
  <c r="AF132" i="13"/>
  <c r="AE132" i="13"/>
  <c r="AC132" i="13"/>
  <c r="AB132" i="13"/>
  <c r="AA132" i="13"/>
  <c r="Z132" i="13"/>
  <c r="Y132" i="13"/>
  <c r="X132" i="13"/>
  <c r="AD132" i="13" s="1"/>
  <c r="V132" i="13"/>
  <c r="U132" i="13"/>
  <c r="T132" i="13"/>
  <c r="W132" i="13" s="1"/>
  <c r="G133" i="4" s="1"/>
  <c r="S132" i="13"/>
  <c r="R132" i="13"/>
  <c r="Q132" i="13"/>
  <c r="O132" i="13"/>
  <c r="N132" i="13"/>
  <c r="M132" i="13"/>
  <c r="L132" i="13"/>
  <c r="W133" i="4" s="1"/>
  <c r="K132" i="13"/>
  <c r="J132" i="13"/>
  <c r="I132" i="13"/>
  <c r="H132" i="13"/>
  <c r="M133" i="4" s="1"/>
  <c r="G132" i="13"/>
  <c r="F132" i="13"/>
  <c r="E132" i="13"/>
  <c r="D132" i="13"/>
  <c r="B133" i="4" s="1"/>
  <c r="C132" i="13"/>
  <c r="A133" i="4" s="1"/>
  <c r="B132" i="13"/>
  <c r="A132" i="13"/>
  <c r="AQ131" i="13"/>
  <c r="AP131" i="13"/>
  <c r="AO131" i="13"/>
  <c r="AN131" i="13"/>
  <c r="AM131" i="13"/>
  <c r="AL131" i="13"/>
  <c r="AJ131" i="13"/>
  <c r="AI131" i="13"/>
  <c r="AH131" i="13"/>
  <c r="AG131" i="13"/>
  <c r="AF131" i="13"/>
  <c r="AK131" i="13" s="1"/>
  <c r="J132" i="4" s="1"/>
  <c r="AE131" i="13"/>
  <c r="AC131" i="13"/>
  <c r="AB131" i="13"/>
  <c r="AD131" i="13" s="1"/>
  <c r="I132" i="4" s="1"/>
  <c r="AA131" i="13"/>
  <c r="Z131" i="13"/>
  <c r="Y131" i="13"/>
  <c r="X131" i="13"/>
  <c r="V131" i="13"/>
  <c r="U131" i="13"/>
  <c r="T131" i="13"/>
  <c r="S131" i="13"/>
  <c r="R131" i="13"/>
  <c r="Q131" i="13"/>
  <c r="O131" i="13"/>
  <c r="Z132" i="4" s="1"/>
  <c r="N131" i="13"/>
  <c r="Y132" i="4" s="1"/>
  <c r="M131" i="13"/>
  <c r="X132" i="4" s="1"/>
  <c r="L131" i="13"/>
  <c r="K131" i="13"/>
  <c r="V132" i="4" s="1"/>
  <c r="J131" i="13"/>
  <c r="I131" i="13"/>
  <c r="H131" i="13"/>
  <c r="G131" i="13"/>
  <c r="F131" i="13"/>
  <c r="E131" i="13"/>
  <c r="AT131" i="13" s="1"/>
  <c r="D131" i="13"/>
  <c r="C131" i="13"/>
  <c r="B131" i="13"/>
  <c r="A131" i="13"/>
  <c r="AQ130" i="13"/>
  <c r="AP130" i="13"/>
  <c r="AO130" i="13"/>
  <c r="AN130" i="13"/>
  <c r="AM130" i="13"/>
  <c r="AL130" i="13"/>
  <c r="AJ130" i="13"/>
  <c r="AK130" i="13" s="1"/>
  <c r="BA130" i="13" s="1"/>
  <c r="BB130" i="13" s="1"/>
  <c r="AI130" i="13"/>
  <c r="AH130" i="13"/>
  <c r="AG130" i="13"/>
  <c r="AF130" i="13"/>
  <c r="AE130" i="13"/>
  <c r="AC130" i="13"/>
  <c r="AB130" i="13"/>
  <c r="AA130" i="13"/>
  <c r="Z130" i="13"/>
  <c r="Y130" i="13"/>
  <c r="X130" i="13"/>
  <c r="V130" i="13"/>
  <c r="U130" i="13"/>
  <c r="T130" i="13"/>
  <c r="S130" i="13"/>
  <c r="R130" i="13"/>
  <c r="Q130" i="13"/>
  <c r="O130" i="13"/>
  <c r="N130" i="13"/>
  <c r="M130" i="13"/>
  <c r="L130" i="13"/>
  <c r="K130" i="13"/>
  <c r="J130" i="13"/>
  <c r="I130" i="13"/>
  <c r="H130" i="13"/>
  <c r="G130" i="13"/>
  <c r="F130" i="13"/>
  <c r="AW130" i="13" s="1"/>
  <c r="E130" i="13"/>
  <c r="D130" i="13"/>
  <c r="C130" i="13"/>
  <c r="B130" i="13"/>
  <c r="R131" i="4" s="1"/>
  <c r="A130" i="13"/>
  <c r="AQ129" i="13"/>
  <c r="AP129" i="13"/>
  <c r="AO129" i="13"/>
  <c r="AN129" i="13"/>
  <c r="AM129" i="13"/>
  <c r="AL129" i="13"/>
  <c r="AJ129" i="13"/>
  <c r="AI129" i="13"/>
  <c r="AH129" i="13"/>
  <c r="AG129" i="13"/>
  <c r="AF129" i="13"/>
  <c r="AK129" i="13" s="1"/>
  <c r="J130" i="4" s="1"/>
  <c r="AE129" i="13"/>
  <c r="AC129" i="13"/>
  <c r="AB129" i="13"/>
  <c r="AA129" i="13"/>
  <c r="Z129" i="13"/>
  <c r="Y129" i="13"/>
  <c r="X129" i="13"/>
  <c r="V129" i="13"/>
  <c r="U129" i="13"/>
  <c r="T129" i="13"/>
  <c r="S129" i="13"/>
  <c r="R129" i="13"/>
  <c r="Q129" i="13"/>
  <c r="O129" i="13"/>
  <c r="N129" i="13"/>
  <c r="M129" i="13"/>
  <c r="L129" i="13"/>
  <c r="K129" i="13"/>
  <c r="J129" i="13"/>
  <c r="I129" i="13"/>
  <c r="H129" i="13"/>
  <c r="M130" i="4" s="1"/>
  <c r="G129" i="13"/>
  <c r="F129" i="13"/>
  <c r="E129" i="13"/>
  <c r="D129" i="13"/>
  <c r="C129" i="13"/>
  <c r="A130" i="4" s="1"/>
  <c r="B129" i="13"/>
  <c r="A129" i="13"/>
  <c r="AQ128" i="13"/>
  <c r="AP128" i="13"/>
  <c r="AO128" i="13"/>
  <c r="AN128" i="13"/>
  <c r="AM128" i="13"/>
  <c r="AL128" i="13"/>
  <c r="AR128" i="13" s="1"/>
  <c r="AS128" i="13" s="1"/>
  <c r="AJ128" i="13"/>
  <c r="AI128" i="13"/>
  <c r="AH128" i="13"/>
  <c r="AK128" i="13" s="1"/>
  <c r="AG128" i="13"/>
  <c r="AF128" i="13"/>
  <c r="AE128" i="13"/>
  <c r="AC128" i="13"/>
  <c r="AB128" i="13"/>
  <c r="AA128" i="13"/>
  <c r="Z128" i="13"/>
  <c r="Y128" i="13"/>
  <c r="X128" i="13"/>
  <c r="V128" i="13"/>
  <c r="U128" i="13"/>
  <c r="T128" i="13"/>
  <c r="S128" i="13"/>
  <c r="R128" i="13"/>
  <c r="Q128" i="13"/>
  <c r="O128" i="13"/>
  <c r="P128" i="13" s="1"/>
  <c r="BA128" i="13" s="1"/>
  <c r="BB128" i="13" s="1"/>
  <c r="N128" i="13"/>
  <c r="M128" i="13"/>
  <c r="L128" i="13"/>
  <c r="K128" i="13"/>
  <c r="J128" i="13"/>
  <c r="I128" i="13"/>
  <c r="H128" i="13"/>
  <c r="G128" i="13"/>
  <c r="F128" i="13"/>
  <c r="E128" i="13"/>
  <c r="D128" i="13"/>
  <c r="C128" i="13"/>
  <c r="B128" i="13"/>
  <c r="A128" i="13"/>
  <c r="AQ127" i="13"/>
  <c r="AP127" i="13"/>
  <c r="AR127" i="13" s="1"/>
  <c r="AS127" i="13" s="1"/>
  <c r="K128" i="4" s="1"/>
  <c r="AO127" i="13"/>
  <c r="AN127" i="13"/>
  <c r="AM127" i="13"/>
  <c r="AL127" i="13"/>
  <c r="AJ127" i="13"/>
  <c r="AI127" i="13"/>
  <c r="AH127" i="13"/>
  <c r="AG127" i="13"/>
  <c r="AF127" i="13"/>
  <c r="AE127" i="13"/>
  <c r="AC127" i="13"/>
  <c r="AB127" i="13"/>
  <c r="AA127" i="13"/>
  <c r="Z127" i="13"/>
  <c r="Y127" i="13"/>
  <c r="X127" i="13"/>
  <c r="V127" i="13"/>
  <c r="U127" i="13"/>
  <c r="T127" i="13"/>
  <c r="S127" i="13"/>
  <c r="R127" i="13"/>
  <c r="Q127" i="13"/>
  <c r="O127" i="13"/>
  <c r="N127" i="13"/>
  <c r="M127" i="13"/>
  <c r="L127" i="13"/>
  <c r="K127" i="13"/>
  <c r="J127" i="13"/>
  <c r="I127" i="13"/>
  <c r="H127" i="13"/>
  <c r="G127" i="13"/>
  <c r="L128" i="4" s="1"/>
  <c r="F127" i="13"/>
  <c r="E127" i="13"/>
  <c r="D127" i="13"/>
  <c r="C127" i="13"/>
  <c r="B127" i="13"/>
  <c r="A127" i="13"/>
  <c r="AQ126" i="13"/>
  <c r="AP126" i="13"/>
  <c r="AO126" i="13"/>
  <c r="AN126" i="13"/>
  <c r="AM126" i="13"/>
  <c r="AL126" i="13"/>
  <c r="AR126" i="13" s="1"/>
  <c r="AS126" i="13" s="1"/>
  <c r="K127" i="4" s="1"/>
  <c r="AJ126" i="13"/>
  <c r="AI126" i="13"/>
  <c r="AH126" i="13"/>
  <c r="AG126" i="13"/>
  <c r="AF126" i="13"/>
  <c r="AE126" i="13"/>
  <c r="AC126" i="13"/>
  <c r="AB126" i="13"/>
  <c r="AA126" i="13"/>
  <c r="Z126" i="13"/>
  <c r="Y126" i="13"/>
  <c r="X126" i="13"/>
  <c r="V126" i="13"/>
  <c r="U126" i="13"/>
  <c r="T126" i="13"/>
  <c r="S126" i="13"/>
  <c r="R126" i="13"/>
  <c r="Q126" i="13"/>
  <c r="W126" i="13" s="1"/>
  <c r="G127" i="4" s="1"/>
  <c r="O126" i="13"/>
  <c r="N126" i="13"/>
  <c r="M126" i="13"/>
  <c r="L126" i="13"/>
  <c r="K126" i="13"/>
  <c r="J126" i="13"/>
  <c r="I126" i="13"/>
  <c r="H126" i="13"/>
  <c r="G126" i="13"/>
  <c r="F126" i="13"/>
  <c r="E126" i="13"/>
  <c r="D126" i="13"/>
  <c r="C126" i="13"/>
  <c r="B126" i="13"/>
  <c r="A126" i="13"/>
  <c r="AQ125" i="13"/>
  <c r="AP125" i="13"/>
  <c r="AO125" i="13"/>
  <c r="AN125" i="13"/>
  <c r="AM125" i="13"/>
  <c r="AL125" i="13"/>
  <c r="AJ125" i="13"/>
  <c r="AI125" i="13"/>
  <c r="AH125" i="13"/>
  <c r="AG125" i="13"/>
  <c r="AF125" i="13"/>
  <c r="AE125" i="13"/>
  <c r="AC125" i="13"/>
  <c r="AB125" i="13"/>
  <c r="AA125" i="13"/>
  <c r="Z125" i="13"/>
  <c r="Y125" i="13"/>
  <c r="AD125" i="13" s="1"/>
  <c r="X125" i="13"/>
  <c r="V125" i="13"/>
  <c r="U125" i="13"/>
  <c r="W125" i="13" s="1"/>
  <c r="G126" i="4" s="1"/>
  <c r="T125" i="13"/>
  <c r="S125" i="13"/>
  <c r="R125" i="13"/>
  <c r="Q125" i="13"/>
  <c r="O125" i="13"/>
  <c r="N125" i="13"/>
  <c r="M125" i="13"/>
  <c r="L125" i="13"/>
  <c r="W126" i="4" s="1"/>
  <c r="K125" i="13"/>
  <c r="J125" i="13"/>
  <c r="I125" i="13"/>
  <c r="H125" i="13"/>
  <c r="M126" i="4" s="1"/>
  <c r="G125" i="13"/>
  <c r="L126" i="4" s="1"/>
  <c r="F125" i="13"/>
  <c r="E125" i="13"/>
  <c r="D125" i="13"/>
  <c r="B126" i="4" s="1"/>
  <c r="C125" i="13"/>
  <c r="B125" i="13"/>
  <c r="A125" i="13"/>
  <c r="AQ124" i="13"/>
  <c r="AP124" i="13"/>
  <c r="AO124" i="13"/>
  <c r="AN124" i="13"/>
  <c r="AR124" i="13" s="1"/>
  <c r="AM124" i="13"/>
  <c r="AL124" i="13"/>
  <c r="AJ124" i="13"/>
  <c r="AI124" i="13"/>
  <c r="AH124" i="13"/>
  <c r="AG124" i="13"/>
  <c r="AF124" i="13"/>
  <c r="AE124" i="13"/>
  <c r="AC124" i="13"/>
  <c r="AD124" i="13" s="1"/>
  <c r="I125" i="4" s="1"/>
  <c r="AB124" i="13"/>
  <c r="AA124" i="13"/>
  <c r="Z124" i="13"/>
  <c r="Y124" i="13"/>
  <c r="X124" i="13"/>
  <c r="V124" i="13"/>
  <c r="U124" i="13"/>
  <c r="T124" i="13"/>
  <c r="S124" i="13"/>
  <c r="R124" i="13"/>
  <c r="Q124" i="13"/>
  <c r="W124" i="13" s="1"/>
  <c r="G125" i="4" s="1"/>
  <c r="O124" i="13"/>
  <c r="N124" i="13"/>
  <c r="Y125" i="4" s="1"/>
  <c r="M124" i="13"/>
  <c r="L124" i="13"/>
  <c r="W125" i="4" s="1"/>
  <c r="K124" i="13"/>
  <c r="J124" i="13"/>
  <c r="I124" i="13"/>
  <c r="H124" i="13"/>
  <c r="G124" i="13"/>
  <c r="L125" i="4" s="1"/>
  <c r="F124" i="13"/>
  <c r="D125" i="4" s="1"/>
  <c r="E124" i="13"/>
  <c r="D124" i="13"/>
  <c r="B125" i="4" s="1"/>
  <c r="C124" i="13"/>
  <c r="B124" i="13"/>
  <c r="A124" i="13"/>
  <c r="AQ123" i="13"/>
  <c r="AP123" i="13"/>
  <c r="AO123" i="13"/>
  <c r="AN123" i="13"/>
  <c r="AM123" i="13"/>
  <c r="AL123" i="13"/>
  <c r="AJ123" i="13"/>
  <c r="AI123" i="13"/>
  <c r="AH123" i="13"/>
  <c r="AG123" i="13"/>
  <c r="AF123" i="13"/>
  <c r="AE123" i="13"/>
  <c r="AC123" i="13"/>
  <c r="AB123" i="13"/>
  <c r="AA123" i="13"/>
  <c r="Z123" i="13"/>
  <c r="Y123" i="13"/>
  <c r="X123" i="13"/>
  <c r="V123" i="13"/>
  <c r="U123" i="13"/>
  <c r="T123" i="13"/>
  <c r="S123" i="13"/>
  <c r="R123" i="13"/>
  <c r="Q123" i="13"/>
  <c r="O123" i="13"/>
  <c r="N123" i="13"/>
  <c r="M123" i="13"/>
  <c r="L123" i="13"/>
  <c r="K123" i="13"/>
  <c r="J123" i="13"/>
  <c r="I123" i="13"/>
  <c r="H123" i="13"/>
  <c r="G123" i="13"/>
  <c r="F123" i="13"/>
  <c r="E123" i="13"/>
  <c r="D123" i="13"/>
  <c r="C123" i="13"/>
  <c r="B123" i="13"/>
  <c r="A123" i="13"/>
  <c r="AQ122" i="13"/>
  <c r="AP122" i="13"/>
  <c r="AO122" i="13"/>
  <c r="AN122" i="13"/>
  <c r="AM122" i="13"/>
  <c r="AL122" i="13"/>
  <c r="AJ122" i="13"/>
  <c r="AI122" i="13"/>
  <c r="AH122" i="13"/>
  <c r="AG122" i="13"/>
  <c r="AF122" i="13"/>
  <c r="AE122" i="13"/>
  <c r="AK122" i="13" s="1"/>
  <c r="J123" i="4" s="1"/>
  <c r="AC122" i="13"/>
  <c r="AB122" i="13"/>
  <c r="AA122" i="13"/>
  <c r="AD122" i="13" s="1"/>
  <c r="I123" i="4" s="1"/>
  <c r="Z122" i="13"/>
  <c r="Y122" i="13"/>
  <c r="X122" i="13"/>
  <c r="V122" i="13"/>
  <c r="U122" i="13"/>
  <c r="T122" i="13"/>
  <c r="S122" i="13"/>
  <c r="R122" i="13"/>
  <c r="Q122" i="13"/>
  <c r="O122" i="13"/>
  <c r="N122" i="13"/>
  <c r="Y123" i="4" s="1"/>
  <c r="M122" i="13"/>
  <c r="L122" i="13"/>
  <c r="W123" i="4" s="1"/>
  <c r="K122" i="13"/>
  <c r="J122" i="13"/>
  <c r="I122" i="13"/>
  <c r="H122" i="13"/>
  <c r="G122" i="13"/>
  <c r="F122" i="13"/>
  <c r="E122" i="13"/>
  <c r="D122" i="13"/>
  <c r="C122" i="13"/>
  <c r="B122" i="13"/>
  <c r="A122" i="13"/>
  <c r="AQ121" i="13"/>
  <c r="AP121" i="13"/>
  <c r="AO121" i="13"/>
  <c r="AN121" i="13"/>
  <c r="AM121" i="13"/>
  <c r="AR121" i="13" s="1"/>
  <c r="AS121" i="13" s="1"/>
  <c r="K122" i="4" s="1"/>
  <c r="AL121" i="13"/>
  <c r="AJ121" i="13"/>
  <c r="AI121" i="13"/>
  <c r="AK121" i="13" s="1"/>
  <c r="BA121" i="13" s="1"/>
  <c r="BB121" i="13" s="1"/>
  <c r="AH121" i="13"/>
  <c r="AG121" i="13"/>
  <c r="AF121" i="13"/>
  <c r="AE121" i="13"/>
  <c r="AC121" i="13"/>
  <c r="AB121" i="13"/>
  <c r="AA121" i="13"/>
  <c r="Z121" i="13"/>
  <c r="Y121" i="13"/>
  <c r="X121" i="13"/>
  <c r="V121" i="13"/>
  <c r="U121" i="13"/>
  <c r="T121" i="13"/>
  <c r="S121" i="13"/>
  <c r="R121" i="13"/>
  <c r="Q121" i="13"/>
  <c r="O121" i="13"/>
  <c r="N121" i="13"/>
  <c r="M121" i="13"/>
  <c r="L121" i="13"/>
  <c r="K121" i="13"/>
  <c r="J121" i="13"/>
  <c r="I121" i="13"/>
  <c r="H121" i="13"/>
  <c r="G121" i="13"/>
  <c r="F121" i="13"/>
  <c r="E121" i="13"/>
  <c r="D121" i="13"/>
  <c r="C121" i="13"/>
  <c r="A122" i="4" s="1"/>
  <c r="B121" i="13"/>
  <c r="A121" i="13"/>
  <c r="AQ120" i="13"/>
  <c r="AR120" i="13" s="1"/>
  <c r="AS120" i="13" s="1"/>
  <c r="K121" i="4" s="1"/>
  <c r="AP120" i="13"/>
  <c r="AO120" i="13"/>
  <c r="AN120" i="13"/>
  <c r="AM120" i="13"/>
  <c r="AL120" i="13"/>
  <c r="AJ120" i="13"/>
  <c r="AI120" i="13"/>
  <c r="AH120" i="13"/>
  <c r="AG120" i="13"/>
  <c r="AF120" i="13"/>
  <c r="AE120" i="13"/>
  <c r="AK120" i="13" s="1"/>
  <c r="J121" i="4" s="1"/>
  <c r="AC120" i="13"/>
  <c r="AB120" i="13"/>
  <c r="AA120" i="13"/>
  <c r="Z120" i="13"/>
  <c r="Y120" i="13"/>
  <c r="X120" i="13"/>
  <c r="V120" i="13"/>
  <c r="U120" i="13"/>
  <c r="T120" i="13"/>
  <c r="S120" i="13"/>
  <c r="R120" i="13"/>
  <c r="Q120" i="13"/>
  <c r="O120" i="13"/>
  <c r="N120" i="13"/>
  <c r="M120" i="13"/>
  <c r="L120" i="13"/>
  <c r="W121" i="4" s="1"/>
  <c r="K120" i="13"/>
  <c r="V121" i="4" s="1"/>
  <c r="J120" i="13"/>
  <c r="I120" i="13"/>
  <c r="H120" i="13"/>
  <c r="M121" i="4" s="1"/>
  <c r="G120" i="13"/>
  <c r="L121" i="4" s="1"/>
  <c r="F120" i="13"/>
  <c r="E120" i="13"/>
  <c r="AU120" i="13" s="1"/>
  <c r="D120" i="13"/>
  <c r="C120" i="13"/>
  <c r="B120" i="13"/>
  <c r="A120" i="13"/>
  <c r="AQ119" i="13"/>
  <c r="AP119" i="13"/>
  <c r="AO119" i="13"/>
  <c r="AN119" i="13"/>
  <c r="AM119" i="13"/>
  <c r="AL119" i="13"/>
  <c r="AJ119" i="13"/>
  <c r="AI119" i="13"/>
  <c r="AH119" i="13"/>
  <c r="AG119" i="13"/>
  <c r="AF119" i="13"/>
  <c r="AE119" i="13"/>
  <c r="AC119" i="13"/>
  <c r="AB119" i="13"/>
  <c r="AA119" i="13"/>
  <c r="Z119" i="13"/>
  <c r="Y119" i="13"/>
  <c r="X119" i="13"/>
  <c r="V119" i="13"/>
  <c r="U119" i="13"/>
  <c r="T119" i="13"/>
  <c r="S119" i="13"/>
  <c r="R119" i="13"/>
  <c r="W119" i="13" s="1"/>
  <c r="G120" i="4" s="1"/>
  <c r="Q119" i="13"/>
  <c r="O119" i="13"/>
  <c r="Z120" i="4" s="1"/>
  <c r="N119" i="13"/>
  <c r="M119" i="13"/>
  <c r="L119" i="13"/>
  <c r="K119" i="13"/>
  <c r="J119" i="13"/>
  <c r="I119" i="13"/>
  <c r="H119" i="13"/>
  <c r="G119" i="13"/>
  <c r="F119" i="13"/>
  <c r="E119" i="13"/>
  <c r="D119" i="13"/>
  <c r="C119" i="13"/>
  <c r="A120" i="4" s="1"/>
  <c r="B119" i="13"/>
  <c r="A119" i="13"/>
  <c r="AQ118" i="13"/>
  <c r="AP118" i="13"/>
  <c r="AO118" i="13"/>
  <c r="AR118" i="13" s="1"/>
  <c r="AS118" i="13" s="1"/>
  <c r="K119" i="4" s="1"/>
  <c r="AN118" i="13"/>
  <c r="AM118" i="13"/>
  <c r="AL118" i="13"/>
  <c r="AJ118" i="13"/>
  <c r="AI118" i="13"/>
  <c r="AH118" i="13"/>
  <c r="AG118" i="13"/>
  <c r="AF118" i="13"/>
  <c r="AE118" i="13"/>
  <c r="AC118" i="13"/>
  <c r="AB118" i="13"/>
  <c r="AA118" i="13"/>
  <c r="Z118" i="13"/>
  <c r="Y118" i="13"/>
  <c r="X118" i="13"/>
  <c r="V118" i="13"/>
  <c r="W118" i="13" s="1"/>
  <c r="G119" i="4" s="1"/>
  <c r="U118" i="13"/>
  <c r="T118" i="13"/>
  <c r="S118" i="13"/>
  <c r="R118" i="13"/>
  <c r="Q118" i="13"/>
  <c r="O118" i="13"/>
  <c r="N118" i="13"/>
  <c r="M118" i="13"/>
  <c r="L118" i="13"/>
  <c r="K118" i="13"/>
  <c r="J118" i="13"/>
  <c r="U119" i="4" s="1"/>
  <c r="I118" i="13"/>
  <c r="H118" i="13"/>
  <c r="M119" i="4" s="1"/>
  <c r="G118" i="13"/>
  <c r="F118" i="13"/>
  <c r="E118" i="13"/>
  <c r="D118" i="13"/>
  <c r="C118" i="13"/>
  <c r="B118" i="13"/>
  <c r="A118" i="13"/>
  <c r="AQ117" i="13"/>
  <c r="AP117" i="13"/>
  <c r="AO117" i="13"/>
  <c r="AN117" i="13"/>
  <c r="AM117" i="13"/>
  <c r="AL117" i="13"/>
  <c r="AJ117" i="13"/>
  <c r="AI117" i="13"/>
  <c r="AH117" i="13"/>
  <c r="AG117" i="13"/>
  <c r="AF117" i="13"/>
  <c r="AE117" i="13"/>
  <c r="AC117" i="13"/>
  <c r="AB117" i="13"/>
  <c r="AA117" i="13"/>
  <c r="Z117" i="13"/>
  <c r="Y117" i="13"/>
  <c r="X117" i="13"/>
  <c r="V117" i="13"/>
  <c r="U117" i="13"/>
  <c r="T117" i="13"/>
  <c r="S117" i="13"/>
  <c r="R117" i="13"/>
  <c r="Q117" i="13"/>
  <c r="O117" i="13"/>
  <c r="Z118" i="4" s="1"/>
  <c r="N117" i="13"/>
  <c r="M117" i="13"/>
  <c r="X118" i="4" s="1"/>
  <c r="L117" i="13"/>
  <c r="K117" i="13"/>
  <c r="J117" i="13"/>
  <c r="I117" i="13"/>
  <c r="H117" i="13"/>
  <c r="G117" i="13"/>
  <c r="L118" i="4" s="1"/>
  <c r="F117" i="13"/>
  <c r="E117" i="13"/>
  <c r="D117" i="13"/>
  <c r="C117" i="13"/>
  <c r="B117" i="13"/>
  <c r="A117" i="13"/>
  <c r="AQ116" i="13"/>
  <c r="AP116" i="13"/>
  <c r="AO116" i="13"/>
  <c r="AN116" i="13"/>
  <c r="AM116" i="13"/>
  <c r="AL116" i="13"/>
  <c r="AJ116" i="13"/>
  <c r="AI116" i="13"/>
  <c r="AH116" i="13"/>
  <c r="AG116" i="13"/>
  <c r="AF116" i="13"/>
  <c r="AE116" i="13"/>
  <c r="AC116" i="13"/>
  <c r="AB116" i="13"/>
  <c r="AA116" i="13"/>
  <c r="Z116" i="13"/>
  <c r="Y116" i="13"/>
  <c r="X116" i="13"/>
  <c r="AD116" i="13" s="1"/>
  <c r="V116" i="13"/>
  <c r="U116" i="13"/>
  <c r="T116" i="13"/>
  <c r="W116" i="13" s="1"/>
  <c r="G117" i="4" s="1"/>
  <c r="S116" i="13"/>
  <c r="R116" i="13"/>
  <c r="Q116" i="13"/>
  <c r="O116" i="13"/>
  <c r="N116" i="13"/>
  <c r="Y117" i="4" s="1"/>
  <c r="M116" i="13"/>
  <c r="L116" i="13"/>
  <c r="K116" i="13"/>
  <c r="J116" i="13"/>
  <c r="I116" i="13"/>
  <c r="H116" i="13"/>
  <c r="M117" i="4" s="1"/>
  <c r="G116" i="13"/>
  <c r="F116" i="13"/>
  <c r="E116" i="13"/>
  <c r="D116" i="13"/>
  <c r="C116" i="13"/>
  <c r="A117" i="4" s="1"/>
  <c r="B116" i="13"/>
  <c r="A116" i="13"/>
  <c r="AQ115" i="13"/>
  <c r="AP115" i="13"/>
  <c r="AO115" i="13"/>
  <c r="AN115" i="13"/>
  <c r="AM115" i="13"/>
  <c r="AL115" i="13"/>
  <c r="AJ115" i="13"/>
  <c r="AI115" i="13"/>
  <c r="AH115" i="13"/>
  <c r="AG115" i="13"/>
  <c r="AF115" i="13"/>
  <c r="AK115" i="13" s="1"/>
  <c r="J116" i="4" s="1"/>
  <c r="AE115" i="13"/>
  <c r="AC115" i="13"/>
  <c r="AB115" i="13"/>
  <c r="AD115" i="13" s="1"/>
  <c r="AA115" i="13"/>
  <c r="Z115" i="13"/>
  <c r="Y115" i="13"/>
  <c r="X115" i="13"/>
  <c r="V115" i="13"/>
  <c r="U115" i="13"/>
  <c r="T115" i="13"/>
  <c r="S115" i="13"/>
  <c r="R115" i="13"/>
  <c r="Q115" i="13"/>
  <c r="O115" i="13"/>
  <c r="Z116" i="4" s="1"/>
  <c r="N115" i="13"/>
  <c r="M115" i="13"/>
  <c r="X116" i="4" s="1"/>
  <c r="L115" i="13"/>
  <c r="K115" i="13"/>
  <c r="V116" i="4" s="1"/>
  <c r="J115" i="13"/>
  <c r="I115" i="13"/>
  <c r="H115" i="13"/>
  <c r="G115" i="13"/>
  <c r="F115" i="13"/>
  <c r="E115" i="13"/>
  <c r="AU115" i="13" s="1"/>
  <c r="D115" i="13"/>
  <c r="C115" i="13"/>
  <c r="B115" i="13"/>
  <c r="A115" i="13"/>
  <c r="AQ114" i="13"/>
  <c r="AP114" i="13"/>
  <c r="AO114" i="13"/>
  <c r="AN114" i="13"/>
  <c r="AM114" i="13"/>
  <c r="AL114" i="13"/>
  <c r="AJ114" i="13"/>
  <c r="AK114" i="13" s="1"/>
  <c r="BD114" i="13" s="1"/>
  <c r="AB115" i="4" s="1"/>
  <c r="AI114" i="13"/>
  <c r="AH114" i="13"/>
  <c r="AG114" i="13"/>
  <c r="AF114" i="13"/>
  <c r="AE114" i="13"/>
  <c r="AC114" i="13"/>
  <c r="AB114" i="13"/>
  <c r="AA114" i="13"/>
  <c r="Z114" i="13"/>
  <c r="Y114" i="13"/>
  <c r="X114" i="13"/>
  <c r="AD114" i="13" s="1"/>
  <c r="AV114" i="13" s="1"/>
  <c r="V114" i="13"/>
  <c r="U114" i="13"/>
  <c r="T114" i="13"/>
  <c r="S114" i="13"/>
  <c r="R114" i="13"/>
  <c r="Q114" i="13"/>
  <c r="O114" i="13"/>
  <c r="N114" i="13"/>
  <c r="M114" i="13"/>
  <c r="L114" i="13"/>
  <c r="K114" i="13"/>
  <c r="J114" i="13"/>
  <c r="I114" i="13"/>
  <c r="H114" i="13"/>
  <c r="G114" i="13"/>
  <c r="F114" i="13"/>
  <c r="E114" i="13"/>
  <c r="D114" i="13"/>
  <c r="C114" i="13"/>
  <c r="B114" i="13"/>
  <c r="A114" i="13"/>
  <c r="AQ113" i="13"/>
  <c r="AP113" i="13"/>
  <c r="AO113" i="13"/>
  <c r="AN113" i="13"/>
  <c r="AM113" i="13"/>
  <c r="AL113" i="13"/>
  <c r="AJ113" i="13"/>
  <c r="AI113" i="13"/>
  <c r="AH113" i="13"/>
  <c r="AG113" i="13"/>
  <c r="AF113" i="13"/>
  <c r="AE113" i="13"/>
  <c r="AC113" i="13"/>
  <c r="AB113" i="13"/>
  <c r="AA113" i="13"/>
  <c r="Z113" i="13"/>
  <c r="Y113" i="13"/>
  <c r="X113" i="13"/>
  <c r="V113" i="13"/>
  <c r="U113" i="13"/>
  <c r="T113" i="13"/>
  <c r="S113" i="13"/>
  <c r="R113" i="13"/>
  <c r="Q113" i="13"/>
  <c r="O113" i="13"/>
  <c r="N113" i="13"/>
  <c r="M113" i="13"/>
  <c r="L113" i="13"/>
  <c r="W114" i="4" s="1"/>
  <c r="K113" i="13"/>
  <c r="P113" i="13" s="1"/>
  <c r="J113" i="13"/>
  <c r="I113" i="13"/>
  <c r="H113" i="13"/>
  <c r="M114" i="4" s="1"/>
  <c r="G113" i="13"/>
  <c r="F113" i="13"/>
  <c r="E113" i="13"/>
  <c r="D113" i="13"/>
  <c r="C113" i="13"/>
  <c r="A114" i="4" s="1"/>
  <c r="B113" i="13"/>
  <c r="A113" i="13"/>
  <c r="AQ112" i="13"/>
  <c r="AP112" i="13"/>
  <c r="AO112" i="13"/>
  <c r="AN112" i="13"/>
  <c r="AM112" i="13"/>
  <c r="AL112" i="13"/>
  <c r="AR112" i="13" s="1"/>
  <c r="AS112" i="13" s="1"/>
  <c r="AJ112" i="13"/>
  <c r="AI112" i="13"/>
  <c r="AH112" i="13"/>
  <c r="AK112" i="13" s="1"/>
  <c r="AG112" i="13"/>
  <c r="AF112" i="13"/>
  <c r="AE112" i="13"/>
  <c r="AC112" i="13"/>
  <c r="AB112" i="13"/>
  <c r="AA112" i="13"/>
  <c r="Z112" i="13"/>
  <c r="Y112" i="13"/>
  <c r="X112" i="13"/>
  <c r="V112" i="13"/>
  <c r="U112" i="13"/>
  <c r="T112" i="13"/>
  <c r="S112" i="13"/>
  <c r="R112" i="13"/>
  <c r="Q112" i="13"/>
  <c r="O112" i="13"/>
  <c r="P112" i="13" s="1"/>
  <c r="AV112" i="13" s="1"/>
  <c r="AY112" i="13" s="1"/>
  <c r="N112" i="13"/>
  <c r="M112" i="13"/>
  <c r="L112" i="13"/>
  <c r="K112" i="13"/>
  <c r="J112" i="13"/>
  <c r="I112" i="13"/>
  <c r="H112" i="13"/>
  <c r="G112" i="13"/>
  <c r="F112" i="13"/>
  <c r="E112" i="13"/>
  <c r="AU112" i="13" s="1"/>
  <c r="D112" i="13"/>
  <c r="C112" i="13"/>
  <c r="B112" i="13"/>
  <c r="A112" i="13"/>
  <c r="AQ111" i="13"/>
  <c r="AP111" i="13"/>
  <c r="AR111" i="13" s="1"/>
  <c r="AS111" i="13" s="1"/>
  <c r="K112" i="4" s="1"/>
  <c r="AO111" i="13"/>
  <c r="AN111" i="13"/>
  <c r="AM111" i="13"/>
  <c r="AL111" i="13"/>
  <c r="AJ111" i="13"/>
  <c r="AI111" i="13"/>
  <c r="AH111" i="13"/>
  <c r="AG111" i="13"/>
  <c r="AF111" i="13"/>
  <c r="AE111" i="13"/>
  <c r="AC111" i="13"/>
  <c r="AB111" i="13"/>
  <c r="AA111" i="13"/>
  <c r="Z111" i="13"/>
  <c r="Y111" i="13"/>
  <c r="X111" i="13"/>
  <c r="V111" i="13"/>
  <c r="U111" i="13"/>
  <c r="T111" i="13"/>
  <c r="S111" i="13"/>
  <c r="R111" i="13"/>
  <c r="Q111" i="13"/>
  <c r="O111" i="13"/>
  <c r="N111" i="13"/>
  <c r="M111" i="13"/>
  <c r="L111" i="13"/>
  <c r="K111" i="13"/>
  <c r="P111" i="13" s="1"/>
  <c r="E112" i="4" s="1"/>
  <c r="J111" i="13"/>
  <c r="I111" i="13"/>
  <c r="H111" i="13"/>
  <c r="G111" i="13"/>
  <c r="L112" i="4" s="1"/>
  <c r="F111" i="13"/>
  <c r="AW111" i="13" s="1"/>
  <c r="E111" i="13"/>
  <c r="D111" i="13"/>
  <c r="C111" i="13"/>
  <c r="B111" i="13"/>
  <c r="A111" i="13"/>
  <c r="AQ110" i="13"/>
  <c r="AP110" i="13"/>
  <c r="AO110" i="13"/>
  <c r="AN110" i="13"/>
  <c r="AM110" i="13"/>
  <c r="AL110" i="13"/>
  <c r="AR110" i="13" s="1"/>
  <c r="AS110" i="13" s="1"/>
  <c r="AJ110" i="13"/>
  <c r="AI110" i="13"/>
  <c r="AH110" i="13"/>
  <c r="AG110" i="13"/>
  <c r="AF110" i="13"/>
  <c r="AE110" i="13"/>
  <c r="AC110" i="13"/>
  <c r="AB110" i="13"/>
  <c r="AA110" i="13"/>
  <c r="Z110" i="13"/>
  <c r="Y110" i="13"/>
  <c r="X110" i="13"/>
  <c r="V110" i="13"/>
  <c r="U110" i="13"/>
  <c r="T110" i="13"/>
  <c r="S110" i="13"/>
  <c r="R110" i="13"/>
  <c r="Q110" i="13"/>
  <c r="W110" i="13" s="1"/>
  <c r="G111" i="4" s="1"/>
  <c r="O110" i="13"/>
  <c r="N110" i="13"/>
  <c r="Y111" i="4" s="1"/>
  <c r="M110" i="13"/>
  <c r="L110" i="13"/>
  <c r="K110" i="13"/>
  <c r="J110" i="13"/>
  <c r="I110" i="13"/>
  <c r="H110" i="13"/>
  <c r="G110" i="13"/>
  <c r="F110" i="13"/>
  <c r="E110" i="13"/>
  <c r="AT110" i="13" s="1"/>
  <c r="D110" i="13"/>
  <c r="C110" i="13"/>
  <c r="B110" i="13"/>
  <c r="A110" i="13"/>
  <c r="AQ109" i="13"/>
  <c r="AP109" i="13"/>
  <c r="AO109" i="13"/>
  <c r="AN109" i="13"/>
  <c r="AM109" i="13"/>
  <c r="AL109" i="13"/>
  <c r="AJ109" i="13"/>
  <c r="AI109" i="13"/>
  <c r="AH109" i="13"/>
  <c r="AG109" i="13"/>
  <c r="AF109" i="13"/>
  <c r="AE109" i="13"/>
  <c r="AC109" i="13"/>
  <c r="AB109" i="13"/>
  <c r="AA109" i="13"/>
  <c r="Z109" i="13"/>
  <c r="Y109" i="13"/>
  <c r="AD109" i="13" s="1"/>
  <c r="X109" i="13"/>
  <c r="V109" i="13"/>
  <c r="U109" i="13"/>
  <c r="W109" i="13" s="1"/>
  <c r="G110" i="4" s="1"/>
  <c r="T109" i="13"/>
  <c r="S109" i="13"/>
  <c r="R109" i="13"/>
  <c r="Q109" i="13"/>
  <c r="O109" i="13"/>
  <c r="N109" i="13"/>
  <c r="M109" i="13"/>
  <c r="L109" i="13"/>
  <c r="W110" i="4" s="1"/>
  <c r="K109" i="13"/>
  <c r="J109" i="13"/>
  <c r="I109" i="13"/>
  <c r="H109" i="13"/>
  <c r="M110" i="4" s="1"/>
  <c r="G109" i="13"/>
  <c r="L110" i="4" s="1"/>
  <c r="F109" i="13"/>
  <c r="E109" i="13"/>
  <c r="D109" i="13"/>
  <c r="B110" i="4" s="1"/>
  <c r="C109" i="13"/>
  <c r="B109" i="13"/>
  <c r="A109" i="13"/>
  <c r="AQ108" i="13"/>
  <c r="AP108" i="13"/>
  <c r="AO108" i="13"/>
  <c r="AN108" i="13"/>
  <c r="AM108" i="13"/>
  <c r="AL108" i="13"/>
  <c r="AJ108" i="13"/>
  <c r="AI108" i="13"/>
  <c r="AH108" i="13"/>
  <c r="AG108" i="13"/>
  <c r="AF108" i="13"/>
  <c r="AE108" i="13"/>
  <c r="AC108" i="13"/>
  <c r="AD108" i="13" s="1"/>
  <c r="I109" i="4" s="1"/>
  <c r="AB108" i="13"/>
  <c r="AA108" i="13"/>
  <c r="Z108" i="13"/>
  <c r="Y108" i="13"/>
  <c r="X108" i="13"/>
  <c r="V108" i="13"/>
  <c r="U108" i="13"/>
  <c r="T108" i="13"/>
  <c r="S108" i="13"/>
  <c r="R108" i="13"/>
  <c r="Q108" i="13"/>
  <c r="W108" i="13" s="1"/>
  <c r="G109" i="4" s="1"/>
  <c r="O108" i="13"/>
  <c r="N108" i="13"/>
  <c r="Y109" i="4" s="1"/>
  <c r="M108" i="13"/>
  <c r="L108" i="13"/>
  <c r="W109" i="4" s="1"/>
  <c r="K108" i="13"/>
  <c r="J108" i="13"/>
  <c r="I108" i="13"/>
  <c r="H108" i="13"/>
  <c r="G108" i="13"/>
  <c r="F108" i="13"/>
  <c r="E108" i="13"/>
  <c r="D108" i="13"/>
  <c r="C108" i="13"/>
  <c r="B108" i="13"/>
  <c r="A108" i="13"/>
  <c r="AQ107" i="13"/>
  <c r="AP107" i="13"/>
  <c r="AO107" i="13"/>
  <c r="AN107" i="13"/>
  <c r="AM107" i="13"/>
  <c r="AL107" i="13"/>
  <c r="AJ107" i="13"/>
  <c r="AI107" i="13"/>
  <c r="AH107" i="13"/>
  <c r="AG107" i="13"/>
  <c r="AF107" i="13"/>
  <c r="AE107" i="13"/>
  <c r="AC107" i="13"/>
  <c r="AB107" i="13"/>
  <c r="AA107" i="13"/>
  <c r="Z107" i="13"/>
  <c r="Y107" i="13"/>
  <c r="AD107" i="13" s="1"/>
  <c r="BD107" i="13" s="1"/>
  <c r="X107" i="13"/>
  <c r="V107" i="13"/>
  <c r="U107" i="13"/>
  <c r="T107" i="13"/>
  <c r="S107" i="13"/>
  <c r="R107" i="13"/>
  <c r="Q107" i="13"/>
  <c r="O107" i="13"/>
  <c r="N107" i="13"/>
  <c r="M107" i="13"/>
  <c r="L107" i="13"/>
  <c r="K107" i="13"/>
  <c r="J107" i="13"/>
  <c r="I107" i="13"/>
  <c r="H107" i="13"/>
  <c r="G107" i="13"/>
  <c r="F107" i="13"/>
  <c r="E107" i="13"/>
  <c r="D107" i="13"/>
  <c r="C107" i="13"/>
  <c r="B107" i="13"/>
  <c r="A107" i="13"/>
  <c r="AQ106" i="13"/>
  <c r="AP106" i="13"/>
  <c r="AO106" i="13"/>
  <c r="AN106" i="13"/>
  <c r="AM106" i="13"/>
  <c r="AL106" i="13"/>
  <c r="AJ106" i="13"/>
  <c r="AI106" i="13"/>
  <c r="AH106" i="13"/>
  <c r="AG106" i="13"/>
  <c r="AF106" i="13"/>
  <c r="AE106" i="13"/>
  <c r="AK106" i="13" s="1"/>
  <c r="J107" i="4" s="1"/>
  <c r="AC106" i="13"/>
  <c r="AB106" i="13"/>
  <c r="AA106" i="13"/>
  <c r="AD106" i="13" s="1"/>
  <c r="I107" i="4" s="1"/>
  <c r="Z106" i="13"/>
  <c r="Y106" i="13"/>
  <c r="X106" i="13"/>
  <c r="V106" i="13"/>
  <c r="U106" i="13"/>
  <c r="T106" i="13"/>
  <c r="S106" i="13"/>
  <c r="R106" i="13"/>
  <c r="Q106" i="13"/>
  <c r="O106" i="13"/>
  <c r="N106" i="13"/>
  <c r="M106" i="13"/>
  <c r="L106" i="13"/>
  <c r="W107" i="4" s="1"/>
  <c r="K106" i="13"/>
  <c r="J106" i="13"/>
  <c r="I106" i="13"/>
  <c r="H106" i="13"/>
  <c r="G106" i="13"/>
  <c r="F106" i="13"/>
  <c r="E106" i="13"/>
  <c r="AU106" i="13" s="1"/>
  <c r="D106" i="13"/>
  <c r="C106" i="13"/>
  <c r="B106" i="13"/>
  <c r="A106" i="13"/>
  <c r="AQ105" i="13"/>
  <c r="AP105" i="13"/>
  <c r="AO105" i="13"/>
  <c r="AN105" i="13"/>
  <c r="AM105" i="13"/>
  <c r="AR105" i="13" s="1"/>
  <c r="AS105" i="13" s="1"/>
  <c r="K106" i="4" s="1"/>
  <c r="AL105" i="13"/>
  <c r="AJ105" i="13"/>
  <c r="AI105" i="13"/>
  <c r="AK105" i="13" s="1"/>
  <c r="AH105" i="13"/>
  <c r="AG105" i="13"/>
  <c r="AF105" i="13"/>
  <c r="AE105" i="13"/>
  <c r="AC105" i="13"/>
  <c r="AB105" i="13"/>
  <c r="AA105" i="13"/>
  <c r="Z105" i="13"/>
  <c r="Y105" i="13"/>
  <c r="X105" i="13"/>
  <c r="V105" i="13"/>
  <c r="U105" i="13"/>
  <c r="T105" i="13"/>
  <c r="S105" i="13"/>
  <c r="R105" i="13"/>
  <c r="Q105" i="13"/>
  <c r="O105" i="13"/>
  <c r="N105" i="13"/>
  <c r="M105" i="13"/>
  <c r="L105" i="13"/>
  <c r="K105" i="13"/>
  <c r="J105" i="13"/>
  <c r="I105" i="13"/>
  <c r="H105" i="13"/>
  <c r="G105" i="13"/>
  <c r="F105" i="13"/>
  <c r="E105" i="13"/>
  <c r="D105" i="13"/>
  <c r="C105" i="13"/>
  <c r="B105" i="13"/>
  <c r="A105" i="13"/>
  <c r="AQ104" i="13"/>
  <c r="AR104" i="13" s="1"/>
  <c r="AS104" i="13" s="1"/>
  <c r="K105" i="4" s="1"/>
  <c r="AP104" i="13"/>
  <c r="AO104" i="13"/>
  <c r="AN104" i="13"/>
  <c r="AM104" i="13"/>
  <c r="AL104" i="13"/>
  <c r="AJ104" i="13"/>
  <c r="AI104" i="13"/>
  <c r="AH104" i="13"/>
  <c r="AG104" i="13"/>
  <c r="AF104" i="13"/>
  <c r="AE104" i="13"/>
  <c r="AK104" i="13" s="1"/>
  <c r="J105" i="4" s="1"/>
  <c r="AC104" i="13"/>
  <c r="AB104" i="13"/>
  <c r="AA104" i="13"/>
  <c r="Z104" i="13"/>
  <c r="Y104" i="13"/>
  <c r="X104" i="13"/>
  <c r="V104" i="13"/>
  <c r="U104" i="13"/>
  <c r="T104" i="13"/>
  <c r="S104" i="13"/>
  <c r="R104" i="13"/>
  <c r="Q104" i="13"/>
  <c r="W104" i="13" s="1"/>
  <c r="G105" i="4" s="1"/>
  <c r="O104" i="13"/>
  <c r="N104" i="13"/>
  <c r="M104" i="13"/>
  <c r="L104" i="13"/>
  <c r="K104" i="13"/>
  <c r="J104" i="13"/>
  <c r="P104" i="13" s="1"/>
  <c r="I104" i="13"/>
  <c r="H104" i="13"/>
  <c r="M105" i="4" s="1"/>
  <c r="G104" i="13"/>
  <c r="F104" i="13"/>
  <c r="E104" i="13"/>
  <c r="D104" i="13"/>
  <c r="C104" i="13"/>
  <c r="B104" i="13"/>
  <c r="A104" i="13"/>
  <c r="AQ103" i="13"/>
  <c r="AP103" i="13"/>
  <c r="AO103" i="13"/>
  <c r="AN103" i="13"/>
  <c r="AM103" i="13"/>
  <c r="AL103" i="13"/>
  <c r="AJ103" i="13"/>
  <c r="AI103" i="13"/>
  <c r="AH103" i="13"/>
  <c r="AG103" i="13"/>
  <c r="AF103" i="13"/>
  <c r="AE103" i="13"/>
  <c r="AC103" i="13"/>
  <c r="AB103" i="13"/>
  <c r="AA103" i="13"/>
  <c r="Z103" i="13"/>
  <c r="Y103" i="13"/>
  <c r="X103" i="13"/>
  <c r="V103" i="13"/>
  <c r="U103" i="13"/>
  <c r="T103" i="13"/>
  <c r="S103" i="13"/>
  <c r="R103" i="13"/>
  <c r="W103" i="13" s="1"/>
  <c r="G104" i="4" s="1"/>
  <c r="Q103" i="13"/>
  <c r="O103" i="13"/>
  <c r="Z104" i="4" s="1"/>
  <c r="N103" i="13"/>
  <c r="P103" i="13" s="1"/>
  <c r="M103" i="13"/>
  <c r="L103" i="13"/>
  <c r="K103" i="13"/>
  <c r="J103" i="13"/>
  <c r="I103" i="13"/>
  <c r="H103" i="13"/>
  <c r="G103" i="13"/>
  <c r="F103" i="13"/>
  <c r="E103" i="13"/>
  <c r="D103" i="13"/>
  <c r="C103" i="13"/>
  <c r="B103" i="13"/>
  <c r="A103" i="13"/>
  <c r="AQ102" i="13"/>
  <c r="AP102" i="13"/>
  <c r="AO102" i="13"/>
  <c r="AR102" i="13" s="1"/>
  <c r="AS102" i="13" s="1"/>
  <c r="K103" i="4" s="1"/>
  <c r="AN102" i="13"/>
  <c r="AM102" i="13"/>
  <c r="AL102" i="13"/>
  <c r="AJ102" i="13"/>
  <c r="AI102" i="13"/>
  <c r="AH102" i="13"/>
  <c r="AG102" i="13"/>
  <c r="AF102" i="13"/>
  <c r="AE102" i="13"/>
  <c r="AC102" i="13"/>
  <c r="AB102" i="13"/>
  <c r="AA102" i="13"/>
  <c r="Z102" i="13"/>
  <c r="Y102" i="13"/>
  <c r="X102" i="13"/>
  <c r="V102" i="13"/>
  <c r="W102" i="13" s="1"/>
  <c r="G103" i="4" s="1"/>
  <c r="U102" i="13"/>
  <c r="T102" i="13"/>
  <c r="S102" i="13"/>
  <c r="R102" i="13"/>
  <c r="Q102" i="13"/>
  <c r="O102" i="13"/>
  <c r="N102" i="13"/>
  <c r="Y103" i="4" s="1"/>
  <c r="M102" i="13"/>
  <c r="L102" i="13"/>
  <c r="K102" i="13"/>
  <c r="V103" i="4" s="1"/>
  <c r="J102" i="13"/>
  <c r="U103" i="4" s="1"/>
  <c r="I102" i="13"/>
  <c r="H102" i="13"/>
  <c r="M103" i="4" s="1"/>
  <c r="G102" i="13"/>
  <c r="F102" i="13"/>
  <c r="E102" i="13"/>
  <c r="D102" i="13"/>
  <c r="C102" i="13"/>
  <c r="B102" i="13"/>
  <c r="A102" i="13"/>
  <c r="AQ101" i="13"/>
  <c r="AP101" i="13"/>
  <c r="AO101" i="13"/>
  <c r="AR101" i="13" s="1"/>
  <c r="AS101" i="13" s="1"/>
  <c r="K102" i="4" s="1"/>
  <c r="AN101" i="13"/>
  <c r="AM101" i="13"/>
  <c r="AL101" i="13"/>
  <c r="AJ101" i="13"/>
  <c r="AI101" i="13"/>
  <c r="AH101" i="13"/>
  <c r="AG101" i="13"/>
  <c r="AF101" i="13"/>
  <c r="AE101" i="13"/>
  <c r="AC101" i="13"/>
  <c r="AB101" i="13"/>
  <c r="AA101" i="13"/>
  <c r="Z101" i="13"/>
  <c r="Y101" i="13"/>
  <c r="X101" i="13"/>
  <c r="V101" i="13"/>
  <c r="U101" i="13"/>
  <c r="T101" i="13"/>
  <c r="S101" i="13"/>
  <c r="R101" i="13"/>
  <c r="Q101" i="13"/>
  <c r="O101" i="13"/>
  <c r="Z102" i="4" s="1"/>
  <c r="N101" i="13"/>
  <c r="M101" i="13"/>
  <c r="X102" i="4" s="1"/>
  <c r="L101" i="13"/>
  <c r="K101" i="13"/>
  <c r="J101" i="13"/>
  <c r="I101" i="13"/>
  <c r="H101" i="13"/>
  <c r="G101" i="13"/>
  <c r="F101" i="13"/>
  <c r="E101" i="13"/>
  <c r="AT101" i="13" s="1"/>
  <c r="D101" i="13"/>
  <c r="C101" i="13"/>
  <c r="B101" i="13"/>
  <c r="A101" i="13"/>
  <c r="AQ100" i="13"/>
  <c r="AP100" i="13"/>
  <c r="AO100" i="13"/>
  <c r="AN100" i="13"/>
  <c r="AM100" i="13"/>
  <c r="AL100" i="13"/>
  <c r="AJ100" i="13"/>
  <c r="AI100" i="13"/>
  <c r="AH100" i="13"/>
  <c r="AG100" i="13"/>
  <c r="AF100" i="13"/>
  <c r="AE100" i="13"/>
  <c r="AC100" i="13"/>
  <c r="AB100" i="13"/>
  <c r="AA100" i="13"/>
  <c r="Z100" i="13"/>
  <c r="Y100" i="13"/>
  <c r="X100" i="13"/>
  <c r="AD100" i="13" s="1"/>
  <c r="V100" i="13"/>
  <c r="U100" i="13"/>
  <c r="T100" i="13"/>
  <c r="W100" i="13" s="1"/>
  <c r="G101" i="4" s="1"/>
  <c r="S100" i="13"/>
  <c r="R100" i="13"/>
  <c r="Q100" i="13"/>
  <c r="O100" i="13"/>
  <c r="N100" i="13"/>
  <c r="M100" i="13"/>
  <c r="L100" i="13"/>
  <c r="W101" i="4" s="1"/>
  <c r="K100" i="13"/>
  <c r="J100" i="13"/>
  <c r="I100" i="13"/>
  <c r="H100" i="13"/>
  <c r="G100" i="13"/>
  <c r="F100" i="13"/>
  <c r="AW100" i="13" s="1"/>
  <c r="E100" i="13"/>
  <c r="C101" i="4" s="1"/>
  <c r="D100" i="13"/>
  <c r="B101" i="4" s="1"/>
  <c r="C100" i="13"/>
  <c r="B100" i="13"/>
  <c r="A100" i="13"/>
  <c r="AQ99" i="13"/>
  <c r="AP99" i="13"/>
  <c r="AO99" i="13"/>
  <c r="AN99" i="13"/>
  <c r="AM99" i="13"/>
  <c r="AL99" i="13"/>
  <c r="AJ99" i="13"/>
  <c r="AI99" i="13"/>
  <c r="AH99" i="13"/>
  <c r="AG99" i="13"/>
  <c r="AF99" i="13"/>
  <c r="AK99" i="13" s="1"/>
  <c r="J100" i="4" s="1"/>
  <c r="AE99" i="13"/>
  <c r="AC99" i="13"/>
  <c r="AB99" i="13"/>
  <c r="AD99" i="13" s="1"/>
  <c r="I100" i="4" s="1"/>
  <c r="AA99" i="13"/>
  <c r="Z99" i="13"/>
  <c r="Y99" i="13"/>
  <c r="X99" i="13"/>
  <c r="V99" i="13"/>
  <c r="U99" i="13"/>
  <c r="T99" i="13"/>
  <c r="S99" i="13"/>
  <c r="R99" i="13"/>
  <c r="Q99" i="13"/>
  <c r="O99" i="13"/>
  <c r="N99" i="13"/>
  <c r="M99" i="13"/>
  <c r="X100" i="4" s="1"/>
  <c r="L99" i="13"/>
  <c r="K99" i="13"/>
  <c r="J99" i="13"/>
  <c r="I99" i="13"/>
  <c r="H99" i="13"/>
  <c r="G99" i="13"/>
  <c r="F99" i="13"/>
  <c r="E99" i="13"/>
  <c r="AT99" i="13" s="1"/>
  <c r="D99" i="13"/>
  <c r="C99" i="13"/>
  <c r="B99" i="13"/>
  <c r="B100" i="4" s="1"/>
  <c r="A99" i="13"/>
  <c r="AQ98" i="13"/>
  <c r="AP98" i="13"/>
  <c r="AO98" i="13"/>
  <c r="AN98" i="13"/>
  <c r="AM98" i="13"/>
  <c r="AL98" i="13"/>
  <c r="AJ98" i="13"/>
  <c r="AK98" i="13" s="1"/>
  <c r="BA98" i="13" s="1"/>
  <c r="BB98" i="13" s="1"/>
  <c r="BC98" i="13" s="1"/>
  <c r="AA99" i="4" s="1"/>
  <c r="AI98" i="13"/>
  <c r="AH98" i="13"/>
  <c r="AG98" i="13"/>
  <c r="AF98" i="13"/>
  <c r="AE98" i="13"/>
  <c r="AC98" i="13"/>
  <c r="AB98" i="13"/>
  <c r="AA98" i="13"/>
  <c r="Z98" i="13"/>
  <c r="Y98" i="13"/>
  <c r="X98" i="13"/>
  <c r="AD98" i="13" s="1"/>
  <c r="AV98" i="13" s="1"/>
  <c r="AY98" i="13" s="1"/>
  <c r="AZ98" i="13" s="1"/>
  <c r="V98" i="13"/>
  <c r="U98" i="13"/>
  <c r="T98" i="13"/>
  <c r="S98" i="13"/>
  <c r="R98" i="13"/>
  <c r="Q98" i="13"/>
  <c r="O98" i="13"/>
  <c r="N98" i="13"/>
  <c r="M98" i="13"/>
  <c r="L98" i="13"/>
  <c r="K98" i="13"/>
  <c r="J98" i="13"/>
  <c r="I98" i="13"/>
  <c r="H98" i="13"/>
  <c r="G98" i="13"/>
  <c r="F98" i="13"/>
  <c r="AW98" i="13" s="1"/>
  <c r="AX98" i="13" s="1"/>
  <c r="E98" i="13"/>
  <c r="D98" i="13"/>
  <c r="C98" i="13"/>
  <c r="B98" i="13"/>
  <c r="E99" i="4" s="1"/>
  <c r="A98" i="13"/>
  <c r="AQ97" i="13"/>
  <c r="AP97" i="13"/>
  <c r="AO97" i="13"/>
  <c r="AN97" i="13"/>
  <c r="AM97" i="13"/>
  <c r="AL97" i="13"/>
  <c r="AJ97" i="13"/>
  <c r="AI97" i="13"/>
  <c r="AH97" i="13"/>
  <c r="AG97" i="13"/>
  <c r="AF97" i="13"/>
  <c r="AK97" i="13" s="1"/>
  <c r="J98" i="4" s="1"/>
  <c r="AE97" i="13"/>
  <c r="AC97" i="13"/>
  <c r="AB97" i="13"/>
  <c r="AA97" i="13"/>
  <c r="Z97" i="13"/>
  <c r="Y97" i="13"/>
  <c r="X97" i="13"/>
  <c r="V97" i="13"/>
  <c r="U97" i="13"/>
  <c r="T97" i="13"/>
  <c r="S97" i="13"/>
  <c r="R97" i="13"/>
  <c r="Q97" i="13"/>
  <c r="O97" i="13"/>
  <c r="N97" i="13"/>
  <c r="Y98" i="4" s="1"/>
  <c r="M97" i="13"/>
  <c r="X98" i="4" s="1"/>
  <c r="L97" i="13"/>
  <c r="W98" i="4" s="1"/>
  <c r="K97" i="13"/>
  <c r="P97" i="13" s="1"/>
  <c r="J97" i="13"/>
  <c r="I97" i="13"/>
  <c r="H97" i="13"/>
  <c r="M98" i="4" s="1"/>
  <c r="G97" i="13"/>
  <c r="F97" i="13"/>
  <c r="E97" i="13"/>
  <c r="D97" i="13"/>
  <c r="C97" i="13"/>
  <c r="A98" i="4" s="1"/>
  <c r="B97" i="13"/>
  <c r="A97" i="13"/>
  <c r="AQ96" i="13"/>
  <c r="AP96" i="13"/>
  <c r="AO96" i="13"/>
  <c r="AN96" i="13"/>
  <c r="AM96" i="13"/>
  <c r="AL96" i="13"/>
  <c r="AR96" i="13" s="1"/>
  <c r="AS96" i="13" s="1"/>
  <c r="AJ96" i="13"/>
  <c r="AI96" i="13"/>
  <c r="AH96" i="13"/>
  <c r="AK96" i="13" s="1"/>
  <c r="AG96" i="13"/>
  <c r="AF96" i="13"/>
  <c r="AE96" i="13"/>
  <c r="AC96" i="13"/>
  <c r="AB96" i="13"/>
  <c r="AA96" i="13"/>
  <c r="Z96" i="13"/>
  <c r="Y96" i="13"/>
  <c r="X96" i="13"/>
  <c r="V96" i="13"/>
  <c r="U96" i="13"/>
  <c r="T96" i="13"/>
  <c r="S96" i="13"/>
  <c r="R96" i="13"/>
  <c r="Q96" i="13"/>
  <c r="O96" i="13"/>
  <c r="P96" i="13" s="1"/>
  <c r="BA96" i="13" s="1"/>
  <c r="BB96" i="13" s="1"/>
  <c r="N96" i="13"/>
  <c r="M96" i="13"/>
  <c r="L96" i="13"/>
  <c r="K96" i="13"/>
  <c r="J96" i="13"/>
  <c r="I96" i="13"/>
  <c r="H96" i="13"/>
  <c r="G96" i="13"/>
  <c r="F96" i="13"/>
  <c r="E96" i="13"/>
  <c r="AU96" i="13" s="1"/>
  <c r="D96" i="13"/>
  <c r="C96" i="13"/>
  <c r="B96" i="13"/>
  <c r="A96" i="13"/>
  <c r="AQ95" i="13"/>
  <c r="AP95" i="13"/>
  <c r="AR95" i="13" s="1"/>
  <c r="AS95" i="13" s="1"/>
  <c r="K96" i="4" s="1"/>
  <c r="AO95" i="13"/>
  <c r="AN95" i="13"/>
  <c r="AM95" i="13"/>
  <c r="AL95" i="13"/>
  <c r="AJ95" i="13"/>
  <c r="AI95" i="13"/>
  <c r="AH95" i="13"/>
  <c r="AG95" i="13"/>
  <c r="AF95" i="13"/>
  <c r="AE95" i="13"/>
  <c r="AC95" i="13"/>
  <c r="AB95" i="13"/>
  <c r="AA95" i="13"/>
  <c r="Z95" i="13"/>
  <c r="Y95" i="13"/>
  <c r="X95" i="13"/>
  <c r="V95" i="13"/>
  <c r="U95" i="13"/>
  <c r="T95" i="13"/>
  <c r="S95" i="13"/>
  <c r="R95" i="13"/>
  <c r="Q95" i="13"/>
  <c r="O95" i="13"/>
  <c r="N95" i="13"/>
  <c r="M95" i="13"/>
  <c r="L95" i="13"/>
  <c r="K95" i="13"/>
  <c r="V96" i="4" s="1"/>
  <c r="J95" i="13"/>
  <c r="I95" i="13"/>
  <c r="H95" i="13"/>
  <c r="G95" i="13"/>
  <c r="L96" i="4" s="1"/>
  <c r="F95" i="13"/>
  <c r="E95" i="13"/>
  <c r="D95" i="13"/>
  <c r="C95" i="13"/>
  <c r="B95" i="13"/>
  <c r="A95" i="13"/>
  <c r="AQ94" i="13"/>
  <c r="AP94" i="13"/>
  <c r="AO94" i="13"/>
  <c r="AN94" i="13"/>
  <c r="AM94" i="13"/>
  <c r="AL94" i="13"/>
  <c r="AJ94" i="13"/>
  <c r="AI94" i="13"/>
  <c r="AH94" i="13"/>
  <c r="AG94" i="13"/>
  <c r="AF94" i="13"/>
  <c r="AE94" i="13"/>
  <c r="AC94" i="13"/>
  <c r="AB94" i="13"/>
  <c r="AA94" i="13"/>
  <c r="Z94" i="13"/>
  <c r="Y94" i="13"/>
  <c r="X94" i="13"/>
  <c r="V94" i="13"/>
  <c r="U94" i="13"/>
  <c r="T94" i="13"/>
  <c r="S94" i="13"/>
  <c r="R94" i="13"/>
  <c r="Q94" i="13"/>
  <c r="W94" i="13" s="1"/>
  <c r="G95" i="4" s="1"/>
  <c r="O94" i="13"/>
  <c r="N94" i="13"/>
  <c r="Y95" i="4" s="1"/>
  <c r="M94" i="13"/>
  <c r="L94" i="13"/>
  <c r="K94" i="13"/>
  <c r="J94" i="13"/>
  <c r="I94" i="13"/>
  <c r="H94" i="13"/>
  <c r="G94" i="13"/>
  <c r="F94" i="13"/>
  <c r="E94" i="13"/>
  <c r="D94" i="13"/>
  <c r="C94" i="13"/>
  <c r="B94" i="13"/>
  <c r="A94" i="13"/>
  <c r="AQ93" i="13"/>
  <c r="AP93" i="13"/>
  <c r="AO93" i="13"/>
  <c r="AN93" i="13"/>
  <c r="AM93" i="13"/>
  <c r="AL93" i="13"/>
  <c r="AJ93" i="13"/>
  <c r="AI93" i="13"/>
  <c r="AH93" i="13"/>
  <c r="AG93" i="13"/>
  <c r="AF93" i="13"/>
  <c r="AE93" i="13"/>
  <c r="AC93" i="13"/>
  <c r="AB93" i="13"/>
  <c r="AA93" i="13"/>
  <c r="Z93" i="13"/>
  <c r="Y93" i="13"/>
  <c r="AD93" i="13" s="1"/>
  <c r="X93" i="13"/>
  <c r="V93" i="13"/>
  <c r="U93" i="13"/>
  <c r="W93" i="13" s="1"/>
  <c r="G94" i="4" s="1"/>
  <c r="T93" i="13"/>
  <c r="S93" i="13"/>
  <c r="R93" i="13"/>
  <c r="Q93" i="13"/>
  <c r="O93" i="13"/>
  <c r="N93" i="13"/>
  <c r="M93" i="13"/>
  <c r="L93" i="13"/>
  <c r="W94" i="4" s="1"/>
  <c r="K93" i="13"/>
  <c r="J93" i="13"/>
  <c r="U94" i="4" s="1"/>
  <c r="I93" i="13"/>
  <c r="H93" i="13"/>
  <c r="M94" i="4" s="1"/>
  <c r="G93" i="13"/>
  <c r="L94" i="4" s="1"/>
  <c r="F93" i="13"/>
  <c r="E93" i="13"/>
  <c r="D93" i="13"/>
  <c r="B94" i="4" s="1"/>
  <c r="C93" i="13"/>
  <c r="B93" i="13"/>
  <c r="A93" i="13"/>
  <c r="AQ92" i="13"/>
  <c r="AP92" i="13"/>
  <c r="AO92" i="13"/>
  <c r="AN92" i="13"/>
  <c r="AM92" i="13"/>
  <c r="AL92" i="13"/>
  <c r="AJ92" i="13"/>
  <c r="AI92" i="13"/>
  <c r="AH92" i="13"/>
  <c r="AG92" i="13"/>
  <c r="AF92" i="13"/>
  <c r="AE92" i="13"/>
  <c r="AC92" i="13"/>
  <c r="AD92" i="13" s="1"/>
  <c r="I93" i="4" s="1"/>
  <c r="AB92" i="13"/>
  <c r="AA92" i="13"/>
  <c r="Z92" i="13"/>
  <c r="Y92" i="13"/>
  <c r="X92" i="13"/>
  <c r="V92" i="13"/>
  <c r="U92" i="13"/>
  <c r="T92" i="13"/>
  <c r="S92" i="13"/>
  <c r="R92" i="13"/>
  <c r="Q92" i="13"/>
  <c r="W92" i="13" s="1"/>
  <c r="G93" i="4" s="1"/>
  <c r="O92" i="13"/>
  <c r="N92" i="13"/>
  <c r="Y93" i="4" s="1"/>
  <c r="M92" i="13"/>
  <c r="L92" i="13"/>
  <c r="W93" i="4" s="1"/>
  <c r="K92" i="13"/>
  <c r="J92" i="13"/>
  <c r="I92" i="13"/>
  <c r="H92" i="13"/>
  <c r="G92" i="13"/>
  <c r="L93" i="4" s="1"/>
  <c r="F92" i="13"/>
  <c r="E92" i="13"/>
  <c r="D92" i="13"/>
  <c r="C92" i="13"/>
  <c r="B92" i="13"/>
  <c r="A92" i="13"/>
  <c r="AQ91" i="13"/>
  <c r="AP91" i="13"/>
  <c r="AO91" i="13"/>
  <c r="AN91" i="13"/>
  <c r="AM91" i="13"/>
  <c r="AL91" i="13"/>
  <c r="AJ91" i="13"/>
  <c r="AI91" i="13"/>
  <c r="AH91" i="13"/>
  <c r="AG91" i="13"/>
  <c r="AF91" i="13"/>
  <c r="AE91" i="13"/>
  <c r="AC91" i="13"/>
  <c r="AB91" i="13"/>
  <c r="AA91" i="13"/>
  <c r="Z91" i="13"/>
  <c r="Y91" i="13"/>
  <c r="AD91" i="13" s="1"/>
  <c r="AV91" i="13" s="1"/>
  <c r="X91" i="13"/>
  <c r="V91" i="13"/>
  <c r="U91" i="13"/>
  <c r="T91" i="13"/>
  <c r="S91" i="13"/>
  <c r="R91" i="13"/>
  <c r="Q91" i="13"/>
  <c r="O91" i="13"/>
  <c r="N91" i="13"/>
  <c r="M91" i="13"/>
  <c r="L91" i="13"/>
  <c r="K91" i="13"/>
  <c r="P91" i="13" s="1"/>
  <c r="J91" i="13"/>
  <c r="I91" i="13"/>
  <c r="H91" i="13"/>
  <c r="G91" i="13"/>
  <c r="F91" i="13"/>
  <c r="E91" i="13"/>
  <c r="D91" i="13"/>
  <c r="C91" i="13"/>
  <c r="B91" i="13"/>
  <c r="A91" i="13"/>
  <c r="AQ90" i="13"/>
  <c r="AP90" i="13"/>
  <c r="AO90" i="13"/>
  <c r="AN90" i="13"/>
  <c r="AM90" i="13"/>
  <c r="AL90" i="13"/>
  <c r="AJ90" i="13"/>
  <c r="AI90" i="13"/>
  <c r="AH90" i="13"/>
  <c r="AG90" i="13"/>
  <c r="AF90" i="13"/>
  <c r="AE90" i="13"/>
  <c r="AK90" i="13" s="1"/>
  <c r="J91" i="4" s="1"/>
  <c r="AC90" i="13"/>
  <c r="AB90" i="13"/>
  <c r="AA90" i="13"/>
  <c r="AD90" i="13" s="1"/>
  <c r="Z90" i="13"/>
  <c r="Y90" i="13"/>
  <c r="X90" i="13"/>
  <c r="V90" i="13"/>
  <c r="U90" i="13"/>
  <c r="T90" i="13"/>
  <c r="S90" i="13"/>
  <c r="R90" i="13"/>
  <c r="Q90" i="13"/>
  <c r="O90" i="13"/>
  <c r="N90" i="13"/>
  <c r="M90" i="13"/>
  <c r="L90" i="13"/>
  <c r="W91" i="4" s="1"/>
  <c r="K90" i="13"/>
  <c r="J90" i="13"/>
  <c r="I90" i="13"/>
  <c r="H90" i="13"/>
  <c r="G90" i="13"/>
  <c r="F90" i="13"/>
  <c r="E90" i="13"/>
  <c r="AT90" i="13" s="1"/>
  <c r="D90" i="13"/>
  <c r="C90" i="13"/>
  <c r="B90" i="13"/>
  <c r="A90" i="13"/>
  <c r="AQ89" i="13"/>
  <c r="AP89" i="13"/>
  <c r="AO89" i="13"/>
  <c r="AN89" i="13"/>
  <c r="AM89" i="13"/>
  <c r="AR89" i="13" s="1"/>
  <c r="AS89" i="13" s="1"/>
  <c r="K90" i="4" s="1"/>
  <c r="AL89" i="13"/>
  <c r="AJ89" i="13"/>
  <c r="AI89" i="13"/>
  <c r="AK89" i="13" s="1"/>
  <c r="BD89" i="13" s="1"/>
  <c r="AB90" i="4" s="1"/>
  <c r="AH89" i="13"/>
  <c r="AG89" i="13"/>
  <c r="AF89" i="13"/>
  <c r="AE89" i="13"/>
  <c r="AC89" i="13"/>
  <c r="AB89" i="13"/>
  <c r="AA89" i="13"/>
  <c r="Z89" i="13"/>
  <c r="Y89" i="13"/>
  <c r="X89" i="13"/>
  <c r="V89" i="13"/>
  <c r="U89" i="13"/>
  <c r="T89" i="13"/>
  <c r="S89" i="13"/>
  <c r="R89" i="13"/>
  <c r="Q89" i="13"/>
  <c r="O89" i="13"/>
  <c r="N89" i="13"/>
  <c r="M89" i="13"/>
  <c r="L89" i="13"/>
  <c r="K89" i="13"/>
  <c r="J89" i="13"/>
  <c r="I89" i="13"/>
  <c r="H89" i="13"/>
  <c r="G89" i="13"/>
  <c r="F89" i="13"/>
  <c r="E89" i="13"/>
  <c r="AU89" i="13" s="1"/>
  <c r="D89" i="13"/>
  <c r="C89" i="13"/>
  <c r="A90" i="4" s="1"/>
  <c r="B89" i="13"/>
  <c r="A89" i="13"/>
  <c r="AQ88" i="13"/>
  <c r="AR88" i="13" s="1"/>
  <c r="AS88" i="13" s="1"/>
  <c r="K89" i="4" s="1"/>
  <c r="AP88" i="13"/>
  <c r="AO88" i="13"/>
  <c r="AN88" i="13"/>
  <c r="AM88" i="13"/>
  <c r="AL88" i="13"/>
  <c r="AJ88" i="13"/>
  <c r="AI88" i="13"/>
  <c r="AH88" i="13"/>
  <c r="AG88" i="13"/>
  <c r="AF88" i="13"/>
  <c r="AE88" i="13"/>
  <c r="AK88" i="13" s="1"/>
  <c r="J89" i="4" s="1"/>
  <c r="AC88" i="13"/>
  <c r="AB88" i="13"/>
  <c r="AA88" i="13"/>
  <c r="Z88" i="13"/>
  <c r="Y88" i="13"/>
  <c r="X88" i="13"/>
  <c r="V88" i="13"/>
  <c r="U88" i="13"/>
  <c r="T88" i="13"/>
  <c r="S88" i="13"/>
  <c r="R88" i="13"/>
  <c r="Q88" i="13"/>
  <c r="O88" i="13"/>
  <c r="N88" i="13"/>
  <c r="M88" i="13"/>
  <c r="L88" i="13"/>
  <c r="K88" i="13"/>
  <c r="J88" i="13"/>
  <c r="P88" i="13" s="1"/>
  <c r="I88" i="13"/>
  <c r="H88" i="13"/>
  <c r="G88" i="13"/>
  <c r="F88" i="13"/>
  <c r="E88" i="13"/>
  <c r="D88" i="13"/>
  <c r="C88" i="13"/>
  <c r="B88" i="13"/>
  <c r="A88" i="13"/>
  <c r="AQ87" i="13"/>
  <c r="AP87" i="13"/>
  <c r="AO87" i="13"/>
  <c r="AN87" i="13"/>
  <c r="AM87" i="13"/>
  <c r="AL87" i="13"/>
  <c r="AJ87" i="13"/>
  <c r="AI87" i="13"/>
  <c r="AH87" i="13"/>
  <c r="AG87" i="13"/>
  <c r="AF87" i="13"/>
  <c r="AE87" i="13"/>
  <c r="AC87" i="13"/>
  <c r="AB87" i="13"/>
  <c r="AA87" i="13"/>
  <c r="Z87" i="13"/>
  <c r="Y87" i="13"/>
  <c r="X87" i="13"/>
  <c r="V87" i="13"/>
  <c r="U87" i="13"/>
  <c r="T87" i="13"/>
  <c r="S87" i="13"/>
  <c r="R87" i="13"/>
  <c r="W87" i="13" s="1"/>
  <c r="G88" i="4" s="1"/>
  <c r="Q87" i="13"/>
  <c r="O87" i="13"/>
  <c r="Z88" i="4" s="1"/>
  <c r="N87" i="13"/>
  <c r="P87" i="13" s="1"/>
  <c r="AV87" i="13" s="1"/>
  <c r="M87" i="13"/>
  <c r="L87" i="13"/>
  <c r="K87" i="13"/>
  <c r="J87" i="13"/>
  <c r="I87" i="13"/>
  <c r="H87" i="13"/>
  <c r="G87" i="13"/>
  <c r="F87" i="13"/>
  <c r="E87" i="13"/>
  <c r="D87" i="13"/>
  <c r="C87" i="13"/>
  <c r="A88" i="4" s="1"/>
  <c r="B87" i="13"/>
  <c r="V88" i="4" s="1"/>
  <c r="A87" i="13"/>
  <c r="AQ86" i="13"/>
  <c r="AP86" i="13"/>
  <c r="AO86" i="13"/>
  <c r="AR86" i="13" s="1"/>
  <c r="AS86" i="13" s="1"/>
  <c r="K87" i="4" s="1"/>
  <c r="AN86" i="13"/>
  <c r="AM86" i="13"/>
  <c r="AL86" i="13"/>
  <c r="AJ86" i="13"/>
  <c r="AI86" i="13"/>
  <c r="AH86" i="13"/>
  <c r="AG86" i="13"/>
  <c r="AF86" i="13"/>
  <c r="AE86" i="13"/>
  <c r="AC86" i="13"/>
  <c r="AB86" i="13"/>
  <c r="AA86" i="13"/>
  <c r="Z86" i="13"/>
  <c r="Y86" i="13"/>
  <c r="X86" i="13"/>
  <c r="V86" i="13"/>
  <c r="W86" i="13" s="1"/>
  <c r="G87" i="4" s="1"/>
  <c r="U86" i="13"/>
  <c r="T86" i="13"/>
  <c r="S86" i="13"/>
  <c r="R86" i="13"/>
  <c r="Q86" i="13"/>
  <c r="O86" i="13"/>
  <c r="N86" i="13"/>
  <c r="Y87" i="4" s="1"/>
  <c r="M86" i="13"/>
  <c r="L86" i="13"/>
  <c r="K86" i="13"/>
  <c r="V87" i="4" s="1"/>
  <c r="J86" i="13"/>
  <c r="U87" i="4" s="1"/>
  <c r="I86" i="13"/>
  <c r="H86" i="13"/>
  <c r="M87" i="4" s="1"/>
  <c r="G86" i="13"/>
  <c r="F86" i="13"/>
  <c r="E86" i="13"/>
  <c r="D86" i="13"/>
  <c r="C86" i="13"/>
  <c r="B86" i="13"/>
  <c r="A86" i="13"/>
  <c r="AQ85" i="13"/>
  <c r="AP85" i="13"/>
  <c r="AO85" i="13"/>
  <c r="AN85" i="13"/>
  <c r="AM85" i="13"/>
  <c r="AL85" i="13"/>
  <c r="AJ85" i="13"/>
  <c r="AI85" i="13"/>
  <c r="AH85" i="13"/>
  <c r="AG85" i="13"/>
  <c r="AF85" i="13"/>
  <c r="AE85" i="13"/>
  <c r="AC85" i="13"/>
  <c r="AB85" i="13"/>
  <c r="AA85" i="13"/>
  <c r="Z85" i="13"/>
  <c r="Y85" i="13"/>
  <c r="X85" i="13"/>
  <c r="V85" i="13"/>
  <c r="U85" i="13"/>
  <c r="T85" i="13"/>
  <c r="S85" i="13"/>
  <c r="R85" i="13"/>
  <c r="W85" i="13" s="1"/>
  <c r="G86" i="4" s="1"/>
  <c r="Q85" i="13"/>
  <c r="O85" i="13"/>
  <c r="N85" i="13"/>
  <c r="M85" i="13"/>
  <c r="X86" i="4" s="1"/>
  <c r="L85" i="13"/>
  <c r="K85" i="13"/>
  <c r="J85" i="13"/>
  <c r="I85" i="13"/>
  <c r="H85" i="13"/>
  <c r="G85" i="13"/>
  <c r="F85" i="13"/>
  <c r="E85" i="13"/>
  <c r="D85" i="13"/>
  <c r="C85" i="13"/>
  <c r="B85" i="13"/>
  <c r="A85" i="13"/>
  <c r="AQ84" i="13"/>
  <c r="AP84" i="13"/>
  <c r="AO84" i="13"/>
  <c r="AN84" i="13"/>
  <c r="AM84" i="13"/>
  <c r="AL84" i="13"/>
  <c r="AJ84" i="13"/>
  <c r="AI84" i="13"/>
  <c r="AH84" i="13"/>
  <c r="AG84" i="13"/>
  <c r="AF84" i="13"/>
  <c r="AE84" i="13"/>
  <c r="AC84" i="13"/>
  <c r="AB84" i="13"/>
  <c r="AA84" i="13"/>
  <c r="Z84" i="13"/>
  <c r="Y84" i="13"/>
  <c r="X84" i="13"/>
  <c r="AD84" i="13" s="1"/>
  <c r="V84" i="13"/>
  <c r="U84" i="13"/>
  <c r="T84" i="13"/>
  <c r="W84" i="13" s="1"/>
  <c r="G85" i="4" s="1"/>
  <c r="S84" i="13"/>
  <c r="R84" i="13"/>
  <c r="Q84" i="13"/>
  <c r="O84" i="13"/>
  <c r="N84" i="13"/>
  <c r="M84" i="13"/>
  <c r="L84" i="13"/>
  <c r="W85" i="4" s="1"/>
  <c r="K84" i="13"/>
  <c r="J84" i="13"/>
  <c r="I84" i="13"/>
  <c r="H84" i="13"/>
  <c r="G84" i="13"/>
  <c r="L85" i="4" s="1"/>
  <c r="F84" i="13"/>
  <c r="E84" i="13"/>
  <c r="AT84" i="13" s="1"/>
  <c r="N85" i="4" s="1"/>
  <c r="D84" i="13"/>
  <c r="B85" i="4" s="1"/>
  <c r="C84" i="13"/>
  <c r="A85" i="4" s="1"/>
  <c r="B84" i="13"/>
  <c r="A84" i="13"/>
  <c r="AQ83" i="13"/>
  <c r="AP83" i="13"/>
  <c r="AO83" i="13"/>
  <c r="AN83" i="13"/>
  <c r="AM83" i="13"/>
  <c r="AL83" i="13"/>
  <c r="AJ83" i="13"/>
  <c r="AI83" i="13"/>
  <c r="AH83" i="13"/>
  <c r="AG83" i="13"/>
  <c r="AF83" i="13"/>
  <c r="AK83" i="13" s="1"/>
  <c r="J84" i="4" s="1"/>
  <c r="AE83" i="13"/>
  <c r="AC83" i="13"/>
  <c r="AB83" i="13"/>
  <c r="AD83" i="13" s="1"/>
  <c r="I84" i="4" s="1"/>
  <c r="AA83" i="13"/>
  <c r="Z83" i="13"/>
  <c r="Y83" i="13"/>
  <c r="X83" i="13"/>
  <c r="V83" i="13"/>
  <c r="U83" i="13"/>
  <c r="T83" i="13"/>
  <c r="S83" i="13"/>
  <c r="R83" i="13"/>
  <c r="Q83" i="13"/>
  <c r="O83" i="13"/>
  <c r="Z84" i="4" s="1"/>
  <c r="N83" i="13"/>
  <c r="Y84" i="4" s="1"/>
  <c r="M83" i="13"/>
  <c r="X84" i="4" s="1"/>
  <c r="L83" i="13"/>
  <c r="K83" i="13"/>
  <c r="V84" i="4" s="1"/>
  <c r="J83" i="13"/>
  <c r="I83" i="13"/>
  <c r="H83" i="13"/>
  <c r="G83" i="13"/>
  <c r="F83" i="13"/>
  <c r="E83" i="13"/>
  <c r="D83" i="13"/>
  <c r="C83" i="13"/>
  <c r="B83" i="13"/>
  <c r="A83" i="13"/>
  <c r="AQ82" i="13"/>
  <c r="AP82" i="13"/>
  <c r="AO82" i="13"/>
  <c r="AN82" i="13"/>
  <c r="AM82" i="13"/>
  <c r="AL82" i="13"/>
  <c r="AJ82" i="13"/>
  <c r="AK82" i="13" s="1"/>
  <c r="BA82" i="13" s="1"/>
  <c r="BB82" i="13" s="1"/>
  <c r="BC82" i="13" s="1"/>
  <c r="AI82" i="13"/>
  <c r="AH82" i="13"/>
  <c r="AG82" i="13"/>
  <c r="AF82" i="13"/>
  <c r="AE82" i="13"/>
  <c r="AC82" i="13"/>
  <c r="AB82" i="13"/>
  <c r="AA82" i="13"/>
  <c r="Z82" i="13"/>
  <c r="Y82" i="13"/>
  <c r="X82" i="13"/>
  <c r="AD82" i="13" s="1"/>
  <c r="V82" i="13"/>
  <c r="U82" i="13"/>
  <c r="T82" i="13"/>
  <c r="S82" i="13"/>
  <c r="R82" i="13"/>
  <c r="Q82" i="13"/>
  <c r="O82" i="13"/>
  <c r="N82" i="13"/>
  <c r="M82" i="13"/>
  <c r="L82" i="13"/>
  <c r="K82" i="13"/>
  <c r="J82" i="13"/>
  <c r="I82" i="13"/>
  <c r="H82" i="13"/>
  <c r="G82" i="13"/>
  <c r="F82" i="13"/>
  <c r="AW82" i="13" s="1"/>
  <c r="E82" i="13"/>
  <c r="D82" i="13"/>
  <c r="C82" i="13"/>
  <c r="B82" i="13"/>
  <c r="A82" i="13"/>
  <c r="AQ81" i="13"/>
  <c r="AP81" i="13"/>
  <c r="AO81" i="13"/>
  <c r="AN81" i="13"/>
  <c r="AM81" i="13"/>
  <c r="AL81" i="13"/>
  <c r="AJ81" i="13"/>
  <c r="AI81" i="13"/>
  <c r="AH81" i="13"/>
  <c r="AG81" i="13"/>
  <c r="AF81" i="13"/>
  <c r="AE81" i="13"/>
  <c r="AC81" i="13"/>
  <c r="AB81" i="13"/>
  <c r="AA81" i="13"/>
  <c r="Z81" i="13"/>
  <c r="Y81" i="13"/>
  <c r="X81" i="13"/>
  <c r="V81" i="13"/>
  <c r="U81" i="13"/>
  <c r="T81" i="13"/>
  <c r="S81" i="13"/>
  <c r="R81" i="13"/>
  <c r="Q81" i="13"/>
  <c r="O81" i="13"/>
  <c r="N81" i="13"/>
  <c r="M81" i="13"/>
  <c r="L81" i="13"/>
  <c r="W82" i="4" s="1"/>
  <c r="K81" i="13"/>
  <c r="P81" i="13" s="1"/>
  <c r="J81" i="13"/>
  <c r="I81" i="13"/>
  <c r="H81" i="13"/>
  <c r="M82" i="4" s="1"/>
  <c r="G81" i="13"/>
  <c r="F81" i="13"/>
  <c r="E81" i="13"/>
  <c r="D81" i="13"/>
  <c r="C81" i="13"/>
  <c r="B81" i="13"/>
  <c r="A81" i="13"/>
  <c r="AQ80" i="13"/>
  <c r="AP80" i="13"/>
  <c r="AO80" i="13"/>
  <c r="AN80" i="13"/>
  <c r="AM80" i="13"/>
  <c r="AL80" i="13"/>
  <c r="AR80" i="13" s="1"/>
  <c r="AS80" i="13" s="1"/>
  <c r="AJ80" i="13"/>
  <c r="AI80" i="13"/>
  <c r="AH80" i="13"/>
  <c r="AK80" i="13" s="1"/>
  <c r="AG80" i="13"/>
  <c r="AF80" i="13"/>
  <c r="AE80" i="13"/>
  <c r="AC80" i="13"/>
  <c r="AB80" i="13"/>
  <c r="AA80" i="13"/>
  <c r="Z80" i="13"/>
  <c r="Y80" i="13"/>
  <c r="X80" i="13"/>
  <c r="V80" i="13"/>
  <c r="U80" i="13"/>
  <c r="T80" i="13"/>
  <c r="S80" i="13"/>
  <c r="R80" i="13"/>
  <c r="Q80" i="13"/>
  <c r="O80" i="13"/>
  <c r="P80" i="13" s="1"/>
  <c r="BD80" i="13" s="1"/>
  <c r="N80" i="13"/>
  <c r="M80" i="13"/>
  <c r="L80" i="13"/>
  <c r="K80" i="13"/>
  <c r="J80" i="13"/>
  <c r="I80" i="13"/>
  <c r="H80" i="13"/>
  <c r="G80" i="13"/>
  <c r="F80" i="13"/>
  <c r="E80" i="13"/>
  <c r="AU80" i="13" s="1"/>
  <c r="D80" i="13"/>
  <c r="C80" i="13"/>
  <c r="B80" i="13"/>
  <c r="A80" i="13"/>
  <c r="AQ79" i="13"/>
  <c r="AP79" i="13"/>
  <c r="AR79" i="13" s="1"/>
  <c r="AS79" i="13" s="1"/>
  <c r="K80" i="4" s="1"/>
  <c r="AO79" i="13"/>
  <c r="AN79" i="13"/>
  <c r="AM79" i="13"/>
  <c r="AL79" i="13"/>
  <c r="AJ79" i="13"/>
  <c r="AI79" i="13"/>
  <c r="AH79" i="13"/>
  <c r="AG79" i="13"/>
  <c r="AF79" i="13"/>
  <c r="AE79" i="13"/>
  <c r="AC79" i="13"/>
  <c r="AB79" i="13"/>
  <c r="AA79" i="13"/>
  <c r="Z79" i="13"/>
  <c r="Y79" i="13"/>
  <c r="X79" i="13"/>
  <c r="V79" i="13"/>
  <c r="U79" i="13"/>
  <c r="T79" i="13"/>
  <c r="S79" i="13"/>
  <c r="R79" i="13"/>
  <c r="Q79" i="13"/>
  <c r="O79" i="13"/>
  <c r="N79" i="13"/>
  <c r="M79" i="13"/>
  <c r="L79" i="13"/>
  <c r="K79" i="13"/>
  <c r="P79" i="13" s="1"/>
  <c r="E80" i="4" s="1"/>
  <c r="J79" i="13"/>
  <c r="I79" i="13"/>
  <c r="H79" i="13"/>
  <c r="G79" i="13"/>
  <c r="L80" i="4" s="1"/>
  <c r="F79" i="13"/>
  <c r="E79" i="13"/>
  <c r="D79" i="13"/>
  <c r="C79" i="13"/>
  <c r="B79" i="13"/>
  <c r="A79" i="13"/>
  <c r="AQ78" i="13"/>
  <c r="AP78" i="13"/>
  <c r="AO78" i="13"/>
  <c r="AN78" i="13"/>
  <c r="AM78" i="13"/>
  <c r="AL78" i="13"/>
  <c r="AR78" i="13" s="1"/>
  <c r="AS78" i="13" s="1"/>
  <c r="K79" i="4" s="1"/>
  <c r="AJ78" i="13"/>
  <c r="AI78" i="13"/>
  <c r="AH78" i="13"/>
  <c r="AG78" i="13"/>
  <c r="AF78" i="13"/>
  <c r="AE78" i="13"/>
  <c r="AC78" i="13"/>
  <c r="AB78" i="13"/>
  <c r="AA78" i="13"/>
  <c r="Z78" i="13"/>
  <c r="Y78" i="13"/>
  <c r="X78" i="13"/>
  <c r="V78" i="13"/>
  <c r="U78" i="13"/>
  <c r="T78" i="13"/>
  <c r="S78" i="13"/>
  <c r="R78" i="13"/>
  <c r="Q78" i="13"/>
  <c r="W78" i="13" s="1"/>
  <c r="G79" i="4" s="1"/>
  <c r="O78" i="13"/>
  <c r="N78" i="13"/>
  <c r="M78" i="13"/>
  <c r="L78" i="13"/>
  <c r="K78" i="13"/>
  <c r="J78" i="13"/>
  <c r="I78" i="13"/>
  <c r="H78" i="13"/>
  <c r="G78" i="13"/>
  <c r="F78" i="13"/>
  <c r="E78" i="13"/>
  <c r="D78" i="13"/>
  <c r="C78" i="13"/>
  <c r="B78" i="13"/>
  <c r="A78" i="13"/>
  <c r="AQ77" i="13"/>
  <c r="AP77" i="13"/>
  <c r="AO77" i="13"/>
  <c r="AN77" i="13"/>
  <c r="AM77" i="13"/>
  <c r="AL77" i="13"/>
  <c r="AJ77" i="13"/>
  <c r="AI77" i="13"/>
  <c r="AH77" i="13"/>
  <c r="AG77" i="13"/>
  <c r="AF77" i="13"/>
  <c r="AE77" i="13"/>
  <c r="AC77" i="13"/>
  <c r="AB77" i="13"/>
  <c r="AA77" i="13"/>
  <c r="Z77" i="13"/>
  <c r="Y77" i="13"/>
  <c r="AD77" i="13" s="1"/>
  <c r="X77" i="13"/>
  <c r="V77" i="13"/>
  <c r="U77" i="13"/>
  <c r="W77" i="13" s="1"/>
  <c r="G78" i="4" s="1"/>
  <c r="T77" i="13"/>
  <c r="S77" i="13"/>
  <c r="R77" i="13"/>
  <c r="Q77" i="13"/>
  <c r="O77" i="13"/>
  <c r="N77" i="13"/>
  <c r="M77" i="13"/>
  <c r="X78" i="4" s="1"/>
  <c r="L77" i="13"/>
  <c r="K77" i="13"/>
  <c r="J77" i="13"/>
  <c r="I77" i="13"/>
  <c r="H77" i="13"/>
  <c r="M78" i="4" s="1"/>
  <c r="G77" i="13"/>
  <c r="L78" i="4" s="1"/>
  <c r="F77" i="13"/>
  <c r="E77" i="13"/>
  <c r="D77" i="13"/>
  <c r="B78" i="4" s="1"/>
  <c r="C77" i="13"/>
  <c r="B77" i="13"/>
  <c r="A77" i="13"/>
  <c r="AQ76" i="13"/>
  <c r="AP76" i="13"/>
  <c r="AO76" i="13"/>
  <c r="AN76" i="13"/>
  <c r="AM76" i="13"/>
  <c r="AL76" i="13"/>
  <c r="AJ76" i="13"/>
  <c r="AI76" i="13"/>
  <c r="AH76" i="13"/>
  <c r="AG76" i="13"/>
  <c r="AF76" i="13"/>
  <c r="AE76" i="13"/>
  <c r="AC76" i="13"/>
  <c r="AD76" i="13" s="1"/>
  <c r="AB76" i="13"/>
  <c r="AA76" i="13"/>
  <c r="Z76" i="13"/>
  <c r="Y76" i="13"/>
  <c r="X76" i="13"/>
  <c r="V76" i="13"/>
  <c r="U76" i="13"/>
  <c r="T76" i="13"/>
  <c r="S76" i="13"/>
  <c r="R76" i="13"/>
  <c r="Q76" i="13"/>
  <c r="O76" i="13"/>
  <c r="N76" i="13"/>
  <c r="M76" i="13"/>
  <c r="L76" i="13"/>
  <c r="W77" i="4" s="1"/>
  <c r="K76" i="13"/>
  <c r="J76" i="13"/>
  <c r="I76" i="13"/>
  <c r="H76" i="13"/>
  <c r="G76" i="13"/>
  <c r="F76" i="13"/>
  <c r="D77" i="4" s="1"/>
  <c r="E76" i="13"/>
  <c r="D76" i="13"/>
  <c r="C76" i="13"/>
  <c r="B76" i="13"/>
  <c r="A76" i="13"/>
  <c r="AQ75" i="13"/>
  <c r="AP75" i="13"/>
  <c r="AO75" i="13"/>
  <c r="AN75" i="13"/>
  <c r="AM75" i="13"/>
  <c r="AL75" i="13"/>
  <c r="AJ75" i="13"/>
  <c r="AI75" i="13"/>
  <c r="AH75" i="13"/>
  <c r="AG75" i="13"/>
  <c r="AF75" i="13"/>
  <c r="AE75" i="13"/>
  <c r="AC75" i="13"/>
  <c r="AB75" i="13"/>
  <c r="AA75" i="13"/>
  <c r="Z75" i="13"/>
  <c r="Y75" i="13"/>
  <c r="X75" i="13"/>
  <c r="V75" i="13"/>
  <c r="U75" i="13"/>
  <c r="T75" i="13"/>
  <c r="S75" i="13"/>
  <c r="R75" i="13"/>
  <c r="Q75" i="13"/>
  <c r="O75" i="13"/>
  <c r="N75" i="13"/>
  <c r="M75" i="13"/>
  <c r="L75" i="13"/>
  <c r="K75" i="13"/>
  <c r="J75" i="13"/>
  <c r="I75" i="13"/>
  <c r="H75" i="13"/>
  <c r="G75" i="13"/>
  <c r="F75" i="13"/>
  <c r="E75" i="13"/>
  <c r="D75" i="13"/>
  <c r="C75" i="13"/>
  <c r="B75" i="13"/>
  <c r="A75" i="13"/>
  <c r="AQ74" i="13"/>
  <c r="AP74" i="13"/>
  <c r="AO74" i="13"/>
  <c r="AN74" i="13"/>
  <c r="AM74" i="13"/>
  <c r="AL74" i="13"/>
  <c r="AJ74" i="13"/>
  <c r="AI74" i="13"/>
  <c r="AH74" i="13"/>
  <c r="AG74" i="13"/>
  <c r="AF74" i="13"/>
  <c r="AE74" i="13"/>
  <c r="AK74" i="13" s="1"/>
  <c r="J75" i="4" s="1"/>
  <c r="AC74" i="13"/>
  <c r="AB74" i="13"/>
  <c r="AA74" i="13"/>
  <c r="AD74" i="13" s="1"/>
  <c r="Z74" i="13"/>
  <c r="Y74" i="13"/>
  <c r="X74" i="13"/>
  <c r="V74" i="13"/>
  <c r="U74" i="13"/>
  <c r="T74" i="13"/>
  <c r="S74" i="13"/>
  <c r="R74" i="13"/>
  <c r="Q74" i="13"/>
  <c r="O74" i="13"/>
  <c r="N74" i="13"/>
  <c r="M74" i="13"/>
  <c r="L74" i="13"/>
  <c r="K74" i="13"/>
  <c r="J74" i="13"/>
  <c r="U75" i="4" s="1"/>
  <c r="I74" i="13"/>
  <c r="H74" i="13"/>
  <c r="G74" i="13"/>
  <c r="F74" i="13"/>
  <c r="E74" i="13"/>
  <c r="D74" i="13"/>
  <c r="C74" i="13"/>
  <c r="B74" i="13"/>
  <c r="A74" i="13"/>
  <c r="AQ73" i="13"/>
  <c r="AP73" i="13"/>
  <c r="AO73" i="13"/>
  <c r="AN73" i="13"/>
  <c r="AM73" i="13"/>
  <c r="AR73" i="13" s="1"/>
  <c r="AS73" i="13" s="1"/>
  <c r="K74" i="4" s="1"/>
  <c r="AL73" i="13"/>
  <c r="AJ73" i="13"/>
  <c r="AI73" i="13"/>
  <c r="AK73" i="13" s="1"/>
  <c r="AH73" i="13"/>
  <c r="AG73" i="13"/>
  <c r="AF73" i="13"/>
  <c r="AE73" i="13"/>
  <c r="AC73" i="13"/>
  <c r="AB73" i="13"/>
  <c r="AA73" i="13"/>
  <c r="Z73" i="13"/>
  <c r="Y73" i="13"/>
  <c r="X73" i="13"/>
  <c r="V73" i="13"/>
  <c r="U73" i="13"/>
  <c r="T73" i="13"/>
  <c r="S73" i="13"/>
  <c r="R73" i="13"/>
  <c r="Q73" i="13"/>
  <c r="O73" i="13"/>
  <c r="N73" i="13"/>
  <c r="M73" i="13"/>
  <c r="L73" i="13"/>
  <c r="K73" i="13"/>
  <c r="J73" i="13"/>
  <c r="I73" i="13"/>
  <c r="H73" i="13"/>
  <c r="G73" i="13"/>
  <c r="F73" i="13"/>
  <c r="E73" i="13"/>
  <c r="AU73" i="13" s="1"/>
  <c r="D73" i="13"/>
  <c r="C73" i="13"/>
  <c r="A74" i="4" s="1"/>
  <c r="B73" i="13"/>
  <c r="A73" i="13"/>
  <c r="AQ72" i="13"/>
  <c r="AR72" i="13" s="1"/>
  <c r="AS72" i="13" s="1"/>
  <c r="K73" i="4" s="1"/>
  <c r="AP72" i="13"/>
  <c r="AO72" i="13"/>
  <c r="AN72" i="13"/>
  <c r="AM72" i="13"/>
  <c r="AL72" i="13"/>
  <c r="AJ72" i="13"/>
  <c r="AI72" i="13"/>
  <c r="AH72" i="13"/>
  <c r="AG72" i="13"/>
  <c r="AF72" i="13"/>
  <c r="AE72" i="13"/>
  <c r="AK72" i="13" s="1"/>
  <c r="J73" i="4" s="1"/>
  <c r="AC72" i="13"/>
  <c r="AB72" i="13"/>
  <c r="AA72" i="13"/>
  <c r="Z72" i="13"/>
  <c r="Y72" i="13"/>
  <c r="X72" i="13"/>
  <c r="V72" i="13"/>
  <c r="U72" i="13"/>
  <c r="T72" i="13"/>
  <c r="S72" i="13"/>
  <c r="R72" i="13"/>
  <c r="Q72" i="13"/>
  <c r="O72" i="13"/>
  <c r="N72" i="13"/>
  <c r="M72" i="13"/>
  <c r="L72" i="13"/>
  <c r="K72" i="13"/>
  <c r="J72" i="13"/>
  <c r="P72" i="13" s="1"/>
  <c r="I72" i="13"/>
  <c r="H72" i="13"/>
  <c r="G72" i="13"/>
  <c r="F72" i="13"/>
  <c r="E72" i="13"/>
  <c r="D72" i="13"/>
  <c r="C72" i="13"/>
  <c r="B72" i="13"/>
  <c r="A72" i="13"/>
  <c r="AQ71" i="13"/>
  <c r="AP71" i="13"/>
  <c r="AO71" i="13"/>
  <c r="AN71" i="13"/>
  <c r="AM71" i="13"/>
  <c r="AR71" i="13" s="1"/>
  <c r="AS71" i="13" s="1"/>
  <c r="K72" i="4" s="1"/>
  <c r="AL71" i="13"/>
  <c r="AJ71" i="13"/>
  <c r="AI71" i="13"/>
  <c r="AH71" i="13"/>
  <c r="AG71" i="13"/>
  <c r="AF71" i="13"/>
  <c r="AE71" i="13"/>
  <c r="AC71" i="13"/>
  <c r="AB71" i="13"/>
  <c r="AA71" i="13"/>
  <c r="Z71" i="13"/>
  <c r="Y71" i="13"/>
  <c r="X71" i="13"/>
  <c r="V71" i="13"/>
  <c r="U71" i="13"/>
  <c r="T71" i="13"/>
  <c r="S71" i="13"/>
  <c r="R71" i="13"/>
  <c r="W71" i="13" s="1"/>
  <c r="G72" i="4" s="1"/>
  <c r="Q71" i="13"/>
  <c r="O71" i="13"/>
  <c r="Z72" i="4" s="1"/>
  <c r="N71" i="13"/>
  <c r="M71" i="13"/>
  <c r="L71" i="13"/>
  <c r="K71" i="13"/>
  <c r="J71" i="13"/>
  <c r="I71" i="13"/>
  <c r="H71" i="13"/>
  <c r="G71" i="13"/>
  <c r="F71" i="13"/>
  <c r="E71" i="13"/>
  <c r="D71" i="13"/>
  <c r="C71" i="13"/>
  <c r="A72" i="4" s="1"/>
  <c r="B71" i="13"/>
  <c r="O72" i="4" s="1"/>
  <c r="A71" i="13"/>
  <c r="AQ70" i="13"/>
  <c r="AP70" i="13"/>
  <c r="AO70" i="13"/>
  <c r="AR70" i="13" s="1"/>
  <c r="AS70" i="13" s="1"/>
  <c r="K71" i="4" s="1"/>
  <c r="AN70" i="13"/>
  <c r="AM70" i="13"/>
  <c r="AL70" i="13"/>
  <c r="AJ70" i="13"/>
  <c r="AI70" i="13"/>
  <c r="AH70" i="13"/>
  <c r="AG70" i="13"/>
  <c r="AF70" i="13"/>
  <c r="AE70" i="13"/>
  <c r="AC70" i="13"/>
  <c r="AB70" i="13"/>
  <c r="AA70" i="13"/>
  <c r="Z70" i="13"/>
  <c r="Y70" i="13"/>
  <c r="X70" i="13"/>
  <c r="V70" i="13"/>
  <c r="W70" i="13" s="1"/>
  <c r="G71" i="4" s="1"/>
  <c r="U70" i="13"/>
  <c r="T70" i="13"/>
  <c r="S70" i="13"/>
  <c r="R70" i="13"/>
  <c r="Q70" i="13"/>
  <c r="O70" i="13"/>
  <c r="N70" i="13"/>
  <c r="M70" i="13"/>
  <c r="L70" i="13"/>
  <c r="K70" i="13"/>
  <c r="J70" i="13"/>
  <c r="U71" i="4" s="1"/>
  <c r="I70" i="13"/>
  <c r="H70" i="13"/>
  <c r="G70" i="13"/>
  <c r="F70" i="13"/>
  <c r="E70" i="13"/>
  <c r="D70" i="13"/>
  <c r="C70" i="13"/>
  <c r="B70" i="13"/>
  <c r="A70" i="13"/>
  <c r="AQ69" i="13"/>
  <c r="AP69" i="13"/>
  <c r="AO69" i="13"/>
  <c r="AN69" i="13"/>
  <c r="AM69" i="13"/>
  <c r="AL69" i="13"/>
  <c r="AJ69" i="13"/>
  <c r="AI69" i="13"/>
  <c r="AH69" i="13"/>
  <c r="AG69" i="13"/>
  <c r="AF69" i="13"/>
  <c r="AE69" i="13"/>
  <c r="AC69" i="13"/>
  <c r="AB69" i="13"/>
  <c r="AA69" i="13"/>
  <c r="Z69" i="13"/>
  <c r="Y69" i="13"/>
  <c r="X69" i="13"/>
  <c r="V69" i="13"/>
  <c r="U69" i="13"/>
  <c r="T69" i="13"/>
  <c r="S69" i="13"/>
  <c r="R69" i="13"/>
  <c r="Q69" i="13"/>
  <c r="O69" i="13"/>
  <c r="N69" i="13"/>
  <c r="M69" i="13"/>
  <c r="X70" i="4" s="1"/>
  <c r="L69" i="13"/>
  <c r="K69" i="13"/>
  <c r="J69" i="13"/>
  <c r="I69" i="13"/>
  <c r="H69" i="13"/>
  <c r="G69" i="13"/>
  <c r="F69" i="13"/>
  <c r="E69" i="13"/>
  <c r="AT69" i="13" s="1"/>
  <c r="D69" i="13"/>
  <c r="C69" i="13"/>
  <c r="B69" i="13"/>
  <c r="A69" i="13"/>
  <c r="AQ68" i="13"/>
  <c r="AP68" i="13"/>
  <c r="AO68" i="13"/>
  <c r="AN68" i="13"/>
  <c r="AM68" i="13"/>
  <c r="AL68" i="13"/>
  <c r="AJ68" i="13"/>
  <c r="AI68" i="13"/>
  <c r="AH68" i="13"/>
  <c r="AG68" i="13"/>
  <c r="AF68" i="13"/>
  <c r="AE68" i="13"/>
  <c r="AC68" i="13"/>
  <c r="AB68" i="13"/>
  <c r="AA68" i="13"/>
  <c r="Z68" i="13"/>
  <c r="Y68" i="13"/>
  <c r="X68" i="13"/>
  <c r="AD68" i="13" s="1"/>
  <c r="V68" i="13"/>
  <c r="U68" i="13"/>
  <c r="T68" i="13"/>
  <c r="W68" i="13" s="1"/>
  <c r="G69" i="4" s="1"/>
  <c r="S68" i="13"/>
  <c r="R68" i="13"/>
  <c r="Q68" i="13"/>
  <c r="O68" i="13"/>
  <c r="Z69" i="4" s="1"/>
  <c r="N68" i="13"/>
  <c r="M68" i="13"/>
  <c r="L68" i="13"/>
  <c r="W69" i="4" s="1"/>
  <c r="K68" i="13"/>
  <c r="V69" i="4" s="1"/>
  <c r="J68" i="13"/>
  <c r="I68" i="13"/>
  <c r="H68" i="13"/>
  <c r="M69" i="4" s="1"/>
  <c r="G68" i="13"/>
  <c r="F68" i="13"/>
  <c r="E68" i="13"/>
  <c r="D68" i="13"/>
  <c r="B69" i="4" s="1"/>
  <c r="C68" i="13"/>
  <c r="A69" i="4" s="1"/>
  <c r="B68" i="13"/>
  <c r="A68" i="13"/>
  <c r="AQ67" i="13"/>
  <c r="AP67" i="13"/>
  <c r="AO67" i="13"/>
  <c r="AN67" i="13"/>
  <c r="AM67" i="13"/>
  <c r="AL67" i="13"/>
  <c r="AJ67" i="13"/>
  <c r="AI67" i="13"/>
  <c r="AH67" i="13"/>
  <c r="AG67" i="13"/>
  <c r="AF67" i="13"/>
  <c r="AK67" i="13" s="1"/>
  <c r="J68" i="4" s="1"/>
  <c r="AE67" i="13"/>
  <c r="AC67" i="13"/>
  <c r="AB67" i="13"/>
  <c r="AD67" i="13" s="1"/>
  <c r="AA67" i="13"/>
  <c r="Z67" i="13"/>
  <c r="Y67" i="13"/>
  <c r="X67" i="13"/>
  <c r="V67" i="13"/>
  <c r="U67" i="13"/>
  <c r="T67" i="13"/>
  <c r="S67" i="13"/>
  <c r="R67" i="13"/>
  <c r="Q67" i="13"/>
  <c r="W67" i="13" s="1"/>
  <c r="G68" i="4" s="1"/>
  <c r="O67" i="13"/>
  <c r="N67" i="13"/>
  <c r="M67" i="13"/>
  <c r="L67" i="13"/>
  <c r="K67" i="13"/>
  <c r="V68" i="4" s="1"/>
  <c r="J67" i="13"/>
  <c r="I67" i="13"/>
  <c r="H67" i="13"/>
  <c r="G67" i="13"/>
  <c r="F67" i="13"/>
  <c r="E67" i="13"/>
  <c r="D67" i="13"/>
  <c r="C67" i="13"/>
  <c r="B67" i="13"/>
  <c r="A67" i="13"/>
  <c r="AQ66" i="13"/>
  <c r="AP66" i="13"/>
  <c r="AO66" i="13"/>
  <c r="AN66" i="13"/>
  <c r="AM66" i="13"/>
  <c r="AL66" i="13"/>
  <c r="AJ66" i="13"/>
  <c r="AK66" i="13" s="1"/>
  <c r="AI66" i="13"/>
  <c r="AH66" i="13"/>
  <c r="AG66" i="13"/>
  <c r="AF66" i="13"/>
  <c r="AE66" i="13"/>
  <c r="AC66" i="13"/>
  <c r="AB66" i="13"/>
  <c r="AA66" i="13"/>
  <c r="Z66" i="13"/>
  <c r="Y66" i="13"/>
  <c r="X66" i="13"/>
  <c r="AD66" i="13" s="1"/>
  <c r="V66" i="13"/>
  <c r="U66" i="13"/>
  <c r="T66" i="13"/>
  <c r="S66" i="13"/>
  <c r="R66" i="13"/>
  <c r="Q66" i="13"/>
  <c r="O66" i="13"/>
  <c r="N66" i="13"/>
  <c r="M66" i="13"/>
  <c r="L66" i="13"/>
  <c r="K66" i="13"/>
  <c r="J66" i="13"/>
  <c r="I66" i="13"/>
  <c r="H66" i="13"/>
  <c r="G66" i="13"/>
  <c r="F66" i="13"/>
  <c r="E66" i="13"/>
  <c r="AT66" i="13" s="1"/>
  <c r="D66" i="13"/>
  <c r="C66" i="13"/>
  <c r="B66" i="13"/>
  <c r="A66" i="13"/>
  <c r="AQ65" i="13"/>
  <c r="AP65" i="13"/>
  <c r="AO65" i="13"/>
  <c r="AN65" i="13"/>
  <c r="AM65" i="13"/>
  <c r="AL65" i="13"/>
  <c r="AJ65" i="13"/>
  <c r="AI65" i="13"/>
  <c r="AH65" i="13"/>
  <c r="AG65" i="13"/>
  <c r="AF65" i="13"/>
  <c r="AE65" i="13"/>
  <c r="AC65" i="13"/>
  <c r="AB65" i="13"/>
  <c r="AA65" i="13"/>
  <c r="Z65" i="13"/>
  <c r="Y65" i="13"/>
  <c r="X65" i="13"/>
  <c r="V65" i="13"/>
  <c r="U65" i="13"/>
  <c r="T65" i="13"/>
  <c r="S65" i="13"/>
  <c r="R65" i="13"/>
  <c r="Q65" i="13"/>
  <c r="O65" i="13"/>
  <c r="N65" i="13"/>
  <c r="M65" i="13"/>
  <c r="L65" i="13"/>
  <c r="K65" i="13"/>
  <c r="J65" i="13"/>
  <c r="U66" i="4" s="1"/>
  <c r="I65" i="13"/>
  <c r="H65" i="13"/>
  <c r="G65" i="13"/>
  <c r="F65" i="13"/>
  <c r="E65" i="13"/>
  <c r="D65" i="13"/>
  <c r="C65" i="13"/>
  <c r="B65" i="13"/>
  <c r="A65" i="13"/>
  <c r="AQ64" i="13"/>
  <c r="AP64" i="13"/>
  <c r="AO64" i="13"/>
  <c r="AN64" i="13"/>
  <c r="AM64" i="13"/>
  <c r="AL64" i="13"/>
  <c r="AR64" i="13" s="1"/>
  <c r="AS64" i="13" s="1"/>
  <c r="AJ64" i="13"/>
  <c r="AI64" i="13"/>
  <c r="AH64" i="13"/>
  <c r="AK64" i="13" s="1"/>
  <c r="AG64" i="13"/>
  <c r="AF64" i="13"/>
  <c r="AE64" i="13"/>
  <c r="AC64" i="13"/>
  <c r="AB64" i="13"/>
  <c r="AA64" i="13"/>
  <c r="Z64" i="13"/>
  <c r="Y64" i="13"/>
  <c r="X64" i="13"/>
  <c r="V64" i="13"/>
  <c r="U64" i="13"/>
  <c r="T64" i="13"/>
  <c r="S64" i="13"/>
  <c r="R64" i="13"/>
  <c r="Q64" i="13"/>
  <c r="O64" i="13"/>
  <c r="P64" i="13" s="1"/>
  <c r="N64" i="13"/>
  <c r="M64" i="13"/>
  <c r="L64" i="13"/>
  <c r="K64" i="13"/>
  <c r="J64" i="13"/>
  <c r="I64" i="13"/>
  <c r="H64" i="13"/>
  <c r="G64" i="13"/>
  <c r="F64" i="13"/>
  <c r="E64" i="13"/>
  <c r="D64" i="13"/>
  <c r="C64" i="13"/>
  <c r="B64" i="13"/>
  <c r="A64" i="13"/>
  <c r="AQ63" i="13"/>
  <c r="AP63" i="13"/>
  <c r="AR63" i="13" s="1"/>
  <c r="AS63" i="13" s="1"/>
  <c r="K64" i="4" s="1"/>
  <c r="AO63" i="13"/>
  <c r="AN63" i="13"/>
  <c r="AM63" i="13"/>
  <c r="AL63" i="13"/>
  <c r="AJ63" i="13"/>
  <c r="AI63" i="13"/>
  <c r="AH63" i="13"/>
  <c r="AG63" i="13"/>
  <c r="AF63" i="13"/>
  <c r="AE63" i="13"/>
  <c r="AC63" i="13"/>
  <c r="AB63" i="13"/>
  <c r="AA63" i="13"/>
  <c r="Z63" i="13"/>
  <c r="Y63" i="13"/>
  <c r="X63" i="13"/>
  <c r="V63" i="13"/>
  <c r="U63" i="13"/>
  <c r="T63" i="13"/>
  <c r="S63" i="13"/>
  <c r="R63" i="13"/>
  <c r="Q63" i="13"/>
  <c r="O63" i="13"/>
  <c r="N63" i="13"/>
  <c r="M63" i="13"/>
  <c r="L63" i="13"/>
  <c r="K63" i="13"/>
  <c r="J63" i="13"/>
  <c r="I63" i="13"/>
  <c r="H63" i="13"/>
  <c r="G63" i="13"/>
  <c r="L64" i="4" s="1"/>
  <c r="F63" i="13"/>
  <c r="E63" i="13"/>
  <c r="D63" i="13"/>
  <c r="C63" i="13"/>
  <c r="B63" i="13"/>
  <c r="A63" i="13"/>
  <c r="AQ62" i="13"/>
  <c r="AP62" i="13"/>
  <c r="AO62" i="13"/>
  <c r="AN62" i="13"/>
  <c r="AM62" i="13"/>
  <c r="AL62" i="13"/>
  <c r="AR62" i="13" s="1"/>
  <c r="AS62" i="13" s="1"/>
  <c r="AJ62" i="13"/>
  <c r="AI62" i="13"/>
  <c r="AH62" i="13"/>
  <c r="AG62" i="13"/>
  <c r="AF62" i="13"/>
  <c r="AE62" i="13"/>
  <c r="AC62" i="13"/>
  <c r="AB62" i="13"/>
  <c r="AA62" i="13"/>
  <c r="Z62" i="13"/>
  <c r="Y62" i="13"/>
  <c r="X62" i="13"/>
  <c r="V62" i="13"/>
  <c r="U62" i="13"/>
  <c r="T62" i="13"/>
  <c r="S62" i="13"/>
  <c r="R62" i="13"/>
  <c r="Q62" i="13"/>
  <c r="W62" i="13" s="1"/>
  <c r="G63" i="4" s="1"/>
  <c r="O62" i="13"/>
  <c r="N62" i="13"/>
  <c r="M62" i="13"/>
  <c r="P62" i="13" s="1"/>
  <c r="L62" i="13"/>
  <c r="K62" i="13"/>
  <c r="J62" i="13"/>
  <c r="I62" i="13"/>
  <c r="H62" i="13"/>
  <c r="G62" i="13"/>
  <c r="F62" i="13"/>
  <c r="E62" i="13"/>
  <c r="AU62" i="13" s="1"/>
  <c r="D62" i="13"/>
  <c r="C62" i="13"/>
  <c r="B62" i="13"/>
  <c r="A62" i="13"/>
  <c r="AQ61" i="13"/>
  <c r="AP61" i="13"/>
  <c r="AO61" i="13"/>
  <c r="AN61" i="13"/>
  <c r="AM61" i="13"/>
  <c r="AL61" i="13"/>
  <c r="AJ61" i="13"/>
  <c r="AI61" i="13"/>
  <c r="AH61" i="13"/>
  <c r="AG61" i="13"/>
  <c r="AF61" i="13"/>
  <c r="AE61" i="13"/>
  <c r="AC61" i="13"/>
  <c r="AB61" i="13"/>
  <c r="AA61" i="13"/>
  <c r="Z61" i="13"/>
  <c r="Y61" i="13"/>
  <c r="AD61" i="13" s="1"/>
  <c r="X61" i="13"/>
  <c r="V61" i="13"/>
  <c r="U61" i="13"/>
  <c r="W61" i="13" s="1"/>
  <c r="G62" i="4" s="1"/>
  <c r="T61" i="13"/>
  <c r="S61" i="13"/>
  <c r="R61" i="13"/>
  <c r="Q61" i="13"/>
  <c r="O61" i="13"/>
  <c r="Z62" i="4" s="1"/>
  <c r="N61" i="13"/>
  <c r="M61" i="13"/>
  <c r="X62" i="4" s="1"/>
  <c r="L61" i="13"/>
  <c r="K61" i="13"/>
  <c r="J61" i="13"/>
  <c r="I61" i="13"/>
  <c r="H61" i="13"/>
  <c r="M62" i="4" s="1"/>
  <c r="G61" i="13"/>
  <c r="L62" i="4" s="1"/>
  <c r="F61" i="13"/>
  <c r="D62" i="4" s="1"/>
  <c r="E61" i="13"/>
  <c r="D61" i="13"/>
  <c r="B62" i="4" s="1"/>
  <c r="C61" i="13"/>
  <c r="B61" i="13"/>
  <c r="A61" i="13"/>
  <c r="AQ60" i="13"/>
  <c r="AP60" i="13"/>
  <c r="AO60" i="13"/>
  <c r="AN60" i="13"/>
  <c r="AM60" i="13"/>
  <c r="AL60" i="13"/>
  <c r="AJ60" i="13"/>
  <c r="AI60" i="13"/>
  <c r="AH60" i="13"/>
  <c r="AG60" i="13"/>
  <c r="AF60" i="13"/>
  <c r="AE60" i="13"/>
  <c r="AC60" i="13"/>
  <c r="AD60" i="13" s="1"/>
  <c r="AB60" i="13"/>
  <c r="AA60" i="13"/>
  <c r="Z60" i="13"/>
  <c r="Y60" i="13"/>
  <c r="X60" i="13"/>
  <c r="V60" i="13"/>
  <c r="U60" i="13"/>
  <c r="T60" i="13"/>
  <c r="S60" i="13"/>
  <c r="R60" i="13"/>
  <c r="Q60" i="13"/>
  <c r="O60" i="13"/>
  <c r="Z61" i="4" s="1"/>
  <c r="N60" i="13"/>
  <c r="M60" i="13"/>
  <c r="L60" i="13"/>
  <c r="W61" i="4" s="1"/>
  <c r="K60" i="13"/>
  <c r="J60" i="13"/>
  <c r="I60" i="13"/>
  <c r="H60" i="13"/>
  <c r="G60" i="13"/>
  <c r="F60" i="13"/>
  <c r="E60" i="13"/>
  <c r="D60" i="13"/>
  <c r="B61" i="4" s="1"/>
  <c r="C60" i="13"/>
  <c r="B60" i="13"/>
  <c r="A60" i="13"/>
  <c r="AQ59" i="13"/>
  <c r="AP59" i="13"/>
  <c r="AO59" i="13"/>
  <c r="AN59" i="13"/>
  <c r="AM59" i="13"/>
  <c r="AL59" i="13"/>
  <c r="AJ59" i="13"/>
  <c r="AI59" i="13"/>
  <c r="AH59" i="13"/>
  <c r="AG59" i="13"/>
  <c r="AF59" i="13"/>
  <c r="AE59" i="13"/>
  <c r="AC59" i="13"/>
  <c r="AB59" i="13"/>
  <c r="AA59" i="13"/>
  <c r="Z59" i="13"/>
  <c r="Y59" i="13"/>
  <c r="AD59" i="13" s="1"/>
  <c r="X59" i="13"/>
  <c r="V59" i="13"/>
  <c r="U59" i="13"/>
  <c r="T59" i="13"/>
  <c r="S59" i="13"/>
  <c r="R59" i="13"/>
  <c r="Q59" i="13"/>
  <c r="O59" i="13"/>
  <c r="N59" i="13"/>
  <c r="M59" i="13"/>
  <c r="L59" i="13"/>
  <c r="K59" i="13"/>
  <c r="J59" i="13"/>
  <c r="I59" i="13"/>
  <c r="H59" i="13"/>
  <c r="G59" i="13"/>
  <c r="F59" i="13"/>
  <c r="E59" i="13"/>
  <c r="D59" i="13"/>
  <c r="C59" i="13"/>
  <c r="B59" i="13"/>
  <c r="P60" i="4" s="1"/>
  <c r="A59" i="13"/>
  <c r="AQ58" i="13"/>
  <c r="AP58" i="13"/>
  <c r="AO58" i="13"/>
  <c r="AN58" i="13"/>
  <c r="AM58" i="13"/>
  <c r="AL58" i="13"/>
  <c r="AJ58" i="13"/>
  <c r="AI58" i="13"/>
  <c r="AH58" i="13"/>
  <c r="AG58" i="13"/>
  <c r="AF58" i="13"/>
  <c r="AE58" i="13"/>
  <c r="AK58" i="13" s="1"/>
  <c r="J59" i="4" s="1"/>
  <c r="AC58" i="13"/>
  <c r="AB58" i="13"/>
  <c r="AA58" i="13"/>
  <c r="AD58" i="13" s="1"/>
  <c r="Z58" i="13"/>
  <c r="Y58" i="13"/>
  <c r="X58" i="13"/>
  <c r="V58" i="13"/>
  <c r="U58" i="13"/>
  <c r="T58" i="13"/>
  <c r="S58" i="13"/>
  <c r="R58" i="13"/>
  <c r="Q58" i="13"/>
  <c r="O58" i="13"/>
  <c r="N58" i="13"/>
  <c r="M58" i="13"/>
  <c r="L58" i="13"/>
  <c r="W59" i="4" s="1"/>
  <c r="K58" i="13"/>
  <c r="J58" i="13"/>
  <c r="I58" i="13"/>
  <c r="H58" i="13"/>
  <c r="G58" i="13"/>
  <c r="F58" i="13"/>
  <c r="E58" i="13"/>
  <c r="AU58" i="13" s="1"/>
  <c r="D58" i="13"/>
  <c r="C58" i="13"/>
  <c r="B58" i="13"/>
  <c r="A58" i="13"/>
  <c r="AQ57" i="13"/>
  <c r="AP57" i="13"/>
  <c r="AO57" i="13"/>
  <c r="AN57" i="13"/>
  <c r="AM57" i="13"/>
  <c r="AR57" i="13" s="1"/>
  <c r="AS57" i="13" s="1"/>
  <c r="K58" i="4" s="1"/>
  <c r="AL57" i="13"/>
  <c r="AJ57" i="13"/>
  <c r="AI57" i="13"/>
  <c r="AK57" i="13" s="1"/>
  <c r="AH57" i="13"/>
  <c r="AG57" i="13"/>
  <c r="AF57" i="13"/>
  <c r="AE57" i="13"/>
  <c r="AC57" i="13"/>
  <c r="AB57" i="13"/>
  <c r="AA57" i="13"/>
  <c r="Z57" i="13"/>
  <c r="Y57" i="13"/>
  <c r="X57" i="13"/>
  <c r="V57" i="13"/>
  <c r="U57" i="13"/>
  <c r="T57" i="13"/>
  <c r="S57" i="13"/>
  <c r="R57" i="13"/>
  <c r="Q57" i="13"/>
  <c r="O57" i="13"/>
  <c r="N57" i="13"/>
  <c r="M57" i="13"/>
  <c r="L57" i="13"/>
  <c r="K57" i="13"/>
  <c r="J57" i="13"/>
  <c r="I57" i="13"/>
  <c r="H57" i="13"/>
  <c r="G57" i="13"/>
  <c r="F57" i="13"/>
  <c r="D58" i="4" s="1"/>
  <c r="E57" i="13"/>
  <c r="D57" i="13"/>
  <c r="C57" i="13"/>
  <c r="B57" i="13"/>
  <c r="A57" i="13"/>
  <c r="AQ56" i="13"/>
  <c r="AR56" i="13" s="1"/>
  <c r="AS56" i="13" s="1"/>
  <c r="K57" i="4" s="1"/>
  <c r="AP56" i="13"/>
  <c r="AO56" i="13"/>
  <c r="AN56" i="13"/>
  <c r="AM56" i="13"/>
  <c r="AL56" i="13"/>
  <c r="AJ56" i="13"/>
  <c r="AI56" i="13"/>
  <c r="AH56" i="13"/>
  <c r="AG56" i="13"/>
  <c r="AF56" i="13"/>
  <c r="AE56" i="13"/>
  <c r="AC56" i="13"/>
  <c r="AB56" i="13"/>
  <c r="AA56" i="13"/>
  <c r="Z56" i="13"/>
  <c r="Y56" i="13"/>
  <c r="X56" i="13"/>
  <c r="V56" i="13"/>
  <c r="U56" i="13"/>
  <c r="T56" i="13"/>
  <c r="S56" i="13"/>
  <c r="R56" i="13"/>
  <c r="Q56" i="13"/>
  <c r="O56" i="13"/>
  <c r="N56" i="13"/>
  <c r="M56" i="13"/>
  <c r="L56" i="13"/>
  <c r="W57" i="4" s="1"/>
  <c r="K56" i="13"/>
  <c r="V57" i="4" s="1"/>
  <c r="J56" i="13"/>
  <c r="P56" i="13" s="1"/>
  <c r="I56" i="13"/>
  <c r="H56" i="13"/>
  <c r="G56" i="13"/>
  <c r="L57" i="4" s="1"/>
  <c r="F56" i="13"/>
  <c r="E56" i="13"/>
  <c r="D56" i="13"/>
  <c r="C56" i="13"/>
  <c r="B56" i="13"/>
  <c r="A56" i="13"/>
  <c r="AQ55" i="13"/>
  <c r="AP55" i="13"/>
  <c r="AO55" i="13"/>
  <c r="AN55" i="13"/>
  <c r="AM55" i="13"/>
  <c r="AL55" i="13"/>
  <c r="AJ55" i="13"/>
  <c r="AI55" i="13"/>
  <c r="AH55" i="13"/>
  <c r="AG55" i="13"/>
  <c r="AF55" i="13"/>
  <c r="AE55" i="13"/>
  <c r="AC55" i="13"/>
  <c r="AB55" i="13"/>
  <c r="AA55" i="13"/>
  <c r="Z55" i="13"/>
  <c r="Y55" i="13"/>
  <c r="X55" i="13"/>
  <c r="V55" i="13"/>
  <c r="U55" i="13"/>
  <c r="T55" i="13"/>
  <c r="S55" i="13"/>
  <c r="R55" i="13"/>
  <c r="W55" i="13" s="1"/>
  <c r="G56" i="4" s="1"/>
  <c r="Q55" i="13"/>
  <c r="O55" i="13"/>
  <c r="Z56" i="4" s="1"/>
  <c r="N55" i="13"/>
  <c r="P55" i="13" s="1"/>
  <c r="M55" i="13"/>
  <c r="L55" i="13"/>
  <c r="K55" i="13"/>
  <c r="J55" i="13"/>
  <c r="I55" i="13"/>
  <c r="H55" i="13"/>
  <c r="G55" i="13"/>
  <c r="F55" i="13"/>
  <c r="E55" i="13"/>
  <c r="D55" i="13"/>
  <c r="C55" i="13"/>
  <c r="B55" i="13"/>
  <c r="U56" i="4" s="1"/>
  <c r="A55" i="13"/>
  <c r="AQ54" i="13"/>
  <c r="AP54" i="13"/>
  <c r="AO54" i="13"/>
  <c r="AR54" i="13" s="1"/>
  <c r="AS54" i="13" s="1"/>
  <c r="K55" i="4" s="1"/>
  <c r="AN54" i="13"/>
  <c r="AM54" i="13"/>
  <c r="AL54" i="13"/>
  <c r="AJ54" i="13"/>
  <c r="AI54" i="13"/>
  <c r="AH54" i="13"/>
  <c r="AG54" i="13"/>
  <c r="AF54" i="13"/>
  <c r="AE54" i="13"/>
  <c r="AC54" i="13"/>
  <c r="AB54" i="13"/>
  <c r="AA54" i="13"/>
  <c r="Z54" i="13"/>
  <c r="Y54" i="13"/>
  <c r="X54" i="13"/>
  <c r="V54" i="13"/>
  <c r="W54" i="13" s="1"/>
  <c r="G55" i="4" s="1"/>
  <c r="U54" i="13"/>
  <c r="T54" i="13"/>
  <c r="S54" i="13"/>
  <c r="R54" i="13"/>
  <c r="Q54" i="13"/>
  <c r="O54" i="13"/>
  <c r="N54" i="13"/>
  <c r="M54" i="13"/>
  <c r="L54" i="13"/>
  <c r="K54" i="13"/>
  <c r="V55" i="4" s="1"/>
  <c r="J54" i="13"/>
  <c r="P54" i="13" s="1"/>
  <c r="E55" i="4" s="1"/>
  <c r="I54" i="13"/>
  <c r="H54" i="13"/>
  <c r="G54" i="13"/>
  <c r="L55" i="4" s="1"/>
  <c r="F54" i="13"/>
  <c r="E54" i="13"/>
  <c r="D54" i="13"/>
  <c r="C54" i="13"/>
  <c r="B54" i="13"/>
  <c r="A54" i="13"/>
  <c r="AQ53" i="13"/>
  <c r="AP53" i="13"/>
  <c r="AO53" i="13"/>
  <c r="AN53" i="13"/>
  <c r="AM53" i="13"/>
  <c r="AL53" i="13"/>
  <c r="AJ53" i="13"/>
  <c r="AI53" i="13"/>
  <c r="AH53" i="13"/>
  <c r="AG53" i="13"/>
  <c r="AF53" i="13"/>
  <c r="AE53" i="13"/>
  <c r="AC53" i="13"/>
  <c r="AB53" i="13"/>
  <c r="AA53" i="13"/>
  <c r="Z53" i="13"/>
  <c r="Y53" i="13"/>
  <c r="X53" i="13"/>
  <c r="V53" i="13"/>
  <c r="U53" i="13"/>
  <c r="T53" i="13"/>
  <c r="S53" i="13"/>
  <c r="R53" i="13"/>
  <c r="W53" i="13" s="1"/>
  <c r="G54" i="4" s="1"/>
  <c r="Q53" i="13"/>
  <c r="O53" i="13"/>
  <c r="Z54" i="4" s="1"/>
  <c r="N53" i="13"/>
  <c r="M53" i="13"/>
  <c r="X54" i="4" s="1"/>
  <c r="L53" i="13"/>
  <c r="K53" i="13"/>
  <c r="J53" i="13"/>
  <c r="I53" i="13"/>
  <c r="H53" i="13"/>
  <c r="G53" i="13"/>
  <c r="F53" i="13"/>
  <c r="E53" i="13"/>
  <c r="D53" i="13"/>
  <c r="C53" i="13"/>
  <c r="B53" i="13"/>
  <c r="A53" i="13"/>
  <c r="AQ52" i="13"/>
  <c r="AP52" i="13"/>
  <c r="AO52" i="13"/>
  <c r="AN52" i="13"/>
  <c r="AM52" i="13"/>
  <c r="AL52" i="13"/>
  <c r="AJ52" i="13"/>
  <c r="AI52" i="13"/>
  <c r="AH52" i="13"/>
  <c r="AG52" i="13"/>
  <c r="AF52" i="13"/>
  <c r="AE52" i="13"/>
  <c r="AC52" i="13"/>
  <c r="AB52" i="13"/>
  <c r="AA52" i="13"/>
  <c r="Z52" i="13"/>
  <c r="Y52" i="13"/>
  <c r="X52" i="13"/>
  <c r="AD52" i="13" s="1"/>
  <c r="V52" i="13"/>
  <c r="U52" i="13"/>
  <c r="T52" i="13"/>
  <c r="W52" i="13" s="1"/>
  <c r="G53" i="4" s="1"/>
  <c r="S52" i="13"/>
  <c r="R52" i="13"/>
  <c r="Q52" i="13"/>
  <c r="O52" i="13"/>
  <c r="N52" i="13"/>
  <c r="Y53" i="4" s="1"/>
  <c r="M52" i="13"/>
  <c r="L52" i="13"/>
  <c r="K52" i="13"/>
  <c r="J52" i="13"/>
  <c r="I52" i="13"/>
  <c r="H52" i="13"/>
  <c r="M53" i="4" s="1"/>
  <c r="G52" i="13"/>
  <c r="F52" i="13"/>
  <c r="AW52" i="13" s="1"/>
  <c r="E52" i="13"/>
  <c r="D52" i="13"/>
  <c r="B53" i="4" s="1"/>
  <c r="C52" i="13"/>
  <c r="B52" i="13"/>
  <c r="A52" i="13"/>
  <c r="AQ51" i="13"/>
  <c r="AP51" i="13"/>
  <c r="AO51" i="13"/>
  <c r="AN51" i="13"/>
  <c r="AM51" i="13"/>
  <c r="AL51" i="13"/>
  <c r="AJ51" i="13"/>
  <c r="AI51" i="13"/>
  <c r="AH51" i="13"/>
  <c r="AG51" i="13"/>
  <c r="AF51" i="13"/>
  <c r="AK51" i="13" s="1"/>
  <c r="J52" i="4" s="1"/>
  <c r="AE51" i="13"/>
  <c r="AC51" i="13"/>
  <c r="AB51" i="13"/>
  <c r="AD51" i="13" s="1"/>
  <c r="AA51" i="13"/>
  <c r="Z51" i="13"/>
  <c r="Y51" i="13"/>
  <c r="X51" i="13"/>
  <c r="V51" i="13"/>
  <c r="U51" i="13"/>
  <c r="T51" i="13"/>
  <c r="S51" i="13"/>
  <c r="R51" i="13"/>
  <c r="Q51" i="13"/>
  <c r="O51" i="13"/>
  <c r="N51" i="13"/>
  <c r="M51" i="13"/>
  <c r="L51" i="13"/>
  <c r="K51" i="13"/>
  <c r="J51" i="13"/>
  <c r="I51" i="13"/>
  <c r="H51" i="13"/>
  <c r="G51" i="13"/>
  <c r="F51" i="13"/>
  <c r="E51" i="13"/>
  <c r="D51" i="13"/>
  <c r="C51" i="13"/>
  <c r="B51" i="13"/>
  <c r="A51" i="13"/>
  <c r="AQ50" i="13"/>
  <c r="AP50" i="13"/>
  <c r="AO50" i="13"/>
  <c r="AN50" i="13"/>
  <c r="AM50" i="13"/>
  <c r="AL50" i="13"/>
  <c r="AJ50" i="13"/>
  <c r="AK50" i="13" s="1"/>
  <c r="AI50" i="13"/>
  <c r="AH50" i="13"/>
  <c r="AG50" i="13"/>
  <c r="AF50" i="13"/>
  <c r="AE50" i="13"/>
  <c r="AC50" i="13"/>
  <c r="AB50" i="13"/>
  <c r="AA50" i="13"/>
  <c r="Z50" i="13"/>
  <c r="Y50" i="13"/>
  <c r="X50" i="13"/>
  <c r="AD50" i="13" s="1"/>
  <c r="V50" i="13"/>
  <c r="U50" i="13"/>
  <c r="T50" i="13"/>
  <c r="S50" i="13"/>
  <c r="R50" i="13"/>
  <c r="Q50" i="13"/>
  <c r="O50" i="13"/>
  <c r="N50" i="13"/>
  <c r="M50" i="13"/>
  <c r="L50" i="13"/>
  <c r="K50" i="13"/>
  <c r="J50" i="13"/>
  <c r="I50" i="13"/>
  <c r="H50" i="13"/>
  <c r="G50" i="13"/>
  <c r="F50" i="13"/>
  <c r="E50" i="13"/>
  <c r="AU50" i="13" s="1"/>
  <c r="D50" i="13"/>
  <c r="C50" i="13"/>
  <c r="B50" i="13"/>
  <c r="A50" i="13"/>
  <c r="AQ49" i="13"/>
  <c r="AP49" i="13"/>
  <c r="AO49" i="13"/>
  <c r="AN49" i="13"/>
  <c r="AM49" i="13"/>
  <c r="AL49" i="13"/>
  <c r="AJ49" i="13"/>
  <c r="AI49" i="13"/>
  <c r="AH49" i="13"/>
  <c r="AG49" i="13"/>
  <c r="AF49" i="13"/>
  <c r="AE49" i="13"/>
  <c r="AC49" i="13"/>
  <c r="AB49" i="13"/>
  <c r="AA49" i="13"/>
  <c r="Z49" i="13"/>
  <c r="Y49" i="13"/>
  <c r="X49" i="13"/>
  <c r="V49" i="13"/>
  <c r="U49" i="13"/>
  <c r="T49" i="13"/>
  <c r="S49" i="13"/>
  <c r="R49" i="13"/>
  <c r="Q49" i="13"/>
  <c r="O49" i="13"/>
  <c r="N49" i="13"/>
  <c r="M49" i="13"/>
  <c r="L49" i="13"/>
  <c r="K49" i="13"/>
  <c r="P49" i="13" s="1"/>
  <c r="J49" i="13"/>
  <c r="U50" i="4" s="1"/>
  <c r="I49" i="13"/>
  <c r="H49" i="13"/>
  <c r="G49" i="13"/>
  <c r="F49" i="13"/>
  <c r="E49" i="13"/>
  <c r="D49" i="13"/>
  <c r="C49" i="13"/>
  <c r="B49" i="13"/>
  <c r="A49" i="13"/>
  <c r="AQ48" i="13"/>
  <c r="AP48" i="13"/>
  <c r="AO48" i="13"/>
  <c r="AN48" i="13"/>
  <c r="AM48" i="13"/>
  <c r="AL48" i="13"/>
  <c r="AR48" i="13" s="1"/>
  <c r="AS48" i="13" s="1"/>
  <c r="AJ48" i="13"/>
  <c r="AI48" i="13"/>
  <c r="AH48" i="13"/>
  <c r="AK48" i="13" s="1"/>
  <c r="AG48" i="13"/>
  <c r="AF48" i="13"/>
  <c r="AE48" i="13"/>
  <c r="AC48" i="13"/>
  <c r="AB48" i="13"/>
  <c r="AA48" i="13"/>
  <c r="Z48" i="13"/>
  <c r="Y48" i="13"/>
  <c r="X48" i="13"/>
  <c r="V48" i="13"/>
  <c r="U48" i="13"/>
  <c r="T48" i="13"/>
  <c r="S48" i="13"/>
  <c r="R48" i="13"/>
  <c r="Q48" i="13"/>
  <c r="O48" i="13"/>
  <c r="P48" i="13" s="1"/>
  <c r="N48" i="13"/>
  <c r="M48" i="13"/>
  <c r="L48" i="13"/>
  <c r="K48" i="13"/>
  <c r="J48" i="13"/>
  <c r="I48" i="13"/>
  <c r="H48" i="13"/>
  <c r="G48" i="13"/>
  <c r="F48" i="13"/>
  <c r="E48" i="13"/>
  <c r="D48" i="13"/>
  <c r="C48" i="13"/>
  <c r="B48" i="13"/>
  <c r="A48" i="13"/>
  <c r="AQ47" i="13"/>
  <c r="AP47" i="13"/>
  <c r="AR47" i="13" s="1"/>
  <c r="AS47" i="13" s="1"/>
  <c r="K48" i="4" s="1"/>
  <c r="AO47" i="13"/>
  <c r="AN47" i="13"/>
  <c r="AM47" i="13"/>
  <c r="AL47" i="13"/>
  <c r="AJ47" i="13"/>
  <c r="AI47" i="13"/>
  <c r="AH47" i="13"/>
  <c r="AG47" i="13"/>
  <c r="AF47" i="13"/>
  <c r="AE47" i="13"/>
  <c r="AC47" i="13"/>
  <c r="AB47" i="13"/>
  <c r="AA47" i="13"/>
  <c r="Z47" i="13"/>
  <c r="Y47" i="13"/>
  <c r="X47" i="13"/>
  <c r="V47" i="13"/>
  <c r="U47" i="13"/>
  <c r="T47" i="13"/>
  <c r="S47" i="13"/>
  <c r="R47" i="13"/>
  <c r="Q47" i="13"/>
  <c r="O47" i="13"/>
  <c r="N47" i="13"/>
  <c r="M47" i="13"/>
  <c r="L47" i="13"/>
  <c r="K47" i="13"/>
  <c r="P47" i="13" s="1"/>
  <c r="J47" i="13"/>
  <c r="I47" i="13"/>
  <c r="H47" i="13"/>
  <c r="G47" i="13"/>
  <c r="L48" i="4" s="1"/>
  <c r="F47" i="13"/>
  <c r="AW47" i="13" s="1"/>
  <c r="E47" i="13"/>
  <c r="D47" i="13"/>
  <c r="C47" i="13"/>
  <c r="B47" i="13"/>
  <c r="X48" i="4" s="1"/>
  <c r="A47" i="13"/>
  <c r="AQ46" i="13"/>
  <c r="AP46" i="13"/>
  <c r="AO46" i="13"/>
  <c r="AN46" i="13"/>
  <c r="AM46" i="13"/>
  <c r="AL46" i="13"/>
  <c r="AR46" i="13" s="1"/>
  <c r="AS46" i="13" s="1"/>
  <c r="AJ46" i="13"/>
  <c r="AI46" i="13"/>
  <c r="AH46" i="13"/>
  <c r="AG46" i="13"/>
  <c r="AF46" i="13"/>
  <c r="AE46" i="13"/>
  <c r="AC46" i="13"/>
  <c r="AB46" i="13"/>
  <c r="AA46" i="13"/>
  <c r="Z46" i="13"/>
  <c r="Y46" i="13"/>
  <c r="X46" i="13"/>
  <c r="V46" i="13"/>
  <c r="U46" i="13"/>
  <c r="T46" i="13"/>
  <c r="S46" i="13"/>
  <c r="R46" i="13"/>
  <c r="Q46" i="13"/>
  <c r="W46" i="13" s="1"/>
  <c r="G47" i="4" s="1"/>
  <c r="O46" i="13"/>
  <c r="N46" i="13"/>
  <c r="Y47" i="4" s="1"/>
  <c r="M46" i="13"/>
  <c r="P46" i="13" s="1"/>
  <c r="L46" i="13"/>
  <c r="K46" i="13"/>
  <c r="J46" i="13"/>
  <c r="I46" i="13"/>
  <c r="H46" i="13"/>
  <c r="G46" i="13"/>
  <c r="F46" i="13"/>
  <c r="E46" i="13"/>
  <c r="AU46" i="13" s="1"/>
  <c r="D46" i="13"/>
  <c r="C46" i="13"/>
  <c r="B46" i="13"/>
  <c r="A46" i="13"/>
  <c r="AQ45" i="13"/>
  <c r="AP45" i="13"/>
  <c r="AO45" i="13"/>
  <c r="AN45" i="13"/>
  <c r="AM45" i="13"/>
  <c r="AL45" i="13"/>
  <c r="AJ45" i="13"/>
  <c r="AI45" i="13"/>
  <c r="AH45" i="13"/>
  <c r="AG45" i="13"/>
  <c r="AF45" i="13"/>
  <c r="AE45" i="13"/>
  <c r="AC45" i="13"/>
  <c r="AB45" i="13"/>
  <c r="AA45" i="13"/>
  <c r="Z45" i="13"/>
  <c r="Y45" i="13"/>
  <c r="AD45" i="13" s="1"/>
  <c r="X45" i="13"/>
  <c r="V45" i="13"/>
  <c r="U45" i="13"/>
  <c r="W45" i="13" s="1"/>
  <c r="G46" i="4" s="1"/>
  <c r="T45" i="13"/>
  <c r="S45" i="13"/>
  <c r="R45" i="13"/>
  <c r="Q45" i="13"/>
  <c r="O45" i="13"/>
  <c r="Z46" i="4" s="1"/>
  <c r="N45" i="13"/>
  <c r="M45" i="13"/>
  <c r="L45" i="13"/>
  <c r="K45" i="13"/>
  <c r="J45" i="13"/>
  <c r="P45" i="13" s="1"/>
  <c r="I45" i="13"/>
  <c r="H45" i="13"/>
  <c r="M46" i="4" s="1"/>
  <c r="G45" i="13"/>
  <c r="L46" i="4" s="1"/>
  <c r="F45" i="13"/>
  <c r="E45" i="13"/>
  <c r="D45" i="13"/>
  <c r="C45" i="13"/>
  <c r="B45" i="13"/>
  <c r="A45" i="13"/>
  <c r="AQ44" i="13"/>
  <c r="AP44" i="13"/>
  <c r="AO44" i="13"/>
  <c r="AN44" i="13"/>
  <c r="AM44" i="13"/>
  <c r="AL44" i="13"/>
  <c r="AJ44" i="13"/>
  <c r="AI44" i="13"/>
  <c r="AH44" i="13"/>
  <c r="AG44" i="13"/>
  <c r="AF44" i="13"/>
  <c r="AE44" i="13"/>
  <c r="AC44" i="13"/>
  <c r="AD44" i="13" s="1"/>
  <c r="AB44" i="13"/>
  <c r="AA44" i="13"/>
  <c r="Z44" i="13"/>
  <c r="Y44" i="13"/>
  <c r="X44" i="13"/>
  <c r="V44" i="13"/>
  <c r="U44" i="13"/>
  <c r="T44" i="13"/>
  <c r="S44" i="13"/>
  <c r="R44" i="13"/>
  <c r="Q44" i="13"/>
  <c r="W44" i="13" s="1"/>
  <c r="G45" i="4" s="1"/>
  <c r="O44" i="13"/>
  <c r="N44" i="13"/>
  <c r="Y45" i="4" s="1"/>
  <c r="M44" i="13"/>
  <c r="L44" i="13"/>
  <c r="W45" i="4" s="1"/>
  <c r="K44" i="13"/>
  <c r="J44" i="13"/>
  <c r="I44" i="13"/>
  <c r="H44" i="13"/>
  <c r="G44" i="13"/>
  <c r="F44" i="13"/>
  <c r="E44" i="13"/>
  <c r="D44" i="13"/>
  <c r="C44" i="13"/>
  <c r="B44" i="13"/>
  <c r="A44" i="13"/>
  <c r="AQ43" i="13"/>
  <c r="AP43" i="13"/>
  <c r="AO43" i="13"/>
  <c r="AN43" i="13"/>
  <c r="AM43" i="13"/>
  <c r="AL43" i="13"/>
  <c r="AJ43" i="13"/>
  <c r="AI43" i="13"/>
  <c r="AH43" i="13"/>
  <c r="AG43" i="13"/>
  <c r="AF43" i="13"/>
  <c r="AE43" i="13"/>
  <c r="AC43" i="13"/>
  <c r="AB43" i="13"/>
  <c r="AA43" i="13"/>
  <c r="Z43" i="13"/>
  <c r="Y43" i="13"/>
  <c r="AD43" i="13" s="1"/>
  <c r="X43" i="13"/>
  <c r="V43" i="13"/>
  <c r="U43" i="13"/>
  <c r="T43" i="13"/>
  <c r="S43" i="13"/>
  <c r="R43" i="13"/>
  <c r="Q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B43" i="13"/>
  <c r="A43" i="13"/>
  <c r="AQ42" i="13"/>
  <c r="AP42" i="13"/>
  <c r="AO42" i="13"/>
  <c r="AN42" i="13"/>
  <c r="AM42" i="13"/>
  <c r="AL42" i="13"/>
  <c r="AJ42" i="13"/>
  <c r="AI42" i="13"/>
  <c r="AH42" i="13"/>
  <c r="AG42" i="13"/>
  <c r="AF42" i="13"/>
  <c r="AE42" i="13"/>
  <c r="AK42" i="13" s="1"/>
  <c r="J43" i="4" s="1"/>
  <c r="AC42" i="13"/>
  <c r="AB42" i="13"/>
  <c r="AA42" i="13"/>
  <c r="AD42" i="13" s="1"/>
  <c r="Z42" i="13"/>
  <c r="Y42" i="13"/>
  <c r="X42" i="13"/>
  <c r="V42" i="13"/>
  <c r="U42" i="13"/>
  <c r="T42" i="13"/>
  <c r="S42" i="13"/>
  <c r="R42" i="13"/>
  <c r="Q42" i="13"/>
  <c r="O42" i="13"/>
  <c r="N42" i="13"/>
  <c r="M42" i="13"/>
  <c r="L42" i="13"/>
  <c r="K42" i="13"/>
  <c r="J42" i="13"/>
  <c r="I42" i="13"/>
  <c r="H42" i="13"/>
  <c r="G42" i="13"/>
  <c r="F42" i="13"/>
  <c r="E42" i="13"/>
  <c r="AU42" i="13" s="1"/>
  <c r="D42" i="13"/>
  <c r="C42" i="13"/>
  <c r="B42" i="13"/>
  <c r="A42" i="13"/>
  <c r="AQ41" i="13"/>
  <c r="AP41" i="13"/>
  <c r="AO41" i="13"/>
  <c r="AN41" i="13"/>
  <c r="AM41" i="13"/>
  <c r="AR41" i="13" s="1"/>
  <c r="AS41" i="13" s="1"/>
  <c r="K42" i="4" s="1"/>
  <c r="AL41" i="13"/>
  <c r="AJ41" i="13"/>
  <c r="AI41" i="13"/>
  <c r="AK41" i="13" s="1"/>
  <c r="AH41" i="13"/>
  <c r="AG41" i="13"/>
  <c r="AF41" i="13"/>
  <c r="AE41" i="13"/>
  <c r="AC41" i="13"/>
  <c r="AB41" i="13"/>
  <c r="AA41" i="13"/>
  <c r="Z41" i="13"/>
  <c r="Y41" i="13"/>
  <c r="X41" i="13"/>
  <c r="V41" i="13"/>
  <c r="U41" i="13"/>
  <c r="T41" i="13"/>
  <c r="S41" i="13"/>
  <c r="R41" i="13"/>
  <c r="Q41" i="13"/>
  <c r="O41" i="13"/>
  <c r="N41" i="13"/>
  <c r="M41" i="13"/>
  <c r="L41" i="13"/>
  <c r="K41" i="13"/>
  <c r="J41" i="13"/>
  <c r="I41" i="13"/>
  <c r="H41" i="13"/>
  <c r="G41" i="13"/>
  <c r="F41" i="13"/>
  <c r="E41" i="13"/>
  <c r="D41" i="13"/>
  <c r="B42" i="4" s="1"/>
  <c r="C41" i="13"/>
  <c r="B41" i="13"/>
  <c r="A41" i="13"/>
  <c r="AQ40" i="13"/>
  <c r="AR40" i="13" s="1"/>
  <c r="AS40" i="13" s="1"/>
  <c r="K41" i="4" s="1"/>
  <c r="AP40" i="13"/>
  <c r="AO40" i="13"/>
  <c r="AN40" i="13"/>
  <c r="AM40" i="13"/>
  <c r="AL40" i="13"/>
  <c r="AJ40" i="13"/>
  <c r="AI40" i="13"/>
  <c r="AH40" i="13"/>
  <c r="AG40" i="13"/>
  <c r="AF40" i="13"/>
  <c r="AE40" i="13"/>
  <c r="AK40" i="13" s="1"/>
  <c r="J41" i="4" s="1"/>
  <c r="AC40" i="13"/>
  <c r="AB40" i="13"/>
  <c r="AA40" i="13"/>
  <c r="Z40" i="13"/>
  <c r="Y40" i="13"/>
  <c r="X40" i="13"/>
  <c r="V40" i="13"/>
  <c r="U40" i="13"/>
  <c r="T40" i="13"/>
  <c r="S40" i="13"/>
  <c r="R40" i="13"/>
  <c r="Q40" i="13"/>
  <c r="W40" i="13" s="1"/>
  <c r="G41" i="4" s="1"/>
  <c r="O40" i="13"/>
  <c r="N40" i="13"/>
  <c r="M40" i="13"/>
  <c r="L40" i="13"/>
  <c r="K40" i="13"/>
  <c r="J40" i="13"/>
  <c r="I40" i="13"/>
  <c r="H40" i="13"/>
  <c r="M41" i="4" s="1"/>
  <c r="G40" i="13"/>
  <c r="F40" i="13"/>
  <c r="E40" i="13"/>
  <c r="D40" i="13"/>
  <c r="C40" i="13"/>
  <c r="B40" i="13"/>
  <c r="A40" i="13"/>
  <c r="AQ39" i="13"/>
  <c r="AP39" i="13"/>
  <c r="AO39" i="13"/>
  <c r="AN39" i="13"/>
  <c r="AM39" i="13"/>
  <c r="AR39" i="13" s="1"/>
  <c r="AL39" i="13"/>
  <c r="AJ39" i="13"/>
  <c r="AI39" i="13"/>
  <c r="AH39" i="13"/>
  <c r="AG39" i="13"/>
  <c r="AF39" i="13"/>
  <c r="AE39" i="13"/>
  <c r="AC39" i="13"/>
  <c r="AB39" i="13"/>
  <c r="AA39" i="13"/>
  <c r="Z39" i="13"/>
  <c r="Y39" i="13"/>
  <c r="X39" i="13"/>
  <c r="V39" i="13"/>
  <c r="U39" i="13"/>
  <c r="T39" i="13"/>
  <c r="S39" i="13"/>
  <c r="R39" i="13"/>
  <c r="W39" i="13" s="1"/>
  <c r="G40" i="4" s="1"/>
  <c r="Q39" i="13"/>
  <c r="O39" i="13"/>
  <c r="N39" i="13"/>
  <c r="P39" i="13" s="1"/>
  <c r="M39" i="13"/>
  <c r="L39" i="13"/>
  <c r="K39" i="13"/>
  <c r="J39" i="13"/>
  <c r="I39" i="13"/>
  <c r="H39" i="13"/>
  <c r="G39" i="13"/>
  <c r="F39" i="13"/>
  <c r="E39" i="13"/>
  <c r="D39" i="13"/>
  <c r="C39" i="13"/>
  <c r="B39" i="13"/>
  <c r="X40" i="4" s="1"/>
  <c r="A39" i="13"/>
  <c r="AQ38" i="13"/>
  <c r="AP38" i="13"/>
  <c r="AO38" i="13"/>
  <c r="AR38" i="13" s="1"/>
  <c r="AS38" i="13" s="1"/>
  <c r="K39" i="4" s="1"/>
  <c r="AN38" i="13"/>
  <c r="AM38" i="13"/>
  <c r="AL38" i="13"/>
  <c r="AJ38" i="13"/>
  <c r="AI38" i="13"/>
  <c r="AH38" i="13"/>
  <c r="AG38" i="13"/>
  <c r="AF38" i="13"/>
  <c r="AE38" i="13"/>
  <c r="AC38" i="13"/>
  <c r="AB38" i="13"/>
  <c r="AA38" i="13"/>
  <c r="Z38" i="13"/>
  <c r="Y38" i="13"/>
  <c r="X38" i="13"/>
  <c r="V38" i="13"/>
  <c r="W38" i="13" s="1"/>
  <c r="G39" i="4" s="1"/>
  <c r="U38" i="13"/>
  <c r="T38" i="13"/>
  <c r="S38" i="13"/>
  <c r="R38" i="13"/>
  <c r="Q38" i="13"/>
  <c r="O38" i="13"/>
  <c r="N38" i="13"/>
  <c r="M38" i="13"/>
  <c r="L38" i="13"/>
  <c r="K38" i="13"/>
  <c r="J38" i="13"/>
  <c r="I38" i="13"/>
  <c r="H38" i="13"/>
  <c r="G38" i="13"/>
  <c r="F38" i="13"/>
  <c r="E38" i="13"/>
  <c r="D38" i="13"/>
  <c r="C38" i="13"/>
  <c r="B38" i="13"/>
  <c r="A38" i="13"/>
  <c r="AQ37" i="13"/>
  <c r="AP37" i="13"/>
  <c r="AO37" i="13"/>
  <c r="AN37" i="13"/>
  <c r="AM37" i="13"/>
  <c r="AL37" i="13"/>
  <c r="AJ37" i="13"/>
  <c r="AI37" i="13"/>
  <c r="AH37" i="13"/>
  <c r="AG37" i="13"/>
  <c r="AF37" i="13"/>
  <c r="AE37" i="13"/>
  <c r="AC37" i="13"/>
  <c r="AB37" i="13"/>
  <c r="AA37" i="13"/>
  <c r="Z37" i="13"/>
  <c r="Y37" i="13"/>
  <c r="X37" i="13"/>
  <c r="V37" i="13"/>
  <c r="U37" i="13"/>
  <c r="T37" i="13"/>
  <c r="S37" i="13"/>
  <c r="R37" i="13"/>
  <c r="Q37" i="13"/>
  <c r="O37" i="13"/>
  <c r="N37" i="13"/>
  <c r="M37" i="13"/>
  <c r="L37" i="13"/>
  <c r="K37" i="13"/>
  <c r="J37" i="13"/>
  <c r="I37" i="13"/>
  <c r="H37" i="13"/>
  <c r="G37" i="13"/>
  <c r="F37" i="13"/>
  <c r="E37" i="13"/>
  <c r="D37" i="13"/>
  <c r="C37" i="13"/>
  <c r="B37" i="13"/>
  <c r="A37" i="13"/>
  <c r="AQ36" i="13"/>
  <c r="AP36" i="13"/>
  <c r="AO36" i="13"/>
  <c r="AN36" i="13"/>
  <c r="AM36" i="13"/>
  <c r="AL36" i="13"/>
  <c r="AJ36" i="13"/>
  <c r="AI36" i="13"/>
  <c r="AH36" i="13"/>
  <c r="AG36" i="13"/>
  <c r="AF36" i="13"/>
  <c r="AE36" i="13"/>
  <c r="AC36" i="13"/>
  <c r="AB36" i="13"/>
  <c r="AA36" i="13"/>
  <c r="Z36" i="13"/>
  <c r="Y36" i="13"/>
  <c r="X36" i="13"/>
  <c r="AD36" i="13" s="1"/>
  <c r="V36" i="13"/>
  <c r="U36" i="13"/>
  <c r="T36" i="13"/>
  <c r="W36" i="13" s="1"/>
  <c r="G37" i="4" s="1"/>
  <c r="S36" i="13"/>
  <c r="R36" i="13"/>
  <c r="Q36" i="13"/>
  <c r="O36" i="13"/>
  <c r="N36" i="13"/>
  <c r="M36" i="13"/>
  <c r="L36" i="13"/>
  <c r="K36" i="13"/>
  <c r="J36" i="13"/>
  <c r="I36" i="13"/>
  <c r="H36" i="13"/>
  <c r="G36" i="13"/>
  <c r="F36" i="13"/>
  <c r="AW36" i="13" s="1"/>
  <c r="E36" i="13"/>
  <c r="D36" i="13"/>
  <c r="C36" i="13"/>
  <c r="A37" i="4" s="1"/>
  <c r="B36" i="13"/>
  <c r="A36" i="13"/>
  <c r="AQ35" i="13"/>
  <c r="AP35" i="13"/>
  <c r="AO35" i="13"/>
  <c r="AN35" i="13"/>
  <c r="AM35" i="13"/>
  <c r="AL35" i="13"/>
  <c r="AJ35" i="13"/>
  <c r="AI35" i="13"/>
  <c r="AH35" i="13"/>
  <c r="AG35" i="13"/>
  <c r="AF35" i="13"/>
  <c r="AK35" i="13" s="1"/>
  <c r="J36" i="4" s="1"/>
  <c r="AE35" i="13"/>
  <c r="AC35" i="13"/>
  <c r="AB35" i="13"/>
  <c r="AD35" i="13" s="1"/>
  <c r="AA35" i="13"/>
  <c r="Z35" i="13"/>
  <c r="Y35" i="13"/>
  <c r="X35" i="13"/>
  <c r="V35" i="13"/>
  <c r="U35" i="13"/>
  <c r="T35" i="13"/>
  <c r="S35" i="13"/>
  <c r="R35" i="13"/>
  <c r="Q35" i="13"/>
  <c r="O35" i="13"/>
  <c r="N35" i="13"/>
  <c r="M35" i="13"/>
  <c r="X36" i="4" s="1"/>
  <c r="L35" i="13"/>
  <c r="K35" i="13"/>
  <c r="V36" i="4" s="1"/>
  <c r="J35" i="13"/>
  <c r="I35" i="13"/>
  <c r="H35" i="13"/>
  <c r="G35" i="13"/>
  <c r="F35" i="13"/>
  <c r="E35" i="13"/>
  <c r="AU35" i="13" s="1"/>
  <c r="D35" i="13"/>
  <c r="C35" i="13"/>
  <c r="B35" i="13"/>
  <c r="A35" i="13"/>
  <c r="AQ34" i="13"/>
  <c r="AP34" i="13"/>
  <c r="AO34" i="13"/>
  <c r="AN34" i="13"/>
  <c r="AM34" i="13"/>
  <c r="AL34" i="13"/>
  <c r="AJ34" i="13"/>
  <c r="AK34" i="13" s="1"/>
  <c r="AI34" i="13"/>
  <c r="AH34" i="13"/>
  <c r="AG34" i="13"/>
  <c r="AF34" i="13"/>
  <c r="AE34" i="13"/>
  <c r="AC34" i="13"/>
  <c r="AB34" i="13"/>
  <c r="AA34" i="13"/>
  <c r="Z34" i="13"/>
  <c r="Y34" i="13"/>
  <c r="X34" i="13"/>
  <c r="AD34" i="13" s="1"/>
  <c r="V34" i="13"/>
  <c r="U34" i="13"/>
  <c r="T34" i="13"/>
  <c r="S34" i="13"/>
  <c r="R34" i="13"/>
  <c r="Q34" i="13"/>
  <c r="O34" i="13"/>
  <c r="N34" i="13"/>
  <c r="M34" i="13"/>
  <c r="L34" i="13"/>
  <c r="K34" i="13"/>
  <c r="J34" i="13"/>
  <c r="I34" i="13"/>
  <c r="H34" i="13"/>
  <c r="G34" i="13"/>
  <c r="F34" i="13"/>
  <c r="AW34" i="13" s="1"/>
  <c r="E34" i="13"/>
  <c r="D34" i="13"/>
  <c r="C34" i="13"/>
  <c r="B34" i="13"/>
  <c r="E35" i="4" s="1"/>
  <c r="A34" i="13"/>
  <c r="AQ33" i="13"/>
  <c r="AP33" i="13"/>
  <c r="AO33" i="13"/>
  <c r="AN33" i="13"/>
  <c r="AM33" i="13"/>
  <c r="AL33" i="13"/>
  <c r="AJ33" i="13"/>
  <c r="AI33" i="13"/>
  <c r="AH33" i="13"/>
  <c r="AG33" i="13"/>
  <c r="AF33" i="13"/>
  <c r="AK33" i="13" s="1"/>
  <c r="J34" i="4" s="1"/>
  <c r="AE33" i="13"/>
  <c r="AC33" i="13"/>
  <c r="AB33" i="13"/>
  <c r="AA33" i="13"/>
  <c r="Z33" i="13"/>
  <c r="Y33" i="13"/>
  <c r="X33" i="13"/>
  <c r="V33" i="13"/>
  <c r="U33" i="13"/>
  <c r="T33" i="13"/>
  <c r="S33" i="13"/>
  <c r="R33" i="13"/>
  <c r="Q33" i="13"/>
  <c r="W33" i="13" s="1"/>
  <c r="G34" i="4" s="1"/>
  <c r="O33" i="13"/>
  <c r="N33" i="13"/>
  <c r="Y34" i="4" s="1"/>
  <c r="M33" i="13"/>
  <c r="L33" i="13"/>
  <c r="W34" i="4" s="1"/>
  <c r="K33" i="13"/>
  <c r="J33" i="13"/>
  <c r="I33" i="13"/>
  <c r="H33" i="13"/>
  <c r="M34" i="4" s="1"/>
  <c r="G33" i="13"/>
  <c r="F33" i="13"/>
  <c r="E33" i="13"/>
  <c r="D33" i="13"/>
  <c r="C33" i="13"/>
  <c r="B33" i="13"/>
  <c r="A33" i="13"/>
  <c r="AQ32" i="13"/>
  <c r="AP32" i="13"/>
  <c r="AO32" i="13"/>
  <c r="AN32" i="13"/>
  <c r="AM32" i="13"/>
  <c r="AL32" i="13"/>
  <c r="AR32" i="13" s="1"/>
  <c r="AS32" i="13" s="1"/>
  <c r="AJ32" i="13"/>
  <c r="AI32" i="13"/>
  <c r="AH32" i="13"/>
  <c r="AK32" i="13" s="1"/>
  <c r="AG32" i="13"/>
  <c r="AF32" i="13"/>
  <c r="AE32" i="13"/>
  <c r="AC32" i="13"/>
  <c r="AB32" i="13"/>
  <c r="AA32" i="13"/>
  <c r="Z32" i="13"/>
  <c r="Y32" i="13"/>
  <c r="AD32" i="13" s="1"/>
  <c r="X32" i="13"/>
  <c r="V32" i="13"/>
  <c r="U32" i="13"/>
  <c r="T32" i="13"/>
  <c r="S32" i="13"/>
  <c r="R32" i="13"/>
  <c r="Q32" i="13"/>
  <c r="O32" i="13"/>
  <c r="P32" i="13" s="1"/>
  <c r="N32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A32" i="13"/>
  <c r="AQ31" i="13"/>
  <c r="AP31" i="13"/>
  <c r="AR31" i="13" s="1"/>
  <c r="AS31" i="13" s="1"/>
  <c r="K32" i="4" s="1"/>
  <c r="AO31" i="13"/>
  <c r="AN31" i="13"/>
  <c r="AM31" i="13"/>
  <c r="AL31" i="13"/>
  <c r="AJ31" i="13"/>
  <c r="AI31" i="13"/>
  <c r="AH31" i="13"/>
  <c r="AG31" i="13"/>
  <c r="AF31" i="13"/>
  <c r="AE31" i="13"/>
  <c r="AC31" i="13"/>
  <c r="AB31" i="13"/>
  <c r="AA31" i="13"/>
  <c r="Z31" i="13"/>
  <c r="Y31" i="13"/>
  <c r="X31" i="13"/>
  <c r="V31" i="13"/>
  <c r="U31" i="13"/>
  <c r="T31" i="13"/>
  <c r="S31" i="13"/>
  <c r="R31" i="13"/>
  <c r="Q31" i="13"/>
  <c r="O31" i="13"/>
  <c r="N31" i="13"/>
  <c r="P31" i="13" s="1"/>
  <c r="M31" i="13"/>
  <c r="L31" i="13"/>
  <c r="K31" i="13"/>
  <c r="V32" i="4" s="1"/>
  <c r="J31" i="13"/>
  <c r="I31" i="13"/>
  <c r="H31" i="13"/>
  <c r="G31" i="13"/>
  <c r="F31" i="13"/>
  <c r="AW31" i="13" s="1"/>
  <c r="E31" i="13"/>
  <c r="D31" i="13"/>
  <c r="C31" i="13"/>
  <c r="B31" i="13"/>
  <c r="A31" i="13"/>
  <c r="AQ30" i="13"/>
  <c r="AP30" i="13"/>
  <c r="AO30" i="13"/>
  <c r="AN30" i="13"/>
  <c r="AM30" i="13"/>
  <c r="AL30" i="13"/>
  <c r="AJ30" i="13"/>
  <c r="AI30" i="13"/>
  <c r="AH30" i="13"/>
  <c r="AG30" i="13"/>
  <c r="AF30" i="13"/>
  <c r="AE30" i="13"/>
  <c r="AC30" i="13"/>
  <c r="AB30" i="13"/>
  <c r="AA30" i="13"/>
  <c r="Z30" i="13"/>
  <c r="Y30" i="13"/>
  <c r="X30" i="13"/>
  <c r="V30" i="13"/>
  <c r="U30" i="13"/>
  <c r="T30" i="13"/>
  <c r="S30" i="13"/>
  <c r="R30" i="13"/>
  <c r="Q30" i="13"/>
  <c r="W30" i="13" s="1"/>
  <c r="G31" i="4" s="1"/>
  <c r="O30" i="13"/>
  <c r="N30" i="13"/>
  <c r="Y31" i="4" s="1"/>
  <c r="M30" i="13"/>
  <c r="L30" i="13"/>
  <c r="K30" i="13"/>
  <c r="J30" i="13"/>
  <c r="I30" i="13"/>
  <c r="H30" i="13"/>
  <c r="G30" i="13"/>
  <c r="F30" i="13"/>
  <c r="E30" i="13"/>
  <c r="D30" i="13"/>
  <c r="C30" i="13"/>
  <c r="B30" i="13"/>
  <c r="A30" i="13"/>
  <c r="AQ29" i="13"/>
  <c r="AP29" i="13"/>
  <c r="AO29" i="13"/>
  <c r="AN29" i="13"/>
  <c r="AM29" i="13"/>
  <c r="AL29" i="13"/>
  <c r="AJ29" i="13"/>
  <c r="AI29" i="13"/>
  <c r="AH29" i="13"/>
  <c r="AG29" i="13"/>
  <c r="AF29" i="13"/>
  <c r="AE29" i="13"/>
  <c r="AK29" i="13" s="1"/>
  <c r="AC29" i="13"/>
  <c r="AB29" i="13"/>
  <c r="AA29" i="13"/>
  <c r="Z29" i="13"/>
  <c r="Y29" i="13"/>
  <c r="AD29" i="13" s="1"/>
  <c r="X29" i="13"/>
  <c r="V29" i="13"/>
  <c r="U29" i="13"/>
  <c r="W29" i="13" s="1"/>
  <c r="G30" i="4" s="1"/>
  <c r="T29" i="13"/>
  <c r="S29" i="13"/>
  <c r="R29" i="13"/>
  <c r="Q29" i="13"/>
  <c r="O29" i="13"/>
  <c r="N29" i="13"/>
  <c r="M29" i="13"/>
  <c r="X30" i="4" s="1"/>
  <c r="L29" i="13"/>
  <c r="P29" i="13" s="1"/>
  <c r="E30" i="4" s="1"/>
  <c r="K29" i="13"/>
  <c r="J29" i="13"/>
  <c r="I29" i="13"/>
  <c r="H29" i="13"/>
  <c r="G29" i="13"/>
  <c r="F29" i="13"/>
  <c r="E29" i="13"/>
  <c r="D29" i="13"/>
  <c r="B30" i="4" s="1"/>
  <c r="C29" i="13"/>
  <c r="B29" i="13"/>
  <c r="A29" i="13"/>
  <c r="AQ28" i="13"/>
  <c r="AP28" i="13"/>
  <c r="AO28" i="13"/>
  <c r="AN28" i="13"/>
  <c r="AM28" i="13"/>
  <c r="AR28" i="13" s="1"/>
  <c r="AS28" i="13" s="1"/>
  <c r="K29" i="4" s="1"/>
  <c r="AL28" i="13"/>
  <c r="AJ28" i="13"/>
  <c r="AI28" i="13"/>
  <c r="AH28" i="13"/>
  <c r="AG28" i="13"/>
  <c r="AF28" i="13"/>
  <c r="AE28" i="13"/>
  <c r="AC28" i="13"/>
  <c r="AD28" i="13" s="1"/>
  <c r="AB28" i="13"/>
  <c r="AA28" i="13"/>
  <c r="Z28" i="13"/>
  <c r="Y28" i="13"/>
  <c r="X28" i="13"/>
  <c r="V28" i="13"/>
  <c r="U28" i="13"/>
  <c r="T28" i="13"/>
  <c r="S28" i="13"/>
  <c r="R28" i="13"/>
  <c r="Q28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A28" i="13"/>
  <c r="AQ27" i="13"/>
  <c r="AP27" i="13"/>
  <c r="AO27" i="13"/>
  <c r="AN27" i="13"/>
  <c r="AM27" i="13"/>
  <c r="AL27" i="13"/>
  <c r="AJ27" i="13"/>
  <c r="AI27" i="13"/>
  <c r="AH27" i="13"/>
  <c r="AG27" i="13"/>
  <c r="AF27" i="13"/>
  <c r="AE27" i="13"/>
  <c r="AC27" i="13"/>
  <c r="AB27" i="13"/>
  <c r="AA27" i="13"/>
  <c r="Z27" i="13"/>
  <c r="Y27" i="13"/>
  <c r="X27" i="13"/>
  <c r="V27" i="13"/>
  <c r="U27" i="13"/>
  <c r="T27" i="13"/>
  <c r="S27" i="13"/>
  <c r="R27" i="13"/>
  <c r="Q27" i="13"/>
  <c r="O27" i="13"/>
  <c r="N27" i="13"/>
  <c r="M27" i="13"/>
  <c r="L27" i="13"/>
  <c r="K27" i="13"/>
  <c r="J27" i="13"/>
  <c r="P27" i="13" s="1"/>
  <c r="I27" i="13"/>
  <c r="H27" i="13"/>
  <c r="G27" i="13"/>
  <c r="F27" i="13"/>
  <c r="E27" i="13"/>
  <c r="D27" i="13"/>
  <c r="C27" i="13"/>
  <c r="B27" i="13"/>
  <c r="A27" i="13"/>
  <c r="AQ26" i="13"/>
  <c r="AP26" i="13"/>
  <c r="AO26" i="13"/>
  <c r="AN26" i="13"/>
  <c r="AM26" i="13"/>
  <c r="AL26" i="13"/>
  <c r="AJ26" i="13"/>
  <c r="AI26" i="13"/>
  <c r="AH26" i="13"/>
  <c r="AG26" i="13"/>
  <c r="AF26" i="13"/>
  <c r="AE26" i="13"/>
  <c r="AK26" i="13" s="1"/>
  <c r="J27" i="4" s="1"/>
  <c r="AC26" i="13"/>
  <c r="AB26" i="13"/>
  <c r="AA26" i="13"/>
  <c r="AD26" i="13" s="1"/>
  <c r="Z26" i="13"/>
  <c r="Y26" i="13"/>
  <c r="X26" i="13"/>
  <c r="V26" i="13"/>
  <c r="U26" i="13"/>
  <c r="T26" i="13"/>
  <c r="S26" i="13"/>
  <c r="R26" i="13"/>
  <c r="W26" i="13" s="1"/>
  <c r="G27" i="4" s="1"/>
  <c r="Q26" i="13"/>
  <c r="O26" i="13"/>
  <c r="N26" i="13"/>
  <c r="M26" i="13"/>
  <c r="L26" i="13"/>
  <c r="W27" i="4" s="1"/>
  <c r="K26" i="13"/>
  <c r="J26" i="13"/>
  <c r="I26" i="13"/>
  <c r="H26" i="13"/>
  <c r="G26" i="13"/>
  <c r="F26" i="13"/>
  <c r="E26" i="13"/>
  <c r="D26" i="13"/>
  <c r="C26" i="13"/>
  <c r="B26" i="13"/>
  <c r="A26" i="13"/>
  <c r="AQ25" i="13"/>
  <c r="AP25" i="13"/>
  <c r="AO25" i="13"/>
  <c r="AN25" i="13"/>
  <c r="AM25" i="13"/>
  <c r="AR25" i="13" s="1"/>
  <c r="AS25" i="13" s="1"/>
  <c r="K26" i="4" s="1"/>
  <c r="AL25" i="13"/>
  <c r="AJ25" i="13"/>
  <c r="AI25" i="13"/>
  <c r="AK25" i="13" s="1"/>
  <c r="AH25" i="13"/>
  <c r="AG25" i="13"/>
  <c r="AF25" i="13"/>
  <c r="AE25" i="13"/>
  <c r="AC25" i="13"/>
  <c r="AB25" i="13"/>
  <c r="AA25" i="13"/>
  <c r="Z25" i="13"/>
  <c r="AD25" i="13" s="1"/>
  <c r="Y25" i="13"/>
  <c r="X25" i="13"/>
  <c r="V25" i="13"/>
  <c r="U25" i="13"/>
  <c r="T25" i="13"/>
  <c r="S25" i="13"/>
  <c r="R25" i="13"/>
  <c r="Q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A25" i="13"/>
  <c r="AQ24" i="13"/>
  <c r="AR24" i="13" s="1"/>
  <c r="AS24" i="13" s="1"/>
  <c r="K25" i="4" s="1"/>
  <c r="AP24" i="13"/>
  <c r="AO24" i="13"/>
  <c r="AN24" i="13"/>
  <c r="AM24" i="13"/>
  <c r="AL24" i="13"/>
  <c r="AJ24" i="13"/>
  <c r="AI24" i="13"/>
  <c r="AH24" i="13"/>
  <c r="AG24" i="13"/>
  <c r="AF24" i="13"/>
  <c r="AE24" i="13"/>
  <c r="AC24" i="13"/>
  <c r="AB24" i="13"/>
  <c r="AA24" i="13"/>
  <c r="Z24" i="13"/>
  <c r="Y24" i="13"/>
  <c r="X24" i="13"/>
  <c r="V24" i="13"/>
  <c r="U24" i="13"/>
  <c r="T24" i="13"/>
  <c r="S24" i="13"/>
  <c r="R24" i="13"/>
  <c r="Q24" i="13"/>
  <c r="O24" i="13"/>
  <c r="N24" i="13"/>
  <c r="M24" i="13"/>
  <c r="L24" i="13"/>
  <c r="K24" i="13"/>
  <c r="J24" i="13"/>
  <c r="P24" i="13" s="1"/>
  <c r="I24" i="13"/>
  <c r="H24" i="13"/>
  <c r="G24" i="13"/>
  <c r="F24" i="13"/>
  <c r="E24" i="13"/>
  <c r="D24" i="13"/>
  <c r="C24" i="13"/>
  <c r="B24" i="13"/>
  <c r="A24" i="13"/>
  <c r="AQ23" i="13"/>
  <c r="AP23" i="13"/>
  <c r="AO23" i="13"/>
  <c r="AN23" i="13"/>
  <c r="AM23" i="13"/>
  <c r="AL23" i="13"/>
  <c r="AJ23" i="13"/>
  <c r="AI23" i="13"/>
  <c r="AH23" i="13"/>
  <c r="AG23" i="13"/>
  <c r="AF23" i="13"/>
  <c r="AE23" i="13"/>
  <c r="AC23" i="13"/>
  <c r="AB23" i="13"/>
  <c r="AA23" i="13"/>
  <c r="Z23" i="13"/>
  <c r="Y23" i="13"/>
  <c r="X23" i="13"/>
  <c r="AD23" i="13" s="1"/>
  <c r="V23" i="13"/>
  <c r="U23" i="13"/>
  <c r="T23" i="13"/>
  <c r="S23" i="13"/>
  <c r="R23" i="13"/>
  <c r="W23" i="13" s="1"/>
  <c r="G24" i="4" s="1"/>
  <c r="Q23" i="13"/>
  <c r="O23" i="13"/>
  <c r="N23" i="13"/>
  <c r="P23" i="13" s="1"/>
  <c r="M23" i="13"/>
  <c r="L23" i="13"/>
  <c r="K23" i="13"/>
  <c r="J23" i="13"/>
  <c r="I23" i="13"/>
  <c r="H23" i="13"/>
  <c r="G23" i="13"/>
  <c r="F23" i="13"/>
  <c r="AW23" i="13" s="1"/>
  <c r="Q24" i="4" s="1"/>
  <c r="E23" i="13"/>
  <c r="D23" i="13"/>
  <c r="C23" i="13"/>
  <c r="B23" i="13"/>
  <c r="A23" i="13"/>
  <c r="AQ22" i="13"/>
  <c r="AP22" i="13"/>
  <c r="AO22" i="13"/>
  <c r="AR22" i="13" s="1"/>
  <c r="AS22" i="13" s="1"/>
  <c r="K23" i="4" s="1"/>
  <c r="AN22" i="13"/>
  <c r="AM22" i="13"/>
  <c r="AL22" i="13"/>
  <c r="AJ22" i="13"/>
  <c r="AI22" i="13"/>
  <c r="AH22" i="13"/>
  <c r="AG22" i="13"/>
  <c r="AF22" i="13"/>
  <c r="AK22" i="13" s="1"/>
  <c r="J23" i="4" s="1"/>
  <c r="AE22" i="13"/>
  <c r="AC22" i="13"/>
  <c r="AB22" i="13"/>
  <c r="AA22" i="13"/>
  <c r="Z22" i="13"/>
  <c r="Y22" i="13"/>
  <c r="X22" i="13"/>
  <c r="V22" i="13"/>
  <c r="W22" i="13" s="1"/>
  <c r="G23" i="4" s="1"/>
  <c r="U22" i="13"/>
  <c r="T22" i="13"/>
  <c r="S22" i="13"/>
  <c r="R22" i="13"/>
  <c r="Q22" i="13"/>
  <c r="O22" i="13"/>
  <c r="N22" i="13"/>
  <c r="Y23" i="4" s="1"/>
  <c r="M22" i="13"/>
  <c r="X23" i="4" s="1"/>
  <c r="L22" i="13"/>
  <c r="K22" i="13"/>
  <c r="J22" i="13"/>
  <c r="I22" i="13"/>
  <c r="H22" i="13"/>
  <c r="M23" i="4" s="1"/>
  <c r="G22" i="13"/>
  <c r="F22" i="13"/>
  <c r="E22" i="13"/>
  <c r="D22" i="13"/>
  <c r="C22" i="13"/>
  <c r="B22" i="13"/>
  <c r="A22" i="13"/>
  <c r="AQ21" i="13"/>
  <c r="AP21" i="13"/>
  <c r="AO21" i="13"/>
  <c r="AN21" i="13"/>
  <c r="AR21" i="13" s="1"/>
  <c r="AS21" i="13" s="1"/>
  <c r="K22" i="4" s="1"/>
  <c r="AM21" i="13"/>
  <c r="AL21" i="13"/>
  <c r="AJ21" i="13"/>
  <c r="AI21" i="13"/>
  <c r="AH21" i="13"/>
  <c r="AG21" i="13"/>
  <c r="AF21" i="13"/>
  <c r="AE21" i="13"/>
  <c r="AC21" i="13"/>
  <c r="AB21" i="13"/>
  <c r="AA21" i="13"/>
  <c r="Z21" i="13"/>
  <c r="Y21" i="13"/>
  <c r="X21" i="13"/>
  <c r="V21" i="13"/>
  <c r="U21" i="13"/>
  <c r="T21" i="13"/>
  <c r="S21" i="13"/>
  <c r="R21" i="13"/>
  <c r="Q21" i="13"/>
  <c r="O21" i="13"/>
  <c r="N21" i="13"/>
  <c r="M21" i="13"/>
  <c r="X22" i="4" s="1"/>
  <c r="L21" i="13"/>
  <c r="K21" i="13"/>
  <c r="J21" i="13"/>
  <c r="I21" i="13"/>
  <c r="H21" i="13"/>
  <c r="G21" i="13"/>
  <c r="F21" i="13"/>
  <c r="E21" i="13"/>
  <c r="AT21" i="13" s="1"/>
  <c r="D21" i="13"/>
  <c r="C21" i="13"/>
  <c r="B21" i="13"/>
  <c r="A21" i="13"/>
  <c r="AQ20" i="13"/>
  <c r="AP20" i="13"/>
  <c r="AO20" i="13"/>
  <c r="AN20" i="13"/>
  <c r="AM20" i="13"/>
  <c r="AL20" i="13"/>
  <c r="AJ20" i="13"/>
  <c r="AI20" i="13"/>
  <c r="AH20" i="13"/>
  <c r="AG20" i="13"/>
  <c r="AF20" i="13"/>
  <c r="AE20" i="13"/>
  <c r="AC20" i="13"/>
  <c r="AB20" i="13"/>
  <c r="AA20" i="13"/>
  <c r="Z20" i="13"/>
  <c r="Y20" i="13"/>
  <c r="X20" i="13"/>
  <c r="AD20" i="13" s="1"/>
  <c r="V20" i="13"/>
  <c r="U20" i="13"/>
  <c r="T20" i="13"/>
  <c r="W20" i="13" s="1"/>
  <c r="G21" i="4" s="1"/>
  <c r="S20" i="13"/>
  <c r="R20" i="13"/>
  <c r="Q20" i="13"/>
  <c r="O20" i="13"/>
  <c r="N20" i="13"/>
  <c r="M20" i="13"/>
  <c r="L20" i="13"/>
  <c r="K20" i="13"/>
  <c r="V21" i="4" s="1"/>
  <c r="J20" i="13"/>
  <c r="I20" i="13"/>
  <c r="H20" i="13"/>
  <c r="G20" i="13"/>
  <c r="L21" i="4" s="1"/>
  <c r="F20" i="13"/>
  <c r="AW20" i="13" s="1"/>
  <c r="E20" i="13"/>
  <c r="D20" i="13"/>
  <c r="C20" i="13"/>
  <c r="B20" i="13"/>
  <c r="A20" i="13"/>
  <c r="AQ19" i="13"/>
  <c r="AP19" i="13"/>
  <c r="AO19" i="13"/>
  <c r="AN19" i="13"/>
  <c r="AM19" i="13"/>
  <c r="AL19" i="13"/>
  <c r="AR19" i="13" s="1"/>
  <c r="AS19" i="13" s="1"/>
  <c r="AJ19" i="13"/>
  <c r="AI19" i="13"/>
  <c r="AH19" i="13"/>
  <c r="AG19" i="13"/>
  <c r="AF19" i="13"/>
  <c r="AK19" i="13" s="1"/>
  <c r="J20" i="4" s="1"/>
  <c r="AE19" i="13"/>
  <c r="AC19" i="13"/>
  <c r="AB19" i="13"/>
  <c r="AD19" i="13" s="1"/>
  <c r="AA19" i="13"/>
  <c r="Z19" i="13"/>
  <c r="Y19" i="13"/>
  <c r="X19" i="13"/>
  <c r="V19" i="13"/>
  <c r="U19" i="13"/>
  <c r="T19" i="13"/>
  <c r="S19" i="13"/>
  <c r="R19" i="13"/>
  <c r="Q19" i="13"/>
  <c r="O19" i="13"/>
  <c r="N19" i="13"/>
  <c r="M19" i="13"/>
  <c r="L19" i="13"/>
  <c r="K19" i="13"/>
  <c r="V20" i="4" s="1"/>
  <c r="J19" i="13"/>
  <c r="I19" i="13"/>
  <c r="H19" i="13"/>
  <c r="G19" i="13"/>
  <c r="F19" i="13"/>
  <c r="E19" i="13"/>
  <c r="D19" i="13"/>
  <c r="C19" i="13"/>
  <c r="B19" i="13"/>
  <c r="A19" i="13"/>
  <c r="AQ18" i="13"/>
  <c r="AP18" i="13"/>
  <c r="AO18" i="13"/>
  <c r="AN18" i="13"/>
  <c r="AM18" i="13"/>
  <c r="AL18" i="13"/>
  <c r="AJ18" i="13"/>
  <c r="AK18" i="13" s="1"/>
  <c r="AI18" i="13"/>
  <c r="AH18" i="13"/>
  <c r="AG18" i="13"/>
  <c r="AF18" i="13"/>
  <c r="AE18" i="13"/>
  <c r="AC18" i="13"/>
  <c r="AB18" i="13"/>
  <c r="AA18" i="13"/>
  <c r="Z18" i="13"/>
  <c r="Y18" i="13"/>
  <c r="X18" i="13"/>
  <c r="V18" i="13"/>
  <c r="U18" i="13"/>
  <c r="T18" i="13"/>
  <c r="S18" i="13"/>
  <c r="R18" i="13"/>
  <c r="Q18" i="13"/>
  <c r="O18" i="13"/>
  <c r="N18" i="13"/>
  <c r="M18" i="13"/>
  <c r="L18" i="13"/>
  <c r="K18" i="13"/>
  <c r="J18" i="13"/>
  <c r="I18" i="13"/>
  <c r="H18" i="13"/>
  <c r="G18" i="13"/>
  <c r="F18" i="13"/>
  <c r="AW18" i="13" s="1"/>
  <c r="E18" i="13"/>
  <c r="D18" i="13"/>
  <c r="C18" i="13"/>
  <c r="B18" i="13"/>
  <c r="R19" i="4" s="1"/>
  <c r="A18" i="13"/>
  <c r="AQ17" i="13"/>
  <c r="AP17" i="13"/>
  <c r="AO17" i="13"/>
  <c r="AN17" i="13"/>
  <c r="AM17" i="13"/>
  <c r="AL17" i="13"/>
  <c r="AJ17" i="13"/>
  <c r="AI17" i="13"/>
  <c r="AH17" i="13"/>
  <c r="AG17" i="13"/>
  <c r="AF17" i="13"/>
  <c r="AE17" i="13"/>
  <c r="AC17" i="13"/>
  <c r="AB17" i="13"/>
  <c r="AA17" i="13"/>
  <c r="Z17" i="13"/>
  <c r="Y17" i="13"/>
  <c r="X17" i="13"/>
  <c r="V17" i="13"/>
  <c r="U17" i="13"/>
  <c r="T17" i="13"/>
  <c r="S17" i="13"/>
  <c r="R17" i="13"/>
  <c r="Q17" i="13"/>
  <c r="W17" i="13" s="1"/>
  <c r="G18" i="4" s="1"/>
  <c r="O17" i="13"/>
  <c r="N17" i="13"/>
  <c r="Y18" i="4" s="1"/>
  <c r="M17" i="13"/>
  <c r="L17" i="13"/>
  <c r="W18" i="4" s="1"/>
  <c r="K17" i="13"/>
  <c r="P17" i="13" s="1"/>
  <c r="J17" i="13"/>
  <c r="I17" i="13"/>
  <c r="H17" i="13"/>
  <c r="M18" i="4" s="1"/>
  <c r="G17" i="13"/>
  <c r="F17" i="13"/>
  <c r="E17" i="13"/>
  <c r="D17" i="13"/>
  <c r="C17" i="13"/>
  <c r="B17" i="13"/>
  <c r="A17" i="13"/>
  <c r="AQ16" i="13"/>
  <c r="AP16" i="13"/>
  <c r="AO16" i="13"/>
  <c r="AN16" i="13"/>
  <c r="AM16" i="13"/>
  <c r="AL16" i="13"/>
  <c r="AR16" i="13" s="1"/>
  <c r="AS16" i="13" s="1"/>
  <c r="AJ16" i="13"/>
  <c r="AI16" i="13"/>
  <c r="AH16" i="13"/>
  <c r="AK16" i="13" s="1"/>
  <c r="AG16" i="13"/>
  <c r="AF16" i="13"/>
  <c r="AE16" i="13"/>
  <c r="AC16" i="13"/>
  <c r="AB16" i="13"/>
  <c r="AA16" i="13"/>
  <c r="Z16" i="13"/>
  <c r="Y16" i="13"/>
  <c r="AD16" i="13" s="1"/>
  <c r="X16" i="13"/>
  <c r="V16" i="13"/>
  <c r="U16" i="13"/>
  <c r="T16" i="13"/>
  <c r="S16" i="13"/>
  <c r="R16" i="13"/>
  <c r="Q16" i="13"/>
  <c r="O16" i="13"/>
  <c r="P16" i="13" s="1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A16" i="13"/>
  <c r="AQ15" i="13"/>
  <c r="AP15" i="13"/>
  <c r="AR15" i="13" s="1"/>
  <c r="AS15" i="13" s="1"/>
  <c r="K16" i="4" s="1"/>
  <c r="AO15" i="13"/>
  <c r="AN15" i="13"/>
  <c r="AM15" i="13"/>
  <c r="AL15" i="13"/>
  <c r="AJ15" i="13"/>
  <c r="AI15" i="13"/>
  <c r="AH15" i="13"/>
  <c r="AG15" i="13"/>
  <c r="AK15" i="13" s="1"/>
  <c r="J16" i="4" s="1"/>
  <c r="AF15" i="13"/>
  <c r="AE15" i="13"/>
  <c r="AC15" i="13"/>
  <c r="AB15" i="13"/>
  <c r="AA15" i="13"/>
  <c r="Z15" i="13"/>
  <c r="Y15" i="13"/>
  <c r="X15" i="13"/>
  <c r="V15" i="13"/>
  <c r="U15" i="13"/>
  <c r="T15" i="13"/>
  <c r="S15" i="13"/>
  <c r="R15" i="13"/>
  <c r="Q15" i="13"/>
  <c r="O15" i="13"/>
  <c r="N15" i="13"/>
  <c r="M15" i="13"/>
  <c r="L15" i="13"/>
  <c r="K15" i="13"/>
  <c r="J15" i="13"/>
  <c r="I15" i="13"/>
  <c r="H15" i="13"/>
  <c r="G15" i="13"/>
  <c r="F15" i="13"/>
  <c r="AW15" i="13" s="1"/>
  <c r="Q16" i="4" s="1"/>
  <c r="E15" i="13"/>
  <c r="D15" i="13"/>
  <c r="C15" i="13"/>
  <c r="B15" i="13"/>
  <c r="A15" i="13"/>
  <c r="AQ14" i="13"/>
  <c r="AP14" i="13"/>
  <c r="AO14" i="13"/>
  <c r="AN14" i="13"/>
  <c r="AM14" i="13"/>
  <c r="AL14" i="13"/>
  <c r="AJ14" i="13"/>
  <c r="AI14" i="13"/>
  <c r="AH14" i="13"/>
  <c r="AG14" i="13"/>
  <c r="AF14" i="13"/>
  <c r="AE14" i="13"/>
  <c r="AC14" i="13"/>
  <c r="AB14" i="13"/>
  <c r="AA14" i="13"/>
  <c r="Z14" i="13"/>
  <c r="Y14" i="13"/>
  <c r="X14" i="13"/>
  <c r="AD14" i="13" s="1"/>
  <c r="V14" i="13"/>
  <c r="U14" i="13"/>
  <c r="T14" i="13"/>
  <c r="S14" i="13"/>
  <c r="R14" i="13"/>
  <c r="Q14" i="13"/>
  <c r="W14" i="13" s="1"/>
  <c r="G15" i="4" s="1"/>
  <c r="O14" i="13"/>
  <c r="N14" i="13"/>
  <c r="M14" i="13"/>
  <c r="P14" i="13" s="1"/>
  <c r="L14" i="13"/>
  <c r="K14" i="13"/>
  <c r="J14" i="13"/>
  <c r="I14" i="13"/>
  <c r="H14" i="13"/>
  <c r="G14" i="13"/>
  <c r="F14" i="13"/>
  <c r="E14" i="13"/>
  <c r="D14" i="13"/>
  <c r="C14" i="13"/>
  <c r="B14" i="13"/>
  <c r="U15" i="4" s="1"/>
  <c r="A14" i="13"/>
  <c r="AQ13" i="13"/>
  <c r="AP13" i="13"/>
  <c r="AO13" i="13"/>
  <c r="AN13" i="13"/>
  <c r="AM13" i="13"/>
  <c r="AL13" i="13"/>
  <c r="AJ13" i="13"/>
  <c r="AI13" i="13"/>
  <c r="AH13" i="13"/>
  <c r="AG13" i="13"/>
  <c r="AF13" i="13"/>
  <c r="AE13" i="13"/>
  <c r="AK13" i="13" s="1"/>
  <c r="J14" i="4" s="1"/>
  <c r="AC13" i="13"/>
  <c r="AB13" i="13"/>
  <c r="AA13" i="13"/>
  <c r="Z13" i="13"/>
  <c r="Y13" i="13"/>
  <c r="AD13" i="13" s="1"/>
  <c r="X13" i="13"/>
  <c r="V13" i="13"/>
  <c r="U13" i="13"/>
  <c r="W13" i="13" s="1"/>
  <c r="G14" i="4" s="1"/>
  <c r="T13" i="13"/>
  <c r="S13" i="13"/>
  <c r="R13" i="13"/>
  <c r="Q13" i="13"/>
  <c r="O13" i="13"/>
  <c r="Z14" i="4" s="1"/>
  <c r="N13" i="13"/>
  <c r="M13" i="13"/>
  <c r="L13" i="13"/>
  <c r="P13" i="13" s="1"/>
  <c r="K13" i="13"/>
  <c r="J13" i="13"/>
  <c r="I13" i="13"/>
  <c r="H13" i="13"/>
  <c r="G13" i="13"/>
  <c r="F13" i="13"/>
  <c r="D14" i="4" s="1"/>
  <c r="E13" i="13"/>
  <c r="D13" i="13"/>
  <c r="B14" i="4" s="1"/>
  <c r="C13" i="13"/>
  <c r="B13" i="13"/>
  <c r="A13" i="13"/>
  <c r="AQ12" i="13"/>
  <c r="AP12" i="13"/>
  <c r="AO12" i="13"/>
  <c r="AN12" i="13"/>
  <c r="AM12" i="13"/>
  <c r="AR12" i="13" s="1"/>
  <c r="AS12" i="13" s="1"/>
  <c r="K13" i="4" s="1"/>
  <c r="AL12" i="13"/>
  <c r="AJ12" i="13"/>
  <c r="AI12" i="13"/>
  <c r="AH12" i="13"/>
  <c r="AG12" i="13"/>
  <c r="AF12" i="13"/>
  <c r="AE12" i="13"/>
  <c r="AC12" i="13"/>
  <c r="AD12" i="13" s="1"/>
  <c r="AB12" i="13"/>
  <c r="AA12" i="13"/>
  <c r="Z12" i="13"/>
  <c r="Y12" i="13"/>
  <c r="X12" i="13"/>
  <c r="V12" i="13"/>
  <c r="U12" i="13"/>
  <c r="T12" i="13"/>
  <c r="W12" i="13" s="1"/>
  <c r="G13" i="4" s="1"/>
  <c r="S12" i="13"/>
  <c r="R12" i="13"/>
  <c r="Q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A12" i="13"/>
  <c r="AQ11" i="13"/>
  <c r="AP11" i="13"/>
  <c r="AO11" i="13"/>
  <c r="AN11" i="13"/>
  <c r="AM11" i="13"/>
  <c r="AL11" i="13"/>
  <c r="AJ11" i="13"/>
  <c r="AI11" i="13"/>
  <c r="AH11" i="13"/>
  <c r="AG11" i="13"/>
  <c r="AF11" i="13"/>
  <c r="AE11" i="13"/>
  <c r="AC11" i="13"/>
  <c r="AB11" i="13"/>
  <c r="AA11" i="13"/>
  <c r="Z11" i="13"/>
  <c r="Y11" i="13"/>
  <c r="X11" i="13"/>
  <c r="V11" i="13"/>
  <c r="U11" i="13"/>
  <c r="T11" i="13"/>
  <c r="S11" i="13"/>
  <c r="R11" i="13"/>
  <c r="Q11" i="13"/>
  <c r="O11" i="13"/>
  <c r="N11" i="13"/>
  <c r="M11" i="13"/>
  <c r="L11" i="13"/>
  <c r="K11" i="13"/>
  <c r="J11" i="13"/>
  <c r="P11" i="13" s="1"/>
  <c r="BA11" i="13" s="1"/>
  <c r="I11" i="13"/>
  <c r="H11" i="13"/>
  <c r="G11" i="13"/>
  <c r="F11" i="13"/>
  <c r="E11" i="13"/>
  <c r="D11" i="13"/>
  <c r="C11" i="13"/>
  <c r="B11" i="13"/>
  <c r="A11" i="13"/>
  <c r="AQ10" i="13"/>
  <c r="AP10" i="13"/>
  <c r="AO10" i="13"/>
  <c r="AN10" i="13"/>
  <c r="AM10" i="13"/>
  <c r="AL10" i="13"/>
  <c r="AR10" i="13" s="1"/>
  <c r="AS10" i="13" s="1"/>
  <c r="K11" i="4" s="1"/>
  <c r="AJ10" i="13"/>
  <c r="AI10" i="13"/>
  <c r="AH10" i="13"/>
  <c r="AG10" i="13"/>
  <c r="AF10" i="13"/>
  <c r="AE10" i="13"/>
  <c r="AK10" i="13" s="1"/>
  <c r="J11" i="4" s="1"/>
  <c r="AC10" i="13"/>
  <c r="AB10" i="13"/>
  <c r="AA10" i="13"/>
  <c r="AD10" i="13" s="1"/>
  <c r="Z10" i="13"/>
  <c r="Y10" i="13"/>
  <c r="X10" i="13"/>
  <c r="V10" i="13"/>
  <c r="U10" i="13"/>
  <c r="T10" i="13"/>
  <c r="S10" i="13"/>
  <c r="R10" i="13"/>
  <c r="W10" i="13" s="1"/>
  <c r="G11" i="4" s="1"/>
  <c r="Q10" i="13"/>
  <c r="O10" i="13"/>
  <c r="N10" i="13"/>
  <c r="Y11" i="4" s="1"/>
  <c r="M10" i="13"/>
  <c r="L10" i="13"/>
  <c r="W11" i="4" s="1"/>
  <c r="K10" i="13"/>
  <c r="J10" i="13"/>
  <c r="I10" i="13"/>
  <c r="H10" i="13"/>
  <c r="G10" i="13"/>
  <c r="F10" i="13"/>
  <c r="E10" i="13"/>
  <c r="D10" i="13"/>
  <c r="C10" i="13"/>
  <c r="B10" i="13"/>
  <c r="A10" i="13"/>
  <c r="AQ9" i="13"/>
  <c r="AP9" i="13"/>
  <c r="AO9" i="13"/>
  <c r="AN9" i="13"/>
  <c r="AM9" i="13"/>
  <c r="AR9" i="13" s="1"/>
  <c r="AS9" i="13" s="1"/>
  <c r="K10" i="4" s="1"/>
  <c r="AL9" i="13"/>
  <c r="AJ9" i="13"/>
  <c r="AI9" i="13"/>
  <c r="AK9" i="13" s="1"/>
  <c r="AH9" i="13"/>
  <c r="AG9" i="13"/>
  <c r="AF9" i="13"/>
  <c r="AE9" i="13"/>
  <c r="AC9" i="13"/>
  <c r="AB9" i="13"/>
  <c r="AA9" i="13"/>
  <c r="Z9" i="13"/>
  <c r="AD9" i="13" s="1"/>
  <c r="Y9" i="13"/>
  <c r="X9" i="13"/>
  <c r="V9" i="13"/>
  <c r="U9" i="13"/>
  <c r="T9" i="13"/>
  <c r="S9" i="13"/>
  <c r="R9" i="13"/>
  <c r="Q9" i="13"/>
  <c r="O9" i="13"/>
  <c r="N9" i="13"/>
  <c r="M9" i="13"/>
  <c r="L9" i="13"/>
  <c r="K9" i="13"/>
  <c r="J9" i="13"/>
  <c r="I9" i="13"/>
  <c r="H9" i="13"/>
  <c r="G9" i="13"/>
  <c r="F9" i="13"/>
  <c r="E9" i="13"/>
  <c r="AT9" i="13" s="1"/>
  <c r="D9" i="13"/>
  <c r="C9" i="13"/>
  <c r="B9" i="13"/>
  <c r="L10" i="4" s="1"/>
  <c r="A9" i="13"/>
  <c r="AQ8" i="13"/>
  <c r="AR8" i="13" s="1"/>
  <c r="AS8" i="13" s="1"/>
  <c r="K9" i="4" s="1"/>
  <c r="AP8" i="13"/>
  <c r="AO8" i="13"/>
  <c r="AN8" i="13"/>
  <c r="AM8" i="13"/>
  <c r="AL8" i="13"/>
  <c r="AJ8" i="13"/>
  <c r="AI8" i="13"/>
  <c r="AH8" i="13"/>
  <c r="AG8" i="13"/>
  <c r="AF8" i="13"/>
  <c r="AE8" i="13"/>
  <c r="AC8" i="13"/>
  <c r="AB8" i="13"/>
  <c r="AA8" i="13"/>
  <c r="Z8" i="13"/>
  <c r="Y8" i="13"/>
  <c r="X8" i="13"/>
  <c r="V8" i="13"/>
  <c r="U8" i="13"/>
  <c r="T8" i="13"/>
  <c r="S8" i="13"/>
  <c r="R8" i="13"/>
  <c r="Q8" i="13"/>
  <c r="W8" i="13" s="1"/>
  <c r="G9" i="4" s="1"/>
  <c r="O8" i="13"/>
  <c r="N8" i="13"/>
  <c r="M8" i="13"/>
  <c r="L8" i="13"/>
  <c r="K8" i="13"/>
  <c r="J8" i="13"/>
  <c r="P8" i="13" s="1"/>
  <c r="I8" i="13"/>
  <c r="H8" i="13"/>
  <c r="M9" i="4" s="1"/>
  <c r="G8" i="13"/>
  <c r="F8" i="13"/>
  <c r="E8" i="13"/>
  <c r="D8" i="13"/>
  <c r="C8" i="13"/>
  <c r="B8" i="13"/>
  <c r="N9" i="4" s="1"/>
  <c r="A8" i="13"/>
  <c r="AQ7" i="13"/>
  <c r="AP7" i="13"/>
  <c r="AR7" i="13" s="1"/>
  <c r="AS7" i="13" s="1"/>
  <c r="K8" i="4" s="1"/>
  <c r="AO7" i="13"/>
  <c r="AN7" i="13"/>
  <c r="AM7" i="13"/>
  <c r="AL7" i="13"/>
  <c r="AJ7" i="13"/>
  <c r="AI7" i="13"/>
  <c r="AH7" i="13"/>
  <c r="AG7" i="13"/>
  <c r="AF7" i="13"/>
  <c r="AE7" i="13"/>
  <c r="AC7" i="13"/>
  <c r="AB7" i="13"/>
  <c r="AA7" i="13"/>
  <c r="Z7" i="13"/>
  <c r="Y7" i="13"/>
  <c r="X7" i="13"/>
  <c r="AD7" i="13" s="1"/>
  <c r="I8" i="4" s="1"/>
  <c r="V7" i="13"/>
  <c r="U7" i="13"/>
  <c r="T7" i="13"/>
  <c r="S7" i="13"/>
  <c r="R7" i="13"/>
  <c r="W7" i="13" s="1"/>
  <c r="G8" i="4" s="1"/>
  <c r="Q7" i="13"/>
  <c r="O7" i="13"/>
  <c r="Z8" i="4" s="1"/>
  <c r="N7" i="13"/>
  <c r="P7" i="13" s="1"/>
  <c r="M7" i="13"/>
  <c r="L7" i="13"/>
  <c r="K7" i="13"/>
  <c r="J7" i="13"/>
  <c r="I7" i="13"/>
  <c r="H7" i="13"/>
  <c r="G7" i="13"/>
  <c r="F7" i="13"/>
  <c r="E7" i="13"/>
  <c r="D7" i="13"/>
  <c r="C7" i="13"/>
  <c r="B7" i="13"/>
  <c r="A7" i="13"/>
  <c r="AQ6" i="13"/>
  <c r="AP6" i="13"/>
  <c r="AO6" i="13"/>
  <c r="AR6" i="13" s="1"/>
  <c r="AS6" i="13" s="1"/>
  <c r="K7" i="4" s="1"/>
  <c r="AN6" i="13"/>
  <c r="AM6" i="13"/>
  <c r="AL6" i="13"/>
  <c r="AJ6" i="13"/>
  <c r="AI6" i="13"/>
  <c r="AH6" i="13"/>
  <c r="AG6" i="13"/>
  <c r="AF6" i="13"/>
  <c r="AK6" i="13" s="1"/>
  <c r="J7" i="4" s="1"/>
  <c r="AE6" i="13"/>
  <c r="AC6" i="13"/>
  <c r="AB6" i="13"/>
  <c r="AA6" i="13"/>
  <c r="Z6" i="13"/>
  <c r="Y6" i="13"/>
  <c r="X6" i="13"/>
  <c r="V6" i="13"/>
  <c r="W6" i="13" s="1"/>
  <c r="G7" i="4" s="1"/>
  <c r="U6" i="13"/>
  <c r="T6" i="13"/>
  <c r="S6" i="13"/>
  <c r="R6" i="13"/>
  <c r="Q6" i="13"/>
  <c r="O6" i="13"/>
  <c r="N6" i="13"/>
  <c r="Y7" i="4" s="1"/>
  <c r="M6" i="13"/>
  <c r="L6" i="13"/>
  <c r="K6" i="13"/>
  <c r="J6" i="13"/>
  <c r="I6" i="13"/>
  <c r="H6" i="13"/>
  <c r="G6" i="13"/>
  <c r="L7" i="4" s="1"/>
  <c r="F6" i="13"/>
  <c r="E6" i="13"/>
  <c r="D6" i="13"/>
  <c r="C6" i="13"/>
  <c r="B6" i="13"/>
  <c r="A6" i="13"/>
  <c r="AQ5" i="13"/>
  <c r="AP5" i="13"/>
  <c r="AO5" i="13"/>
  <c r="AN5" i="13"/>
  <c r="AM5" i="13"/>
  <c r="AL5" i="13"/>
  <c r="AJ5" i="13"/>
  <c r="AI5" i="13"/>
  <c r="AH5" i="13"/>
  <c r="AG5" i="13"/>
  <c r="AF5" i="13"/>
  <c r="AE5" i="13"/>
  <c r="AC5" i="13"/>
  <c r="AB5" i="13"/>
  <c r="AA5" i="13"/>
  <c r="Z5" i="13"/>
  <c r="Y5" i="13"/>
  <c r="X5" i="13"/>
  <c r="V5" i="13"/>
  <c r="U5" i="13"/>
  <c r="T5" i="13"/>
  <c r="S5" i="13"/>
  <c r="R5" i="13"/>
  <c r="Q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B5" i="13"/>
  <c r="L6" i="4" s="1"/>
  <c r="A5" i="13"/>
  <c r="AQ4" i="13"/>
  <c r="AP4" i="13"/>
  <c r="AO4" i="13"/>
  <c r="AN4" i="13"/>
  <c r="AM4" i="13"/>
  <c r="AL4" i="13"/>
  <c r="AJ4" i="13"/>
  <c r="AI4" i="13"/>
  <c r="AH4" i="13"/>
  <c r="AG4" i="13"/>
  <c r="AF4" i="13"/>
  <c r="AE4" i="13"/>
  <c r="AC4" i="13"/>
  <c r="AB4" i="13"/>
  <c r="AA4" i="13"/>
  <c r="Z4" i="13"/>
  <c r="Y4" i="13"/>
  <c r="X4" i="13"/>
  <c r="AD4" i="13" s="1"/>
  <c r="V4" i="13"/>
  <c r="U4" i="13"/>
  <c r="T4" i="13"/>
  <c r="W4" i="13" s="1"/>
  <c r="G5" i="4" s="1"/>
  <c r="S4" i="13"/>
  <c r="R4" i="13"/>
  <c r="Q4" i="13"/>
  <c r="O4" i="13"/>
  <c r="N4" i="13"/>
  <c r="M4" i="13"/>
  <c r="L4" i="13"/>
  <c r="K4" i="13"/>
  <c r="J4" i="13"/>
  <c r="I4" i="13"/>
  <c r="H4" i="13"/>
  <c r="G4" i="13"/>
  <c r="F4" i="13"/>
  <c r="E4" i="13"/>
  <c r="D4" i="13"/>
  <c r="B5" i="4" s="1"/>
  <c r="C4" i="13"/>
  <c r="A5" i="4" s="1"/>
  <c r="B4" i="13"/>
  <c r="A4" i="13"/>
  <c r="AQ3" i="13"/>
  <c r="AP3" i="13"/>
  <c r="AO3" i="13"/>
  <c r="AN3" i="13"/>
  <c r="AM3" i="13"/>
  <c r="AL3" i="13"/>
  <c r="AR3" i="13" s="1"/>
  <c r="AS3" i="13" s="1"/>
  <c r="AJ3" i="13"/>
  <c r="AI3" i="13"/>
  <c r="AH3" i="13"/>
  <c r="AG3" i="13"/>
  <c r="AF3" i="13"/>
  <c r="AK3" i="13" s="1"/>
  <c r="J4" i="4" s="1"/>
  <c r="AE3" i="13"/>
  <c r="AC3" i="13"/>
  <c r="AB3" i="13"/>
  <c r="AD3" i="13" s="1"/>
  <c r="AA3" i="13"/>
  <c r="Z3" i="13"/>
  <c r="Y3" i="13"/>
  <c r="X3" i="13"/>
  <c r="V3" i="13"/>
  <c r="U3" i="13"/>
  <c r="T3" i="13"/>
  <c r="S3" i="13"/>
  <c r="W3" i="13" s="1"/>
  <c r="R3" i="13"/>
  <c r="Q3" i="13"/>
  <c r="O3" i="13"/>
  <c r="N3" i="13"/>
  <c r="M3" i="13"/>
  <c r="X4" i="4" s="1"/>
  <c r="L3" i="13"/>
  <c r="K3" i="13"/>
  <c r="V4" i="4" s="1"/>
  <c r="J3" i="13"/>
  <c r="I3" i="13"/>
  <c r="H3" i="13"/>
  <c r="G3" i="13"/>
  <c r="F3" i="13"/>
  <c r="E3" i="13"/>
  <c r="AU3" i="13" s="1"/>
  <c r="D3" i="13"/>
  <c r="C3" i="13"/>
  <c r="B3" i="13"/>
  <c r="G4" i="4" s="1"/>
  <c r="A3" i="13"/>
  <c r="AQ2" i="13"/>
  <c r="AP2" i="13"/>
  <c r="AO2" i="13"/>
  <c r="AN2" i="13"/>
  <c r="AM2" i="13"/>
  <c r="AL2" i="13"/>
  <c r="AJ2" i="13"/>
  <c r="AK2" i="13" s="1"/>
  <c r="AI2" i="13"/>
  <c r="AH2" i="13"/>
  <c r="AG2" i="13"/>
  <c r="AF2" i="13"/>
  <c r="AE2" i="13"/>
  <c r="AC2" i="13"/>
  <c r="AB2" i="13"/>
  <c r="AA2" i="13"/>
  <c r="Z2" i="13"/>
  <c r="Y2" i="13"/>
  <c r="X2" i="13"/>
  <c r="V2" i="13"/>
  <c r="U2" i="13"/>
  <c r="T2" i="13"/>
  <c r="S2" i="13"/>
  <c r="R2" i="13"/>
  <c r="Q2" i="13"/>
  <c r="O2" i="13"/>
  <c r="N2" i="13"/>
  <c r="M2" i="13"/>
  <c r="L2" i="13"/>
  <c r="K2" i="13"/>
  <c r="J2" i="13"/>
  <c r="I2" i="13"/>
  <c r="H2" i="13"/>
  <c r="G2" i="13"/>
  <c r="F2" i="13"/>
  <c r="AW2" i="13" s="1"/>
  <c r="E2" i="13"/>
  <c r="D2" i="13"/>
  <c r="C2" i="13"/>
  <c r="B2" i="13"/>
  <c r="T3" i="4" s="1"/>
  <c r="A2" i="13"/>
  <c r="AT161" i="13"/>
  <c r="AU161" i="13"/>
  <c r="O162" i="4" s="1"/>
  <c r="AU177" i="13"/>
  <c r="AT177" i="13"/>
  <c r="AU193" i="13"/>
  <c r="AT193" i="13"/>
  <c r="N194" i="4" s="1"/>
  <c r="AU186" i="13"/>
  <c r="O187" i="4" s="1"/>
  <c r="AU152" i="13"/>
  <c r="AT168" i="13"/>
  <c r="AU168" i="13"/>
  <c r="AT176" i="13"/>
  <c r="AT184" i="13"/>
  <c r="N185" i="4" s="1"/>
  <c r="AU184" i="13"/>
  <c r="AU200" i="13"/>
  <c r="AT163" i="13"/>
  <c r="N164" i="4" s="1"/>
  <c r="AU163" i="13"/>
  <c r="AT179" i="13"/>
  <c r="N180" i="4" s="1"/>
  <c r="AU179" i="13"/>
  <c r="AU178" i="13"/>
  <c r="AT194" i="13"/>
  <c r="AU151" i="13"/>
  <c r="AT151" i="13"/>
  <c r="AU159" i="13"/>
  <c r="AT159" i="13"/>
  <c r="N160" i="4" s="1"/>
  <c r="AT167" i="13"/>
  <c r="AU167" i="13"/>
  <c r="AT175" i="13"/>
  <c r="AU175" i="13"/>
  <c r="O176" i="4"/>
  <c r="AT183" i="13"/>
  <c r="AU183" i="13"/>
  <c r="AT191" i="13"/>
  <c r="AU191" i="13"/>
  <c r="O192" i="4" s="1"/>
  <c r="AT199" i="13"/>
  <c r="AU199" i="13"/>
  <c r="AT158" i="13"/>
  <c r="AU158" i="13"/>
  <c r="AT190" i="13"/>
  <c r="N191" i="4"/>
  <c r="AU190" i="13"/>
  <c r="AT146" i="13"/>
  <c r="AU197" i="13"/>
  <c r="O198" i="4" s="1"/>
  <c r="AU147" i="13"/>
  <c r="AT148" i="13"/>
  <c r="N149" i="4" s="1"/>
  <c r="AU148" i="13"/>
  <c r="O149" i="4" s="1"/>
  <c r="AT156" i="13"/>
  <c r="N157" i="4" s="1"/>
  <c r="AU156" i="13"/>
  <c r="AT164" i="13"/>
  <c r="AU164" i="13"/>
  <c r="AT172" i="13"/>
  <c r="AU172" i="13"/>
  <c r="AU180" i="13"/>
  <c r="O181" i="4" s="1"/>
  <c r="AT188" i="13"/>
  <c r="AU188" i="13"/>
  <c r="O189" i="4"/>
  <c r="AT196" i="13"/>
  <c r="AT114" i="13"/>
  <c r="AU114" i="13"/>
  <c r="AT122" i="13"/>
  <c r="AU122" i="13"/>
  <c r="AT126" i="13"/>
  <c r="AU126" i="13"/>
  <c r="AU138" i="13"/>
  <c r="AU142" i="13"/>
  <c r="O116" i="4"/>
  <c r="AT115" i="13"/>
  <c r="AT119" i="13"/>
  <c r="AU119" i="13"/>
  <c r="AT135" i="13"/>
  <c r="AU135" i="13"/>
  <c r="AU143" i="13"/>
  <c r="AT143" i="13"/>
  <c r="N144" i="4" s="1"/>
  <c r="AT113" i="13"/>
  <c r="AU113" i="13"/>
  <c r="O114" i="4" s="1"/>
  <c r="AU129" i="13"/>
  <c r="AT129" i="13"/>
  <c r="N130" i="4" s="1"/>
  <c r="AU141" i="13"/>
  <c r="O142" i="4" s="1"/>
  <c r="AT145" i="13"/>
  <c r="AU145" i="13"/>
  <c r="O146" i="4"/>
  <c r="AU127" i="13"/>
  <c r="AT127" i="13"/>
  <c r="AU131" i="13"/>
  <c r="O132" i="4" s="1"/>
  <c r="AT112" i="13"/>
  <c r="AT116" i="13"/>
  <c r="AU116" i="13"/>
  <c r="O117" i="4" s="1"/>
  <c r="AT120" i="13"/>
  <c r="N121" i="4"/>
  <c r="AT124" i="13"/>
  <c r="AU124" i="13"/>
  <c r="O125" i="4" s="1"/>
  <c r="AT128" i="13"/>
  <c r="AU128" i="13"/>
  <c r="AT132" i="13"/>
  <c r="N133" i="4" s="1"/>
  <c r="AT136" i="13"/>
  <c r="AU136" i="13"/>
  <c r="AT140" i="13"/>
  <c r="AU140" i="13"/>
  <c r="AU144" i="13"/>
  <c r="AT7" i="13"/>
  <c r="AU7" i="13"/>
  <c r="AT15" i="13"/>
  <c r="AU15" i="13"/>
  <c r="AT23" i="13"/>
  <c r="N24" i="4"/>
  <c r="AU23" i="13"/>
  <c r="AT35" i="13"/>
  <c r="AT47" i="13"/>
  <c r="AU47" i="13"/>
  <c r="AT79" i="13"/>
  <c r="AU79" i="13"/>
  <c r="AT87" i="13"/>
  <c r="AU87" i="13"/>
  <c r="AT95" i="13"/>
  <c r="N96" i="4"/>
  <c r="AU95" i="13"/>
  <c r="O96" i="4" s="1"/>
  <c r="AT103" i="13"/>
  <c r="AU103" i="13"/>
  <c r="O104" i="4" s="1"/>
  <c r="AU34" i="13"/>
  <c r="AT34" i="13"/>
  <c r="AT46" i="13"/>
  <c r="AT50" i="13"/>
  <c r="AD2" i="13"/>
  <c r="AV2" i="13" s="1"/>
  <c r="AY2" i="13" s="1"/>
  <c r="AZ2" i="13" s="1"/>
  <c r="AU5" i="13"/>
  <c r="AT5" i="13"/>
  <c r="AU17" i="13"/>
  <c r="AT17" i="13"/>
  <c r="AU21" i="13"/>
  <c r="AU33" i="13"/>
  <c r="AT33" i="13"/>
  <c r="N34" i="4"/>
  <c r="AU37" i="13"/>
  <c r="O38" i="4" s="1"/>
  <c r="AT37" i="13"/>
  <c r="N38" i="4" s="1"/>
  <c r="AU49" i="13"/>
  <c r="O50" i="4" s="1"/>
  <c r="AT49" i="13"/>
  <c r="AU65" i="13"/>
  <c r="AT65" i="13"/>
  <c r="AU69" i="13"/>
  <c r="O70" i="4" s="1"/>
  <c r="AU81" i="13"/>
  <c r="AT81" i="13"/>
  <c r="AT89" i="13"/>
  <c r="AU97" i="13"/>
  <c r="AT97" i="13"/>
  <c r="AU101" i="13"/>
  <c r="AT3" i="13"/>
  <c r="AT31" i="13"/>
  <c r="AU31" i="13"/>
  <c r="AT39" i="13"/>
  <c r="AU39" i="13"/>
  <c r="AT55" i="13"/>
  <c r="N56" i="4" s="1"/>
  <c r="AU55" i="13"/>
  <c r="O56" i="4"/>
  <c r="AT63" i="13"/>
  <c r="AU63" i="13"/>
  <c r="AT71" i="13"/>
  <c r="AU71" i="13"/>
  <c r="N100" i="4"/>
  <c r="AU99" i="13"/>
  <c r="AT111" i="13"/>
  <c r="AU111" i="13"/>
  <c r="AU10" i="13"/>
  <c r="O11" i="4" s="1"/>
  <c r="AT10" i="13"/>
  <c r="N11" i="4" s="1"/>
  <c r="AU26" i="13"/>
  <c r="AT26" i="13"/>
  <c r="O43" i="4"/>
  <c r="AT42" i="13"/>
  <c r="AT62" i="13"/>
  <c r="AU66" i="13"/>
  <c r="AU74" i="13"/>
  <c r="AT74" i="13"/>
  <c r="N75" i="4" s="1"/>
  <c r="AU78" i="13"/>
  <c r="AT78" i="13"/>
  <c r="AU82" i="13"/>
  <c r="AT82" i="13"/>
  <c r="AT106" i="13"/>
  <c r="AU110" i="13"/>
  <c r="N111" i="4"/>
  <c r="P2" i="13"/>
  <c r="AX2" i="13" s="1"/>
  <c r="AU4" i="13"/>
  <c r="AT4" i="13"/>
  <c r="AU8" i="13"/>
  <c r="AT8" i="13"/>
  <c r="AU12" i="13"/>
  <c r="AT12" i="13"/>
  <c r="AU24" i="13"/>
  <c r="O25" i="4"/>
  <c r="AT24" i="13"/>
  <c r="N25" i="4"/>
  <c r="AU28" i="13"/>
  <c r="O29" i="4" s="1"/>
  <c r="AT28" i="13"/>
  <c r="N29" i="4" s="1"/>
  <c r="AU36" i="13"/>
  <c r="AT36" i="13"/>
  <c r="AU40" i="13"/>
  <c r="AT40" i="13"/>
  <c r="AU44" i="13"/>
  <c r="O45" i="4" s="1"/>
  <c r="AT44" i="13"/>
  <c r="N45" i="4"/>
  <c r="AU52" i="13"/>
  <c r="O53" i="4" s="1"/>
  <c r="AT52" i="13"/>
  <c r="AU56" i="13"/>
  <c r="AT56" i="13"/>
  <c r="AU60" i="13"/>
  <c r="AT60" i="13"/>
  <c r="AU64" i="13"/>
  <c r="AT64" i="13"/>
  <c r="AT68" i="13"/>
  <c r="AU72" i="13"/>
  <c r="AT72" i="13"/>
  <c r="AU76" i="13"/>
  <c r="AT76" i="13"/>
  <c r="N77" i="4" s="1"/>
  <c r="AT80" i="13"/>
  <c r="AU84" i="13"/>
  <c r="O85" i="4"/>
  <c r="AU88" i="13"/>
  <c r="AT88" i="13"/>
  <c r="AU92" i="13"/>
  <c r="O93" i="4" s="1"/>
  <c r="AT92" i="13"/>
  <c r="N93" i="4"/>
  <c r="AT96" i="13"/>
  <c r="AU100" i="13"/>
  <c r="AT100" i="13"/>
  <c r="AU104" i="13"/>
  <c r="AT104" i="13"/>
  <c r="AU108" i="13"/>
  <c r="AT108" i="13"/>
  <c r="N109" i="4" s="1"/>
  <c r="V112" i="4"/>
  <c r="V10" i="4"/>
  <c r="Z5" i="4"/>
  <c r="X13" i="4"/>
  <c r="V14" i="4"/>
  <c r="M6" i="4"/>
  <c r="M11" i="4"/>
  <c r="C13" i="4"/>
  <c r="W7" i="4"/>
  <c r="A9" i="4"/>
  <c r="V24" i="4"/>
  <c r="X25" i="4"/>
  <c r="Z21" i="4"/>
  <c r="Z23" i="4"/>
  <c r="B26" i="4"/>
  <c r="B7" i="4"/>
  <c r="D18" i="4"/>
  <c r="X21" i="4"/>
  <c r="B23" i="4"/>
  <c r="C26" i="4"/>
  <c r="V31" i="4"/>
  <c r="B32" i="4"/>
  <c r="X32" i="4"/>
  <c r="L34" i="4"/>
  <c r="W42" i="4"/>
  <c r="C45" i="4"/>
  <c r="W46" i="4"/>
  <c r="W23" i="4"/>
  <c r="M24" i="4"/>
  <c r="A25" i="4"/>
  <c r="V26" i="4"/>
  <c r="B27" i="4"/>
  <c r="X5" i="4"/>
  <c r="D30" i="4"/>
  <c r="Z39" i="4"/>
  <c r="L42" i="4"/>
  <c r="Y46" i="4"/>
  <c r="L54" i="4"/>
  <c r="U55" i="4"/>
  <c r="A56" i="4"/>
  <c r="Y57" i="4"/>
  <c r="W58" i="4"/>
  <c r="M32" i="4"/>
  <c r="A34" i="4"/>
  <c r="D40" i="4"/>
  <c r="A43" i="4"/>
  <c r="D50" i="4"/>
  <c r="M54" i="4"/>
  <c r="A55" i="4"/>
  <c r="D57" i="4"/>
  <c r="W26" i="4"/>
  <c r="W39" i="4"/>
  <c r="A41" i="4"/>
  <c r="B43" i="4"/>
  <c r="X53" i="4"/>
  <c r="Y58" i="4"/>
  <c r="B59" i="4"/>
  <c r="D61" i="4"/>
  <c r="V62" i="4"/>
  <c r="B70" i="4"/>
  <c r="C75" i="4"/>
  <c r="L75" i="4"/>
  <c r="X75" i="4"/>
  <c r="B77" i="4"/>
  <c r="X77" i="4"/>
  <c r="C80" i="4"/>
  <c r="Y82" i="4"/>
  <c r="M86" i="4"/>
  <c r="B88" i="4"/>
  <c r="Y89" i="4"/>
  <c r="W90" i="4"/>
  <c r="M91" i="4"/>
  <c r="Z96" i="4"/>
  <c r="X26" i="4"/>
  <c r="Z30" i="4"/>
  <c r="Z32" i="4"/>
  <c r="O41" i="4"/>
  <c r="Z41" i="4"/>
  <c r="U42" i="4"/>
  <c r="D43" i="4"/>
  <c r="Z58" i="4"/>
  <c r="L61" i="4"/>
  <c r="M63" i="4"/>
  <c r="W63" i="4"/>
  <c r="M64" i="4"/>
  <c r="B68" i="4"/>
  <c r="C70" i="4"/>
  <c r="M70" i="4"/>
  <c r="V71" i="4"/>
  <c r="B74" i="4"/>
  <c r="L74" i="4"/>
  <c r="X74" i="4"/>
  <c r="A78" i="4"/>
  <c r="W78" i="4"/>
  <c r="D84" i="4"/>
  <c r="X85" i="4"/>
  <c r="V86" i="4"/>
  <c r="B87" i="4"/>
  <c r="A89" i="4"/>
  <c r="V89" i="4"/>
  <c r="Z89" i="4"/>
  <c r="X90" i="4"/>
  <c r="D91" i="4"/>
  <c r="A94" i="4"/>
  <c r="C95" i="4"/>
  <c r="W96" i="4"/>
  <c r="X29" i="4"/>
  <c r="C56" i="4"/>
  <c r="N61" i="4"/>
  <c r="X69" i="4"/>
  <c r="D70" i="4"/>
  <c r="V70" i="4"/>
  <c r="Y38" i="4"/>
  <c r="Z42" i="4"/>
  <c r="L45" i="4"/>
  <c r="W47" i="4"/>
  <c r="V56" i="4"/>
  <c r="X59" i="4"/>
  <c r="U64" i="4"/>
  <c r="Y62" i="4"/>
  <c r="B64" i="4"/>
  <c r="C72" i="4"/>
  <c r="M72" i="4"/>
  <c r="U72" i="4"/>
  <c r="A73" i="4"/>
  <c r="A75" i="4"/>
  <c r="W80" i="4"/>
  <c r="M85" i="4"/>
  <c r="U85" i="4"/>
  <c r="A86" i="4"/>
  <c r="X87" i="4"/>
  <c r="D88" i="4"/>
  <c r="V95" i="4"/>
  <c r="B96" i="4"/>
  <c r="C105" i="4"/>
  <c r="X105" i="4"/>
  <c r="W36" i="4"/>
  <c r="B40" i="4"/>
  <c r="X58" i="4"/>
  <c r="D74" i="4"/>
  <c r="V74" i="4"/>
  <c r="V85" i="4"/>
  <c r="O88" i="4"/>
  <c r="Z90" i="4"/>
  <c r="W95" i="4"/>
  <c r="C96" i="4"/>
  <c r="M96" i="4"/>
  <c r="U96" i="4"/>
  <c r="M100" i="4"/>
  <c r="Z103" i="4"/>
  <c r="B104" i="4"/>
  <c r="C107" i="4"/>
  <c r="D27" i="4"/>
  <c r="L50" i="4"/>
  <c r="Y69" i="4"/>
  <c r="Y74" i="4"/>
  <c r="V75" i="4"/>
  <c r="Y85" i="4"/>
  <c r="Z95" i="4"/>
  <c r="X96" i="4"/>
  <c r="Z100" i="4"/>
  <c r="M102" i="4"/>
  <c r="U102" i="4"/>
  <c r="Y102" i="4"/>
  <c r="W103" i="4"/>
  <c r="V107" i="4"/>
  <c r="L84" i="4"/>
  <c r="D102" i="4"/>
  <c r="L103" i="4"/>
  <c r="M109" i="4"/>
  <c r="U109" i="4"/>
  <c r="A110" i="4"/>
  <c r="D116" i="4"/>
  <c r="W117" i="4"/>
  <c r="M120" i="4"/>
  <c r="Z121" i="4"/>
  <c r="B122" i="4"/>
  <c r="X122" i="4"/>
  <c r="M125" i="4"/>
  <c r="U125" i="4"/>
  <c r="A126" i="4"/>
  <c r="U127" i="4"/>
  <c r="W128" i="4"/>
  <c r="D130" i="4"/>
  <c r="Z130" i="4"/>
  <c r="D132" i="4"/>
  <c r="M132" i="4"/>
  <c r="M134" i="4"/>
  <c r="U134" i="4"/>
  <c r="A135" i="4"/>
  <c r="V135" i="4"/>
  <c r="Z135" i="4"/>
  <c r="L136" i="4"/>
  <c r="X136" i="4"/>
  <c r="D137" i="4"/>
  <c r="Y137" i="4"/>
  <c r="W138" i="4"/>
  <c r="C139" i="4"/>
  <c r="O141" i="4"/>
  <c r="M142" i="4"/>
  <c r="Y142" i="4"/>
  <c r="Z143" i="4"/>
  <c r="B144" i="4"/>
  <c r="X144" i="4"/>
  <c r="A146" i="4"/>
  <c r="W146" i="4"/>
  <c r="U149" i="4"/>
  <c r="Y149" i="4"/>
  <c r="V150" i="4"/>
  <c r="B151" i="4"/>
  <c r="W151" i="4"/>
  <c r="C152" i="4"/>
  <c r="A153" i="4"/>
  <c r="X55" i="4"/>
  <c r="Z85" i="4"/>
  <c r="V90" i="4"/>
  <c r="Y96" i="4"/>
  <c r="B98" i="4"/>
  <c r="A109" i="4"/>
  <c r="Z109" i="4"/>
  <c r="X110" i="4"/>
  <c r="D111" i="4"/>
  <c r="C117" i="4"/>
  <c r="L117" i="4"/>
  <c r="X117" i="4"/>
  <c r="D118" i="4"/>
  <c r="V118" i="4"/>
  <c r="B119" i="4"/>
  <c r="L119" i="4"/>
  <c r="X119" i="4"/>
  <c r="U122" i="4"/>
  <c r="Y122" i="4"/>
  <c r="A125" i="4"/>
  <c r="Z125" i="4"/>
  <c r="X126" i="4"/>
  <c r="D127" i="4"/>
  <c r="O130" i="4"/>
  <c r="W130" i="4"/>
  <c r="L133" i="4"/>
  <c r="X133" i="4"/>
  <c r="D134" i="4"/>
  <c r="V134" i="4"/>
  <c r="B135" i="4"/>
  <c r="W135" i="4"/>
  <c r="U136" i="4"/>
  <c r="Z137" i="4"/>
  <c r="B138" i="4"/>
  <c r="X138" i="4"/>
  <c r="D139" i="4"/>
  <c r="Y139" i="4"/>
  <c r="B141" i="4"/>
  <c r="L141" i="4"/>
  <c r="X141" i="4"/>
  <c r="D142" i="4"/>
  <c r="V142" i="4"/>
  <c r="Z142" i="4"/>
  <c r="M144" i="4"/>
  <c r="B146" i="4"/>
  <c r="L146" i="4"/>
  <c r="B148" i="4"/>
  <c r="L148" i="4"/>
  <c r="V149" i="4"/>
  <c r="Z149" i="4"/>
  <c r="B150" i="4"/>
  <c r="V152" i="4"/>
  <c r="B153" i="4"/>
  <c r="X71" i="4"/>
  <c r="Y78" i="4"/>
  <c r="B80" i="4"/>
  <c r="X89" i="4"/>
  <c r="L98" i="4"/>
  <c r="A100" i="4"/>
  <c r="X101" i="4"/>
  <c r="B103" i="4"/>
  <c r="U106" i="4"/>
  <c r="B109" i="4"/>
  <c r="U110" i="4"/>
  <c r="Y110" i="4"/>
  <c r="O111" i="4"/>
  <c r="W111" i="4"/>
  <c r="B114" i="4"/>
  <c r="L114" i="4"/>
  <c r="X114" i="4"/>
  <c r="B116" i="4"/>
  <c r="L116" i="4"/>
  <c r="U117" i="4"/>
  <c r="A118" i="4"/>
  <c r="Y119" i="4"/>
  <c r="C121" i="4"/>
  <c r="X121" i="4"/>
  <c r="D122" i="4"/>
  <c r="V122" i="4"/>
  <c r="Z122" i="4"/>
  <c r="B123" i="4"/>
  <c r="L123" i="4"/>
  <c r="U126" i="4"/>
  <c r="Y126" i="4"/>
  <c r="W127" i="4"/>
  <c r="C128" i="4"/>
  <c r="Y128" i="4"/>
  <c r="B130" i="4"/>
  <c r="L130" i="4"/>
  <c r="X130" i="4"/>
  <c r="B132" i="4"/>
  <c r="U133" i="4"/>
  <c r="Y133" i="4"/>
  <c r="L135" i="4"/>
  <c r="D136" i="4"/>
  <c r="N136" i="4"/>
  <c r="B137" i="4"/>
  <c r="M138" i="4"/>
  <c r="C141" i="4"/>
  <c r="M141" i="4"/>
  <c r="U141" i="4"/>
  <c r="A142" i="4"/>
  <c r="W142" i="4"/>
  <c r="Z144" i="4"/>
  <c r="C146" i="4"/>
  <c r="M148" i="4"/>
  <c r="W149" i="4"/>
  <c r="L150" i="4"/>
  <c r="Y151" i="4"/>
  <c r="A152" i="4"/>
  <c r="W152" i="4"/>
  <c r="C153" i="4"/>
  <c r="H153" i="4" s="1"/>
  <c r="Y153" i="4"/>
  <c r="D110" i="4"/>
  <c r="V110" i="4"/>
  <c r="Y116" i="4"/>
  <c r="N117" i="4"/>
  <c r="Z119" i="4"/>
  <c r="Y130" i="4"/>
  <c r="C132" i="4"/>
  <c r="Z133" i="4"/>
  <c r="D138" i="4"/>
  <c r="D141" i="4"/>
  <c r="W144" i="4"/>
  <c r="Y150" i="4"/>
  <c r="Z153" i="4"/>
  <c r="C154" i="4"/>
  <c r="F154" i="4" s="1"/>
  <c r="L154" i="4"/>
  <c r="X154" i="4"/>
  <c r="D155" i="4"/>
  <c r="D157" i="4"/>
  <c r="M157" i="4"/>
  <c r="U157" i="4"/>
  <c r="A158" i="4"/>
  <c r="W158" i="4"/>
  <c r="M159" i="4"/>
  <c r="U159" i="4"/>
  <c r="A160" i="4"/>
  <c r="W160" i="4"/>
  <c r="A162" i="4"/>
  <c r="N162" i="4"/>
  <c r="Z162" i="4"/>
  <c r="D164" i="4"/>
  <c r="H164" i="4" s="1"/>
  <c r="M164" i="4"/>
  <c r="Y164" i="4"/>
  <c r="C166" i="4"/>
  <c r="M166" i="4"/>
  <c r="U166" i="4"/>
  <c r="Y166" i="4"/>
  <c r="A167" i="4"/>
  <c r="V167" i="4"/>
  <c r="Z167" i="4"/>
  <c r="L168" i="4"/>
  <c r="X168" i="4"/>
  <c r="D169" i="4"/>
  <c r="N169" i="4"/>
  <c r="Z169" i="4"/>
  <c r="B170" i="4"/>
  <c r="W170" i="4"/>
  <c r="C171" i="4"/>
  <c r="L171" i="4"/>
  <c r="X171" i="4"/>
  <c r="L173" i="4"/>
  <c r="X173" i="4"/>
  <c r="D174" i="4"/>
  <c r="V174" i="4"/>
  <c r="Z174" i="4"/>
  <c r="B175" i="4"/>
  <c r="C176" i="4"/>
  <c r="M176" i="4"/>
  <c r="Y176" i="4"/>
  <c r="B178" i="4"/>
  <c r="L178" i="4"/>
  <c r="A180" i="4"/>
  <c r="W180" i="4"/>
  <c r="C181" i="4"/>
  <c r="U181" i="4"/>
  <c r="Y181" i="4"/>
  <c r="A182" i="4"/>
  <c r="Y183" i="4"/>
  <c r="C185" i="4"/>
  <c r="Y185" i="4"/>
  <c r="W186" i="4"/>
  <c r="C187" i="4"/>
  <c r="M187" i="4"/>
  <c r="V188" i="4"/>
  <c r="B189" i="4"/>
  <c r="L189" i="4"/>
  <c r="X189" i="4"/>
  <c r="U190" i="4"/>
  <c r="Y190" i="4"/>
  <c r="W191" i="4"/>
  <c r="C192" i="4"/>
  <c r="X82" i="4"/>
  <c r="W100" i="4"/>
  <c r="C109" i="4"/>
  <c r="Z110" i="4"/>
  <c r="M116" i="4"/>
  <c r="B120" i="4"/>
  <c r="C123" i="4"/>
  <c r="D126" i="4"/>
  <c r="V126" i="4"/>
  <c r="B134" i="4"/>
  <c r="Y135" i="4"/>
  <c r="C137" i="4"/>
  <c r="Z138" i="4"/>
  <c r="O139" i="4"/>
  <c r="Z141" i="4"/>
  <c r="D143" i="4"/>
  <c r="U143" i="4"/>
  <c r="D146" i="4"/>
  <c r="X149" i="4"/>
  <c r="M150" i="4"/>
  <c r="A151" i="4"/>
  <c r="D154" i="4"/>
  <c r="M154" i="4"/>
  <c r="U154" i="4"/>
  <c r="Y154" i="4"/>
  <c r="A155" i="4"/>
  <c r="A157" i="4"/>
  <c r="D159" i="4"/>
  <c r="B160" i="4"/>
  <c r="X160" i="4"/>
  <c r="B162" i="4"/>
  <c r="W162" i="4"/>
  <c r="A164" i="4"/>
  <c r="Z164" i="4"/>
  <c r="X165" i="4"/>
  <c r="D166" i="4"/>
  <c r="V166" i="4"/>
  <c r="B167" i="4"/>
  <c r="W167" i="4"/>
  <c r="C168" i="4"/>
  <c r="M168" i="4"/>
  <c r="U168" i="4"/>
  <c r="A169" i="4"/>
  <c r="C170" i="4"/>
  <c r="L170" i="4"/>
  <c r="X170" i="4"/>
  <c r="D171" i="4"/>
  <c r="Y171" i="4"/>
  <c r="C173" i="4"/>
  <c r="H173" i="4" s="1"/>
  <c r="M173" i="4"/>
  <c r="U173" i="4"/>
  <c r="A174" i="4"/>
  <c r="W174" i="4"/>
  <c r="L175" i="4"/>
  <c r="N176" i="4"/>
  <c r="C178" i="4"/>
  <c r="U178" i="4"/>
  <c r="Y178" i="4"/>
  <c r="B180" i="4"/>
  <c r="L180" i="4"/>
  <c r="N181" i="4"/>
  <c r="V181" i="4"/>
  <c r="Z181" i="4"/>
  <c r="B182" i="4"/>
  <c r="L182" i="4"/>
  <c r="V183" i="4"/>
  <c r="Z183" i="4"/>
  <c r="L184" i="4"/>
  <c r="X184" i="4"/>
  <c r="D185" i="4"/>
  <c r="B186" i="4"/>
  <c r="L186" i="4"/>
  <c r="X186" i="4"/>
  <c r="D187" i="4"/>
  <c r="N187" i="4"/>
  <c r="V187" i="4"/>
  <c r="Z187" i="4"/>
  <c r="C189" i="4"/>
  <c r="M189" i="4"/>
  <c r="U189" i="4"/>
  <c r="A190" i="4"/>
  <c r="V190" i="4"/>
  <c r="M192" i="4"/>
  <c r="U192" i="4"/>
  <c r="Y192" i="4"/>
  <c r="B84" i="4"/>
  <c r="L101" i="4"/>
  <c r="X103" i="4"/>
  <c r="X109" i="4"/>
  <c r="C114" i="4"/>
  <c r="U114" i="4"/>
  <c r="V117" i="4"/>
  <c r="X120" i="4"/>
  <c r="C125" i="4"/>
  <c r="Z126" i="4"/>
  <c r="V128" i="4"/>
  <c r="L132" i="4"/>
  <c r="X137" i="4"/>
  <c r="B139" i="4"/>
  <c r="Z146" i="4"/>
  <c r="D148" i="4"/>
  <c r="L149" i="4"/>
  <c r="V151" i="4"/>
  <c r="Z154" i="4"/>
  <c r="B155" i="4"/>
  <c r="L155" i="4"/>
  <c r="X155" i="4"/>
  <c r="B157" i="4"/>
  <c r="M158" i="4"/>
  <c r="U158" i="4"/>
  <c r="Y158" i="4"/>
  <c r="A159" i="4"/>
  <c r="C160" i="4"/>
  <c r="Y160" i="4"/>
  <c r="C162" i="4"/>
  <c r="H162" i="4" s="1"/>
  <c r="L162" i="4"/>
  <c r="X162" i="4"/>
  <c r="B164" i="4"/>
  <c r="O164" i="4"/>
  <c r="W164" i="4"/>
  <c r="C165" i="4"/>
  <c r="M165" i="4"/>
  <c r="U165" i="4"/>
  <c r="A166" i="4"/>
  <c r="L167" i="4"/>
  <c r="X167" i="4"/>
  <c r="D168" i="4"/>
  <c r="N168" i="4"/>
  <c r="V168" i="4"/>
  <c r="B169" i="4"/>
  <c r="X169" i="4"/>
  <c r="D170" i="4"/>
  <c r="M170" i="4"/>
  <c r="V171" i="4"/>
  <c r="Z171" i="4"/>
  <c r="D173" i="4"/>
  <c r="Z173" i="4"/>
  <c r="X174" i="4"/>
  <c r="D175" i="4"/>
  <c r="M175" i="4"/>
  <c r="U175" i="4"/>
  <c r="A176" i="4"/>
  <c r="W176" i="4"/>
  <c r="D178" i="4"/>
  <c r="Z178" i="4"/>
  <c r="C180" i="4"/>
  <c r="M180" i="4"/>
  <c r="Y180" i="4"/>
  <c r="W181" i="4"/>
  <c r="C182" i="4"/>
  <c r="M182" i="4"/>
  <c r="U182" i="4"/>
  <c r="A183" i="4"/>
  <c r="W183" i="4"/>
  <c r="C184" i="4"/>
  <c r="U184" i="4"/>
  <c r="A185" i="4"/>
  <c r="C186" i="4"/>
  <c r="M186" i="4"/>
  <c r="U186" i="4"/>
  <c r="Y186" i="4"/>
  <c r="A187" i="4"/>
  <c r="N189" i="4"/>
  <c r="Z189" i="4"/>
  <c r="W190" i="4"/>
  <c r="C191" i="4"/>
  <c r="M191" i="4"/>
  <c r="A192" i="4"/>
  <c r="V192" i="4"/>
  <c r="D90" i="4"/>
  <c r="N104" i="4"/>
  <c r="Y114" i="4"/>
  <c r="V119" i="4"/>
  <c r="W136" i="4"/>
  <c r="A144" i="4"/>
  <c r="N146" i="4"/>
  <c r="Z148" i="4"/>
  <c r="V153" i="4"/>
  <c r="D158" i="4"/>
  <c r="V158" i="4"/>
  <c r="B166" i="4"/>
  <c r="Y167" i="4"/>
  <c r="O168" i="4"/>
  <c r="U172" i="4"/>
  <c r="V175" i="4"/>
  <c r="W178" i="4"/>
  <c r="X181" i="4"/>
  <c r="B183" i="4"/>
  <c r="D186" i="4"/>
  <c r="V186" i="4"/>
  <c r="W192" i="4"/>
  <c r="B194" i="4"/>
  <c r="O194" i="4"/>
  <c r="W194" i="4"/>
  <c r="C195" i="4"/>
  <c r="L195" i="4"/>
  <c r="X195" i="4"/>
  <c r="D196" i="4"/>
  <c r="L197" i="4"/>
  <c r="X197" i="4"/>
  <c r="D198" i="4"/>
  <c r="M198" i="4"/>
  <c r="U198" i="4"/>
  <c r="A199" i="4"/>
  <c r="W199" i="4"/>
  <c r="C200" i="4"/>
  <c r="M200" i="4"/>
  <c r="U200" i="4"/>
  <c r="Y200" i="4"/>
  <c r="L109" i="4"/>
  <c r="V133" i="4"/>
  <c r="V170" i="4"/>
  <c r="X187" i="4"/>
  <c r="M196" i="4"/>
  <c r="Y196" i="4"/>
  <c r="W197" i="4"/>
  <c r="Z199" i="4"/>
  <c r="X200" i="4"/>
  <c r="A95" i="4"/>
  <c r="Y106" i="4"/>
  <c r="Z117" i="4"/>
  <c r="W122" i="4"/>
  <c r="C130" i="4"/>
  <c r="Z151" i="4"/>
  <c r="B154" i="4"/>
  <c r="C157" i="4"/>
  <c r="Z158" i="4"/>
  <c r="L164" i="4"/>
  <c r="Y169" i="4"/>
  <c r="O173" i="4"/>
  <c r="U174" i="4"/>
  <c r="Z175" i="4"/>
  <c r="D180" i="4"/>
  <c r="L181" i="4"/>
  <c r="X183" i="4"/>
  <c r="B185" i="4"/>
  <c r="Z186" i="4"/>
  <c r="X192" i="4"/>
  <c r="W193" i="4"/>
  <c r="C194" i="4"/>
  <c r="L194" i="4"/>
  <c r="X194" i="4"/>
  <c r="A196" i="4"/>
  <c r="W196" i="4"/>
  <c r="C197" i="4"/>
  <c r="M197" i="4"/>
  <c r="U197" i="4"/>
  <c r="A198" i="4"/>
  <c r="V198" i="4"/>
  <c r="B199" i="4"/>
  <c r="L199" i="4"/>
  <c r="X199" i="4"/>
  <c r="D200" i="4"/>
  <c r="N200" i="4"/>
  <c r="V200" i="4"/>
  <c r="Z128" i="4"/>
  <c r="M143" i="4"/>
  <c r="D153" i="4"/>
  <c r="L157" i="4"/>
  <c r="C164" i="4"/>
  <c r="Z165" i="4"/>
  <c r="A178" i="4"/>
  <c r="D184" i="4"/>
  <c r="A189" i="4"/>
  <c r="X190" i="4"/>
  <c r="B192" i="4"/>
  <c r="C196" i="4"/>
  <c r="U196" i="4"/>
  <c r="V199" i="4"/>
  <c r="C116" i="4"/>
  <c r="M123" i="4"/>
  <c r="X125" i="4"/>
  <c r="U130" i="4"/>
  <c r="X142" i="4"/>
  <c r="D150" i="4"/>
  <c r="W154" i="4"/>
  <c r="M155" i="4"/>
  <c r="X157" i="4"/>
  <c r="B159" i="4"/>
  <c r="Z160" i="4"/>
  <c r="D162" i="4"/>
  <c r="V165" i="4"/>
  <c r="L166" i="4"/>
  <c r="W168" i="4"/>
  <c r="A173" i="4"/>
  <c r="Y174" i="4"/>
  <c r="B176" i="4"/>
  <c r="D182" i="4"/>
  <c r="V182" i="4"/>
  <c r="L183" i="4"/>
  <c r="X185" i="4"/>
  <c r="D194" i="4"/>
  <c r="H194" i="4" s="1"/>
  <c r="U194" i="4"/>
  <c r="Y194" i="4"/>
  <c r="A195" i="4"/>
  <c r="N195" i="4"/>
  <c r="V195" i="4"/>
  <c r="B196" i="4"/>
  <c r="L196" i="4"/>
  <c r="N197" i="4"/>
  <c r="V197" i="4"/>
  <c r="Z197" i="4"/>
  <c r="B198" i="4"/>
  <c r="U199" i="4"/>
  <c r="Y199" i="4"/>
  <c r="A200" i="4"/>
  <c r="O200" i="4"/>
  <c r="W200" i="4"/>
  <c r="U150" i="4"/>
  <c r="Y162" i="4"/>
  <c r="X176" i="4"/>
  <c r="V184" i="4"/>
  <c r="A194" i="4"/>
  <c r="Z194" i="4"/>
  <c r="C198" i="4"/>
  <c r="AW152" i="13"/>
  <c r="Q153" i="4" s="1"/>
  <c r="AW156" i="13"/>
  <c r="Q157" i="4" s="1"/>
  <c r="AW160" i="13"/>
  <c r="AW192" i="13"/>
  <c r="AW200" i="13"/>
  <c r="W154" i="13"/>
  <c r="G155" i="4" s="1"/>
  <c r="AK155" i="13"/>
  <c r="AR181" i="13"/>
  <c r="AS181" i="13" s="1"/>
  <c r="K182" i="4" s="1"/>
  <c r="P193" i="13"/>
  <c r="E194" i="4" s="1"/>
  <c r="AR193" i="13"/>
  <c r="AS193" i="13" s="1"/>
  <c r="K194" i="4" s="1"/>
  <c r="AW186" i="13"/>
  <c r="Q187" i="4"/>
  <c r="W145" i="13"/>
  <c r="G146" i="4" s="1"/>
  <c r="H146" i="4" s="1"/>
  <c r="AW147" i="13"/>
  <c r="Q148" i="4" s="1"/>
  <c r="AW163" i="13"/>
  <c r="Q164" i="4" s="1"/>
  <c r="AW167" i="13"/>
  <c r="Q168" i="4" s="1"/>
  <c r="J176" i="4"/>
  <c r="AW149" i="13"/>
  <c r="Q150" i="4"/>
  <c r="AW161" i="13"/>
  <c r="Q162" i="4"/>
  <c r="AW165" i="13"/>
  <c r="Q166" i="4" s="1"/>
  <c r="AR165" i="13"/>
  <c r="AS165" i="13" s="1"/>
  <c r="K166" i="4" s="1"/>
  <c r="AR167" i="13"/>
  <c r="AS167" i="13" s="1"/>
  <c r="K168" i="4" s="1"/>
  <c r="AK168" i="13"/>
  <c r="J169" i="4" s="1"/>
  <c r="AD169" i="13"/>
  <c r="I170" i="4" s="1"/>
  <c r="AW177" i="13"/>
  <c r="Q178" i="4" s="1"/>
  <c r="AR163" i="13"/>
  <c r="AS163" i="13" s="1"/>
  <c r="K164" i="4" s="1"/>
  <c r="W143" i="13"/>
  <c r="G144" i="4" s="1"/>
  <c r="AW170" i="13"/>
  <c r="Q171" i="4" s="1"/>
  <c r="AW183" i="13"/>
  <c r="Q184" i="4" s="1"/>
  <c r="P191" i="13"/>
  <c r="BA191" i="13" s="1"/>
  <c r="BB191" i="13" s="1"/>
  <c r="AK191" i="13"/>
  <c r="J192" i="4"/>
  <c r="AR186" i="13"/>
  <c r="AS186" i="13" s="1"/>
  <c r="K187" i="4" s="1"/>
  <c r="AR188" i="13"/>
  <c r="AS188" i="13" s="1"/>
  <c r="K189" i="4" s="1"/>
  <c r="AD199" i="13"/>
  <c r="I200" i="4" s="1"/>
  <c r="W200" i="13"/>
  <c r="AK150" i="13"/>
  <c r="J151" i="4"/>
  <c r="AW151" i="13"/>
  <c r="Q152" i="4" s="1"/>
  <c r="AD151" i="13"/>
  <c r="I152" i="4"/>
  <c r="AW176" i="13"/>
  <c r="AW181" i="13"/>
  <c r="Q182" i="4"/>
  <c r="AD185" i="13"/>
  <c r="I186" i="4" s="1"/>
  <c r="AW193" i="13"/>
  <c r="Q194" i="4"/>
  <c r="W195" i="13"/>
  <c r="G196" i="4"/>
  <c r="AK196" i="13"/>
  <c r="AW197" i="13"/>
  <c r="Q198" i="4"/>
  <c r="W197" i="13"/>
  <c r="G198" i="4" s="1"/>
  <c r="AW145" i="13"/>
  <c r="Q146" i="4" s="1"/>
  <c r="AR145" i="13"/>
  <c r="AS145" i="13" s="1"/>
  <c r="K146" i="4"/>
  <c r="K148" i="4"/>
  <c r="AK152" i="13"/>
  <c r="J153" i="4" s="1"/>
  <c r="AW154" i="13"/>
  <c r="Q155" i="4" s="1"/>
  <c r="AR156" i="13"/>
  <c r="AS156" i="13" s="1"/>
  <c r="K157" i="4" s="1"/>
  <c r="AK159" i="13"/>
  <c r="J160" i="4" s="1"/>
  <c r="AR161" i="13"/>
  <c r="AS161" i="13"/>
  <c r="K162" i="4"/>
  <c r="AD162" i="13"/>
  <c r="I163" i="4" s="1"/>
  <c r="W163" i="13"/>
  <c r="G164" i="4" s="1"/>
  <c r="AK164" i="13"/>
  <c r="J165" i="4" s="1"/>
  <c r="AD165" i="13"/>
  <c r="I166" i="4"/>
  <c r="I168" i="4"/>
  <c r="P169" i="13"/>
  <c r="W170" i="13"/>
  <c r="G171" i="4" s="1"/>
  <c r="H171" i="4" s="1"/>
  <c r="AR172" i="13"/>
  <c r="AS172" i="13" s="1"/>
  <c r="K173" i="4" s="1"/>
  <c r="P173" i="13"/>
  <c r="W175" i="13"/>
  <c r="G176" i="4" s="1"/>
  <c r="W177" i="13"/>
  <c r="G178" i="4" s="1"/>
  <c r="P178" i="13"/>
  <c r="E181" i="4"/>
  <c r="AR183" i="13"/>
  <c r="AS183" i="13" s="1"/>
  <c r="K184" i="4" s="1"/>
  <c r="AW188" i="13"/>
  <c r="Q189" i="4"/>
  <c r="W191" i="13"/>
  <c r="G192" i="4"/>
  <c r="P143" i="13"/>
  <c r="AW144" i="13"/>
  <c r="P146" i="13"/>
  <c r="AX146" i="13" s="1"/>
  <c r="AK148" i="13"/>
  <c r="J149" i="4" s="1"/>
  <c r="P153" i="13"/>
  <c r="P155" i="13"/>
  <c r="AK166" i="13"/>
  <c r="J167" i="4" s="1"/>
  <c r="AR170" i="13"/>
  <c r="AS170" i="13" s="1"/>
  <c r="K171" i="4"/>
  <c r="AK171" i="13"/>
  <c r="BA171" i="13" s="1"/>
  <c r="AD174" i="13"/>
  <c r="I175" i="4"/>
  <c r="AR177" i="13"/>
  <c r="AS177" i="13" s="1"/>
  <c r="K178" i="4" s="1"/>
  <c r="W179" i="13"/>
  <c r="G180" i="4" s="1"/>
  <c r="AK180" i="13"/>
  <c r="J181" i="4" s="1"/>
  <c r="AD183" i="13"/>
  <c r="I184" i="4"/>
  <c r="W184" i="13"/>
  <c r="G185" i="4" s="1"/>
  <c r="AK187" i="13"/>
  <c r="AK189" i="13"/>
  <c r="J190" i="4" s="1"/>
  <c r="AD190" i="13"/>
  <c r="AD192" i="13"/>
  <c r="W193" i="13"/>
  <c r="G194" i="4" s="1"/>
  <c r="P194" i="13"/>
  <c r="P196" i="13"/>
  <c r="E197" i="4" s="1"/>
  <c r="AK143" i="13"/>
  <c r="J144" i="4"/>
  <c r="AD144" i="13"/>
  <c r="AW146" i="13"/>
  <c r="AD146" i="13"/>
  <c r="AV146" i="13" s="1"/>
  <c r="AY146" i="13" s="1"/>
  <c r="AZ146" i="13" s="1"/>
  <c r="W147" i="13"/>
  <c r="G148" i="4"/>
  <c r="P148" i="13"/>
  <c r="E149" i="4" s="1"/>
  <c r="AD149" i="13"/>
  <c r="I150" i="4" s="1"/>
  <c r="I154" i="4"/>
  <c r="AD155" i="13"/>
  <c r="AV155" i="13" s="1"/>
  <c r="P157" i="13"/>
  <c r="AD158" i="13"/>
  <c r="I159" i="4" s="1"/>
  <c r="W161" i="13"/>
  <c r="G162" i="4"/>
  <c r="P164" i="13"/>
  <c r="AW168" i="13"/>
  <c r="Q169" i="4"/>
  <c r="AW174" i="13"/>
  <c r="Q175" i="4"/>
  <c r="P174" i="13"/>
  <c r="AX174" i="13" s="1"/>
  <c r="AW184" i="13"/>
  <c r="Q185" i="4"/>
  <c r="P185" i="13"/>
  <c r="E186" i="4"/>
  <c r="F186" i="4" s="1"/>
  <c r="AW190" i="13"/>
  <c r="AR190" i="13"/>
  <c r="AS190" i="13" s="1"/>
  <c r="K191" i="4" s="1"/>
  <c r="AD194" i="13"/>
  <c r="AR197" i="13"/>
  <c r="AS197" i="13"/>
  <c r="K198" i="4"/>
  <c r="W199" i="13"/>
  <c r="G200" i="4" s="1"/>
  <c r="H200" i="4" s="1"/>
  <c r="AW142" i="13"/>
  <c r="Q143" i="4" s="1"/>
  <c r="AD142" i="13"/>
  <c r="AR142" i="13"/>
  <c r="AS142" i="13" s="1"/>
  <c r="K143" i="4" s="1"/>
  <c r="AW158" i="13"/>
  <c r="P166" i="13"/>
  <c r="E167" i="4" s="1"/>
  <c r="AR154" i="13"/>
  <c r="AS154" i="13" s="1"/>
  <c r="K155" i="4" s="1"/>
  <c r="W159" i="13"/>
  <c r="G160" i="4"/>
  <c r="AD160" i="13"/>
  <c r="AK157" i="13"/>
  <c r="J158" i="4"/>
  <c r="AW162" i="13"/>
  <c r="P162" i="13"/>
  <c r="AX162" i="13" s="1"/>
  <c r="AW169" i="13"/>
  <c r="Q170" i="4" s="1"/>
  <c r="AW172" i="13"/>
  <c r="Q173" i="4"/>
  <c r="AW179" i="13"/>
  <c r="Q180" i="4" s="1"/>
  <c r="AK182" i="13"/>
  <c r="J183" i="4"/>
  <c r="P187" i="13"/>
  <c r="AW195" i="13"/>
  <c r="Q196" i="4"/>
  <c r="AK198" i="13"/>
  <c r="J199" i="4" s="1"/>
  <c r="W168" i="13"/>
  <c r="G169" i="4"/>
  <c r="AR179" i="13"/>
  <c r="AS179" i="13"/>
  <c r="K180" i="4" s="1"/>
  <c r="AD181" i="13"/>
  <c r="I182" i="4" s="1"/>
  <c r="AR195" i="13"/>
  <c r="AS195" i="13"/>
  <c r="K196" i="4" s="1"/>
  <c r="AD197" i="13"/>
  <c r="I198" i="4" s="1"/>
  <c r="AW199" i="13"/>
  <c r="Q200" i="4"/>
  <c r="P171" i="13"/>
  <c r="AW140" i="13"/>
  <c r="Q141" i="4" s="1"/>
  <c r="AW135" i="13"/>
  <c r="AR140" i="13"/>
  <c r="AS140" i="13" s="1"/>
  <c r="K141" i="4" s="1"/>
  <c r="W136" i="13"/>
  <c r="G137" i="4" s="1"/>
  <c r="AD135" i="13"/>
  <c r="I136" i="4"/>
  <c r="AK136" i="13"/>
  <c r="J137" i="4" s="1"/>
  <c r="W138" i="13"/>
  <c r="G139" i="4" s="1"/>
  <c r="P139" i="13"/>
  <c r="AK139" i="13"/>
  <c r="BA139" i="13" s="1"/>
  <c r="P141" i="13"/>
  <c r="E142" i="4" s="1"/>
  <c r="AK134" i="13"/>
  <c r="J135" i="4" s="1"/>
  <c r="AW136" i="13"/>
  <c r="Q137" i="4" s="1"/>
  <c r="AD137" i="13"/>
  <c r="I138" i="4" s="1"/>
  <c r="AW138" i="13"/>
  <c r="Q139" i="4"/>
  <c r="AR138" i="13"/>
  <c r="AS138" i="13" s="1"/>
  <c r="K139" i="4" s="1"/>
  <c r="AD139" i="13"/>
  <c r="BD139" i="13" s="1"/>
  <c r="AB140" i="4" s="1"/>
  <c r="W140" i="13"/>
  <c r="G141" i="4" s="1"/>
  <c r="H141" i="4" s="1"/>
  <c r="AK141" i="13"/>
  <c r="J142" i="4" s="1"/>
  <c r="P137" i="13"/>
  <c r="O112" i="4"/>
  <c r="AR129" i="13"/>
  <c r="AS129" i="13" s="1"/>
  <c r="K130" i="4" s="1"/>
  <c r="P130" i="13"/>
  <c r="AR133" i="13"/>
  <c r="AS133" i="13" s="1"/>
  <c r="K134" i="4"/>
  <c r="AW122" i="13"/>
  <c r="AD128" i="13"/>
  <c r="AW121" i="13"/>
  <c r="Q122" i="4" s="1"/>
  <c r="AW131" i="13"/>
  <c r="Q132" i="4"/>
  <c r="AD130" i="13"/>
  <c r="AV130" i="13" s="1"/>
  <c r="AY130" i="13" s="1"/>
  <c r="P132" i="13"/>
  <c r="W129" i="13"/>
  <c r="G130" i="4" s="1"/>
  <c r="W131" i="13"/>
  <c r="G132" i="4" s="1"/>
  <c r="AK132" i="13"/>
  <c r="J133" i="4" s="1"/>
  <c r="AD133" i="13"/>
  <c r="I134" i="4" s="1"/>
  <c r="AR131" i="13"/>
  <c r="AS131" i="13" s="1"/>
  <c r="K132" i="4" s="1"/>
  <c r="AW92" i="13"/>
  <c r="Q93" i="4"/>
  <c r="AW129" i="13"/>
  <c r="Q130" i="4" s="1"/>
  <c r="AW124" i="13"/>
  <c r="Q125" i="4"/>
  <c r="AW128" i="13"/>
  <c r="AW94" i="13"/>
  <c r="AW133" i="13"/>
  <c r="Q134" i="4"/>
  <c r="AW114" i="13"/>
  <c r="AD121" i="13"/>
  <c r="W79" i="13"/>
  <c r="G80" i="4" s="1"/>
  <c r="AW80" i="13"/>
  <c r="AW90" i="13"/>
  <c r="Q91" i="4" s="1"/>
  <c r="AW60" i="13"/>
  <c r="Q61" i="4" s="1"/>
  <c r="W63" i="13"/>
  <c r="G64" i="4" s="1"/>
  <c r="AK63" i="13"/>
  <c r="J64" i="4" s="1"/>
  <c r="AR81" i="13"/>
  <c r="AS81" i="13" s="1"/>
  <c r="K82" i="4" s="1"/>
  <c r="P84" i="13"/>
  <c r="E85" i="4" s="1"/>
  <c r="AK84" i="13"/>
  <c r="J85" i="4" s="1"/>
  <c r="AK93" i="13"/>
  <c r="J94" i="4" s="1"/>
  <c r="AR94" i="13"/>
  <c r="AS94" i="13" s="1"/>
  <c r="K95" i="4" s="1"/>
  <c r="AK102" i="13"/>
  <c r="J103" i="4" s="1"/>
  <c r="P105" i="13"/>
  <c r="AW74" i="13"/>
  <c r="Q75" i="4" s="1"/>
  <c r="AD80" i="13"/>
  <c r="AR85" i="13"/>
  <c r="AS85" i="13"/>
  <c r="K86" i="4" s="1"/>
  <c r="P89" i="13"/>
  <c r="AR90" i="13"/>
  <c r="AS90" i="13"/>
  <c r="K91" i="4" s="1"/>
  <c r="AR117" i="13"/>
  <c r="AS117" i="13" s="1"/>
  <c r="K118" i="4"/>
  <c r="W21" i="13"/>
  <c r="G22" i="4" s="1"/>
  <c r="W37" i="13"/>
  <c r="G38" i="4"/>
  <c r="AW48" i="13"/>
  <c r="AD48" i="13"/>
  <c r="AW87" i="13"/>
  <c r="Q88" i="4" s="1"/>
  <c r="AW117" i="13"/>
  <c r="Q118" i="4" s="1"/>
  <c r="P123" i="13"/>
  <c r="W127" i="13"/>
  <c r="G128" i="4"/>
  <c r="AR17" i="13"/>
  <c r="AS17" i="13" s="1"/>
  <c r="K18" i="4" s="1"/>
  <c r="P38" i="13"/>
  <c r="BA38" i="13" s="1"/>
  <c r="AS39" i="13"/>
  <c r="K40" i="4"/>
  <c r="W42" i="13"/>
  <c r="G43" i="4" s="1"/>
  <c r="AK47" i="13"/>
  <c r="J48" i="4" s="1"/>
  <c r="P68" i="13"/>
  <c r="AW16" i="13"/>
  <c r="AW28" i="13"/>
  <c r="Q29" i="4" s="1"/>
  <c r="AK43" i="13"/>
  <c r="W49" i="13"/>
  <c r="G50" i="4" s="1"/>
  <c r="W56" i="13"/>
  <c r="G57" i="4" s="1"/>
  <c r="AR74" i="13"/>
  <c r="AS74" i="13" s="1"/>
  <c r="K75" i="4" s="1"/>
  <c r="AK79" i="13"/>
  <c r="J80" i="4"/>
  <c r="P86" i="13"/>
  <c r="E87" i="4" s="1"/>
  <c r="AR87" i="13"/>
  <c r="AS87" i="13" s="1"/>
  <c r="K88" i="4"/>
  <c r="J90" i="4"/>
  <c r="W99" i="13"/>
  <c r="G100" i="4" s="1"/>
  <c r="AK107" i="13"/>
  <c r="P109" i="13"/>
  <c r="AW26" i="13"/>
  <c r="Q27" i="4" s="1"/>
  <c r="AW41" i="13"/>
  <c r="Q42" i="4"/>
  <c r="AW46" i="13"/>
  <c r="AW50" i="13"/>
  <c r="W51" i="13"/>
  <c r="G52" i="4" s="1"/>
  <c r="AW62" i="13"/>
  <c r="Q63" i="4" s="1"/>
  <c r="AD62" i="13"/>
  <c r="AW64" i="13"/>
  <c r="AW66" i="13"/>
  <c r="P82" i="13"/>
  <c r="AX82" i="13" s="1"/>
  <c r="W83" i="13"/>
  <c r="G84" i="4" s="1"/>
  <c r="AR83" i="13"/>
  <c r="AS83" i="13" s="1"/>
  <c r="K84" i="4" s="1"/>
  <c r="AR92" i="13"/>
  <c r="AS92" i="13" s="1"/>
  <c r="K93" i="4"/>
  <c r="AD94" i="13"/>
  <c r="I95" i="4"/>
  <c r="AK111" i="13"/>
  <c r="J112" i="4" s="1"/>
  <c r="AR113" i="13"/>
  <c r="AS113" i="13" s="1"/>
  <c r="K114" i="4" s="1"/>
  <c r="AD117" i="13"/>
  <c r="I118" i="4" s="1"/>
  <c r="P121" i="13"/>
  <c r="W122" i="13"/>
  <c r="G123" i="4" s="1"/>
  <c r="AD123" i="13"/>
  <c r="P127" i="13"/>
  <c r="W69" i="13"/>
  <c r="G70" i="4" s="1"/>
  <c r="AW76" i="13"/>
  <c r="Q77" i="4"/>
  <c r="W81" i="13"/>
  <c r="G82" i="4"/>
  <c r="AW83" i="13"/>
  <c r="Q84" i="4" s="1"/>
  <c r="AK86" i="13"/>
  <c r="J87" i="4"/>
  <c r="AW88" i="13"/>
  <c r="Q89" i="4" s="1"/>
  <c r="AD89" i="13"/>
  <c r="I90" i="4"/>
  <c r="AK91" i="13"/>
  <c r="BA91" i="13" s="1"/>
  <c r="AK95" i="13"/>
  <c r="J96" i="4" s="1"/>
  <c r="AW96" i="13"/>
  <c r="AW97" i="13"/>
  <c r="Q98" i="4"/>
  <c r="W97" i="13"/>
  <c r="G98" i="4"/>
  <c r="P100" i="13"/>
  <c r="AW104" i="13"/>
  <c r="Q105" i="4" s="1"/>
  <c r="AR106" i="13"/>
  <c r="AS106" i="13" s="1"/>
  <c r="K107" i="4" s="1"/>
  <c r="AW108" i="13"/>
  <c r="Q109" i="4" s="1"/>
  <c r="AR108" i="13"/>
  <c r="AS108" i="13" s="1"/>
  <c r="K109" i="4" s="1"/>
  <c r="AW112" i="13"/>
  <c r="P114" i="13"/>
  <c r="W115" i="13"/>
  <c r="G116" i="4" s="1"/>
  <c r="AK116" i="13"/>
  <c r="J117" i="4"/>
  <c r="AK118" i="13"/>
  <c r="J119" i="4" s="1"/>
  <c r="AW119" i="13"/>
  <c r="Q120" i="4" s="1"/>
  <c r="AW120" i="13"/>
  <c r="Q121" i="4"/>
  <c r="W120" i="13"/>
  <c r="G121" i="4" s="1"/>
  <c r="P125" i="13"/>
  <c r="AK127" i="13"/>
  <c r="J128" i="4" s="1"/>
  <c r="AW72" i="13"/>
  <c r="Q73" i="4"/>
  <c r="AW73" i="13"/>
  <c r="Q74" i="4" s="1"/>
  <c r="AK81" i="13"/>
  <c r="J82" i="4" s="1"/>
  <c r="AD85" i="13"/>
  <c r="I86" i="4" s="1"/>
  <c r="AD87" i="13"/>
  <c r="I88" i="4"/>
  <c r="W90" i="13"/>
  <c r="G91" i="4"/>
  <c r="W95" i="13"/>
  <c r="G96" i="4"/>
  <c r="AD96" i="13"/>
  <c r="P98" i="13"/>
  <c r="AK100" i="13"/>
  <c r="J101" i="4" s="1"/>
  <c r="AW101" i="13"/>
  <c r="Q102" i="4"/>
  <c r="W101" i="13"/>
  <c r="G102" i="4" s="1"/>
  <c r="AD103" i="13"/>
  <c r="I104" i="4" s="1"/>
  <c r="AW105" i="13"/>
  <c r="Q106" i="4" s="1"/>
  <c r="AD112" i="13"/>
  <c r="AW113" i="13"/>
  <c r="Q114" i="4" s="1"/>
  <c r="W113" i="13"/>
  <c r="G114" i="4"/>
  <c r="AW115" i="13"/>
  <c r="Q116" i="4"/>
  <c r="AR115" i="13"/>
  <c r="AS115" i="13" s="1"/>
  <c r="K116" i="4" s="1"/>
  <c r="P116" i="13"/>
  <c r="P118" i="13"/>
  <c r="BA118" i="13" s="1"/>
  <c r="AD119" i="13"/>
  <c r="I120" i="4"/>
  <c r="AW9" i="13"/>
  <c r="Q10" i="4" s="1"/>
  <c r="P4" i="13"/>
  <c r="BA4" i="13" s="1"/>
  <c r="AD5" i="13"/>
  <c r="I6" i="4" s="1"/>
  <c r="AD21" i="13"/>
  <c r="I22" i="4"/>
  <c r="AW24" i="13"/>
  <c r="Q25" i="4" s="1"/>
  <c r="P25" i="13"/>
  <c r="AK27" i="13"/>
  <c r="W31" i="13"/>
  <c r="G32" i="4" s="1"/>
  <c r="P34" i="13"/>
  <c r="AD37" i="13"/>
  <c r="I38" i="4"/>
  <c r="AW40" i="13"/>
  <c r="Q41" i="4"/>
  <c r="AR42" i="13"/>
  <c r="AS42" i="13" s="1"/>
  <c r="K43" i="4" s="1"/>
  <c r="AD46" i="13"/>
  <c r="I47" i="4"/>
  <c r="AK49" i="13"/>
  <c r="J50" i="4" s="1"/>
  <c r="AK52" i="13"/>
  <c r="P50" i="13"/>
  <c r="AV50" i="13" s="1"/>
  <c r="AY50" i="13" s="1"/>
  <c r="AK11" i="13"/>
  <c r="W15" i="13"/>
  <c r="G16" i="4"/>
  <c r="P20" i="13"/>
  <c r="BA20" i="13" s="1"/>
  <c r="W24" i="13"/>
  <c r="G25" i="4" s="1"/>
  <c r="AD41" i="13"/>
  <c r="I42" i="4" s="1"/>
  <c r="AW42" i="13"/>
  <c r="Q43" i="4"/>
  <c r="AW44" i="13"/>
  <c r="Q45" i="4" s="1"/>
  <c r="AR44" i="13"/>
  <c r="AS44" i="13" s="1"/>
  <c r="K45" i="4"/>
  <c r="AK45" i="13"/>
  <c r="AW8" i="13"/>
  <c r="Q9" i="4"/>
  <c r="AW10" i="13"/>
  <c r="Q11" i="4"/>
  <c r="AW12" i="13"/>
  <c r="Q13" i="4" s="1"/>
  <c r="P18" i="13"/>
  <c r="AD18" i="13"/>
  <c r="AV18" i="13" s="1"/>
  <c r="AY18" i="13" s="1"/>
  <c r="AZ18" i="13" s="1"/>
  <c r="AW25" i="13"/>
  <c r="Q26" i="4"/>
  <c r="AR26" i="13"/>
  <c r="AS26" i="13" s="1"/>
  <c r="K27" i="4" s="1"/>
  <c r="AD30" i="13"/>
  <c r="AR30" i="13"/>
  <c r="AS30" i="13" s="1"/>
  <c r="K31" i="4" s="1"/>
  <c r="AW32" i="13"/>
  <c r="W35" i="13"/>
  <c r="G36" i="4"/>
  <c r="P36" i="13"/>
  <c r="E37" i="4" s="1"/>
  <c r="W47" i="13"/>
  <c r="G48" i="4" s="1"/>
  <c r="AD57" i="13"/>
  <c r="AV57" i="13" s="1"/>
  <c r="I58" i="4"/>
  <c r="AR60" i="13"/>
  <c r="AS60" i="13" s="1"/>
  <c r="K61" i="4" s="1"/>
  <c r="AK61" i="13"/>
  <c r="J62" i="4"/>
  <c r="AK68" i="13"/>
  <c r="J69" i="4" s="1"/>
  <c r="AK75" i="13"/>
  <c r="AD78" i="13"/>
  <c r="I79" i="4" s="1"/>
  <c r="W88" i="13"/>
  <c r="G89" i="4" s="1"/>
  <c r="P93" i="13"/>
  <c r="AW103" i="13"/>
  <c r="Q104" i="4" s="1"/>
  <c r="AW81" i="13"/>
  <c r="Q82" i="4" s="1"/>
  <c r="AW85" i="13"/>
  <c r="Q86" i="4"/>
  <c r="AK59" i="13"/>
  <c r="P70" i="13"/>
  <c r="E71" i="4" s="1"/>
  <c r="AD73" i="13"/>
  <c r="I74" i="4" s="1"/>
  <c r="AR76" i="13"/>
  <c r="AS76" i="13"/>
  <c r="K77" i="4" s="1"/>
  <c r="AK77" i="13"/>
  <c r="J78" i="4"/>
  <c r="AW78" i="13"/>
  <c r="Q79" i="4" s="1"/>
  <c r="AR99" i="13"/>
  <c r="AS99" i="13" s="1"/>
  <c r="K100" i="4" s="1"/>
  <c r="P52" i="13"/>
  <c r="AW56" i="13"/>
  <c r="Q57" i="4" s="1"/>
  <c r="AW58" i="13"/>
  <c r="Q59" i="4" s="1"/>
  <c r="AR58" i="13"/>
  <c r="AS58" i="13" s="1"/>
  <c r="K59" i="4" s="1"/>
  <c r="AD64" i="13"/>
  <c r="W65" i="13"/>
  <c r="G66" i="4" s="1"/>
  <c r="AK65" i="13"/>
  <c r="J66" i="4" s="1"/>
  <c r="P66" i="13"/>
  <c r="AW67" i="13"/>
  <c r="Q68" i="4"/>
  <c r="W72" i="13"/>
  <c r="G73" i="4" s="1"/>
  <c r="P95" i="13"/>
  <c r="AR97" i="13"/>
  <c r="AS97" i="13"/>
  <c r="K98" i="4" s="1"/>
  <c r="AW99" i="13"/>
  <c r="Q100" i="4" s="1"/>
  <c r="AR103" i="13"/>
  <c r="AS103" i="13" s="1"/>
  <c r="K104" i="4" s="1"/>
  <c r="W106" i="13"/>
  <c r="G107" i="4" s="1"/>
  <c r="AW106" i="13"/>
  <c r="Q107" i="4"/>
  <c r="AK109" i="13"/>
  <c r="J110" i="4" s="1"/>
  <c r="AW110" i="13"/>
  <c r="W111" i="13"/>
  <c r="G112" i="4" s="1"/>
  <c r="AK113" i="13"/>
  <c r="J114" i="4" s="1"/>
  <c r="AR122" i="13"/>
  <c r="AS122" i="13" s="1"/>
  <c r="K123" i="4" s="1"/>
  <c r="AK123" i="13"/>
  <c r="BA123" i="13" s="1"/>
  <c r="AD101" i="13"/>
  <c r="I102" i="4"/>
  <c r="AD105" i="13"/>
  <c r="I106" i="4" s="1"/>
  <c r="P107" i="13"/>
  <c r="AD110" i="13"/>
  <c r="AS124" i="13"/>
  <c r="K125" i="4"/>
  <c r="AK125" i="13"/>
  <c r="J126" i="4" s="1"/>
  <c r="AD126" i="13"/>
  <c r="AW126" i="13"/>
  <c r="Q127" i="4"/>
  <c r="AW3" i="13"/>
  <c r="AK4" i="13"/>
  <c r="J5" i="4" s="1"/>
  <c r="AW19" i="13"/>
  <c r="AK20" i="13"/>
  <c r="J21" i="4"/>
  <c r="AW35" i="13"/>
  <c r="Q36" i="4" s="1"/>
  <c r="AK36" i="13"/>
  <c r="J37" i="4" s="1"/>
  <c r="AD39" i="13"/>
  <c r="I40" i="4" s="1"/>
  <c r="AW51" i="13"/>
  <c r="Q52" i="4"/>
  <c r="AD55" i="13"/>
  <c r="I56" i="4" s="1"/>
  <c r="W60" i="13"/>
  <c r="G61" i="4" s="1"/>
  <c r="AD71" i="13"/>
  <c r="I72" i="4"/>
  <c r="W76" i="13"/>
  <c r="G77" i="4" s="1"/>
  <c r="P9" i="13"/>
  <c r="AW17" i="13"/>
  <c r="Q18" i="4"/>
  <c r="AR33" i="13"/>
  <c r="AS33" i="13" s="1"/>
  <c r="K34" i="4" s="1"/>
  <c r="AW33" i="13"/>
  <c r="Q34" i="4" s="1"/>
  <c r="AR35" i="13"/>
  <c r="AS35" i="13" s="1"/>
  <c r="K36" i="4" s="1"/>
  <c r="AK38" i="13"/>
  <c r="J39" i="4"/>
  <c r="AW39" i="13"/>
  <c r="Q40" i="4"/>
  <c r="P41" i="13"/>
  <c r="P43" i="13"/>
  <c r="BA43" i="13" s="1"/>
  <c r="AR49" i="13"/>
  <c r="AS49" i="13" s="1"/>
  <c r="K50" i="4" s="1"/>
  <c r="AW49" i="13"/>
  <c r="Q50" i="4" s="1"/>
  <c r="AR51" i="13"/>
  <c r="AS51" i="13" s="1"/>
  <c r="K52" i="4" s="1"/>
  <c r="AK54" i="13"/>
  <c r="AW55" i="13"/>
  <c r="Q56" i="4" s="1"/>
  <c r="AK56" i="13"/>
  <c r="J57" i="4"/>
  <c r="P57" i="13"/>
  <c r="E58" i="4" s="1"/>
  <c r="P59" i="13"/>
  <c r="AR65" i="13"/>
  <c r="AS65" i="13" s="1"/>
  <c r="K66" i="4" s="1"/>
  <c r="AW65" i="13"/>
  <c r="Q66" i="4" s="1"/>
  <c r="AR67" i="13"/>
  <c r="AS67" i="13"/>
  <c r="K68" i="4" s="1"/>
  <c r="AK70" i="13"/>
  <c r="J71" i="4" s="1"/>
  <c r="AW71" i="13"/>
  <c r="Q72" i="4" s="1"/>
  <c r="P73" i="13"/>
  <c r="E74" i="4" s="1"/>
  <c r="P75" i="13"/>
  <c r="AD75" i="13"/>
  <c r="BD75" i="13" s="1"/>
  <c r="AR5" i="13"/>
  <c r="AS5" i="13" s="1"/>
  <c r="K6" i="4" s="1"/>
  <c r="AW5" i="13"/>
  <c r="AW21" i="13"/>
  <c r="Q22" i="4"/>
  <c r="AR37" i="13"/>
  <c r="AS37" i="13" s="1"/>
  <c r="K38" i="4"/>
  <c r="AW37" i="13"/>
  <c r="AD53" i="13"/>
  <c r="I54" i="4" s="1"/>
  <c r="AR53" i="13"/>
  <c r="AS53" i="13" s="1"/>
  <c r="K54" i="4"/>
  <c r="AW53" i="13"/>
  <c r="Q54" i="4" s="1"/>
  <c r="AR55" i="13"/>
  <c r="AS55" i="13" s="1"/>
  <c r="K56" i="4" s="1"/>
  <c r="W58" i="13"/>
  <c r="G59" i="4" s="1"/>
  <c r="P61" i="13"/>
  <c r="E62" i="4" s="1"/>
  <c r="P63" i="13"/>
  <c r="BA63" i="13" s="1"/>
  <c r="AD69" i="13"/>
  <c r="I70" i="4" s="1"/>
  <c r="AR69" i="13"/>
  <c r="AS69" i="13"/>
  <c r="K70" i="4" s="1"/>
  <c r="AW69" i="13"/>
  <c r="Q70" i="4"/>
  <c r="W74" i="13"/>
  <c r="G75" i="4"/>
  <c r="P77" i="13"/>
  <c r="F194" i="4"/>
  <c r="E154" i="4"/>
  <c r="AX18" i="13"/>
  <c r="E128" i="4"/>
  <c r="E138" i="4"/>
  <c r="E135" i="4"/>
  <c r="E179" i="4"/>
  <c r="E126" i="4"/>
  <c r="AX130" i="13"/>
  <c r="E170" i="4"/>
  <c r="F170" i="4"/>
  <c r="AX50" i="13"/>
  <c r="H130" i="4"/>
  <c r="H198" i="4"/>
  <c r="H185" i="4"/>
  <c r="H132" i="4"/>
  <c r="H180" i="4"/>
  <c r="H137" i="4"/>
  <c r="H178" i="4"/>
  <c r="H139" i="4"/>
  <c r="E10" i="4"/>
  <c r="E53" i="4"/>
  <c r="E101" i="4"/>
  <c r="E117" i="4"/>
  <c r="E90" i="4"/>
  <c r="E26" i="4"/>
  <c r="E64" i="4"/>
  <c r="E96" i="4"/>
  <c r="E94" i="4"/>
  <c r="E48" i="4"/>
  <c r="E110" i="4"/>
  <c r="E46" i="4"/>
  <c r="E69" i="4"/>
  <c r="E119" i="4"/>
  <c r="AV139" i="13"/>
  <c r="BA192" i="13"/>
  <c r="BB192" i="13" s="1"/>
  <c r="BA173" i="13"/>
  <c r="BA109" i="13"/>
  <c r="BA187" i="13"/>
  <c r="BD187" i="13"/>
  <c r="BA166" i="13"/>
  <c r="AV194" i="13"/>
  <c r="AY194" i="13" s="1"/>
  <c r="AV153" i="13"/>
  <c r="P154" i="4" s="1"/>
  <c r="BA148" i="13"/>
  <c r="AV187" i="13"/>
  <c r="AV171" i="13"/>
  <c r="BA141" i="13"/>
  <c r="AV196" i="13"/>
  <c r="P197" i="4"/>
  <c r="AV185" i="13"/>
  <c r="AV137" i="13"/>
  <c r="BA180" i="13"/>
  <c r="AV169" i="13"/>
  <c r="P170" i="4" s="1"/>
  <c r="BA193" i="13"/>
  <c r="BB193" i="13" s="1"/>
  <c r="AV89" i="13"/>
  <c r="BA93" i="13"/>
  <c r="BA107" i="13"/>
  <c r="AV75" i="13"/>
  <c r="BA70" i="13"/>
  <c r="BA86" i="13"/>
  <c r="BA79" i="13"/>
  <c r="BD43" i="13"/>
  <c r="AV59" i="13"/>
  <c r="BD59" i="13"/>
  <c r="BA59" i="13"/>
  <c r="AV43" i="13"/>
  <c r="BA36" i="13"/>
  <c r="BA68" i="13"/>
  <c r="R99" i="4"/>
  <c r="BC130" i="13"/>
  <c r="AA131" i="4"/>
  <c r="P92" i="4"/>
  <c r="P58" i="4"/>
  <c r="P76" i="4"/>
  <c r="AA83" i="4"/>
  <c r="AE64" i="7"/>
  <c r="AE67" i="7"/>
  <c r="AE86" i="7"/>
  <c r="G2" i="26"/>
  <c r="AE87" i="7"/>
  <c r="H2" i="26"/>
  <c r="AV176" i="13" l="1"/>
  <c r="AY176" i="13" s="1"/>
  <c r="BD176" i="13"/>
  <c r="H183" i="4"/>
  <c r="H190" i="4"/>
  <c r="I194" i="4"/>
  <c r="BD193" i="13"/>
  <c r="AB194" i="4" s="1"/>
  <c r="AV193" i="13"/>
  <c r="E196" i="4"/>
  <c r="F196" i="4" s="1"/>
  <c r="BA195" i="13"/>
  <c r="BB195" i="13" s="1"/>
  <c r="BD195" i="13"/>
  <c r="AB196" i="4" s="1"/>
  <c r="AZ200" i="13"/>
  <c r="R67" i="4"/>
  <c r="P147" i="4"/>
  <c r="H193" i="4"/>
  <c r="I10" i="4"/>
  <c r="AV9" i="13"/>
  <c r="E14" i="4"/>
  <c r="BA13" i="13"/>
  <c r="I26" i="4"/>
  <c r="AV25" i="13"/>
  <c r="E32" i="4"/>
  <c r="F32" i="4" s="1"/>
  <c r="AY89" i="13"/>
  <c r="S90" i="4" s="1"/>
  <c r="P90" i="4"/>
  <c r="P140" i="4"/>
  <c r="S51" i="4"/>
  <c r="R51" i="4"/>
  <c r="T51" i="4"/>
  <c r="D103" i="4"/>
  <c r="AW102" i="13"/>
  <c r="E115" i="4"/>
  <c r="P115" i="4"/>
  <c r="Q163" i="4"/>
  <c r="V20" i="26"/>
  <c r="BD162" i="13"/>
  <c r="AB163" i="4" s="1"/>
  <c r="AR91" i="13"/>
  <c r="AS91" i="13" s="1"/>
  <c r="K92" i="4" s="1"/>
  <c r="H136" i="4"/>
  <c r="H152" i="4"/>
  <c r="B163" i="4"/>
  <c r="AR164" i="13"/>
  <c r="AS164" i="13" s="1"/>
  <c r="K165" i="4" s="1"/>
  <c r="AK165" i="13"/>
  <c r="J166" i="4" s="1"/>
  <c r="AD168" i="13"/>
  <c r="I169" i="4" s="1"/>
  <c r="W169" i="13"/>
  <c r="G170" i="4" s="1"/>
  <c r="H170" i="4" s="1"/>
  <c r="AR171" i="13"/>
  <c r="AS171" i="13" s="1"/>
  <c r="K172" i="4" s="1"/>
  <c r="AK172" i="13"/>
  <c r="J173" i="4" s="1"/>
  <c r="H175" i="4"/>
  <c r="AD175" i="13"/>
  <c r="I176" i="4" s="1"/>
  <c r="B179" i="4"/>
  <c r="AR178" i="13"/>
  <c r="AS178" i="13" s="1"/>
  <c r="K179" i="4" s="1"/>
  <c r="AR180" i="13"/>
  <c r="AS180" i="13" s="1"/>
  <c r="K181" i="4" s="1"/>
  <c r="AD182" i="13"/>
  <c r="I183" i="4" s="1"/>
  <c r="AK183" i="13"/>
  <c r="J184" i="4" s="1"/>
  <c r="AD184" i="13"/>
  <c r="W185" i="13"/>
  <c r="G186" i="4" s="1"/>
  <c r="H186" i="4" s="1"/>
  <c r="AR187" i="13"/>
  <c r="AS187" i="13" s="1"/>
  <c r="K188" i="4" s="1"/>
  <c r="AK188" i="13"/>
  <c r="J189" i="4" s="1"/>
  <c r="H191" i="4"/>
  <c r="AD191" i="13"/>
  <c r="AV191" i="13" s="1"/>
  <c r="K193" i="4"/>
  <c r="AX200" i="13"/>
  <c r="BD200" i="13"/>
  <c r="BA200" i="13"/>
  <c r="BB200" i="13" s="1"/>
  <c r="BC200" i="13" s="1"/>
  <c r="E17" i="26"/>
  <c r="AA4" i="26"/>
  <c r="V199" i="26"/>
  <c r="V195" i="26"/>
  <c r="H70" i="4"/>
  <c r="BA164" i="13"/>
  <c r="E165" i="4"/>
  <c r="W5" i="13"/>
  <c r="G6" i="4" s="1"/>
  <c r="R3" i="4"/>
  <c r="P138" i="4"/>
  <c r="BA95" i="13"/>
  <c r="BB95" i="13" s="1"/>
  <c r="E174" i="4"/>
  <c r="F174" i="4" s="1"/>
  <c r="AK8" i="13"/>
  <c r="J9" i="4" s="1"/>
  <c r="AD11" i="13"/>
  <c r="AR23" i="13"/>
  <c r="AS23" i="13" s="1"/>
  <c r="K24" i="4" s="1"/>
  <c r="AD27" i="13"/>
  <c r="AV27" i="13" s="1"/>
  <c r="H150" i="4"/>
  <c r="I179" i="4"/>
  <c r="AV178" i="13"/>
  <c r="AY178" i="13" s="1"/>
  <c r="AZ178" i="13" s="1"/>
  <c r="T179" i="4" s="1"/>
  <c r="V83" i="26"/>
  <c r="P19" i="4"/>
  <c r="BD91" i="13"/>
  <c r="AB92" i="4" s="1"/>
  <c r="AV123" i="13"/>
  <c r="P124" i="4" s="1"/>
  <c r="BD123" i="13"/>
  <c r="AB124" i="4" s="1"/>
  <c r="BA47" i="13"/>
  <c r="BB47" i="13" s="1"/>
  <c r="BC47" i="13" s="1"/>
  <c r="AA48" i="4" s="1"/>
  <c r="P167" i="13"/>
  <c r="P131" i="4"/>
  <c r="E131" i="4"/>
  <c r="F131" i="4" s="1"/>
  <c r="AR159" i="13"/>
  <c r="AS159" i="13" s="1"/>
  <c r="K160" i="4" s="1"/>
  <c r="AA163" i="4"/>
  <c r="L163" i="4"/>
  <c r="C163" i="4"/>
  <c r="X163" i="4"/>
  <c r="M163" i="4"/>
  <c r="V163" i="4"/>
  <c r="A163" i="4"/>
  <c r="Z163" i="4"/>
  <c r="R163" i="4"/>
  <c r="U163" i="4"/>
  <c r="P163" i="4"/>
  <c r="Y163" i="4"/>
  <c r="AW166" i="13"/>
  <c r="D179" i="4"/>
  <c r="F179" i="4" s="1"/>
  <c r="M179" i="4"/>
  <c r="X179" i="4"/>
  <c r="Y179" i="4"/>
  <c r="W179" i="4"/>
  <c r="C179" i="4"/>
  <c r="U179" i="4"/>
  <c r="A179" i="4"/>
  <c r="N179" i="4"/>
  <c r="R179" i="4"/>
  <c r="V179" i="4"/>
  <c r="C190" i="4"/>
  <c r="AW189" i="13"/>
  <c r="Q190" i="4" s="1"/>
  <c r="AB188" i="4"/>
  <c r="AX178" i="13"/>
  <c r="BD178" i="13"/>
  <c r="AB179" i="4" s="1"/>
  <c r="X172" i="4"/>
  <c r="V16" i="26"/>
  <c r="F58" i="4"/>
  <c r="P74" i="13"/>
  <c r="BD74" i="13" s="1"/>
  <c r="AB75" i="4" s="1"/>
  <c r="AD86" i="13"/>
  <c r="H127" i="4"/>
  <c r="AR141" i="13"/>
  <c r="AS141" i="13" s="1"/>
  <c r="K142" i="4" s="1"/>
  <c r="AD150" i="13"/>
  <c r="AV150" i="13" s="1"/>
  <c r="W162" i="13"/>
  <c r="G163" i="4" s="1"/>
  <c r="AR162" i="13"/>
  <c r="AS162" i="13" s="1"/>
  <c r="K163" i="4" s="1"/>
  <c r="AD166" i="13"/>
  <c r="AK167" i="13"/>
  <c r="W171" i="13"/>
  <c r="G172" i="4" s="1"/>
  <c r="AR173" i="13"/>
  <c r="AS173" i="13" s="1"/>
  <c r="K174" i="4" s="1"/>
  <c r="AK174" i="13"/>
  <c r="W176" i="13"/>
  <c r="G177" i="4" s="1"/>
  <c r="AD177" i="13"/>
  <c r="I178" i="4" s="1"/>
  <c r="W178" i="13"/>
  <c r="G179" i="4" s="1"/>
  <c r="AK181" i="13"/>
  <c r="J182" i="4" s="1"/>
  <c r="H184" i="4"/>
  <c r="W187" i="13"/>
  <c r="G188" i="4" s="1"/>
  <c r="AR189" i="13"/>
  <c r="AS189" i="13" s="1"/>
  <c r="K190" i="4" s="1"/>
  <c r="AK190" i="13"/>
  <c r="J191" i="4" s="1"/>
  <c r="N193" i="4"/>
  <c r="Z193" i="4"/>
  <c r="B193" i="4"/>
  <c r="Y193" i="4"/>
  <c r="Q193" i="4"/>
  <c r="J193" i="4"/>
  <c r="D193" i="4"/>
  <c r="U193" i="4"/>
  <c r="E193" i="4"/>
  <c r="C193" i="4"/>
  <c r="M193" i="4"/>
  <c r="L193" i="4"/>
  <c r="X193" i="4"/>
  <c r="AB193" i="4"/>
  <c r="AW196" i="13"/>
  <c r="Q197" i="4" s="1"/>
  <c r="D197" i="4"/>
  <c r="F197" i="4" s="1"/>
  <c r="AY169" i="13"/>
  <c r="BA61" i="13"/>
  <c r="J156" i="4"/>
  <c r="BA116" i="13"/>
  <c r="BA127" i="13"/>
  <c r="P6" i="13"/>
  <c r="AR14" i="13"/>
  <c r="AS14" i="13" s="1"/>
  <c r="K15" i="4" s="1"/>
  <c r="W28" i="13"/>
  <c r="G29" i="4" s="1"/>
  <c r="AY114" i="13"/>
  <c r="S115" i="4" s="1"/>
  <c r="BD171" i="13"/>
  <c r="AB172" i="4" s="1"/>
  <c r="Q179" i="4"/>
  <c r="V107" i="26"/>
  <c r="S19" i="4"/>
  <c r="BA54" i="13"/>
  <c r="I122" i="4"/>
  <c r="AV121" i="13"/>
  <c r="BA132" i="13"/>
  <c r="E133" i="4"/>
  <c r="AV174" i="13"/>
  <c r="AY174" i="13" s="1"/>
  <c r="D163" i="4"/>
  <c r="L115" i="4"/>
  <c r="V24" i="26"/>
  <c r="AV199" i="13"/>
  <c r="P200" i="4" s="1"/>
  <c r="BD169" i="13"/>
  <c r="AB170" i="4" s="1"/>
  <c r="C20" i="4"/>
  <c r="M20" i="4"/>
  <c r="Q20" i="4"/>
  <c r="K20" i="4"/>
  <c r="Z20" i="4"/>
  <c r="AU30" i="13"/>
  <c r="AT30" i="13"/>
  <c r="AW30" i="13"/>
  <c r="Q31" i="4" s="1"/>
  <c r="BA100" i="13"/>
  <c r="AV162" i="13"/>
  <c r="AY162" i="13" s="1"/>
  <c r="AZ162" i="13" s="1"/>
  <c r="T163" i="4" s="1"/>
  <c r="BA189" i="13"/>
  <c r="BB189" i="13" s="1"/>
  <c r="BC189" i="13" s="1"/>
  <c r="AA190" i="4" s="1"/>
  <c r="E21" i="4"/>
  <c r="E172" i="4"/>
  <c r="AX66" i="13"/>
  <c r="M195" i="4"/>
  <c r="A193" i="4"/>
  <c r="AV105" i="13"/>
  <c r="BA75" i="13"/>
  <c r="H116" i="4"/>
  <c r="I156" i="4"/>
  <c r="D195" i="4"/>
  <c r="V172" i="4"/>
  <c r="V13" i="26"/>
  <c r="AY87" i="13"/>
  <c r="S88" i="4" s="1"/>
  <c r="P88" i="4"/>
  <c r="H174" i="4"/>
  <c r="D176" i="4"/>
  <c r="AW175" i="13"/>
  <c r="Q176" i="4" s="1"/>
  <c r="J186" i="4"/>
  <c r="BD185" i="13"/>
  <c r="AB186" i="4" s="1"/>
  <c r="BA185" i="13"/>
  <c r="P190" i="13"/>
  <c r="AX190" i="13" s="1"/>
  <c r="R191" i="4" s="1"/>
  <c r="X191" i="4"/>
  <c r="J195" i="4"/>
  <c r="BA194" i="13"/>
  <c r="BB194" i="13" s="1"/>
  <c r="P197" i="13"/>
  <c r="W198" i="4"/>
  <c r="AT198" i="13"/>
  <c r="N199" i="4" s="1"/>
  <c r="AU198" i="13"/>
  <c r="O199" i="4" s="1"/>
  <c r="C199" i="4"/>
  <c r="R83" i="4"/>
  <c r="S83" i="4"/>
  <c r="S99" i="4"/>
  <c r="T99" i="4"/>
  <c r="A156" i="4"/>
  <c r="AK160" i="13"/>
  <c r="BA160" i="13" s="1"/>
  <c r="BB160" i="13" s="1"/>
  <c r="BC160" i="13" s="1"/>
  <c r="AA161" i="4" s="1"/>
  <c r="D183" i="4"/>
  <c r="AW182" i="13"/>
  <c r="Q183" i="4" s="1"/>
  <c r="E144" i="4"/>
  <c r="BA143" i="13"/>
  <c r="V136" i="26"/>
  <c r="V128" i="26"/>
  <c r="V120" i="26"/>
  <c r="V112" i="26"/>
  <c r="V104" i="26"/>
  <c r="V92" i="26"/>
  <c r="V84" i="26"/>
  <c r="V68" i="26"/>
  <c r="V52" i="26"/>
  <c r="V44" i="26"/>
  <c r="V32" i="26"/>
  <c r="AV82" i="13"/>
  <c r="AY82" i="13" s="1"/>
  <c r="AZ82" i="13" s="1"/>
  <c r="T83" i="4" s="1"/>
  <c r="J172" i="4"/>
  <c r="BA199" i="13"/>
  <c r="BB199" i="13" s="1"/>
  <c r="BC199" i="13" s="1"/>
  <c r="AA200" i="4" s="1"/>
  <c r="AX73" i="13"/>
  <c r="R74" i="4" s="1"/>
  <c r="I193" i="4"/>
  <c r="L179" i="4"/>
  <c r="P51" i="4"/>
  <c r="AV107" i="13"/>
  <c r="P108" i="4" s="1"/>
  <c r="BA178" i="13"/>
  <c r="BB178" i="13" s="1"/>
  <c r="BC178" i="13" s="1"/>
  <c r="AA179" i="4" s="1"/>
  <c r="BD199" i="13"/>
  <c r="AB200" i="4" s="1"/>
  <c r="AZ50" i="13"/>
  <c r="AV192" i="13"/>
  <c r="AY192" i="13" s="1"/>
  <c r="S193" i="4" s="1"/>
  <c r="D167" i="4"/>
  <c r="F167" i="4" s="1"/>
  <c r="Y184" i="4"/>
  <c r="BA45" i="13"/>
  <c r="J46" i="4"/>
  <c r="H75" i="4"/>
  <c r="W156" i="4"/>
  <c r="B156" i="4"/>
  <c r="L156" i="4"/>
  <c r="P156" i="4"/>
  <c r="D156" i="4"/>
  <c r="X156" i="4"/>
  <c r="V156" i="4"/>
  <c r="Z156" i="4"/>
  <c r="E156" i="4"/>
  <c r="F156" i="4" s="1"/>
  <c r="AW159" i="13"/>
  <c r="Q160" i="4" s="1"/>
  <c r="D160" i="4"/>
  <c r="H160" i="4" s="1"/>
  <c r="AU166" i="13"/>
  <c r="O167" i="4" s="1"/>
  <c r="C167" i="4"/>
  <c r="J170" i="4"/>
  <c r="BA169" i="13"/>
  <c r="BB169" i="13" s="1"/>
  <c r="Z172" i="4"/>
  <c r="A172" i="4"/>
  <c r="B172" i="4"/>
  <c r="W172" i="4"/>
  <c r="L172" i="4"/>
  <c r="Y172" i="4"/>
  <c r="P172" i="4"/>
  <c r="D172" i="4"/>
  <c r="I172" i="4"/>
  <c r="AX183" i="13"/>
  <c r="R184" i="4" s="1"/>
  <c r="E184" i="4"/>
  <c r="F184" i="4" s="1"/>
  <c r="Z188" i="4"/>
  <c r="B188" i="4"/>
  <c r="U188" i="4"/>
  <c r="Y188" i="4"/>
  <c r="W188" i="4"/>
  <c r="L188" i="4"/>
  <c r="X188" i="4"/>
  <c r="D188" i="4"/>
  <c r="M188" i="4"/>
  <c r="A188" i="4"/>
  <c r="E188" i="4"/>
  <c r="I196" i="4"/>
  <c r="AV195" i="13"/>
  <c r="AY195" i="13" s="1"/>
  <c r="S196" i="4" s="1"/>
  <c r="H199" i="4"/>
  <c r="Y147" i="4"/>
  <c r="D147" i="4"/>
  <c r="Z147" i="4"/>
  <c r="E147" i="4"/>
  <c r="R147" i="4"/>
  <c r="S147" i="4"/>
  <c r="W157" i="13"/>
  <c r="G158" i="4" s="1"/>
  <c r="AT173" i="13"/>
  <c r="N174" i="4" s="1"/>
  <c r="AW173" i="13"/>
  <c r="Q174" i="4" s="1"/>
  <c r="AU173" i="13"/>
  <c r="O174" i="4" s="1"/>
  <c r="Q195" i="4"/>
  <c r="U195" i="4"/>
  <c r="Y195" i="4"/>
  <c r="G195" i="4"/>
  <c r="H195" i="4" s="1"/>
  <c r="E195" i="4"/>
  <c r="F195" i="4" s="1"/>
  <c r="B195" i="4"/>
  <c r="O195" i="4"/>
  <c r="W195" i="4"/>
  <c r="AW198" i="13"/>
  <c r="Q199" i="4" s="1"/>
  <c r="D199" i="4"/>
  <c r="V176" i="26"/>
  <c r="V64" i="26"/>
  <c r="V9" i="26"/>
  <c r="BA162" i="13"/>
  <c r="BB162" i="13" s="1"/>
  <c r="BC162" i="13" s="1"/>
  <c r="V132" i="26"/>
  <c r="V124" i="26"/>
  <c r="V116" i="26"/>
  <c r="V108" i="26"/>
  <c r="V100" i="26"/>
  <c r="V96" i="26"/>
  <c r="V88" i="26"/>
  <c r="V76" i="26"/>
  <c r="V72" i="26"/>
  <c r="V56" i="26"/>
  <c r="V48" i="26"/>
  <c r="V40" i="26"/>
  <c r="V36" i="26"/>
  <c r="T19" i="4"/>
  <c r="P3" i="4"/>
  <c r="BA125" i="13"/>
  <c r="AX105" i="13"/>
  <c r="R106" i="4" s="1"/>
  <c r="E106" i="4"/>
  <c r="BA157" i="13"/>
  <c r="E158" i="4"/>
  <c r="F158" i="4" s="1"/>
  <c r="L4" i="4"/>
  <c r="B4" i="4"/>
  <c r="K4" i="4"/>
  <c r="O4" i="4"/>
  <c r="D8" i="4"/>
  <c r="H8" i="4" s="1"/>
  <c r="AW7" i="13"/>
  <c r="Q8" i="4" s="1"/>
  <c r="AT14" i="13"/>
  <c r="AU14" i="13"/>
  <c r="T147" i="4"/>
  <c r="P83" i="4"/>
  <c r="BA84" i="13"/>
  <c r="BD98" i="13"/>
  <c r="AB99" i="4" s="1"/>
  <c r="BD146" i="13"/>
  <c r="AB147" i="4" s="1"/>
  <c r="Q4" i="4"/>
  <c r="AX25" i="13"/>
  <c r="R26" i="4" s="1"/>
  <c r="W163" i="4"/>
  <c r="Y156" i="4"/>
  <c r="S3" i="4"/>
  <c r="S179" i="4"/>
  <c r="P99" i="4"/>
  <c r="BD194" i="13"/>
  <c r="AB195" i="4" s="1"/>
  <c r="E163" i="4"/>
  <c r="J53" i="4"/>
  <c r="BA52" i="13"/>
  <c r="I191" i="4"/>
  <c r="AV190" i="13"/>
  <c r="AY190" i="13" s="1"/>
  <c r="J197" i="4"/>
  <c r="BA196" i="13"/>
  <c r="Z195" i="4"/>
  <c r="D192" i="4"/>
  <c r="H192" i="4" s="1"/>
  <c r="M156" i="4"/>
  <c r="C15" i="4"/>
  <c r="J188" i="4"/>
  <c r="P15" i="13"/>
  <c r="BA15" i="13" s="1"/>
  <c r="BB15" i="13" s="1"/>
  <c r="AK17" i="13"/>
  <c r="J18" i="4" s="1"/>
  <c r="P22" i="13"/>
  <c r="BA22" i="13" s="1"/>
  <c r="BB22" i="13" s="1"/>
  <c r="AU25" i="13"/>
  <c r="O26" i="4" s="1"/>
  <c r="AT25" i="13"/>
  <c r="A31" i="4"/>
  <c r="M31" i="4"/>
  <c r="I31" i="4"/>
  <c r="AU41" i="13"/>
  <c r="AT41" i="13"/>
  <c r="N47" i="4"/>
  <c r="U47" i="4"/>
  <c r="AT57" i="13"/>
  <c r="N58" i="4" s="1"/>
  <c r="AU57" i="13"/>
  <c r="O58" i="4" s="1"/>
  <c r="C79" i="4"/>
  <c r="L79" i="4"/>
  <c r="A79" i="4"/>
  <c r="V79" i="4"/>
  <c r="Z111" i="4"/>
  <c r="C111" i="4"/>
  <c r="H111" i="4" s="1"/>
  <c r="M111" i="4"/>
  <c r="L111" i="4"/>
  <c r="A111" i="4"/>
  <c r="I111" i="4"/>
  <c r="B111" i="4"/>
  <c r="K111" i="4"/>
  <c r="AU121" i="13"/>
  <c r="AT121" i="13"/>
  <c r="N122" i="4" s="1"/>
  <c r="C122" i="4"/>
  <c r="AU137" i="13"/>
  <c r="O138" i="4" s="1"/>
  <c r="AT137" i="13"/>
  <c r="N138" i="4" s="1"/>
  <c r="U151" i="4"/>
  <c r="P150" i="13"/>
  <c r="AU169" i="13"/>
  <c r="O170" i="4" s="1"/>
  <c r="AT169" i="13"/>
  <c r="N170" i="4" s="1"/>
  <c r="Y175" i="4"/>
  <c r="C175" i="4"/>
  <c r="W175" i="4"/>
  <c r="A175" i="4"/>
  <c r="X175" i="4"/>
  <c r="R175" i="4"/>
  <c r="I188" i="4"/>
  <c r="B191" i="4"/>
  <c r="U191" i="4"/>
  <c r="Y191" i="4"/>
  <c r="A191" i="4"/>
  <c r="Z191" i="4"/>
  <c r="O191" i="4"/>
  <c r="L191" i="4"/>
  <c r="D191" i="4"/>
  <c r="AX198" i="13"/>
  <c r="R199" i="4" s="1"/>
  <c r="E199" i="4"/>
  <c r="F199" i="4" s="1"/>
  <c r="V175" i="26"/>
  <c r="V163" i="26"/>
  <c r="V127" i="26"/>
  <c r="V111" i="26"/>
  <c r="V87" i="26"/>
  <c r="V79" i="26"/>
  <c r="V31" i="26"/>
  <c r="AV73" i="13"/>
  <c r="AX9" i="13"/>
  <c r="R10" i="4" s="1"/>
  <c r="Q111" i="4"/>
  <c r="K47" i="4"/>
  <c r="Q47" i="4"/>
  <c r="AV128" i="13"/>
  <c r="AY128" i="13" s="1"/>
  <c r="S129" i="4" s="1"/>
  <c r="AW137" i="13"/>
  <c r="AY137" i="13" s="1"/>
  <c r="U135" i="4"/>
  <c r="W79" i="4"/>
  <c r="W15" i="4"/>
  <c r="AU16" i="13"/>
  <c r="AT16" i="13"/>
  <c r="N17" i="4" s="1"/>
  <c r="W19" i="13"/>
  <c r="G20" i="4" s="1"/>
  <c r="C22" i="4"/>
  <c r="N22" i="4"/>
  <c r="L22" i="4"/>
  <c r="AK31" i="13"/>
  <c r="J32" i="4" s="1"/>
  <c r="AU32" i="13"/>
  <c r="AT32" i="13"/>
  <c r="M38" i="4"/>
  <c r="A38" i="4"/>
  <c r="AU48" i="13"/>
  <c r="AT48" i="13"/>
  <c r="N49" i="4" s="1"/>
  <c r="Y54" i="4"/>
  <c r="C54" i="4"/>
  <c r="I195" i="4"/>
  <c r="AK24" i="13"/>
  <c r="J25" i="4" s="1"/>
  <c r="D63" i="4"/>
  <c r="H63" i="4" s="1"/>
  <c r="U63" i="4"/>
  <c r="A63" i="4"/>
  <c r="I63" i="4"/>
  <c r="K63" i="4"/>
  <c r="L95" i="4"/>
  <c r="U95" i="4"/>
  <c r="Q95" i="4"/>
  <c r="AU105" i="13"/>
  <c r="O106" i="4" s="1"/>
  <c r="AT105" i="13"/>
  <c r="N106" i="4" s="1"/>
  <c r="A127" i="4"/>
  <c r="B127" i="4"/>
  <c r="O127" i="4"/>
  <c r="L127" i="4"/>
  <c r="V127" i="4"/>
  <c r="I127" i="4"/>
  <c r="B143" i="4"/>
  <c r="W143" i="4"/>
  <c r="V143" i="4"/>
  <c r="A143" i="4"/>
  <c r="L143" i="4"/>
  <c r="O159" i="4"/>
  <c r="Z159" i="4"/>
  <c r="L159" i="4"/>
  <c r="W159" i="4"/>
  <c r="K159" i="4"/>
  <c r="P159" i="13"/>
  <c r="AX159" i="13" s="1"/>
  <c r="V160" i="4"/>
  <c r="H166" i="4"/>
  <c r="H182" i="4"/>
  <c r="U183" i="4"/>
  <c r="P182" i="13"/>
  <c r="AW185" i="13"/>
  <c r="Q186" i="4" s="1"/>
  <c r="AU185" i="13"/>
  <c r="AT185" i="13"/>
  <c r="V167" i="26"/>
  <c r="V159" i="26"/>
  <c r="V115" i="26"/>
  <c r="V103" i="26"/>
  <c r="V91" i="26"/>
  <c r="V59" i="26"/>
  <c r="V51" i="26"/>
  <c r="H176" i="4"/>
  <c r="B15" i="4"/>
  <c r="E153" i="26"/>
  <c r="E145" i="26"/>
  <c r="E105" i="26"/>
  <c r="E65" i="26"/>
  <c r="AV183" i="13"/>
  <c r="BA155" i="13"/>
  <c r="AW14" i="13"/>
  <c r="Q15" i="4" s="1"/>
  <c r="BD196" i="13"/>
  <c r="AB197" i="4" s="1"/>
  <c r="BD155" i="13"/>
  <c r="AB156" i="4" s="1"/>
  <c r="P102" i="13"/>
  <c r="AX102" i="13" s="1"/>
  <c r="R103" i="4" s="1"/>
  <c r="P175" i="13"/>
  <c r="V191" i="4"/>
  <c r="C143" i="4"/>
  <c r="H143" i="4" s="1"/>
  <c r="C127" i="4"/>
  <c r="C31" i="4"/>
  <c r="D47" i="4"/>
  <c r="AX166" i="13"/>
  <c r="R167" i="4" s="1"/>
  <c r="AW89" i="13"/>
  <c r="Q90" i="4" s="1"/>
  <c r="P175" i="4"/>
  <c r="AV41" i="13"/>
  <c r="BA111" i="13"/>
  <c r="BB111" i="13" s="1"/>
  <c r="E191" i="4"/>
  <c r="AW153" i="13"/>
  <c r="B22" i="4"/>
  <c r="AT73" i="13"/>
  <c r="E39" i="4"/>
  <c r="AX169" i="13"/>
  <c r="R170" i="4" s="1"/>
  <c r="BA198" i="13"/>
  <c r="BB198" i="13" s="1"/>
  <c r="E175" i="4"/>
  <c r="F175" i="4" s="1"/>
  <c r="AW57" i="13"/>
  <c r="Q159" i="4"/>
  <c r="Q191" i="4"/>
  <c r="V159" i="4"/>
  <c r="Z127" i="4"/>
  <c r="V111" i="4"/>
  <c r="B31" i="4"/>
  <c r="M95" i="4"/>
  <c r="AU9" i="13"/>
  <c r="Q6" i="4"/>
  <c r="AT2" i="13"/>
  <c r="N3" i="4" s="1"/>
  <c r="AU2" i="13"/>
  <c r="N8" i="4"/>
  <c r="X8" i="4"/>
  <c r="W8" i="4"/>
  <c r="AU18" i="13"/>
  <c r="O19" i="4" s="1"/>
  <c r="AT18" i="13"/>
  <c r="N19" i="4" s="1"/>
  <c r="D24" i="4"/>
  <c r="AU98" i="13"/>
  <c r="AT98" i="13"/>
  <c r="M104" i="4"/>
  <c r="A104" i="4"/>
  <c r="X104" i="4"/>
  <c r="D104" i="4"/>
  <c r="V104" i="4"/>
  <c r="W117" i="13"/>
  <c r="G118" i="4" s="1"/>
  <c r="N120" i="4"/>
  <c r="V120" i="4"/>
  <c r="W120" i="4"/>
  <c r="U120" i="4"/>
  <c r="L120" i="4"/>
  <c r="D120" i="4"/>
  <c r="H120" i="4" s="1"/>
  <c r="AR119" i="13"/>
  <c r="AS119" i="13" s="1"/>
  <c r="K120" i="4" s="1"/>
  <c r="AT130" i="13"/>
  <c r="N131" i="4" s="1"/>
  <c r="AU130" i="13"/>
  <c r="C136" i="4"/>
  <c r="M136" i="4"/>
  <c r="V136" i="4"/>
  <c r="Q136" i="4"/>
  <c r="B136" i="4"/>
  <c r="D152" i="4"/>
  <c r="B152" i="4"/>
  <c r="M152" i="4"/>
  <c r="L152" i="4"/>
  <c r="U152" i="4"/>
  <c r="X152" i="4"/>
  <c r="AU162" i="13"/>
  <c r="O163" i="4" s="1"/>
  <c r="AT162" i="13"/>
  <c r="N163" i="4" s="1"/>
  <c r="AK177" i="13"/>
  <c r="J178" i="4" s="1"/>
  <c r="N184" i="4"/>
  <c r="A184" i="4"/>
  <c r="W184" i="4"/>
  <c r="M184" i="4"/>
  <c r="Z184" i="4"/>
  <c r="B184" i="4"/>
  <c r="L200" i="4"/>
  <c r="B200" i="4"/>
  <c r="E200" i="4"/>
  <c r="F200" i="4" s="1"/>
  <c r="V151" i="26"/>
  <c r="V147" i="26"/>
  <c r="V143" i="26"/>
  <c r="B11" i="4"/>
  <c r="A11" i="4"/>
  <c r="D11" i="4"/>
  <c r="H11" i="4" s="1"/>
  <c r="I15" i="4"/>
  <c r="X43" i="4"/>
  <c r="M43" i="4"/>
  <c r="L43" i="4"/>
  <c r="AT53" i="13"/>
  <c r="AU53" i="13"/>
  <c r="O54" i="4" s="1"/>
  <c r="O59" i="4"/>
  <c r="A59" i="4"/>
  <c r="D75" i="4"/>
  <c r="Z75" i="4"/>
  <c r="B75" i="4"/>
  <c r="AT85" i="13"/>
  <c r="N86" i="4" s="1"/>
  <c r="AU85" i="13"/>
  <c r="O86" i="4" s="1"/>
  <c r="Y91" i="4"/>
  <c r="V91" i="4"/>
  <c r="L91" i="4"/>
  <c r="A91" i="4"/>
  <c r="B91" i="4"/>
  <c r="C91" i="4"/>
  <c r="N107" i="4"/>
  <c r="X107" i="4"/>
  <c r="Y107" i="4"/>
  <c r="D107" i="4"/>
  <c r="H107" i="4" s="1"/>
  <c r="M107" i="4"/>
  <c r="Z107" i="4"/>
  <c r="AU117" i="13"/>
  <c r="O118" i="4" s="1"/>
  <c r="AT117" i="13"/>
  <c r="N118" i="4" s="1"/>
  <c r="N123" i="4"/>
  <c r="X123" i="4"/>
  <c r="A123" i="4"/>
  <c r="O123" i="4"/>
  <c r="L139" i="4"/>
  <c r="X139" i="4"/>
  <c r="A139" i="4"/>
  <c r="Z139" i="4"/>
  <c r="M139" i="4"/>
  <c r="N139" i="4"/>
  <c r="V139" i="4"/>
  <c r="AT149" i="13"/>
  <c r="N150" i="4" s="1"/>
  <c r="AU149" i="13"/>
  <c r="V155" i="4"/>
  <c r="Z155" i="4"/>
  <c r="C155" i="4"/>
  <c r="H155" i="4" s="1"/>
  <c r="AU165" i="13"/>
  <c r="O166" i="4" s="1"/>
  <c r="AT165" i="13"/>
  <c r="N166" i="4" s="1"/>
  <c r="B171" i="4"/>
  <c r="M171" i="4"/>
  <c r="A171" i="4"/>
  <c r="AU181" i="13"/>
  <c r="O182" i="4" s="1"/>
  <c r="AT181" i="13"/>
  <c r="N182" i="4" s="1"/>
  <c r="B187" i="4"/>
  <c r="L187" i="4"/>
  <c r="G187" i="4"/>
  <c r="H187" i="4" s="1"/>
  <c r="AX189" i="13"/>
  <c r="R190" i="4" s="1"/>
  <c r="F191" i="26"/>
  <c r="F31" i="26"/>
  <c r="F24" i="26"/>
  <c r="F15" i="26"/>
  <c r="F18" i="26"/>
  <c r="H91" i="4"/>
  <c r="H148" i="4"/>
  <c r="AX194" i="13"/>
  <c r="AZ194" i="13" s="1"/>
  <c r="T195" i="4" s="1"/>
  <c r="C102" i="4"/>
  <c r="H102" i="4" s="1"/>
  <c r="C86" i="4"/>
  <c r="Y59" i="4"/>
  <c r="O179" i="4"/>
  <c r="Q38" i="4"/>
  <c r="Z43" i="4"/>
  <c r="M59" i="4"/>
  <c r="AU133" i="13"/>
  <c r="O134" i="4" s="1"/>
  <c r="F164" i="26"/>
  <c r="E28" i="26"/>
  <c r="F28" i="26"/>
  <c r="V169" i="26"/>
  <c r="AT19" i="13"/>
  <c r="AU19" i="13"/>
  <c r="O20" i="4" s="1"/>
  <c r="B25" i="4"/>
  <c r="W25" i="4"/>
  <c r="Y25" i="4"/>
  <c r="C41" i="4"/>
  <c r="Y41" i="4"/>
  <c r="X41" i="4"/>
  <c r="AU51" i="13"/>
  <c r="O52" i="4" s="1"/>
  <c r="AT51" i="13"/>
  <c r="AT67" i="13"/>
  <c r="AU67" i="13"/>
  <c r="O68" i="4" s="1"/>
  <c r="V73" i="4"/>
  <c r="N73" i="4"/>
  <c r="Z73" i="4"/>
  <c r="AT83" i="13"/>
  <c r="AU83" i="13"/>
  <c r="C89" i="4"/>
  <c r="B89" i="4"/>
  <c r="O105" i="4"/>
  <c r="B105" i="4"/>
  <c r="B121" i="4"/>
  <c r="D121" i="4"/>
  <c r="H121" i="4" s="1"/>
  <c r="Y121" i="4"/>
  <c r="A121" i="4"/>
  <c r="A137" i="4"/>
  <c r="N137" i="4"/>
  <c r="V137" i="4"/>
  <c r="W137" i="4"/>
  <c r="AT147" i="13"/>
  <c r="C148" i="4"/>
  <c r="O169" i="4"/>
  <c r="C169" i="4"/>
  <c r="H169" i="4" s="1"/>
  <c r="W169" i="4"/>
  <c r="V185" i="4"/>
  <c r="Z185" i="4"/>
  <c r="L185" i="4"/>
  <c r="AT195" i="13"/>
  <c r="N196" i="4" s="1"/>
  <c r="AU195" i="13"/>
  <c r="O196" i="4" s="1"/>
  <c r="V198" i="26"/>
  <c r="V194" i="26"/>
  <c r="V135" i="26"/>
  <c r="V55" i="26"/>
  <c r="Q123" i="4"/>
  <c r="W9" i="4"/>
  <c r="M16" i="4"/>
  <c r="U32" i="4"/>
  <c r="C32" i="4"/>
  <c r="V5" i="26"/>
  <c r="V197" i="26"/>
  <c r="V193" i="26"/>
  <c r="V185" i="26"/>
  <c r="V118" i="26"/>
  <c r="V114" i="26"/>
  <c r="V106" i="26"/>
  <c r="V102" i="26"/>
  <c r="V94" i="26"/>
  <c r="V18" i="26"/>
  <c r="V14" i="26"/>
  <c r="AT20" i="13"/>
  <c r="AU20" i="13"/>
  <c r="C42" i="4"/>
  <c r="M58" i="4"/>
  <c r="C58" i="4"/>
  <c r="L58" i="4"/>
  <c r="V58" i="4"/>
  <c r="C69" i="4"/>
  <c r="AU68" i="13"/>
  <c r="Z74" i="4"/>
  <c r="W74" i="4"/>
  <c r="N90" i="4"/>
  <c r="B90" i="4"/>
  <c r="O90" i="4"/>
  <c r="L90" i="4"/>
  <c r="B106" i="4"/>
  <c r="L106" i="4"/>
  <c r="C106" i="4"/>
  <c r="X106" i="4"/>
  <c r="M122" i="4"/>
  <c r="O122" i="4"/>
  <c r="AU132" i="13"/>
  <c r="O133" i="4" s="1"/>
  <c r="C133" i="4"/>
  <c r="U138" i="4"/>
  <c r="Y138" i="4"/>
  <c r="V138" i="4"/>
  <c r="L138" i="4"/>
  <c r="C138" i="4"/>
  <c r="F138" i="4" s="1"/>
  <c r="U170" i="4"/>
  <c r="Y170" i="4"/>
  <c r="Z170" i="4"/>
  <c r="E185" i="26"/>
  <c r="J2" i="26"/>
  <c r="N2" i="26" s="1"/>
  <c r="A70" i="4"/>
  <c r="L70" i="4"/>
  <c r="Y70" i="4"/>
  <c r="L86" i="4"/>
  <c r="U86" i="4"/>
  <c r="B102" i="4"/>
  <c r="L102" i="4"/>
  <c r="O102" i="4"/>
  <c r="M118" i="4"/>
  <c r="B118" i="4"/>
  <c r="C134" i="4"/>
  <c r="H134" i="4" s="1"/>
  <c r="Y134" i="4"/>
  <c r="A134" i="4"/>
  <c r="A150" i="4"/>
  <c r="C150" i="4"/>
  <c r="AT160" i="13"/>
  <c r="N161" i="4" s="1"/>
  <c r="AU160" i="13"/>
  <c r="O161" i="4" s="1"/>
  <c r="E190" i="26"/>
  <c r="E137" i="26"/>
  <c r="E129" i="26"/>
  <c r="E121" i="26"/>
  <c r="E97" i="26"/>
  <c r="E73" i="26"/>
  <c r="E49" i="26"/>
  <c r="E41" i="26"/>
  <c r="E9" i="26"/>
  <c r="V131" i="26"/>
  <c r="V119" i="26"/>
  <c r="V99" i="26"/>
  <c r="V75" i="26"/>
  <c r="V71" i="26"/>
  <c r="V35" i="26"/>
  <c r="V8" i="26"/>
  <c r="B36" i="4"/>
  <c r="Y36" i="4"/>
  <c r="M36" i="4"/>
  <c r="O47" i="4"/>
  <c r="A52" i="4"/>
  <c r="Z68" i="4"/>
  <c r="W68" i="4"/>
  <c r="A84" i="4"/>
  <c r="AU94" i="13"/>
  <c r="O95" i="4" s="1"/>
  <c r="AT94" i="13"/>
  <c r="N95" i="4" s="1"/>
  <c r="N116" i="4"/>
  <c r="W116" i="4"/>
  <c r="W132" i="4"/>
  <c r="A132" i="4"/>
  <c r="W148" i="4"/>
  <c r="Y148" i="4"/>
  <c r="AU174" i="13"/>
  <c r="AT174" i="13"/>
  <c r="N175" i="4" s="1"/>
  <c r="E187" i="26"/>
  <c r="V174" i="26"/>
  <c r="V170" i="26"/>
  <c r="V162" i="26"/>
  <c r="V27" i="26"/>
  <c r="V19" i="26"/>
  <c r="V11" i="26"/>
  <c r="N64" i="4"/>
  <c r="V64" i="4"/>
  <c r="Z64" i="4"/>
  <c r="M80" i="4"/>
  <c r="U80" i="4"/>
  <c r="Y80" i="4"/>
  <c r="V80" i="4"/>
  <c r="X80" i="4"/>
  <c r="W112" i="4"/>
  <c r="B112" i="4"/>
  <c r="X112" i="4"/>
  <c r="B128" i="4"/>
  <c r="X128" i="4"/>
  <c r="A128" i="4"/>
  <c r="M128" i="4"/>
  <c r="C144" i="4"/>
  <c r="Y144" i="4"/>
  <c r="AT154" i="13"/>
  <c r="N155" i="4" s="1"/>
  <c r="AU154" i="13"/>
  <c r="O155" i="4" s="1"/>
  <c r="AT170" i="13"/>
  <c r="AU170" i="13"/>
  <c r="F80" i="26"/>
  <c r="V26" i="26"/>
  <c r="U128" i="4"/>
  <c r="A116" i="4"/>
  <c r="L68" i="4"/>
  <c r="A48" i="4"/>
  <c r="Y48" i="4"/>
  <c r="M112" i="4"/>
  <c r="N52" i="4"/>
  <c r="AT58" i="13"/>
  <c r="N59" i="4" s="1"/>
  <c r="AU192" i="13"/>
  <c r="O193" i="4" s="1"/>
  <c r="V200" i="26"/>
  <c r="V153" i="26"/>
  <c r="V145" i="26"/>
  <c r="V125" i="26"/>
  <c r="V121" i="26"/>
  <c r="V117" i="26"/>
  <c r="V109" i="26"/>
  <c r="V105" i="26"/>
  <c r="B86" i="4"/>
  <c r="D52" i="4"/>
  <c r="Y86" i="4"/>
  <c r="C48" i="4"/>
  <c r="B48" i="4"/>
  <c r="AU90" i="13"/>
  <c r="O91" i="4" s="1"/>
  <c r="E186" i="26"/>
  <c r="E173" i="26"/>
  <c r="E165" i="26"/>
  <c r="F157" i="26"/>
  <c r="E149" i="26"/>
  <c r="E141" i="26"/>
  <c r="E133" i="26"/>
  <c r="F125" i="26"/>
  <c r="F109" i="26"/>
  <c r="E109" i="26"/>
  <c r="E101" i="26"/>
  <c r="F85" i="26"/>
  <c r="F77" i="26"/>
  <c r="E69" i="26"/>
  <c r="F61" i="26"/>
  <c r="E53" i="26"/>
  <c r="F45" i="26"/>
  <c r="E45" i="26"/>
  <c r="E37" i="26"/>
  <c r="F29" i="26"/>
  <c r="E21" i="26"/>
  <c r="E13" i="26"/>
  <c r="E184" i="26"/>
  <c r="V130" i="26"/>
  <c r="V66" i="26"/>
  <c r="O178" i="4"/>
  <c r="E152" i="26"/>
  <c r="V188" i="26"/>
  <c r="V165" i="26"/>
  <c r="V161" i="26"/>
  <c r="E5" i="26"/>
  <c r="F196" i="26"/>
  <c r="F162" i="26"/>
  <c r="F146" i="26"/>
  <c r="F98" i="26"/>
  <c r="F82" i="26"/>
  <c r="F66" i="26"/>
  <c r="N153" i="4"/>
  <c r="E183" i="26"/>
  <c r="V164" i="26"/>
  <c r="V156" i="26"/>
  <c r="V140" i="26"/>
  <c r="E175" i="26"/>
  <c r="E119" i="26"/>
  <c r="E103" i="26"/>
  <c r="E95" i="26"/>
  <c r="E79" i="26"/>
  <c r="E71" i="26"/>
  <c r="E39" i="26"/>
  <c r="E31" i="26"/>
  <c r="V144" i="26"/>
  <c r="E9" i="4"/>
  <c r="AX8" i="13"/>
  <c r="R9" i="4" s="1"/>
  <c r="BA8" i="13"/>
  <c r="BB8" i="13" s="1"/>
  <c r="BC8" i="13" s="1"/>
  <c r="AA9" i="4" s="1"/>
  <c r="AT11" i="13"/>
  <c r="AU11" i="13"/>
  <c r="O12" i="4" s="1"/>
  <c r="AW11" i="13"/>
  <c r="AX11" i="13" s="1"/>
  <c r="I14" i="4"/>
  <c r="BD13" i="13"/>
  <c r="AB14" i="4" s="1"/>
  <c r="AV13" i="13"/>
  <c r="E18" i="4"/>
  <c r="AX17" i="13"/>
  <c r="R18" i="4" s="1"/>
  <c r="AX24" i="13"/>
  <c r="R25" i="4" s="1"/>
  <c r="E25" i="4"/>
  <c r="I62" i="4"/>
  <c r="BD61" i="13"/>
  <c r="AB62" i="4" s="1"/>
  <c r="AV61" i="13"/>
  <c r="I69" i="4"/>
  <c r="AV68" i="13"/>
  <c r="BD68" i="13"/>
  <c r="AB69" i="4" s="1"/>
  <c r="BA81" i="13"/>
  <c r="BB81" i="13" s="1"/>
  <c r="E82" i="4"/>
  <c r="AX81" i="13"/>
  <c r="R82" i="4" s="1"/>
  <c r="I85" i="4"/>
  <c r="BD84" i="13"/>
  <c r="AB85" i="4" s="1"/>
  <c r="AV84" i="13"/>
  <c r="AX88" i="13"/>
  <c r="R89" i="4" s="1"/>
  <c r="E89" i="4"/>
  <c r="BA88" i="13"/>
  <c r="BB88" i="13" s="1"/>
  <c r="I94" i="4"/>
  <c r="BD93" i="13"/>
  <c r="AB94" i="4" s="1"/>
  <c r="AV93" i="13"/>
  <c r="Q101" i="4"/>
  <c r="AX100" i="13"/>
  <c r="R101" i="4" s="1"/>
  <c r="BB100" i="13"/>
  <c r="I101" i="4"/>
  <c r="AV100" i="13"/>
  <c r="BD100" i="13"/>
  <c r="AB101" i="4" s="1"/>
  <c r="E105" i="4"/>
  <c r="AX104" i="13"/>
  <c r="R105" i="4" s="1"/>
  <c r="BA104" i="13"/>
  <c r="BB104" i="13" s="1"/>
  <c r="BC104" i="13" s="1"/>
  <c r="AA105" i="4" s="1"/>
  <c r="BD104" i="13"/>
  <c r="AB105" i="4" s="1"/>
  <c r="C113" i="4"/>
  <c r="X113" i="4"/>
  <c r="Z113" i="4"/>
  <c r="O113" i="4"/>
  <c r="M113" i="4"/>
  <c r="U113" i="4"/>
  <c r="W113" i="4"/>
  <c r="Y113" i="4"/>
  <c r="A113" i="4"/>
  <c r="N113" i="4"/>
  <c r="I113" i="4"/>
  <c r="J113" i="4"/>
  <c r="L113" i="4"/>
  <c r="Q113" i="4"/>
  <c r="D113" i="4"/>
  <c r="B113" i="4"/>
  <c r="V113" i="4"/>
  <c r="K113" i="4"/>
  <c r="E113" i="4"/>
  <c r="S113" i="4"/>
  <c r="P113" i="4"/>
  <c r="I133" i="4"/>
  <c r="AV132" i="13"/>
  <c r="BD132" i="13"/>
  <c r="AB133" i="4" s="1"/>
  <c r="O145" i="4"/>
  <c r="D145" i="4"/>
  <c r="M145" i="4"/>
  <c r="U145" i="4"/>
  <c r="A145" i="4"/>
  <c r="V145" i="4"/>
  <c r="X145" i="4"/>
  <c r="I145" i="4"/>
  <c r="Z145" i="4"/>
  <c r="L145" i="4"/>
  <c r="Q145" i="4"/>
  <c r="J145" i="4"/>
  <c r="B145" i="4"/>
  <c r="Y145" i="4"/>
  <c r="K145" i="4"/>
  <c r="C145" i="4"/>
  <c r="N145" i="4"/>
  <c r="W145" i="4"/>
  <c r="E145" i="4"/>
  <c r="AU155" i="13"/>
  <c r="O156" i="4" s="1"/>
  <c r="AW155" i="13"/>
  <c r="C156" i="4"/>
  <c r="AT155" i="13"/>
  <c r="N156" i="4" s="1"/>
  <c r="I158" i="4"/>
  <c r="BD157" i="13"/>
  <c r="AB158" i="4" s="1"/>
  <c r="AV157" i="13"/>
  <c r="W161" i="4"/>
  <c r="I161" i="4"/>
  <c r="C161" i="4"/>
  <c r="U161" i="4"/>
  <c r="Y161" i="4"/>
  <c r="A161" i="4"/>
  <c r="B161" i="4"/>
  <c r="Q161" i="4"/>
  <c r="V161" i="4"/>
  <c r="Z161" i="4"/>
  <c r="K161" i="4"/>
  <c r="L161" i="4"/>
  <c r="X161" i="4"/>
  <c r="E161" i="4"/>
  <c r="D161" i="4"/>
  <c r="M161" i="4"/>
  <c r="U169" i="4"/>
  <c r="P168" i="13"/>
  <c r="D5" i="4"/>
  <c r="AW4" i="13"/>
  <c r="Q21" i="4"/>
  <c r="AX20" i="13"/>
  <c r="R21" i="4" s="1"/>
  <c r="I30" i="4"/>
  <c r="BD29" i="13"/>
  <c r="AB30" i="4" s="1"/>
  <c r="AV29" i="13"/>
  <c r="O33" i="4"/>
  <c r="N33" i="4"/>
  <c r="D33" i="4"/>
  <c r="V33" i="4"/>
  <c r="Z33" i="4"/>
  <c r="L33" i="4"/>
  <c r="C33" i="4"/>
  <c r="A33" i="4"/>
  <c r="M33" i="4"/>
  <c r="B33" i="4"/>
  <c r="K33" i="4"/>
  <c r="X33" i="4"/>
  <c r="Y33" i="4"/>
  <c r="E33" i="4"/>
  <c r="W33" i="4"/>
  <c r="U33" i="4"/>
  <c r="Q33" i="4"/>
  <c r="J33" i="4"/>
  <c r="I33" i="4"/>
  <c r="V34" i="4"/>
  <c r="P33" i="13"/>
  <c r="I37" i="4"/>
  <c r="AV36" i="13"/>
  <c r="BD36" i="13"/>
  <c r="AB37" i="4" s="1"/>
  <c r="AU43" i="13"/>
  <c r="O44" i="4" s="1"/>
  <c r="AW43" i="13"/>
  <c r="Q44" i="4" s="1"/>
  <c r="AT43" i="13"/>
  <c r="N44" i="4" s="1"/>
  <c r="AT75" i="13"/>
  <c r="N76" i="4" s="1"/>
  <c r="AU75" i="13"/>
  <c r="AW75" i="13"/>
  <c r="Q76" i="4" s="1"/>
  <c r="AW84" i="13"/>
  <c r="D85" i="4"/>
  <c r="F85" i="4" s="1"/>
  <c r="BD86" i="13"/>
  <c r="AB87" i="4" s="1"/>
  <c r="AV86" i="13"/>
  <c r="I87" i="4"/>
  <c r="D97" i="4"/>
  <c r="C97" i="4"/>
  <c r="U97" i="4"/>
  <c r="X97" i="4"/>
  <c r="N97" i="4"/>
  <c r="A97" i="4"/>
  <c r="M97" i="4"/>
  <c r="W97" i="4"/>
  <c r="O97" i="4"/>
  <c r="V97" i="4"/>
  <c r="Z97" i="4"/>
  <c r="K97" i="4"/>
  <c r="L97" i="4"/>
  <c r="Y97" i="4"/>
  <c r="I97" i="4"/>
  <c r="B97" i="4"/>
  <c r="Q97" i="4"/>
  <c r="J97" i="4"/>
  <c r="E97" i="4"/>
  <c r="F97" i="4" s="1"/>
  <c r="E114" i="4"/>
  <c r="BA113" i="13"/>
  <c r="BB113" i="13" s="1"/>
  <c r="AX113" i="13"/>
  <c r="R114" i="4" s="1"/>
  <c r="D133" i="4"/>
  <c r="F133" i="4" s="1"/>
  <c r="AW132" i="13"/>
  <c r="I142" i="4"/>
  <c r="AV141" i="13"/>
  <c r="BD141" i="13"/>
  <c r="AB142" i="4" s="1"/>
  <c r="I149" i="4"/>
  <c r="AV148" i="13"/>
  <c r="BD148" i="13"/>
  <c r="AB149" i="4" s="1"/>
  <c r="V162" i="4"/>
  <c r="P161" i="13"/>
  <c r="AW164" i="13"/>
  <c r="D165" i="4"/>
  <c r="H165" i="4" s="1"/>
  <c r="P188" i="13"/>
  <c r="Y189" i="4"/>
  <c r="S131" i="4"/>
  <c r="AZ130" i="13"/>
  <c r="T131" i="4" s="1"/>
  <c r="O17" i="4"/>
  <c r="Z17" i="4"/>
  <c r="A17" i="4"/>
  <c r="W17" i="4"/>
  <c r="B17" i="4"/>
  <c r="C17" i="4"/>
  <c r="X17" i="4"/>
  <c r="V17" i="4"/>
  <c r="L17" i="4"/>
  <c r="M17" i="4"/>
  <c r="D17" i="4"/>
  <c r="Y17" i="4"/>
  <c r="J17" i="4"/>
  <c r="U17" i="4"/>
  <c r="K17" i="4"/>
  <c r="Q17" i="4"/>
  <c r="E17" i="4"/>
  <c r="I17" i="4"/>
  <c r="AU27" i="13"/>
  <c r="AT27" i="13"/>
  <c r="N28" i="4" s="1"/>
  <c r="AW27" i="13"/>
  <c r="Q28" i="4" s="1"/>
  <c r="X49" i="4"/>
  <c r="B49" i="4"/>
  <c r="L49" i="4"/>
  <c r="Y49" i="4"/>
  <c r="C49" i="4"/>
  <c r="D49" i="4"/>
  <c r="U49" i="4"/>
  <c r="Z49" i="4"/>
  <c r="M49" i="4"/>
  <c r="O49" i="4"/>
  <c r="A49" i="4"/>
  <c r="V49" i="4"/>
  <c r="W49" i="4"/>
  <c r="K49" i="4"/>
  <c r="Q49" i="4"/>
  <c r="I49" i="4"/>
  <c r="J49" i="4"/>
  <c r="E49" i="4"/>
  <c r="AB49" i="4"/>
  <c r="R49" i="4"/>
  <c r="I53" i="4"/>
  <c r="BD52" i="13"/>
  <c r="AB53" i="4" s="1"/>
  <c r="AV52" i="13"/>
  <c r="H56" i="4"/>
  <c r="AT59" i="13"/>
  <c r="N60" i="4" s="1"/>
  <c r="AU59" i="13"/>
  <c r="O60" i="4" s="1"/>
  <c r="AW59" i="13"/>
  <c r="E73" i="4"/>
  <c r="AX72" i="13"/>
  <c r="R73" i="4" s="1"/>
  <c r="BA72" i="13"/>
  <c r="BB72" i="13" s="1"/>
  <c r="BC72" i="13" s="1"/>
  <c r="AA73" i="4" s="1"/>
  <c r="I117" i="4"/>
  <c r="AV116" i="13"/>
  <c r="BD116" i="13"/>
  <c r="AB117" i="4" s="1"/>
  <c r="U137" i="4"/>
  <c r="P136" i="13"/>
  <c r="AU139" i="13"/>
  <c r="O140" i="4" s="1"/>
  <c r="AW139" i="13"/>
  <c r="AT139" i="13"/>
  <c r="N140" i="4" s="1"/>
  <c r="P145" i="13"/>
  <c r="V146" i="4"/>
  <c r="D149" i="4"/>
  <c r="H149" i="4" s="1"/>
  <c r="AW148" i="13"/>
  <c r="X164" i="4"/>
  <c r="P163" i="13"/>
  <c r="P165" i="13"/>
  <c r="Z166" i="4"/>
  <c r="I167" i="4"/>
  <c r="BD166" i="13"/>
  <c r="AB167" i="4" s="1"/>
  <c r="AV166" i="13"/>
  <c r="J168" i="4"/>
  <c r="BD167" i="13"/>
  <c r="AB168" i="4" s="1"/>
  <c r="BA167" i="13"/>
  <c r="BB167" i="13" s="1"/>
  <c r="W171" i="4"/>
  <c r="P170" i="13"/>
  <c r="AT171" i="13"/>
  <c r="N172" i="4" s="1"/>
  <c r="AU171" i="13"/>
  <c r="O172" i="4" s="1"/>
  <c r="AW171" i="13"/>
  <c r="C172" i="4"/>
  <c r="F172" i="4" s="1"/>
  <c r="Z182" i="4"/>
  <c r="P181" i="13"/>
  <c r="BA183" i="13"/>
  <c r="BB183" i="13" s="1"/>
  <c r="BD183" i="13"/>
  <c r="AB184" i="4" s="1"/>
  <c r="I185" i="4"/>
  <c r="AV184" i="13"/>
  <c r="I190" i="4"/>
  <c r="BD189" i="13"/>
  <c r="AB190" i="4" s="1"/>
  <c r="AV189" i="13"/>
  <c r="S170" i="4"/>
  <c r="I5" i="4"/>
  <c r="BD4" i="13"/>
  <c r="AB5" i="4" s="1"/>
  <c r="AV4" i="13"/>
  <c r="I21" i="4"/>
  <c r="AV20" i="13"/>
  <c r="BD20" i="13"/>
  <c r="AB21" i="4" s="1"/>
  <c r="P40" i="13"/>
  <c r="U41" i="4"/>
  <c r="I46" i="4"/>
  <c r="AV45" i="13"/>
  <c r="BD45" i="13"/>
  <c r="AB46" i="4" s="1"/>
  <c r="BA49" i="13"/>
  <c r="BB49" i="13" s="1"/>
  <c r="BC49" i="13" s="1"/>
  <c r="AA50" i="4" s="1"/>
  <c r="E50" i="4"/>
  <c r="F50" i="4" s="1"/>
  <c r="AX49" i="13"/>
  <c r="R50" i="4" s="1"/>
  <c r="E57" i="4"/>
  <c r="AX56" i="13"/>
  <c r="R57" i="4" s="1"/>
  <c r="BA56" i="13"/>
  <c r="BB56" i="13" s="1"/>
  <c r="BC56" i="13" s="1"/>
  <c r="AA57" i="4" s="1"/>
  <c r="I78" i="4"/>
  <c r="AV77" i="13"/>
  <c r="Y81" i="4"/>
  <c r="Z81" i="4"/>
  <c r="L81" i="4"/>
  <c r="C81" i="4"/>
  <c r="U81" i="4"/>
  <c r="D81" i="4"/>
  <c r="O81" i="4"/>
  <c r="V81" i="4"/>
  <c r="N81" i="4"/>
  <c r="B81" i="4"/>
  <c r="X81" i="4"/>
  <c r="A81" i="4"/>
  <c r="W81" i="4"/>
  <c r="Q81" i="4"/>
  <c r="M81" i="4"/>
  <c r="J81" i="4"/>
  <c r="I81" i="4"/>
  <c r="E81" i="4"/>
  <c r="K81" i="4"/>
  <c r="AB81" i="4"/>
  <c r="AT107" i="13"/>
  <c r="N108" i="4" s="1"/>
  <c r="AU107" i="13"/>
  <c r="AW107" i="13"/>
  <c r="AX107" i="13" s="1"/>
  <c r="R108" i="4" s="1"/>
  <c r="AW116" i="13"/>
  <c r="D117" i="4"/>
  <c r="F117" i="4" s="1"/>
  <c r="I126" i="4"/>
  <c r="BD125" i="13"/>
  <c r="AB126" i="4" s="1"/>
  <c r="AV125" i="13"/>
  <c r="B129" i="4"/>
  <c r="U129" i="4"/>
  <c r="Y129" i="4"/>
  <c r="A129" i="4"/>
  <c r="O129" i="4"/>
  <c r="J129" i="4"/>
  <c r="N129" i="4"/>
  <c r="Z129" i="4"/>
  <c r="C129" i="4"/>
  <c r="X129" i="4"/>
  <c r="D129" i="4"/>
  <c r="M129" i="4"/>
  <c r="V129" i="4"/>
  <c r="K129" i="4"/>
  <c r="E129" i="4"/>
  <c r="Q129" i="4"/>
  <c r="L129" i="4"/>
  <c r="I129" i="4"/>
  <c r="W129" i="4"/>
  <c r="R129" i="4"/>
  <c r="Y173" i="4"/>
  <c r="P172" i="13"/>
  <c r="I174" i="4"/>
  <c r="BD173" i="13"/>
  <c r="AB174" i="4" s="1"/>
  <c r="AV173" i="13"/>
  <c r="J175" i="4"/>
  <c r="BD174" i="13"/>
  <c r="AB175" i="4" s="1"/>
  <c r="BA174" i="13"/>
  <c r="BB174" i="13" s="1"/>
  <c r="BC174" i="13" s="1"/>
  <c r="AA175" i="4" s="1"/>
  <c r="A177" i="4"/>
  <c r="B177" i="4"/>
  <c r="Y177" i="4"/>
  <c r="W177" i="4"/>
  <c r="Q177" i="4"/>
  <c r="I177" i="4"/>
  <c r="V177" i="4"/>
  <c r="Z177" i="4"/>
  <c r="K177" i="4"/>
  <c r="X177" i="4"/>
  <c r="U177" i="4"/>
  <c r="M177" i="4"/>
  <c r="J177" i="4"/>
  <c r="D177" i="4"/>
  <c r="N177" i="4"/>
  <c r="E177" i="4"/>
  <c r="C177" i="4"/>
  <c r="L177" i="4"/>
  <c r="O177" i="4"/>
  <c r="AB177" i="4"/>
  <c r="P177" i="4"/>
  <c r="S177" i="4"/>
  <c r="D181" i="4"/>
  <c r="AW180" i="13"/>
  <c r="Q181" i="4" s="1"/>
  <c r="AU187" i="13"/>
  <c r="O188" i="4" s="1"/>
  <c r="AT187" i="13"/>
  <c r="N188" i="4" s="1"/>
  <c r="AW187" i="13"/>
  <c r="Q188" i="4" s="1"/>
  <c r="C188" i="4"/>
  <c r="Q37" i="4"/>
  <c r="AX36" i="13"/>
  <c r="R37" i="4" s="1"/>
  <c r="BB36" i="13"/>
  <c r="BC36" i="13" s="1"/>
  <c r="AA37" i="4" s="1"/>
  <c r="H47" i="4"/>
  <c r="Q53" i="4"/>
  <c r="BB52" i="13"/>
  <c r="AX52" i="13"/>
  <c r="R53" i="4" s="1"/>
  <c r="N65" i="4"/>
  <c r="L65" i="4"/>
  <c r="M65" i="4"/>
  <c r="Z65" i="4"/>
  <c r="Y65" i="4"/>
  <c r="D65" i="4"/>
  <c r="C65" i="4"/>
  <c r="V65" i="4"/>
  <c r="A65" i="4"/>
  <c r="Q65" i="4"/>
  <c r="B65" i="4"/>
  <c r="U65" i="4"/>
  <c r="O65" i="4"/>
  <c r="K65" i="4"/>
  <c r="X65" i="4"/>
  <c r="E65" i="4"/>
  <c r="J65" i="4"/>
  <c r="W65" i="4"/>
  <c r="I65" i="4"/>
  <c r="P65" i="13"/>
  <c r="V66" i="4"/>
  <c r="AW68" i="13"/>
  <c r="D69" i="4"/>
  <c r="F69" i="4" s="1"/>
  <c r="AT91" i="13"/>
  <c r="N92" i="4" s="1"/>
  <c r="AU91" i="13"/>
  <c r="O92" i="4" s="1"/>
  <c r="AW91" i="13"/>
  <c r="AY91" i="13" s="1"/>
  <c r="E98" i="4"/>
  <c r="AX97" i="13"/>
  <c r="R98" i="4" s="1"/>
  <c r="BA97" i="13"/>
  <c r="BB97" i="13" s="1"/>
  <c r="I110" i="4"/>
  <c r="AV109" i="13"/>
  <c r="BD109" i="13"/>
  <c r="AB110" i="4" s="1"/>
  <c r="U121" i="4"/>
  <c r="P120" i="13"/>
  <c r="AU123" i="13"/>
  <c r="O124" i="4" s="1"/>
  <c r="AT123" i="13"/>
  <c r="N124" i="4" s="1"/>
  <c r="AW123" i="13"/>
  <c r="P129" i="13"/>
  <c r="V130" i="4"/>
  <c r="U153" i="4"/>
  <c r="P152" i="13"/>
  <c r="I165" i="4"/>
  <c r="AV164" i="13"/>
  <c r="BD164" i="13"/>
  <c r="AB165" i="4" s="1"/>
  <c r="P177" i="13"/>
  <c r="V178" i="4"/>
  <c r="P179" i="13"/>
  <c r="X180" i="4"/>
  <c r="I181" i="4"/>
  <c r="AV180" i="13"/>
  <c r="BD180" i="13"/>
  <c r="AB181" i="4" s="1"/>
  <c r="U185" i="4"/>
  <c r="P184" i="13"/>
  <c r="P186" i="13"/>
  <c r="W187" i="4"/>
  <c r="F147" i="4"/>
  <c r="E78" i="4"/>
  <c r="BD77" i="13"/>
  <c r="AB78" i="4" s="1"/>
  <c r="BA77" i="13"/>
  <c r="W2" i="13"/>
  <c r="G3" i="4" s="1"/>
  <c r="BA2" i="13"/>
  <c r="BB2" i="13" s="1"/>
  <c r="BC2" i="13" s="1"/>
  <c r="AA3" i="4" s="1"/>
  <c r="BD2" i="13"/>
  <c r="AB3" i="4" s="1"/>
  <c r="P3" i="13"/>
  <c r="AV3" i="13" s="1"/>
  <c r="I4" i="4"/>
  <c r="H5" i="4"/>
  <c r="AR4" i="13"/>
  <c r="AS4" i="13" s="1"/>
  <c r="K5" i="4" s="1"/>
  <c r="P5" i="13"/>
  <c r="AV5" i="13" s="1"/>
  <c r="AK5" i="13"/>
  <c r="J6" i="4" s="1"/>
  <c r="AU6" i="13"/>
  <c r="AT6" i="13"/>
  <c r="N7" i="4" s="1"/>
  <c r="C7" i="4"/>
  <c r="AX7" i="13"/>
  <c r="R8" i="4" s="1"/>
  <c r="E8" i="4"/>
  <c r="AV7" i="13"/>
  <c r="AK7" i="13"/>
  <c r="J8" i="4" s="1"/>
  <c r="AD8" i="13"/>
  <c r="BD8" i="13" s="1"/>
  <c r="AB9" i="4" s="1"/>
  <c r="W9" i="13"/>
  <c r="G10" i="4" s="1"/>
  <c r="J10" i="4"/>
  <c r="BD9" i="13"/>
  <c r="AB10" i="4" s="1"/>
  <c r="BA9" i="13"/>
  <c r="BB9" i="13" s="1"/>
  <c r="I11" i="4"/>
  <c r="W12" i="4"/>
  <c r="N12" i="4"/>
  <c r="D12" i="4"/>
  <c r="B12" i="4"/>
  <c r="V12" i="4"/>
  <c r="Z12" i="4"/>
  <c r="C12" i="4"/>
  <c r="X12" i="4"/>
  <c r="U12" i="4"/>
  <c r="L12" i="4"/>
  <c r="Y12" i="4"/>
  <c r="A12" i="4"/>
  <c r="M12" i="4"/>
  <c r="G12" i="4"/>
  <c r="J12" i="4"/>
  <c r="K12" i="4"/>
  <c r="I12" i="4"/>
  <c r="Q12" i="4"/>
  <c r="E12" i="4"/>
  <c r="R12" i="4"/>
  <c r="W11" i="13"/>
  <c r="AR11" i="13"/>
  <c r="AS11" i="13" s="1"/>
  <c r="P12" i="13"/>
  <c r="I13" i="4"/>
  <c r="AV12" i="13"/>
  <c r="AR13" i="13"/>
  <c r="AS13" i="13" s="1"/>
  <c r="K14" i="4" s="1"/>
  <c r="E15" i="4"/>
  <c r="AX14" i="13"/>
  <c r="R15" i="4" s="1"/>
  <c r="AV14" i="13"/>
  <c r="AK14" i="13"/>
  <c r="J15" i="4" s="1"/>
  <c r="AD15" i="13"/>
  <c r="AX16" i="13"/>
  <c r="R17" i="4" s="1"/>
  <c r="AV16" i="13"/>
  <c r="AY16" i="13" s="1"/>
  <c r="AZ16" i="13" s="1"/>
  <c r="T17" i="4" s="1"/>
  <c r="BD16" i="13"/>
  <c r="AB17" i="4" s="1"/>
  <c r="BA16" i="13"/>
  <c r="BB16" i="13" s="1"/>
  <c r="AD17" i="13"/>
  <c r="W18" i="13"/>
  <c r="G19" i="4" s="1"/>
  <c r="BA18" i="13"/>
  <c r="BB18" i="13" s="1"/>
  <c r="BC18" i="13" s="1"/>
  <c r="AA19" i="4" s="1"/>
  <c r="BD18" i="13"/>
  <c r="AB19" i="4" s="1"/>
  <c r="U20" i="4"/>
  <c r="P19" i="13"/>
  <c r="AV19" i="13" s="1"/>
  <c r="I20" i="4"/>
  <c r="H21" i="4"/>
  <c r="AR20" i="13"/>
  <c r="AS20" i="13" s="1"/>
  <c r="K21" i="4" s="1"/>
  <c r="P21" i="13"/>
  <c r="AK21" i="13"/>
  <c r="J22" i="4" s="1"/>
  <c r="AU22" i="13"/>
  <c r="O23" i="4" s="1"/>
  <c r="AT22" i="13"/>
  <c r="N23" i="4" s="1"/>
  <c r="E24" i="4"/>
  <c r="AX23" i="13"/>
  <c r="R24" i="4" s="1"/>
  <c r="AK23" i="13"/>
  <c r="J24" i="4" s="1"/>
  <c r="AD24" i="13"/>
  <c r="BD24" i="13" s="1"/>
  <c r="AB25" i="4" s="1"/>
  <c r="W25" i="13"/>
  <c r="G26" i="4" s="1"/>
  <c r="BA25" i="13"/>
  <c r="BB25" i="13" s="1"/>
  <c r="J26" i="4"/>
  <c r="BD25" i="13"/>
  <c r="AB26" i="4" s="1"/>
  <c r="I27" i="4"/>
  <c r="X28" i="4"/>
  <c r="C28" i="4"/>
  <c r="D28" i="4"/>
  <c r="M28" i="4"/>
  <c r="V28" i="4"/>
  <c r="U28" i="4"/>
  <c r="Z28" i="4"/>
  <c r="Y28" i="4"/>
  <c r="L28" i="4"/>
  <c r="O28" i="4"/>
  <c r="W28" i="4"/>
  <c r="B28" i="4"/>
  <c r="I28" i="4"/>
  <c r="A28" i="4"/>
  <c r="J28" i="4"/>
  <c r="E28" i="4"/>
  <c r="P28" i="4"/>
  <c r="W27" i="13"/>
  <c r="G28" i="4" s="1"/>
  <c r="H28" i="4" s="1"/>
  <c r="AR27" i="13"/>
  <c r="AS27" i="13" s="1"/>
  <c r="K28" i="4" s="1"/>
  <c r="P28" i="13"/>
  <c r="I29" i="4"/>
  <c r="AR29" i="13"/>
  <c r="AS29" i="13" s="1"/>
  <c r="K30" i="4" s="1"/>
  <c r="X31" i="4"/>
  <c r="P30" i="13"/>
  <c r="AK30" i="13"/>
  <c r="J31" i="4" s="1"/>
  <c r="Q32" i="4"/>
  <c r="AX31" i="13"/>
  <c r="R32" i="4" s="1"/>
  <c r="AD31" i="13"/>
  <c r="AX32" i="13"/>
  <c r="R33" i="4" s="1"/>
  <c r="AV32" i="13"/>
  <c r="AY32" i="13" s="1"/>
  <c r="AZ32" i="13" s="1"/>
  <c r="T33" i="4" s="1"/>
  <c r="BA32" i="13"/>
  <c r="BB32" i="13" s="1"/>
  <c r="BC32" i="13" s="1"/>
  <c r="AA33" i="4" s="1"/>
  <c r="BD32" i="13"/>
  <c r="AB33" i="4" s="1"/>
  <c r="AD33" i="13"/>
  <c r="W34" i="13"/>
  <c r="U36" i="4"/>
  <c r="P35" i="13"/>
  <c r="I36" i="4"/>
  <c r="AV35" i="13"/>
  <c r="AR36" i="13"/>
  <c r="AS36" i="13" s="1"/>
  <c r="K37" i="4" s="1"/>
  <c r="W38" i="4"/>
  <c r="P37" i="13"/>
  <c r="AK37" i="13"/>
  <c r="J38" i="4" s="1"/>
  <c r="AU38" i="13"/>
  <c r="AT38" i="13"/>
  <c r="N39" i="4" s="1"/>
  <c r="AX39" i="13"/>
  <c r="R40" i="4" s="1"/>
  <c r="AV39" i="13"/>
  <c r="E40" i="4"/>
  <c r="AK39" i="13"/>
  <c r="J40" i="4" s="1"/>
  <c r="AD40" i="13"/>
  <c r="W41" i="13"/>
  <c r="G42" i="4" s="1"/>
  <c r="J42" i="4"/>
  <c r="BA41" i="13"/>
  <c r="BB41" i="13" s="1"/>
  <c r="BD41" i="13"/>
  <c r="AB42" i="4" s="1"/>
  <c r="I43" i="4"/>
  <c r="X44" i="4"/>
  <c r="B44" i="4"/>
  <c r="Y44" i="4"/>
  <c r="A44" i="4"/>
  <c r="W44" i="4"/>
  <c r="Z44" i="4"/>
  <c r="U44" i="4"/>
  <c r="L44" i="4"/>
  <c r="C44" i="4"/>
  <c r="V44" i="4"/>
  <c r="M44" i="4"/>
  <c r="J44" i="4"/>
  <c r="E44" i="4"/>
  <c r="AB44" i="4"/>
  <c r="D44" i="4"/>
  <c r="I44" i="4"/>
  <c r="P44" i="4"/>
  <c r="W43" i="13"/>
  <c r="G44" i="4" s="1"/>
  <c r="AR43" i="13"/>
  <c r="AS43" i="13" s="1"/>
  <c r="K44" i="4" s="1"/>
  <c r="V45" i="4"/>
  <c r="P44" i="13"/>
  <c r="AV44" i="13" s="1"/>
  <c r="I45" i="4"/>
  <c r="AR45" i="13"/>
  <c r="AS45" i="13" s="1"/>
  <c r="K46" i="4" s="1"/>
  <c r="AX46" i="13"/>
  <c r="R47" i="4" s="1"/>
  <c r="BD46" i="13"/>
  <c r="AB47" i="4" s="1"/>
  <c r="AV46" i="13"/>
  <c r="E47" i="4"/>
  <c r="F47" i="4" s="1"/>
  <c r="AK46" i="13"/>
  <c r="J47" i="4" s="1"/>
  <c r="Q48" i="4"/>
  <c r="AX47" i="13"/>
  <c r="R48" i="4" s="1"/>
  <c r="AD47" i="13"/>
  <c r="AX48" i="13"/>
  <c r="BA48" i="13"/>
  <c r="BB48" i="13" s="1"/>
  <c r="AV48" i="13"/>
  <c r="AY48" i="13" s="1"/>
  <c r="BD48" i="13"/>
  <c r="AD49" i="13"/>
  <c r="BD49" i="13" s="1"/>
  <c r="AB50" i="4" s="1"/>
  <c r="W50" i="13"/>
  <c r="G51" i="4" s="1"/>
  <c r="BD50" i="13"/>
  <c r="AB51" i="4" s="1"/>
  <c r="BA50" i="13"/>
  <c r="BB50" i="13" s="1"/>
  <c r="BC50" i="13" s="1"/>
  <c r="AA51" i="4" s="1"/>
  <c r="P51" i="13"/>
  <c r="AV51" i="13" s="1"/>
  <c r="I52" i="4"/>
  <c r="H53" i="4"/>
  <c r="AR52" i="13"/>
  <c r="AS52" i="13" s="1"/>
  <c r="K53" i="4" s="1"/>
  <c r="W54" i="4"/>
  <c r="P53" i="13"/>
  <c r="AK53" i="13"/>
  <c r="J54" i="4" s="1"/>
  <c r="AU54" i="13"/>
  <c r="AT54" i="13"/>
  <c r="N55" i="4" s="1"/>
  <c r="C55" i="4"/>
  <c r="AX55" i="13"/>
  <c r="R56" i="4" s="1"/>
  <c r="E56" i="4"/>
  <c r="AV55" i="13"/>
  <c r="AK55" i="13"/>
  <c r="J56" i="4" s="1"/>
  <c r="AD56" i="13"/>
  <c r="W57" i="13"/>
  <c r="G58" i="4" s="1"/>
  <c r="H58" i="4" s="1"/>
  <c r="J58" i="4"/>
  <c r="BD57" i="13"/>
  <c r="AB58" i="4" s="1"/>
  <c r="BA57" i="13"/>
  <c r="BB57" i="13" s="1"/>
  <c r="I59" i="4"/>
  <c r="C60" i="4"/>
  <c r="U60" i="4"/>
  <c r="Z60" i="4"/>
  <c r="V60" i="4"/>
  <c r="B60" i="4"/>
  <c r="A60" i="4"/>
  <c r="W60" i="4"/>
  <c r="Y60" i="4"/>
  <c r="D60" i="4"/>
  <c r="L60" i="4"/>
  <c r="M60" i="4"/>
  <c r="X60" i="4"/>
  <c r="I60" i="4"/>
  <c r="J60" i="4"/>
  <c r="E60" i="4"/>
  <c r="AB60" i="4"/>
  <c r="W59" i="13"/>
  <c r="G60" i="4" s="1"/>
  <c r="AR59" i="13"/>
  <c r="AS59" i="13" s="1"/>
  <c r="K60" i="4" s="1"/>
  <c r="P60" i="13"/>
  <c r="AV60" i="13" s="1"/>
  <c r="I61" i="4"/>
  <c r="AR61" i="13"/>
  <c r="AS61" i="13" s="1"/>
  <c r="K62" i="4" s="1"/>
  <c r="E63" i="4"/>
  <c r="AX62" i="13"/>
  <c r="R63" i="4" s="1"/>
  <c r="AV62" i="13"/>
  <c r="AK62" i="13"/>
  <c r="BD62" i="13" s="1"/>
  <c r="AB63" i="4" s="1"/>
  <c r="D64" i="4"/>
  <c r="AW63" i="13"/>
  <c r="AD63" i="13"/>
  <c r="AX64" i="13"/>
  <c r="R65" i="4" s="1"/>
  <c r="BD64" i="13"/>
  <c r="AB65" i="4" s="1"/>
  <c r="BA64" i="13"/>
  <c r="BB64" i="13" s="1"/>
  <c r="BC64" i="13" s="1"/>
  <c r="AA65" i="4" s="1"/>
  <c r="AD65" i="13"/>
  <c r="W66" i="13"/>
  <c r="BA66" i="13"/>
  <c r="BB66" i="13" s="1"/>
  <c r="J67" i="4"/>
  <c r="U68" i="4"/>
  <c r="P67" i="13"/>
  <c r="AV67" i="13" s="1"/>
  <c r="I68" i="4"/>
  <c r="AR68" i="13"/>
  <c r="AS68" i="13" s="1"/>
  <c r="K69" i="4" s="1"/>
  <c r="P69" i="13"/>
  <c r="AV69" i="13" s="1"/>
  <c r="AK69" i="13"/>
  <c r="J70" i="4" s="1"/>
  <c r="AT70" i="13"/>
  <c r="N71" i="4" s="1"/>
  <c r="C71" i="4"/>
  <c r="AU70" i="13"/>
  <c r="O71" i="4" s="1"/>
  <c r="Y72" i="4"/>
  <c r="P71" i="13"/>
  <c r="AK71" i="13"/>
  <c r="J72" i="4" s="1"/>
  <c r="BD73" i="13"/>
  <c r="AB74" i="4" s="1"/>
  <c r="BA73" i="13"/>
  <c r="BB73" i="13" s="1"/>
  <c r="BC73" i="13" s="1"/>
  <c r="AA74" i="4" s="1"/>
  <c r="J74" i="4"/>
  <c r="AK87" i="13"/>
  <c r="I91" i="4"/>
  <c r="AX103" i="13"/>
  <c r="R104" i="4" s="1"/>
  <c r="AV103" i="13"/>
  <c r="BD103" i="13"/>
  <c r="AB104" i="4" s="1"/>
  <c r="E104" i="4"/>
  <c r="BA103" i="13"/>
  <c r="BB103" i="13" s="1"/>
  <c r="BC103" i="13" s="1"/>
  <c r="AA104" i="4" s="1"/>
  <c r="W107" i="13"/>
  <c r="G108" i="4" s="1"/>
  <c r="H108" i="4" s="1"/>
  <c r="H117" i="4"/>
  <c r="AR50" i="13"/>
  <c r="AS50" i="13" s="1"/>
  <c r="I24" i="4"/>
  <c r="AV23" i="13"/>
  <c r="Q103" i="4"/>
  <c r="AY27" i="13"/>
  <c r="AX160" i="13"/>
  <c r="R161" i="4" s="1"/>
  <c r="AV160" i="13"/>
  <c r="AY160" i="13" s="1"/>
  <c r="S161" i="4" s="1"/>
  <c r="BB127" i="13"/>
  <c r="BB107" i="13"/>
  <c r="BC107" i="13" s="1"/>
  <c r="AA108" i="4" s="1"/>
  <c r="BB20" i="13"/>
  <c r="AX34" i="13"/>
  <c r="R35" i="4" s="1"/>
  <c r="BD34" i="13"/>
  <c r="AB35" i="4" s="1"/>
  <c r="BA34" i="13"/>
  <c r="BB34" i="13" s="1"/>
  <c r="BC34" i="13" s="1"/>
  <c r="AA35" i="4" s="1"/>
  <c r="AV34" i="13"/>
  <c r="AY43" i="13"/>
  <c r="BB125" i="13"/>
  <c r="F90" i="4"/>
  <c r="BB116" i="13"/>
  <c r="AX27" i="13"/>
  <c r="R28" i="4" s="1"/>
  <c r="BD27" i="13"/>
  <c r="AB28" i="4" s="1"/>
  <c r="BA27" i="13"/>
  <c r="BB141" i="13"/>
  <c r="BB11" i="13"/>
  <c r="BC11" i="13" s="1"/>
  <c r="AA12" i="4" s="1"/>
  <c r="BB180" i="13"/>
  <c r="AD72" i="13"/>
  <c r="W73" i="13"/>
  <c r="G74" i="4" s="1"/>
  <c r="AV74" i="13"/>
  <c r="I75" i="4"/>
  <c r="Z76" i="4"/>
  <c r="B76" i="4"/>
  <c r="W76" i="4"/>
  <c r="A76" i="4"/>
  <c r="C76" i="4"/>
  <c r="M76" i="4"/>
  <c r="Y76" i="4"/>
  <c r="L76" i="4"/>
  <c r="U76" i="4"/>
  <c r="X76" i="4"/>
  <c r="D76" i="4"/>
  <c r="I76" i="4"/>
  <c r="O76" i="4"/>
  <c r="V76" i="4"/>
  <c r="G76" i="4"/>
  <c r="H76" i="4" s="1"/>
  <c r="J76" i="4"/>
  <c r="W75" i="13"/>
  <c r="AR75" i="13"/>
  <c r="AS75" i="13" s="1"/>
  <c r="K76" i="4" s="1"/>
  <c r="V77" i="4"/>
  <c r="P76" i="13"/>
  <c r="AV76" i="13" s="1"/>
  <c r="I77" i="4"/>
  <c r="AR77" i="13"/>
  <c r="AS77" i="13" s="1"/>
  <c r="K78" i="4" s="1"/>
  <c r="P78" i="13"/>
  <c r="X79" i="4"/>
  <c r="AK78" i="13"/>
  <c r="J79" i="4" s="1"/>
  <c r="AW79" i="13"/>
  <c r="D80" i="4"/>
  <c r="AD79" i="13"/>
  <c r="AX80" i="13"/>
  <c r="R81" i="4" s="1"/>
  <c r="AV80" i="13"/>
  <c r="AY80" i="13" s="1"/>
  <c r="AD81" i="13"/>
  <c r="W82" i="13"/>
  <c r="G83" i="4" s="1"/>
  <c r="H83" i="4" s="1"/>
  <c r="P83" i="13"/>
  <c r="AR84" i="13"/>
  <c r="AS84" i="13" s="1"/>
  <c r="K85" i="4" s="1"/>
  <c r="P85" i="13"/>
  <c r="AK85" i="13"/>
  <c r="J86" i="4" s="1"/>
  <c r="AU86" i="13"/>
  <c r="O87" i="4" s="1"/>
  <c r="AT86" i="13"/>
  <c r="N87" i="4" s="1"/>
  <c r="C87" i="4"/>
  <c r="F87" i="4" s="1"/>
  <c r="H87" i="4"/>
  <c r="E88" i="4"/>
  <c r="BA87" i="13"/>
  <c r="BB87" i="13" s="1"/>
  <c r="AX87" i="13"/>
  <c r="AD88" i="13"/>
  <c r="BD88" i="13" s="1"/>
  <c r="AB89" i="4" s="1"/>
  <c r="W89" i="13"/>
  <c r="G90" i="4" s="1"/>
  <c r="A92" i="4"/>
  <c r="C92" i="4"/>
  <c r="L92" i="4"/>
  <c r="U92" i="4"/>
  <c r="X92" i="4"/>
  <c r="D92" i="4"/>
  <c r="V92" i="4"/>
  <c r="W92" i="4"/>
  <c r="Z92" i="4"/>
  <c r="Y92" i="4"/>
  <c r="M92" i="4"/>
  <c r="J92" i="4"/>
  <c r="I92" i="4"/>
  <c r="B92" i="4"/>
  <c r="E92" i="4"/>
  <c r="W91" i="13"/>
  <c r="G92" i="4" s="1"/>
  <c r="P92" i="13"/>
  <c r="V93" i="4"/>
  <c r="AR93" i="13"/>
  <c r="AS93" i="13" s="1"/>
  <c r="K94" i="4" s="1"/>
  <c r="X95" i="4"/>
  <c r="P94" i="13"/>
  <c r="AK94" i="13"/>
  <c r="J95" i="4" s="1"/>
  <c r="D96" i="4"/>
  <c r="AW95" i="13"/>
  <c r="AD95" i="13"/>
  <c r="AX96" i="13"/>
  <c r="BC96" i="13" s="1"/>
  <c r="AA97" i="4" s="1"/>
  <c r="BD96" i="13"/>
  <c r="AB97" i="4" s="1"/>
  <c r="AD97" i="13"/>
  <c r="BD97" i="13" s="1"/>
  <c r="AB98" i="4" s="1"/>
  <c r="W98" i="13"/>
  <c r="G99" i="4" s="1"/>
  <c r="P99" i="13"/>
  <c r="AV99" i="13" s="1"/>
  <c r="AR100" i="13"/>
  <c r="AS100" i="13" s="1"/>
  <c r="K101" i="4" s="1"/>
  <c r="W102" i="4"/>
  <c r="P101" i="13"/>
  <c r="AK101" i="13"/>
  <c r="J102" i="4" s="1"/>
  <c r="AU102" i="13"/>
  <c r="AT102" i="13"/>
  <c r="C103" i="4"/>
  <c r="AK103" i="13"/>
  <c r="J104" i="4" s="1"/>
  <c r="AD104" i="13"/>
  <c r="W105" i="13"/>
  <c r="G106" i="4" s="1"/>
  <c r="J106" i="4"/>
  <c r="BD105" i="13"/>
  <c r="AB106" i="4" s="1"/>
  <c r="BA105" i="13"/>
  <c r="BB105" i="13" s="1"/>
  <c r="BC105" i="13" s="1"/>
  <c r="AA106" i="4" s="1"/>
  <c r="O108" i="4"/>
  <c r="B108" i="4"/>
  <c r="X108" i="4"/>
  <c r="U108" i="4"/>
  <c r="W108" i="4"/>
  <c r="C108" i="4"/>
  <c r="I108" i="4"/>
  <c r="M108" i="4"/>
  <c r="Z108" i="4"/>
  <c r="A108" i="4"/>
  <c r="J108" i="4"/>
  <c r="E108" i="4"/>
  <c r="L108" i="4"/>
  <c r="AB108" i="4"/>
  <c r="AR107" i="13"/>
  <c r="AS107" i="13" s="1"/>
  <c r="K108" i="4" s="1"/>
  <c r="V109" i="4"/>
  <c r="P108" i="13"/>
  <c r="AV108" i="13" s="1"/>
  <c r="AR109" i="13"/>
  <c r="AS109" i="13" s="1"/>
  <c r="K110" i="4" s="1"/>
  <c r="X111" i="4"/>
  <c r="P110" i="13"/>
  <c r="AK110" i="13"/>
  <c r="J111" i="4" s="1"/>
  <c r="Q112" i="4"/>
  <c r="AX111" i="13"/>
  <c r="AD111" i="13"/>
  <c r="BA112" i="13"/>
  <c r="BB112" i="13" s="1"/>
  <c r="AX112" i="13"/>
  <c r="AZ112" i="13" s="1"/>
  <c r="T113" i="4" s="1"/>
  <c r="BD112" i="13"/>
  <c r="AB113" i="4" s="1"/>
  <c r="AD113" i="13"/>
  <c r="BD113" i="13" s="1"/>
  <c r="AB114" i="4" s="1"/>
  <c r="W114" i="13"/>
  <c r="G115" i="4" s="1"/>
  <c r="U116" i="4"/>
  <c r="P115" i="13"/>
  <c r="I116" i="4"/>
  <c r="AV115" i="13"/>
  <c r="AR116" i="13"/>
  <c r="AS116" i="13" s="1"/>
  <c r="K117" i="4" s="1"/>
  <c r="W118" i="4"/>
  <c r="P117" i="13"/>
  <c r="AK117" i="13"/>
  <c r="J118" i="4" s="1"/>
  <c r="AT118" i="13"/>
  <c r="N119" i="4" s="1"/>
  <c r="AU118" i="13"/>
  <c r="C119" i="4"/>
  <c r="Y120" i="4"/>
  <c r="P119" i="13"/>
  <c r="AK119" i="13"/>
  <c r="J120" i="4" s="1"/>
  <c r="AD120" i="13"/>
  <c r="W121" i="13"/>
  <c r="G122" i="4" s="1"/>
  <c r="H122" i="4" s="1"/>
  <c r="J122" i="4"/>
  <c r="BD121" i="13"/>
  <c r="AB122" i="4" s="1"/>
  <c r="X124" i="4"/>
  <c r="B124" i="4"/>
  <c r="L124" i="4"/>
  <c r="U124" i="4"/>
  <c r="D124" i="4"/>
  <c r="Y124" i="4"/>
  <c r="V124" i="4"/>
  <c r="W124" i="4"/>
  <c r="M124" i="4"/>
  <c r="K124" i="4"/>
  <c r="I124" i="4"/>
  <c r="Z124" i="4"/>
  <c r="C124" i="4"/>
  <c r="E124" i="4"/>
  <c r="F124" i="4" s="1"/>
  <c r="J124" i="4"/>
  <c r="W123" i="13"/>
  <c r="G124" i="4" s="1"/>
  <c r="H124" i="4" s="1"/>
  <c r="AR123" i="13"/>
  <c r="AS123" i="13" s="1"/>
  <c r="V125" i="4"/>
  <c r="P124" i="13"/>
  <c r="AV124" i="13" s="1"/>
  <c r="AR125" i="13"/>
  <c r="AS125" i="13" s="1"/>
  <c r="K126" i="4" s="1"/>
  <c r="X127" i="4"/>
  <c r="P126" i="13"/>
  <c r="AK126" i="13"/>
  <c r="J127" i="4" s="1"/>
  <c r="D128" i="4"/>
  <c r="F128" i="4" s="1"/>
  <c r="AW127" i="13"/>
  <c r="AD127" i="13"/>
  <c r="AX128" i="13"/>
  <c r="BD128" i="13"/>
  <c r="AB129" i="4" s="1"/>
  <c r="AD129" i="13"/>
  <c r="W130" i="13"/>
  <c r="G131" i="4" s="1"/>
  <c r="H131" i="4" s="1"/>
  <c r="P131" i="13"/>
  <c r="U132" i="4"/>
  <c r="AR132" i="13"/>
  <c r="AS132" i="13" s="1"/>
  <c r="K133" i="4" s="1"/>
  <c r="W134" i="4"/>
  <c r="P133" i="13"/>
  <c r="AK133" i="13"/>
  <c r="J134" i="4" s="1"/>
  <c r="AU134" i="13"/>
  <c r="C135" i="4"/>
  <c r="AT134" i="13"/>
  <c r="N135" i="4" s="1"/>
  <c r="P135" i="13"/>
  <c r="Y136" i="4"/>
  <c r="AK135" i="13"/>
  <c r="J136" i="4" s="1"/>
  <c r="AD136" i="13"/>
  <c r="W137" i="13"/>
  <c r="G138" i="4" s="1"/>
  <c r="J138" i="4"/>
  <c r="BD137" i="13"/>
  <c r="AB138" i="4" s="1"/>
  <c r="W140" i="4"/>
  <c r="M140" i="4"/>
  <c r="U140" i="4"/>
  <c r="Y140" i="4"/>
  <c r="V140" i="4"/>
  <c r="J140" i="4"/>
  <c r="Z140" i="4"/>
  <c r="B140" i="4"/>
  <c r="X140" i="4"/>
  <c r="L140" i="4"/>
  <c r="C140" i="4"/>
  <c r="A140" i="4"/>
  <c r="K140" i="4"/>
  <c r="I140" i="4"/>
  <c r="D140" i="4"/>
  <c r="G140" i="4"/>
  <c r="E140" i="4"/>
  <c r="W139" i="13"/>
  <c r="AR139" i="13"/>
  <c r="AS139" i="13" s="1"/>
  <c r="P140" i="13"/>
  <c r="AV140" i="13" s="1"/>
  <c r="V141" i="4"/>
  <c r="X143" i="4"/>
  <c r="P142" i="13"/>
  <c r="AK142" i="13"/>
  <c r="J143" i="4" s="1"/>
  <c r="AW143" i="13"/>
  <c r="D144" i="4"/>
  <c r="AD143" i="13"/>
  <c r="AX144" i="13"/>
  <c r="R145" i="4" s="1"/>
  <c r="AV144" i="13"/>
  <c r="AY144" i="13" s="1"/>
  <c r="BD144" i="13"/>
  <c r="AB145" i="4" s="1"/>
  <c r="AD145" i="13"/>
  <c r="W146" i="13"/>
  <c r="G147" i="4" s="1"/>
  <c r="U148" i="4"/>
  <c r="P147" i="13"/>
  <c r="AR148" i="13"/>
  <c r="AS148" i="13" s="1"/>
  <c r="K149" i="4" s="1"/>
  <c r="W150" i="4"/>
  <c r="P149" i="13"/>
  <c r="AK149" i="13"/>
  <c r="J150" i="4" s="1"/>
  <c r="AT150" i="13"/>
  <c r="AU150" i="13"/>
  <c r="C151" i="4"/>
  <c r="H151" i="4"/>
  <c r="AK151" i="13"/>
  <c r="J152" i="4" s="1"/>
  <c r="AD152" i="13"/>
  <c r="W153" i="13"/>
  <c r="G154" i="4" s="1"/>
  <c r="H154" i="4" s="1"/>
  <c r="J154" i="4"/>
  <c r="BD153" i="13"/>
  <c r="AB154" i="4" s="1"/>
  <c r="I155" i="4"/>
  <c r="AY199" i="13"/>
  <c r="E76" i="4"/>
  <c r="J30" i="4"/>
  <c r="BA29" i="13"/>
  <c r="D108" i="4"/>
  <c r="Q3" i="4"/>
  <c r="O3" i="4"/>
  <c r="I3" i="4"/>
  <c r="X3" i="4"/>
  <c r="B3" i="4"/>
  <c r="L3" i="4"/>
  <c r="Y3" i="4"/>
  <c r="D3" i="4"/>
  <c r="A3" i="4"/>
  <c r="M3" i="4"/>
  <c r="W3" i="4"/>
  <c r="C3" i="4"/>
  <c r="Z3" i="4"/>
  <c r="V3" i="4"/>
  <c r="J3" i="4"/>
  <c r="U3" i="4"/>
  <c r="E3" i="4"/>
  <c r="AR2" i="13"/>
  <c r="AS2" i="13" s="1"/>
  <c r="K3" i="4" s="1"/>
  <c r="AW6" i="13"/>
  <c r="AD6" i="13"/>
  <c r="U11" i="4"/>
  <c r="P10" i="13"/>
  <c r="AV10" i="13" s="1"/>
  <c r="AK12" i="13"/>
  <c r="J13" i="4" s="1"/>
  <c r="AU13" i="13"/>
  <c r="O14" i="4" s="1"/>
  <c r="AT13" i="13"/>
  <c r="N14" i="4" s="1"/>
  <c r="AW13" i="13"/>
  <c r="AX13" i="13" s="1"/>
  <c r="R14" i="4" s="1"/>
  <c r="W16" i="13"/>
  <c r="G17" i="4" s="1"/>
  <c r="M19" i="4"/>
  <c r="Y19" i="4"/>
  <c r="D19" i="4"/>
  <c r="V19" i="4"/>
  <c r="Z19" i="4"/>
  <c r="C19" i="4"/>
  <c r="X19" i="4"/>
  <c r="A19" i="4"/>
  <c r="W19" i="4"/>
  <c r="U19" i="4"/>
  <c r="Q19" i="4"/>
  <c r="B19" i="4"/>
  <c r="L19" i="4"/>
  <c r="E19" i="4"/>
  <c r="J19" i="4"/>
  <c r="I19" i="4"/>
  <c r="AR18" i="13"/>
  <c r="AS18" i="13" s="1"/>
  <c r="K19" i="4" s="1"/>
  <c r="AW22" i="13"/>
  <c r="Q23" i="4" s="1"/>
  <c r="AD22" i="13"/>
  <c r="U27" i="4"/>
  <c r="P26" i="13"/>
  <c r="AV26" i="13" s="1"/>
  <c r="AK28" i="13"/>
  <c r="J29" i="4" s="1"/>
  <c r="AU29" i="13"/>
  <c r="O30" i="4" s="1"/>
  <c r="AT29" i="13"/>
  <c r="N30" i="4" s="1"/>
  <c r="AW29" i="13"/>
  <c r="W32" i="13"/>
  <c r="G33" i="4" s="1"/>
  <c r="Y35" i="4"/>
  <c r="U35" i="4"/>
  <c r="O35" i="4"/>
  <c r="Z35" i="4"/>
  <c r="X35" i="4"/>
  <c r="W35" i="4"/>
  <c r="A35" i="4"/>
  <c r="N35" i="4"/>
  <c r="M35" i="4"/>
  <c r="D35" i="4"/>
  <c r="B35" i="4"/>
  <c r="V35" i="4"/>
  <c r="C35" i="4"/>
  <c r="G35" i="4"/>
  <c r="J35" i="4"/>
  <c r="Q35" i="4"/>
  <c r="L35" i="4"/>
  <c r="AR34" i="13"/>
  <c r="AS34" i="13" s="1"/>
  <c r="K35" i="4" s="1"/>
  <c r="AW38" i="13"/>
  <c r="AD38" i="13"/>
  <c r="P42" i="13"/>
  <c r="AV42" i="13" s="1"/>
  <c r="AK44" i="13"/>
  <c r="J45" i="4" s="1"/>
  <c r="AU45" i="13"/>
  <c r="AT45" i="13"/>
  <c r="N46" i="4" s="1"/>
  <c r="C46" i="4"/>
  <c r="AW45" i="13"/>
  <c r="BB45" i="13" s="1"/>
  <c r="W48" i="13"/>
  <c r="G49" i="4" s="1"/>
  <c r="H49" i="4" s="1"/>
  <c r="V51" i="4"/>
  <c r="Z51" i="4"/>
  <c r="B51" i="4"/>
  <c r="W51" i="4"/>
  <c r="C51" i="4"/>
  <c r="U51" i="4"/>
  <c r="L51" i="4"/>
  <c r="A51" i="4"/>
  <c r="Y51" i="4"/>
  <c r="D51" i="4"/>
  <c r="M51" i="4"/>
  <c r="X51" i="4"/>
  <c r="O51" i="4"/>
  <c r="N51" i="4"/>
  <c r="K51" i="4"/>
  <c r="Q51" i="4"/>
  <c r="I51" i="4"/>
  <c r="J51" i="4"/>
  <c r="D55" i="4"/>
  <c r="F55" i="4" s="1"/>
  <c r="AW54" i="13"/>
  <c r="AX54" i="13" s="1"/>
  <c r="R55" i="4" s="1"/>
  <c r="AD54" i="13"/>
  <c r="P58" i="13"/>
  <c r="AV58" i="13" s="1"/>
  <c r="AK60" i="13"/>
  <c r="J61" i="4" s="1"/>
  <c r="AT61" i="13"/>
  <c r="N62" i="4" s="1"/>
  <c r="AU61" i="13"/>
  <c r="O62" i="4" s="1"/>
  <c r="AW61" i="13"/>
  <c r="Q62" i="4" s="1"/>
  <c r="W64" i="13"/>
  <c r="G65" i="4" s="1"/>
  <c r="H65" i="4" s="1"/>
  <c r="B67" i="4"/>
  <c r="O67" i="4"/>
  <c r="M67" i="4"/>
  <c r="N67" i="4"/>
  <c r="W67" i="4"/>
  <c r="X67" i="4"/>
  <c r="Y67" i="4"/>
  <c r="L67" i="4"/>
  <c r="V67" i="4"/>
  <c r="A67" i="4"/>
  <c r="C67" i="4"/>
  <c r="D67" i="4"/>
  <c r="Z67" i="4"/>
  <c r="Q67" i="4"/>
  <c r="I67" i="4"/>
  <c r="AB67" i="4"/>
  <c r="G67" i="4"/>
  <c r="H67" i="4" s="1"/>
  <c r="E67" i="4"/>
  <c r="AR66" i="13"/>
  <c r="AS66" i="13" s="1"/>
  <c r="K67" i="4" s="1"/>
  <c r="D71" i="4"/>
  <c r="H71" i="4" s="1"/>
  <c r="AW70" i="13"/>
  <c r="AD70" i="13"/>
  <c r="AK76" i="13"/>
  <c r="J77" i="4" s="1"/>
  <c r="AU77" i="13"/>
  <c r="O78" i="4" s="1"/>
  <c r="AT77" i="13"/>
  <c r="C78" i="4"/>
  <c r="AW77" i="13"/>
  <c r="Q78" i="4" s="1"/>
  <c r="AB76" i="4"/>
  <c r="AV64" i="13"/>
  <c r="AY64" i="13" s="1"/>
  <c r="AZ64" i="13" s="1"/>
  <c r="T65" i="4" s="1"/>
  <c r="BA89" i="13"/>
  <c r="BB89" i="13" s="1"/>
  <c r="BB187" i="13"/>
  <c r="AX61" i="13"/>
  <c r="R62" i="4" s="1"/>
  <c r="J55" i="4"/>
  <c r="E23" i="4"/>
  <c r="I143" i="4"/>
  <c r="AV142" i="13"/>
  <c r="P151" i="13"/>
  <c r="AV96" i="13"/>
  <c r="AY96" i="13" s="1"/>
  <c r="P191" i="4"/>
  <c r="BA146" i="13"/>
  <c r="BB146" i="13" s="1"/>
  <c r="BC146" i="13" s="1"/>
  <c r="AA147" i="4" s="1"/>
  <c r="BD130" i="13"/>
  <c r="AB131" i="4" s="1"/>
  <c r="I35" i="4"/>
  <c r="AX176" i="13"/>
  <c r="AZ176" i="13" s="1"/>
  <c r="T177" i="4" s="1"/>
  <c r="BA176" i="13"/>
  <c r="BB176" i="13" s="1"/>
  <c r="Y108" i="4"/>
  <c r="BD82" i="13"/>
  <c r="AB83" i="4" s="1"/>
  <c r="AV147" i="13"/>
  <c r="BD66" i="13"/>
  <c r="AV66" i="13"/>
  <c r="A124" i="4"/>
  <c r="BA80" i="13"/>
  <c r="BB80" i="13" s="1"/>
  <c r="BC80" i="13" s="1"/>
  <c r="AA81" i="4" s="1"/>
  <c r="BA137" i="13"/>
  <c r="BA197" i="13"/>
  <c r="BB197" i="13" s="1"/>
  <c r="BA144" i="13"/>
  <c r="BB144" i="13" s="1"/>
  <c r="E51" i="4"/>
  <c r="E42" i="4"/>
  <c r="AX41" i="13"/>
  <c r="V108" i="4"/>
  <c r="U67" i="4"/>
  <c r="W80" i="13"/>
  <c r="G81" i="4" s="1"/>
  <c r="N83" i="4"/>
  <c r="L83" i="4"/>
  <c r="Z83" i="4"/>
  <c r="A83" i="4"/>
  <c r="W83" i="4"/>
  <c r="Y83" i="4"/>
  <c r="B83" i="4"/>
  <c r="O83" i="4"/>
  <c r="X83" i="4"/>
  <c r="V83" i="4"/>
  <c r="I83" i="4"/>
  <c r="C83" i="4"/>
  <c r="M83" i="4"/>
  <c r="U83" i="4"/>
  <c r="D83" i="4"/>
  <c r="J83" i="4"/>
  <c r="E83" i="4"/>
  <c r="AR82" i="13"/>
  <c r="AS82" i="13" s="1"/>
  <c r="K83" i="4" s="1"/>
  <c r="AW86" i="13"/>
  <c r="D87" i="4"/>
  <c r="U91" i="4"/>
  <c r="P90" i="13"/>
  <c r="AK92" i="13"/>
  <c r="J93" i="4" s="1"/>
  <c r="AT93" i="13"/>
  <c r="C94" i="4"/>
  <c r="AW93" i="13"/>
  <c r="BB93" i="13" s="1"/>
  <c r="AU93" i="13"/>
  <c r="O94" i="4" s="1"/>
  <c r="W96" i="13"/>
  <c r="G97" i="4" s="1"/>
  <c r="H97" i="4" s="1"/>
  <c r="O99" i="4"/>
  <c r="N99" i="4"/>
  <c r="Z99" i="4"/>
  <c r="C99" i="4"/>
  <c r="F99" i="4" s="1"/>
  <c r="U99" i="4"/>
  <c r="A99" i="4"/>
  <c r="D99" i="4"/>
  <c r="L99" i="4"/>
  <c r="X99" i="4"/>
  <c r="Y99" i="4"/>
  <c r="B99" i="4"/>
  <c r="Q99" i="4"/>
  <c r="V99" i="4"/>
  <c r="M99" i="4"/>
  <c r="I99" i="4"/>
  <c r="W99" i="4"/>
  <c r="J99" i="4"/>
  <c r="AR98" i="13"/>
  <c r="AS98" i="13" s="1"/>
  <c r="K99" i="4" s="1"/>
  <c r="AD102" i="13"/>
  <c r="U107" i="4"/>
  <c r="P106" i="13"/>
  <c r="AV106" i="13" s="1"/>
  <c r="AK108" i="13"/>
  <c r="J109" i="4" s="1"/>
  <c r="AU109" i="13"/>
  <c r="O110" i="4" s="1"/>
  <c r="C110" i="4"/>
  <c r="F110" i="4" s="1"/>
  <c r="AT109" i="13"/>
  <c r="N110" i="4" s="1"/>
  <c r="W112" i="13"/>
  <c r="G113" i="4" s="1"/>
  <c r="N115" i="4"/>
  <c r="X115" i="4"/>
  <c r="C115" i="4"/>
  <c r="F115" i="4" s="1"/>
  <c r="M115" i="4"/>
  <c r="W115" i="4"/>
  <c r="Y115" i="4"/>
  <c r="D115" i="4"/>
  <c r="V115" i="4"/>
  <c r="Z115" i="4"/>
  <c r="O115" i="4"/>
  <c r="A115" i="4"/>
  <c r="U115" i="4"/>
  <c r="I115" i="4"/>
  <c r="J115" i="4"/>
  <c r="Q115" i="4"/>
  <c r="B115" i="4"/>
  <c r="AR114" i="13"/>
  <c r="AS114" i="13" s="1"/>
  <c r="K115" i="4" s="1"/>
  <c r="D119" i="4"/>
  <c r="F119" i="4" s="1"/>
  <c r="AW118" i="13"/>
  <c r="AD118" i="13"/>
  <c r="U123" i="4"/>
  <c r="P122" i="13"/>
  <c r="AK124" i="13"/>
  <c r="J125" i="4" s="1"/>
  <c r="AT125" i="13"/>
  <c r="N126" i="4" s="1"/>
  <c r="AU125" i="13"/>
  <c r="C126" i="4"/>
  <c r="F126" i="4" s="1"/>
  <c r="AW125" i="13"/>
  <c r="W128" i="13"/>
  <c r="G129" i="4" s="1"/>
  <c r="H129" i="4" s="1"/>
  <c r="Y131" i="4"/>
  <c r="D131" i="4"/>
  <c r="W131" i="4"/>
  <c r="I131" i="4"/>
  <c r="B131" i="4"/>
  <c r="A131" i="4"/>
  <c r="L131" i="4"/>
  <c r="C131" i="4"/>
  <c r="M131" i="4"/>
  <c r="U131" i="4"/>
  <c r="J131" i="4"/>
  <c r="X131" i="4"/>
  <c r="Z131" i="4"/>
  <c r="V131" i="4"/>
  <c r="O131" i="4"/>
  <c r="Q131" i="4"/>
  <c r="AR130" i="13"/>
  <c r="AS130" i="13" s="1"/>
  <c r="K131" i="4" s="1"/>
  <c r="AW134" i="13"/>
  <c r="BB134" i="13" s="1"/>
  <c r="D135" i="4"/>
  <c r="F135" i="4" s="1"/>
  <c r="AD134" i="13"/>
  <c r="U139" i="4"/>
  <c r="P138" i="13"/>
  <c r="AK140" i="13"/>
  <c r="J141" i="4" s="1"/>
  <c r="AT141" i="13"/>
  <c r="N142" i="4" s="1"/>
  <c r="C142" i="4"/>
  <c r="H142" i="4" s="1"/>
  <c r="AW141" i="13"/>
  <c r="W144" i="13"/>
  <c r="G145" i="4" s="1"/>
  <c r="O147" i="4"/>
  <c r="U147" i="4"/>
  <c r="Q147" i="4"/>
  <c r="C147" i="4"/>
  <c r="X147" i="4"/>
  <c r="B147" i="4"/>
  <c r="M147" i="4"/>
  <c r="I147" i="4"/>
  <c r="N147" i="4"/>
  <c r="A147" i="4"/>
  <c r="V147" i="4"/>
  <c r="W147" i="4"/>
  <c r="L147" i="4"/>
  <c r="AR146" i="13"/>
  <c r="AS146" i="13" s="1"/>
  <c r="K147" i="4" s="1"/>
  <c r="D151" i="4"/>
  <c r="AW150" i="13"/>
  <c r="U155" i="4"/>
  <c r="P154" i="13"/>
  <c r="W155" i="13"/>
  <c r="G156" i="4" s="1"/>
  <c r="AR155" i="13"/>
  <c r="AS155" i="13" s="1"/>
  <c r="K156" i="4" s="1"/>
  <c r="W157" i="4"/>
  <c r="P156" i="13"/>
  <c r="AK156" i="13"/>
  <c r="J157" i="4" s="1"/>
  <c r="AU157" i="13"/>
  <c r="O158" i="4" s="1"/>
  <c r="AT157" i="13"/>
  <c r="N158" i="4" s="1"/>
  <c r="C158" i="4"/>
  <c r="H158" i="4" s="1"/>
  <c r="AW157" i="13"/>
  <c r="AR157" i="13"/>
  <c r="AS157" i="13" s="1"/>
  <c r="K158" i="4" s="1"/>
  <c r="P158" i="13"/>
  <c r="Y159" i="4"/>
  <c r="AK158" i="13"/>
  <c r="J159" i="4" s="1"/>
  <c r="AD159" i="13"/>
  <c r="W160" i="13"/>
  <c r="G161" i="4" s="1"/>
  <c r="H161" i="4" s="1"/>
  <c r="AD161" i="13"/>
  <c r="H77" i="4"/>
  <c r="H73" i="4"/>
  <c r="AY198" i="13"/>
  <c r="P199" i="4"/>
  <c r="P195" i="4"/>
  <c r="Q83" i="4"/>
  <c r="AX191" i="13"/>
  <c r="R192" i="4" s="1"/>
  <c r="E192" i="4"/>
  <c r="E5" i="4"/>
  <c r="F5" i="4" s="1"/>
  <c r="AX4" i="13"/>
  <c r="R5" i="4" s="1"/>
  <c r="AX114" i="13"/>
  <c r="BA114" i="13"/>
  <c r="BB114" i="13" s="1"/>
  <c r="P186" i="4"/>
  <c r="AY187" i="13"/>
  <c r="AV110" i="13"/>
  <c r="I199" i="4"/>
  <c r="BD198" i="13"/>
  <c r="AB199" i="4" s="1"/>
  <c r="AW109" i="13"/>
  <c r="H125" i="4"/>
  <c r="AX86" i="13"/>
  <c r="R87" i="4" s="1"/>
  <c r="BB185" i="13"/>
  <c r="E122" i="4"/>
  <c r="F122" i="4" s="1"/>
  <c r="AX121" i="13"/>
  <c r="BC121" i="13" s="1"/>
  <c r="AA122" i="4" s="1"/>
  <c r="AX197" i="13"/>
  <c r="E198" i="4"/>
  <c r="F198" i="4" s="1"/>
  <c r="AX84" i="13"/>
  <c r="R85" i="4" s="1"/>
  <c r="AX89" i="13"/>
  <c r="E190" i="4"/>
  <c r="F190" i="4" s="1"/>
  <c r="H196" i="4"/>
  <c r="AX193" i="13"/>
  <c r="BC193" i="13" s="1"/>
  <c r="AA194" i="4" s="1"/>
  <c r="AX192" i="13"/>
  <c r="AX195" i="13"/>
  <c r="AX182" i="13"/>
  <c r="R183" i="4" s="1"/>
  <c r="O135" i="4"/>
  <c r="O121" i="4"/>
  <c r="O42" i="4"/>
  <c r="N74" i="4"/>
  <c r="N94" i="4"/>
  <c r="N40" i="4"/>
  <c r="O100" i="4"/>
  <c r="O101" i="4"/>
  <c r="U112" i="4"/>
  <c r="X7" i="4"/>
  <c r="A13" i="4"/>
  <c r="V5" i="4"/>
  <c r="A10" i="4"/>
  <c r="C16" i="4"/>
  <c r="Z7" i="4"/>
  <c r="L5" i="4"/>
  <c r="Z24" i="4"/>
  <c r="D23" i="4"/>
  <c r="H23" i="4" s="1"/>
  <c r="V11" i="4"/>
  <c r="Y20" i="4"/>
  <c r="Z25" i="4"/>
  <c r="U26" i="4"/>
  <c r="Z31" i="4"/>
  <c r="D37" i="4"/>
  <c r="A42" i="4"/>
  <c r="X47" i="4"/>
  <c r="Z26" i="4"/>
  <c r="C29" i="4"/>
  <c r="A36" i="4"/>
  <c r="V42" i="4"/>
  <c r="M50" i="4"/>
  <c r="M55" i="4"/>
  <c r="X42" i="4"/>
  <c r="U48" i="4"/>
  <c r="U54" i="4"/>
  <c r="Y32" i="4"/>
  <c r="D45" i="4"/>
  <c r="H45" i="4" s="1"/>
  <c r="B58" i="4"/>
  <c r="O152" i="4"/>
  <c r="N165" i="4"/>
  <c r="O175" i="4"/>
  <c r="O128" i="4"/>
  <c r="N125" i="4"/>
  <c r="N48" i="4"/>
  <c r="O15" i="4"/>
  <c r="N6" i="4"/>
  <c r="N42" i="4"/>
  <c r="O40" i="4"/>
  <c r="N112" i="4"/>
  <c r="O63" i="4"/>
  <c r="O69" i="4"/>
  <c r="N101" i="4"/>
  <c r="D112" i="4"/>
  <c r="V8" i="4"/>
  <c r="C14" i="4"/>
  <c r="F14" i="4" s="1"/>
  <c r="B6" i="4"/>
  <c r="C11" i="4"/>
  <c r="U16" i="4"/>
  <c r="L8" i="4"/>
  <c r="M13" i="4"/>
  <c r="M8" i="4"/>
  <c r="L25" i="4"/>
  <c r="L18" i="4"/>
  <c r="U23" i="4"/>
  <c r="X14" i="4"/>
  <c r="W21" i="4"/>
  <c r="L26" i="4"/>
  <c r="A27" i="4"/>
  <c r="L32" i="4"/>
  <c r="Z37" i="4"/>
  <c r="C43" i="4"/>
  <c r="H43" i="4" s="1"/>
  <c r="V48" i="4"/>
  <c r="L27" i="4"/>
  <c r="Z29" i="4"/>
  <c r="B37" i="4"/>
  <c r="W43" i="4"/>
  <c r="Y50" i="4"/>
  <c r="Y55" i="4"/>
  <c r="C61" i="4"/>
  <c r="H61" i="4" s="1"/>
  <c r="D66" i="4"/>
  <c r="L29" i="4"/>
  <c r="O36" i="4"/>
  <c r="N43" i="4"/>
  <c r="N152" i="4"/>
  <c r="O150" i="4"/>
  <c r="O165" i="4"/>
  <c r="O119" i="4"/>
  <c r="N143" i="4"/>
  <c r="O144" i="4"/>
  <c r="N134" i="4"/>
  <c r="N128" i="4"/>
  <c r="N16" i="4"/>
  <c r="O48" i="4"/>
  <c r="N15" i="4"/>
  <c r="O10" i="4"/>
  <c r="N26" i="4"/>
  <c r="O98" i="4"/>
  <c r="N63" i="4"/>
  <c r="O21" i="4"/>
  <c r="O37" i="4"/>
  <c r="N69" i="4"/>
  <c r="Z112" i="4"/>
  <c r="B9" i="4"/>
  <c r="U14" i="4"/>
  <c r="X6" i="4"/>
  <c r="X11" i="4"/>
  <c r="C4" i="4"/>
  <c r="D9" i="4"/>
  <c r="Y13" i="4"/>
  <c r="Y10" i="4"/>
  <c r="W20" i="4"/>
  <c r="D26" i="4"/>
  <c r="F26" i="4" s="1"/>
  <c r="A24" i="4"/>
  <c r="A16" i="4"/>
  <c r="M22" i="4"/>
  <c r="O9" i="4"/>
  <c r="L38" i="4"/>
  <c r="U43" i="4"/>
  <c r="V30" i="4"/>
  <c r="C38" i="4"/>
  <c r="W56" i="4"/>
  <c r="U61" i="4"/>
  <c r="Z66" i="4"/>
  <c r="L30" i="4"/>
  <c r="Z36" i="4"/>
  <c r="V50" i="4"/>
  <c r="Z55" i="4"/>
  <c r="W48" i="4"/>
  <c r="Z59" i="4"/>
  <c r="X66" i="4"/>
  <c r="O186" i="4"/>
  <c r="O180" i="4"/>
  <c r="O160" i="4"/>
  <c r="N148" i="4"/>
  <c r="N173" i="4"/>
  <c r="N88" i="4"/>
  <c r="O55" i="4"/>
  <c r="O82" i="4"/>
  <c r="N27" i="4"/>
  <c r="O5" i="4"/>
  <c r="N53" i="4"/>
  <c r="N105" i="4"/>
  <c r="A4" i="4"/>
  <c r="L9" i="4"/>
  <c r="Y14" i="4"/>
  <c r="D7" i="4"/>
  <c r="M4" i="4"/>
  <c r="V9" i="4"/>
  <c r="A14" i="4"/>
  <c r="C21" i="4"/>
  <c r="Z4" i="4"/>
  <c r="O24" i="4"/>
  <c r="U22" i="4"/>
  <c r="Z11" i="4"/>
  <c r="X38" i="4"/>
  <c r="Y43" i="4"/>
  <c r="D31" i="4"/>
  <c r="H31" i="4" s="1"/>
  <c r="U38" i="4"/>
  <c r="A45" i="4"/>
  <c r="C57" i="4"/>
  <c r="H57" i="4" s="1"/>
  <c r="Y61" i="4"/>
  <c r="W30" i="4"/>
  <c r="C37" i="4"/>
  <c r="Z50" i="4"/>
  <c r="B56" i="4"/>
  <c r="D36" i="4"/>
  <c r="O143" i="4"/>
  <c r="N132" i="4"/>
  <c r="O16" i="4"/>
  <c r="N10" i="4"/>
  <c r="O46" i="4"/>
  <c r="N98" i="4"/>
  <c r="N72" i="4"/>
  <c r="O103" i="4"/>
  <c r="N21" i="4"/>
  <c r="N37" i="4"/>
  <c r="O73" i="4"/>
  <c r="N89" i="4"/>
  <c r="W4" i="4"/>
  <c r="X9" i="4"/>
  <c r="A15" i="4"/>
  <c r="M7" i="4"/>
  <c r="U4" i="4"/>
  <c r="Z9" i="4"/>
  <c r="Z13" i="4"/>
  <c r="M21" i="4"/>
  <c r="D6" i="4"/>
  <c r="W24" i="4"/>
  <c r="Y22" i="4"/>
  <c r="L14" i="4"/>
  <c r="D39" i="4"/>
  <c r="C10" i="4"/>
  <c r="U31" i="4"/>
  <c r="Z38" i="4"/>
  <c r="X45" i="4"/>
  <c r="B52" i="4"/>
  <c r="M57" i="4"/>
  <c r="A62" i="4"/>
  <c r="L31" i="4"/>
  <c r="U37" i="4"/>
  <c r="B45" i="4"/>
  <c r="L56" i="4"/>
  <c r="L37" i="4"/>
  <c r="W50" i="4"/>
  <c r="N186" i="4"/>
  <c r="N171" i="4"/>
  <c r="O148" i="4"/>
  <c r="O66" i="4"/>
  <c r="N82" i="4"/>
  <c r="O31" i="4"/>
  <c r="N5" i="4"/>
  <c r="O57" i="4"/>
  <c r="O109" i="4"/>
  <c r="C5" i="4"/>
  <c r="D10" i="4"/>
  <c r="V15" i="4"/>
  <c r="U7" i="4"/>
  <c r="Y4" i="4"/>
  <c r="B10" i="4"/>
  <c r="W14" i="4"/>
  <c r="D15" i="4"/>
  <c r="H15" i="4" s="1"/>
  <c r="U21" i="4"/>
  <c r="V6" i="4"/>
  <c r="B20" i="4"/>
  <c r="C25" i="4"/>
  <c r="C18" i="4"/>
  <c r="H18" i="4" s="1"/>
  <c r="A23" i="4"/>
  <c r="W16" i="4"/>
  <c r="B34" i="4"/>
  <c r="M39" i="4"/>
  <c r="B29" i="4"/>
  <c r="D32" i="4"/>
  <c r="H32" i="4" s="1"/>
  <c r="C39" i="4"/>
  <c r="B46" i="4"/>
  <c r="L52" i="4"/>
  <c r="U57" i="4"/>
  <c r="W62" i="4"/>
  <c r="W31" i="4"/>
  <c r="D38" i="4"/>
  <c r="H38" i="4" s="1"/>
  <c r="Z45" i="4"/>
  <c r="X56" i="4"/>
  <c r="W37" i="4"/>
  <c r="N154" i="4"/>
  <c r="O171" i="4"/>
  <c r="N66" i="4"/>
  <c r="N31" i="4"/>
  <c r="N41" i="4"/>
  <c r="N57" i="4"/>
  <c r="O77" i="4"/>
  <c r="A112" i="4"/>
  <c r="U5" i="4"/>
  <c r="Z10" i="4"/>
  <c r="B16" i="4"/>
  <c r="A8" i="4"/>
  <c r="L13" i="4"/>
  <c r="W5" i="4"/>
  <c r="X10" i="4"/>
  <c r="L15" i="4"/>
  <c r="A22" i="4"/>
  <c r="M10" i="4"/>
  <c r="X20" i="4"/>
  <c r="U25" i="4"/>
  <c r="U18" i="4"/>
  <c r="V23" i="4"/>
  <c r="V18" i="4"/>
  <c r="W29" i="4"/>
  <c r="X34" i="4"/>
  <c r="Y39" i="4"/>
  <c r="M45" i="4"/>
  <c r="D20" i="4"/>
  <c r="U10" i="4"/>
  <c r="C40" i="4"/>
  <c r="H40" i="4" s="1"/>
  <c r="B47" i="4"/>
  <c r="D53" i="4"/>
  <c r="F53" i="4" s="1"/>
  <c r="A58" i="4"/>
  <c r="L63" i="4"/>
  <c r="M68" i="4"/>
  <c r="W32" i="4"/>
  <c r="V39" i="4"/>
  <c r="U46" i="4"/>
  <c r="M52" i="4"/>
  <c r="D22" i="4"/>
  <c r="H22" i="4" s="1"/>
  <c r="L39" i="4"/>
  <c r="Z52" i="4"/>
  <c r="V61" i="4"/>
  <c r="O185" i="4"/>
  <c r="O153" i="4"/>
  <c r="O184" i="4"/>
  <c r="O157" i="4"/>
  <c r="O136" i="4"/>
  <c r="O151" i="4"/>
  <c r="N127" i="4"/>
  <c r="N36" i="4"/>
  <c r="O32" i="4"/>
  <c r="N68" i="4"/>
  <c r="O61" i="4"/>
  <c r="W6" i="4"/>
  <c r="X16" i="4"/>
  <c r="B13" i="4"/>
  <c r="B8" i="4"/>
  <c r="D4" i="4"/>
  <c r="L23" i="4"/>
  <c r="D21" i="4"/>
  <c r="M15" i="4"/>
  <c r="V25" i="4"/>
  <c r="Y30" i="4"/>
  <c r="W40" i="4"/>
  <c r="Z18" i="4"/>
  <c r="U29" i="4"/>
  <c r="D42" i="4"/>
  <c r="B54" i="4"/>
  <c r="X63" i="4"/>
  <c r="V29" i="4"/>
  <c r="M42" i="4"/>
  <c r="W53" i="4"/>
  <c r="A39" i="4"/>
  <c r="X57" i="4"/>
  <c r="X68" i="4"/>
  <c r="Y73" i="4"/>
  <c r="B79" i="4"/>
  <c r="U84" i="4"/>
  <c r="U89" i="4"/>
  <c r="B95" i="4"/>
  <c r="U24" i="4"/>
  <c r="B41" i="4"/>
  <c r="D73" i="4"/>
  <c r="Y77" i="4"/>
  <c r="Y88" i="4"/>
  <c r="U93" i="4"/>
  <c r="D13" i="4"/>
  <c r="H13" i="4" s="1"/>
  <c r="A50" i="4"/>
  <c r="Y29" i="4"/>
  <c r="D56" i="4"/>
  <c r="M29" i="4"/>
  <c r="A57" i="4"/>
  <c r="W71" i="4"/>
  <c r="U74" i="4"/>
  <c r="C85" i="4"/>
  <c r="D95" i="4"/>
  <c r="H95" i="4" s="1"/>
  <c r="A102" i="4"/>
  <c r="L107" i="4"/>
  <c r="X73" i="4"/>
  <c r="Y94" i="4"/>
  <c r="Z101" i="4"/>
  <c r="W106" i="4"/>
  <c r="U90" i="4"/>
  <c r="V100" i="4"/>
  <c r="Z105" i="4"/>
  <c r="D109" i="4"/>
  <c r="H109" i="4" s="1"/>
  <c r="Z114" i="4"/>
  <c r="C120" i="4"/>
  <c r="N80" i="4"/>
  <c r="O18" i="4"/>
  <c r="N4" i="4"/>
  <c r="O27" i="4"/>
  <c r="C112" i="4"/>
  <c r="O8" i="4"/>
  <c r="Y16" i="4"/>
  <c r="A18" i="4"/>
  <c r="M25" i="4"/>
  <c r="A21" i="4"/>
  <c r="Y24" i="4"/>
  <c r="U45" i="4"/>
  <c r="X27" i="4"/>
  <c r="C59" i="4"/>
  <c r="C68" i="4"/>
  <c r="C36" i="4"/>
  <c r="H36" i="4" s="1"/>
  <c r="Z47" i="4"/>
  <c r="M27" i="4"/>
  <c r="V46" i="4"/>
  <c r="V63" i="4"/>
  <c r="M71" i="4"/>
  <c r="C82" i="4"/>
  <c r="A87" i="4"/>
  <c r="C98" i="4"/>
  <c r="D34" i="4"/>
  <c r="X46" i="4"/>
  <c r="Z57" i="4"/>
  <c r="A64" i="4"/>
  <c r="U70" i="4"/>
  <c r="M75" i="4"/>
  <c r="Z80" i="4"/>
  <c r="D86" i="4"/>
  <c r="N91" i="4"/>
  <c r="A96" i="4"/>
  <c r="U34" i="4"/>
  <c r="L59" i="4"/>
  <c r="N70" i="4"/>
  <c r="V43" i="4"/>
  <c r="U62" i="4"/>
  <c r="Y64" i="4"/>
  <c r="A54" i="4"/>
  <c r="Y79" i="4"/>
  <c r="Y90" i="4"/>
  <c r="W104" i="4"/>
  <c r="B57" i="4"/>
  <c r="U78" i="4"/>
  <c r="W88" i="4"/>
  <c r="L104" i="4"/>
  <c r="Y40" i="4"/>
  <c r="W86" i="4"/>
  <c r="A103" i="4"/>
  <c r="U111" i="4"/>
  <c r="B117" i="4"/>
  <c r="L122" i="4"/>
  <c r="M127" i="4"/>
  <c r="O197" i="4"/>
  <c r="O80" i="4"/>
  <c r="N18" i="4"/>
  <c r="N20" i="4"/>
  <c r="O75" i="4"/>
  <c r="Y112" i="4"/>
  <c r="C9" i="4"/>
  <c r="C6" i="4"/>
  <c r="U13" i="4"/>
  <c r="Y15" i="4"/>
  <c r="A26" i="4"/>
  <c r="Y26" i="4"/>
  <c r="L36" i="4"/>
  <c r="A46" i="4"/>
  <c r="Y37" i="4"/>
  <c r="C50" i="4"/>
  <c r="H50" i="4" s="1"/>
  <c r="U59" i="4"/>
  <c r="Y68" i="4"/>
  <c r="V38" i="4"/>
  <c r="A30" i="4"/>
  <c r="W64" i="4"/>
  <c r="Y71" i="4"/>
  <c r="L77" i="4"/>
  <c r="U82" i="4"/>
  <c r="Z87" i="4"/>
  <c r="C93" i="4"/>
  <c r="U98" i="4"/>
  <c r="M48" i="4"/>
  <c r="U58" i="4"/>
  <c r="X64" i="4"/>
  <c r="A71" i="4"/>
  <c r="Y75" i="4"/>
  <c r="Z86" i="4"/>
  <c r="Z91" i="4"/>
  <c r="M40" i="4"/>
  <c r="A61" i="4"/>
  <c r="B71" i="4"/>
  <c r="A47" i="4"/>
  <c r="Z63" i="4"/>
  <c r="C66" i="4"/>
  <c r="L100" i="4"/>
  <c r="L105" i="4"/>
  <c r="C62" i="4"/>
  <c r="F62" i="4" s="1"/>
  <c r="Z79" i="4"/>
  <c r="L89" i="4"/>
  <c r="C100" i="4"/>
  <c r="D105" i="4"/>
  <c r="H105" i="4" s="1"/>
  <c r="M47" i="4"/>
  <c r="Z77" i="4"/>
  <c r="L87" i="4"/>
  <c r="C104" i="4"/>
  <c r="H104" i="4" s="1"/>
  <c r="V102" i="4"/>
  <c r="C118" i="4"/>
  <c r="D123" i="4"/>
  <c r="H123" i="4" s="1"/>
  <c r="Y127" i="4"/>
  <c r="N84" i="4"/>
  <c r="O22" i="4"/>
  <c r="O74" i="4"/>
  <c r="N103" i="4"/>
  <c r="M5" i="4"/>
  <c r="W13" i="4"/>
  <c r="U9" i="4"/>
  <c r="U6" i="4"/>
  <c r="X15" i="4"/>
  <c r="A20" i="4"/>
  <c r="Z6" i="4"/>
  <c r="B24" i="4"/>
  <c r="A29" i="4"/>
  <c r="V37" i="4"/>
  <c r="C47" i="4"/>
  <c r="V22" i="4"/>
  <c r="U40" i="4"/>
  <c r="Z22" i="4"/>
  <c r="L40" i="4"/>
  <c r="C52" i="4"/>
  <c r="H52" i="4" s="1"/>
  <c r="A32" i="4"/>
  <c r="D54" i="4"/>
  <c r="H54" i="4" s="1"/>
  <c r="A66" i="4"/>
  <c r="W72" i="4"/>
  <c r="D78" i="4"/>
  <c r="H78" i="4" s="1"/>
  <c r="L88" i="4"/>
  <c r="X93" i="4"/>
  <c r="M37" i="4"/>
  <c r="D59" i="4"/>
  <c r="H59" i="4" s="1"/>
  <c r="Z71" i="4"/>
  <c r="D82" i="4"/>
  <c r="W87" i="4"/>
  <c r="Y42" i="4"/>
  <c r="X61" i="4"/>
  <c r="W73" i="4"/>
  <c r="B50" i="4"/>
  <c r="V52" i="4"/>
  <c r="D68" i="4"/>
  <c r="H68" i="4" s="1"/>
  <c r="W70" i="4"/>
  <c r="D101" i="4"/>
  <c r="H101" i="4" s="1"/>
  <c r="D106" i="4"/>
  <c r="F106" i="4" s="1"/>
  <c r="U69" i="4"/>
  <c r="X91" i="4"/>
  <c r="U100" i="4"/>
  <c r="U105" i="4"/>
  <c r="W52" i="4"/>
  <c r="D79" i="4"/>
  <c r="H79" i="4" s="1"/>
  <c r="O89" i="4"/>
  <c r="U104" i="4"/>
  <c r="W105" i="4"/>
  <c r="U118" i="4"/>
  <c r="V123" i="4"/>
  <c r="O126" i="4"/>
  <c r="O137" i="4"/>
  <c r="N50" i="4"/>
  <c r="N102" i="4"/>
  <c r="O39" i="4"/>
  <c r="O79" i="4"/>
  <c r="O13" i="4"/>
  <c r="Y5" i="4"/>
  <c r="M14" i="4"/>
  <c r="Y9" i="4"/>
  <c r="Y6" i="4"/>
  <c r="D16" i="4"/>
  <c r="Y21" i="4"/>
  <c r="B18" i="4"/>
  <c r="C8" i="4"/>
  <c r="L24" i="4"/>
  <c r="C30" i="4"/>
  <c r="H30" i="4" s="1"/>
  <c r="B38" i="4"/>
  <c r="L47" i="4"/>
  <c r="M26" i="4"/>
  <c r="Z40" i="4"/>
  <c r="X52" i="4"/>
  <c r="C24" i="4"/>
  <c r="V40" i="4"/>
  <c r="U52" i="4"/>
  <c r="C34" i="4"/>
  <c r="V54" i="4"/>
  <c r="M66" i="4"/>
  <c r="C73" i="4"/>
  <c r="N78" i="4"/>
  <c r="X88" i="4"/>
  <c r="D94" i="4"/>
  <c r="Y8" i="4"/>
  <c r="X37" i="4"/>
  <c r="X50" i="4"/>
  <c r="V59" i="4"/>
  <c r="B66" i="4"/>
  <c r="B72" i="4"/>
  <c r="C77" i="4"/>
  <c r="V82" i="4"/>
  <c r="C88" i="4"/>
  <c r="H88" i="4" s="1"/>
  <c r="D98" i="4"/>
  <c r="H98" i="4" s="1"/>
  <c r="D46" i="4"/>
  <c r="B63" i="4"/>
  <c r="V13" i="4"/>
  <c r="L66" i="4"/>
  <c r="L53" i="4"/>
  <c r="L69" i="4"/>
  <c r="L71" i="4"/>
  <c r="A82" i="4"/>
  <c r="A93" i="4"/>
  <c r="M101" i="4"/>
  <c r="V106" i="4"/>
  <c r="D72" i="4"/>
  <c r="H72" i="4" s="1"/>
  <c r="Y100" i="4"/>
  <c r="Y105" i="4"/>
  <c r="M79" i="4"/>
  <c r="W89" i="4"/>
  <c r="Y104" i="4"/>
  <c r="B73" i="4"/>
  <c r="M106" i="4"/>
  <c r="D114" i="4"/>
  <c r="H114" i="4" s="1"/>
  <c r="Y118" i="4"/>
  <c r="Z123" i="4"/>
  <c r="O84" i="4"/>
  <c r="N32" i="4"/>
  <c r="O64" i="4"/>
  <c r="O107" i="4"/>
  <c r="A6" i="4"/>
  <c r="Z15" i="4"/>
  <c r="W10" i="4"/>
  <c r="A7" i="4"/>
  <c r="V16" i="4"/>
  <c r="W22" i="4"/>
  <c r="X18" i="4"/>
  <c r="U8" i="4"/>
  <c r="X24" i="4"/>
  <c r="M30" i="4"/>
  <c r="U39" i="4"/>
  <c r="D48" i="4"/>
  <c r="Y27" i="4"/>
  <c r="D41" i="4"/>
  <c r="H41" i="4" s="1"/>
  <c r="V53" i="4"/>
  <c r="M61" i="4"/>
  <c r="Z27" i="4"/>
  <c r="L41" i="4"/>
  <c r="Y52" i="4"/>
  <c r="O34" i="4"/>
  <c r="B55" i="4"/>
  <c r="M73" i="4"/>
  <c r="V78" i="4"/>
  <c r="C84" i="4"/>
  <c r="H84" i="4" s="1"/>
  <c r="D89" i="4"/>
  <c r="V94" i="4"/>
  <c r="B39" i="4"/>
  <c r="Y66" i="4"/>
  <c r="L72" i="4"/>
  <c r="M77" i="4"/>
  <c r="Z82" i="4"/>
  <c r="M88" i="4"/>
  <c r="D93" i="4"/>
  <c r="H93" i="4" s="1"/>
  <c r="V98" i="4"/>
  <c r="V47" i="4"/>
  <c r="Y63" i="4"/>
  <c r="B21" i="4"/>
  <c r="C53" i="4"/>
  <c r="W66" i="4"/>
  <c r="W55" i="4"/>
  <c r="Z70" i="4"/>
  <c r="C74" i="4"/>
  <c r="F74" i="4" s="1"/>
  <c r="Z93" i="4"/>
  <c r="U101" i="4"/>
  <c r="Z106" i="4"/>
  <c r="V72" i="4"/>
  <c r="B82" i="4"/>
  <c r="A101" i="4"/>
  <c r="A106" i="4"/>
  <c r="C64" i="4"/>
  <c r="U79" i="4"/>
  <c r="C90" i="4"/>
  <c r="A105" i="4"/>
  <c r="W75" i="4"/>
  <c r="A107" i="4"/>
  <c r="N114" i="4"/>
  <c r="A119" i="4"/>
  <c r="N151" i="4"/>
  <c r="O120" i="4"/>
  <c r="N141" i="4"/>
  <c r="N54" i="4"/>
  <c r="O7" i="4"/>
  <c r="N79" i="4"/>
  <c r="N13" i="4"/>
  <c r="O6" i="4"/>
  <c r="L16" i="4"/>
  <c r="L11" i="4"/>
  <c r="V7" i="4"/>
  <c r="Z16" i="4"/>
  <c r="C23" i="4"/>
  <c r="L20" i="4"/>
  <c r="D25" i="4"/>
  <c r="H25" i="4" s="1"/>
  <c r="U30" i="4"/>
  <c r="A40" i="4"/>
  <c r="Z48" i="4"/>
  <c r="V41" i="4"/>
  <c r="Z53" i="4"/>
  <c r="C63" i="4"/>
  <c r="D29" i="4"/>
  <c r="H29" i="4" s="1"/>
  <c r="W41" i="4"/>
  <c r="A53" i="4"/>
  <c r="Z34" i="4"/>
  <c r="Y56" i="4"/>
  <c r="A68" i="4"/>
  <c r="U73" i="4"/>
  <c r="Z78" i="4"/>
  <c r="M84" i="4"/>
  <c r="M89" i="4"/>
  <c r="Z94" i="4"/>
  <c r="X39" i="4"/>
  <c r="X72" i="4"/>
  <c r="U77" i="4"/>
  <c r="U88" i="4"/>
  <c r="M93" i="4"/>
  <c r="Z98" i="4"/>
  <c r="V27" i="4"/>
  <c r="U53" i="4"/>
  <c r="C27" i="4"/>
  <c r="H27" i="4" s="1"/>
  <c r="M56" i="4"/>
  <c r="M74" i="4"/>
  <c r="W84" i="4"/>
  <c r="X94" i="4"/>
  <c r="Y101" i="4"/>
  <c r="B107" i="4"/>
  <c r="L73" i="4"/>
  <c r="L82" i="4"/>
  <c r="B93" i="4"/>
  <c r="V101" i="4"/>
  <c r="A80" i="4"/>
  <c r="M90" i="4"/>
  <c r="D100" i="4"/>
  <c r="V105" i="4"/>
  <c r="A77" i="4"/>
  <c r="V114" i="4"/>
  <c r="W119" i="4"/>
  <c r="AT182" i="13"/>
  <c r="N183" i="4" s="1"/>
  <c r="AU182" i="13"/>
  <c r="O183" i="4" s="1"/>
  <c r="AT189" i="13"/>
  <c r="N190" i="4" s="1"/>
  <c r="AU189" i="13"/>
  <c r="O190" i="4" s="1"/>
  <c r="F56" i="26"/>
  <c r="F46" i="26"/>
  <c r="F197" i="26"/>
  <c r="F119" i="26"/>
  <c r="F144" i="26"/>
  <c r="F165" i="26"/>
  <c r="F58" i="26"/>
  <c r="F6" i="26"/>
  <c r="F110" i="26"/>
  <c r="F95" i="26"/>
  <c r="F21" i="26"/>
  <c r="F178" i="26"/>
  <c r="F40" i="26"/>
  <c r="F30" i="26"/>
  <c r="F59" i="26"/>
  <c r="F90" i="26"/>
  <c r="F86" i="26"/>
  <c r="F187" i="26"/>
  <c r="F107" i="26"/>
  <c r="F136" i="26"/>
  <c r="F143" i="26"/>
  <c r="F69" i="26"/>
  <c r="F42" i="26"/>
  <c r="F166" i="26"/>
  <c r="F102" i="26"/>
  <c r="F27" i="26"/>
  <c r="F13" i="26"/>
  <c r="F175" i="26"/>
  <c r="F89" i="26"/>
  <c r="F200" i="26"/>
  <c r="F137" i="26"/>
  <c r="F72" i="26"/>
  <c r="F167" i="26"/>
  <c r="F9" i="26"/>
  <c r="F190" i="26"/>
  <c r="F180" i="26"/>
  <c r="F174" i="26"/>
  <c r="F64" i="26"/>
  <c r="F93" i="26"/>
  <c r="F128" i="26"/>
  <c r="F133" i="26"/>
  <c r="F48" i="26"/>
  <c r="F159" i="26"/>
  <c r="F158" i="26"/>
  <c r="F94" i="26"/>
  <c r="F10" i="26"/>
  <c r="B7" i="28"/>
  <c r="F194" i="26"/>
  <c r="F183" i="26"/>
  <c r="F179" i="26"/>
  <c r="F184" i="26"/>
  <c r="F22" i="26"/>
  <c r="F124" i="26"/>
  <c r="F129" i="26"/>
  <c r="F60" i="26"/>
  <c r="F153" i="26"/>
  <c r="F154" i="26"/>
  <c r="F83" i="26"/>
  <c r="F47" i="26"/>
  <c r="F5" i="26"/>
  <c r="B5" i="28"/>
  <c r="AA5" i="28" s="1"/>
  <c r="F198" i="26"/>
  <c r="F193" i="26"/>
  <c r="F74" i="26"/>
  <c r="F16" i="26"/>
  <c r="F120" i="26"/>
  <c r="F121" i="26"/>
  <c r="F177" i="26"/>
  <c r="F147" i="26"/>
  <c r="F150" i="26"/>
  <c r="F51" i="26"/>
  <c r="F181" i="26"/>
  <c r="F8" i="26"/>
  <c r="F87" i="26"/>
  <c r="F139" i="26"/>
  <c r="F39" i="26"/>
  <c r="F78" i="26"/>
  <c r="F199" i="26"/>
  <c r="F195" i="26"/>
  <c r="F70" i="26"/>
  <c r="F79" i="26"/>
  <c r="F112" i="26"/>
  <c r="F99" i="26"/>
  <c r="F123" i="26"/>
  <c r="F142" i="26"/>
  <c r="F26" i="26"/>
  <c r="F62" i="26"/>
  <c r="F25" i="26"/>
  <c r="F33" i="26"/>
  <c r="F91" i="26"/>
  <c r="F23" i="26"/>
  <c r="F115" i="26"/>
  <c r="F138" i="26"/>
  <c r="F149" i="26"/>
  <c r="F54" i="26"/>
  <c r="F171" i="26"/>
  <c r="F168" i="26"/>
  <c r="F104" i="26"/>
  <c r="F43" i="26"/>
  <c r="F19" i="26"/>
  <c r="F134" i="26"/>
  <c r="F38" i="26"/>
  <c r="F155" i="26"/>
  <c r="F160" i="26"/>
  <c r="F96" i="26"/>
  <c r="F14" i="26"/>
  <c r="F11" i="26"/>
  <c r="F126" i="26"/>
  <c r="F131" i="26"/>
  <c r="F176" i="26"/>
  <c r="F35" i="26"/>
  <c r="F41" i="26"/>
  <c r="F67" i="26"/>
  <c r="F57" i="26"/>
  <c r="F163" i="26"/>
  <c r="F75" i="26"/>
  <c r="F145" i="26"/>
  <c r="F130" i="26"/>
  <c r="F156" i="26"/>
  <c r="F118" i="26"/>
  <c r="F152" i="26"/>
  <c r="F135" i="26"/>
  <c r="F100" i="26"/>
  <c r="F127" i="26"/>
  <c r="F32" i="26"/>
  <c r="F92" i="26"/>
  <c r="F117" i="26"/>
  <c r="F173" i="26"/>
  <c r="F188" i="26"/>
  <c r="AT166" i="13"/>
  <c r="N167" i="4" s="1"/>
  <c r="F122" i="26"/>
  <c r="F88" i="26"/>
  <c r="F132" i="26"/>
  <c r="F116" i="26"/>
  <c r="F84" i="26"/>
  <c r="F68" i="26"/>
  <c r="F52" i="26"/>
  <c r="F20" i="26"/>
  <c r="I2" i="26"/>
  <c r="F182" i="26"/>
  <c r="F169" i="26"/>
  <c r="F161" i="26"/>
  <c r="F113" i="26"/>
  <c r="F97" i="26"/>
  <c r="F81" i="26"/>
  <c r="F73" i="26"/>
  <c r="F65" i="26"/>
  <c r="F17" i="26"/>
  <c r="F192" i="26"/>
  <c r="N159" i="4"/>
  <c r="F111" i="26"/>
  <c r="F36" i="26"/>
  <c r="F103" i="26"/>
  <c r="F114" i="26"/>
  <c r="F12" i="26"/>
  <c r="F76" i="26"/>
  <c r="F71" i="26"/>
  <c r="F148" i="26"/>
  <c r="F37" i="26"/>
  <c r="F53" i="26"/>
  <c r="E66" i="26"/>
  <c r="E161" i="26"/>
  <c r="E111" i="26"/>
  <c r="E169" i="26"/>
  <c r="E146" i="26"/>
  <c r="E52" i="26"/>
  <c r="D7" i="28"/>
  <c r="B8" i="28" s="1"/>
  <c r="AA8" i="28" s="1"/>
  <c r="F185" i="26"/>
  <c r="E113" i="26"/>
  <c r="E116" i="26"/>
  <c r="E68" i="26"/>
  <c r="AU153" i="13"/>
  <c r="O154" i="4" s="1"/>
  <c r="F141" i="26"/>
  <c r="F34" i="26"/>
  <c r="E81" i="26"/>
  <c r="F108" i="26"/>
  <c r="F172" i="26"/>
  <c r="E84" i="26"/>
  <c r="E61" i="26"/>
  <c r="F189" i="26"/>
  <c r="E182" i="26"/>
  <c r="N178" i="4"/>
  <c r="F101" i="26"/>
  <c r="F186" i="26"/>
  <c r="F106" i="26"/>
  <c r="F170" i="26"/>
  <c r="F140" i="26"/>
  <c r="S138" i="4" l="1"/>
  <c r="AX57" i="13"/>
  <c r="R58" i="4" s="1"/>
  <c r="Q58" i="4"/>
  <c r="F35" i="4"/>
  <c r="BD160" i="13"/>
  <c r="AB161" i="4" s="1"/>
  <c r="BA190" i="13"/>
  <c r="BB190" i="13" s="1"/>
  <c r="BC190" i="13" s="1"/>
  <c r="AA191" i="4" s="1"/>
  <c r="F71" i="4"/>
  <c r="H6" i="4"/>
  <c r="BB137" i="13"/>
  <c r="BA175" i="13"/>
  <c r="BB175" i="13" s="1"/>
  <c r="E176" i="4"/>
  <c r="F176" i="4" s="1"/>
  <c r="AX175" i="13"/>
  <c r="R176" i="4" s="1"/>
  <c r="H39" i="4"/>
  <c r="BC195" i="13"/>
  <c r="AA196" i="4" s="1"/>
  <c r="AZ27" i="13"/>
  <c r="T28" i="4" s="1"/>
  <c r="F15" i="4"/>
  <c r="H12" i="4"/>
  <c r="BA74" i="13"/>
  <c r="BB74" i="13" s="1"/>
  <c r="AV182" i="13"/>
  <c r="Q154" i="4"/>
  <c r="AX153" i="13"/>
  <c r="R154" i="4" s="1"/>
  <c r="P74" i="4"/>
  <c r="AY73" i="13"/>
  <c r="AY193" i="13"/>
  <c r="S194" i="4" s="1"/>
  <c r="P194" i="4"/>
  <c r="H89" i="4"/>
  <c r="F10" i="4"/>
  <c r="AX196" i="13"/>
  <c r="R197" i="4" s="1"/>
  <c r="F192" i="4"/>
  <c r="H145" i="4"/>
  <c r="AX15" i="13"/>
  <c r="R16" i="4" s="1"/>
  <c r="H103" i="4"/>
  <c r="H44" i="4"/>
  <c r="AX74" i="13"/>
  <c r="R75" i="4" s="1"/>
  <c r="BD182" i="13"/>
  <c r="AB183" i="4" s="1"/>
  <c r="F191" i="4"/>
  <c r="BB196" i="13"/>
  <c r="S175" i="4"/>
  <c r="AZ174" i="13"/>
  <c r="T175" i="4" s="1"/>
  <c r="BA6" i="13"/>
  <c r="E7" i="4"/>
  <c r="AY25" i="13"/>
  <c r="P26" i="4"/>
  <c r="E160" i="4"/>
  <c r="F160" i="4" s="1"/>
  <c r="BA159" i="13"/>
  <c r="BB159" i="13" s="1"/>
  <c r="Q92" i="4"/>
  <c r="BD190" i="13"/>
  <c r="AB191" i="4" s="1"/>
  <c r="H197" i="4"/>
  <c r="BA39" i="13"/>
  <c r="BB39" i="13" s="1"/>
  <c r="BD191" i="13"/>
  <c r="AB192" i="4" s="1"/>
  <c r="BC167" i="13"/>
  <c r="AA168" i="4" s="1"/>
  <c r="F193" i="4"/>
  <c r="BD15" i="13"/>
  <c r="AB16" i="4" s="1"/>
  <c r="Q108" i="4"/>
  <c r="BC9" i="13"/>
  <c r="AA10" i="4" s="1"/>
  <c r="BA31" i="13"/>
  <c r="BB31" i="13" s="1"/>
  <c r="H16" i="4"/>
  <c r="F83" i="4"/>
  <c r="AZ96" i="13"/>
  <c r="T97" i="4" s="1"/>
  <c r="AY107" i="13"/>
  <c r="S108" i="4" s="1"/>
  <c r="E16" i="4"/>
  <c r="BC20" i="13"/>
  <c r="AA21" i="4" s="1"/>
  <c r="BC66" i="13"/>
  <c r="AA67" i="4" s="1"/>
  <c r="BC48" i="13"/>
  <c r="AA49" i="4" s="1"/>
  <c r="H14" i="4"/>
  <c r="AV168" i="13"/>
  <c r="J161" i="4"/>
  <c r="BD197" i="13"/>
  <c r="AB198" i="4" s="1"/>
  <c r="AV197" i="13"/>
  <c r="P193" i="4"/>
  <c r="Q167" i="4"/>
  <c r="BB166" i="13"/>
  <c r="BC166" i="13" s="1"/>
  <c r="AA167" i="4" s="1"/>
  <c r="F7" i="4"/>
  <c r="H113" i="4"/>
  <c r="BB6" i="13"/>
  <c r="E151" i="4"/>
  <c r="F151" i="4" s="1"/>
  <c r="BA150" i="13"/>
  <c r="BA17" i="13"/>
  <c r="BB17" i="13" s="1"/>
  <c r="BC17" i="13" s="1"/>
  <c r="AA18" i="4" s="1"/>
  <c r="BC197" i="13"/>
  <c r="AA198" i="4" s="1"/>
  <c r="I192" i="4"/>
  <c r="E75" i="4"/>
  <c r="F75" i="4" s="1"/>
  <c r="AY196" i="13"/>
  <c r="S197" i="4" s="1"/>
  <c r="F63" i="4"/>
  <c r="F19" i="4"/>
  <c r="AV11" i="13"/>
  <c r="BD11" i="13"/>
  <c r="AB12" i="4" s="1"/>
  <c r="BC25" i="13"/>
  <c r="AA26" i="4" s="1"/>
  <c r="I151" i="4"/>
  <c r="AY183" i="13"/>
  <c r="P184" i="4"/>
  <c r="AY185" i="13"/>
  <c r="S186" i="4" s="1"/>
  <c r="H138" i="4"/>
  <c r="F101" i="4"/>
  <c r="H156" i="4"/>
  <c r="R195" i="4"/>
  <c r="BD39" i="13"/>
  <c r="AB40" i="4" s="1"/>
  <c r="F188" i="4"/>
  <c r="H86" i="4"/>
  <c r="AY41" i="13"/>
  <c r="S42" i="4" s="1"/>
  <c r="P42" i="4"/>
  <c r="H60" i="4"/>
  <c r="F21" i="4"/>
  <c r="F37" i="4"/>
  <c r="H81" i="4"/>
  <c r="BB61" i="13"/>
  <c r="H26" i="4"/>
  <c r="H19" i="4"/>
  <c r="AV177" i="13"/>
  <c r="AY177" i="13" s="1"/>
  <c r="BD175" i="13"/>
  <c r="AB176" i="4" s="1"/>
  <c r="BD150" i="13"/>
  <c r="AB151" i="4" s="1"/>
  <c r="R113" i="4"/>
  <c r="AY153" i="13"/>
  <c r="E183" i="4"/>
  <c r="F183" i="4" s="1"/>
  <c r="BA182" i="13"/>
  <c r="BB182" i="13" s="1"/>
  <c r="BC182" i="13" s="1"/>
  <c r="AA183" i="4" s="1"/>
  <c r="BC169" i="13"/>
  <c r="AA170" i="4" s="1"/>
  <c r="P122" i="4"/>
  <c r="AY121" i="13"/>
  <c r="S122" i="4" s="1"/>
  <c r="E168" i="4"/>
  <c r="F168" i="4" s="1"/>
  <c r="AV167" i="13"/>
  <c r="AX167" i="13"/>
  <c r="R168" i="4" s="1"/>
  <c r="AY9" i="13"/>
  <c r="P10" i="4"/>
  <c r="BC57" i="13"/>
  <c r="AA58" i="4" s="1"/>
  <c r="BC198" i="13"/>
  <c r="AA199" i="4" s="1"/>
  <c r="BD22" i="13"/>
  <c r="AB23" i="4" s="1"/>
  <c r="F33" i="4"/>
  <c r="F105" i="4"/>
  <c r="H179" i="4"/>
  <c r="BA102" i="13"/>
  <c r="BB102" i="13" s="1"/>
  <c r="E103" i="4"/>
  <c r="F103" i="4" s="1"/>
  <c r="R97" i="4"/>
  <c r="BC194" i="13"/>
  <c r="AA195" i="4" s="1"/>
  <c r="P196" i="4"/>
  <c r="H118" i="4"/>
  <c r="AX185" i="13"/>
  <c r="H33" i="4"/>
  <c r="H92" i="4"/>
  <c r="AZ80" i="13"/>
  <c r="T81" i="4" s="1"/>
  <c r="H126" i="4"/>
  <c r="BD17" i="13"/>
  <c r="AB18" i="4" s="1"/>
  <c r="BA7" i="13"/>
  <c r="BB7" i="13" s="1"/>
  <c r="BC7" i="13" s="1"/>
  <c r="AA8" i="4" s="1"/>
  <c r="BC52" i="13"/>
  <c r="AA53" i="4" s="1"/>
  <c r="P129" i="4"/>
  <c r="AZ169" i="13"/>
  <c r="T170" i="4" s="1"/>
  <c r="AV175" i="13"/>
  <c r="F9" i="4"/>
  <c r="BB173" i="13"/>
  <c r="BC173" i="13" s="1"/>
  <c r="AA174" i="4" s="1"/>
  <c r="S163" i="4"/>
  <c r="BB153" i="13"/>
  <c r="BC153" i="13" s="1"/>
  <c r="AA154" i="4" s="1"/>
  <c r="AX173" i="13"/>
  <c r="R174" i="4" s="1"/>
  <c r="AY105" i="13"/>
  <c r="P106" i="4"/>
  <c r="F149" i="4"/>
  <c r="Q138" i="4"/>
  <c r="AX137" i="13"/>
  <c r="R138" i="4" s="1"/>
  <c r="BA14" i="13"/>
  <c r="BB14" i="13" s="1"/>
  <c r="BC14" i="13" s="1"/>
  <c r="AA15" i="4" s="1"/>
  <c r="BC183" i="13"/>
  <c r="AA184" i="4" s="1"/>
  <c r="H17" i="4"/>
  <c r="H24" i="4"/>
  <c r="H20" i="4"/>
  <c r="AX187" i="13"/>
  <c r="R188" i="4" s="1"/>
  <c r="AX22" i="13"/>
  <c r="R23" i="4" s="1"/>
  <c r="H133" i="4"/>
  <c r="H37" i="4"/>
  <c r="BC97" i="13"/>
  <c r="AA98" i="4" s="1"/>
  <c r="S81" i="4"/>
  <c r="F17" i="4"/>
  <c r="BA24" i="13"/>
  <c r="BB24" i="13" s="1"/>
  <c r="BC24" i="13" s="1"/>
  <c r="AA25" i="4" s="1"/>
  <c r="F163" i="4"/>
  <c r="H167" i="4"/>
  <c r="AY57" i="13"/>
  <c r="H163" i="4"/>
  <c r="P179" i="4"/>
  <c r="AY10" i="13"/>
  <c r="P11" i="4"/>
  <c r="AY44" i="13"/>
  <c r="P45" i="4"/>
  <c r="AY67" i="13"/>
  <c r="P68" i="4"/>
  <c r="AY106" i="13"/>
  <c r="P107" i="4"/>
  <c r="AY42" i="13"/>
  <c r="P43" i="4"/>
  <c r="AY51" i="13"/>
  <c r="P52" i="4"/>
  <c r="K193" i="7" a="1"/>
  <c r="K193" i="7" s="1"/>
  <c r="K191" i="7" a="1"/>
  <c r="K191" i="7" s="1"/>
  <c r="K180" i="7" a="1"/>
  <c r="K180" i="7" s="1"/>
  <c r="K175" i="7" a="1"/>
  <c r="K175" i="7" s="1"/>
  <c r="K163" i="7" a="1"/>
  <c r="K163" i="7" s="1"/>
  <c r="K164" i="7" a="1"/>
  <c r="K164" i="7" s="1"/>
  <c r="K144" i="7" a="1"/>
  <c r="K144" i="7" s="1"/>
  <c r="K145" i="7" a="1"/>
  <c r="K145" i="7" s="1"/>
  <c r="K138" i="7" a="1"/>
  <c r="K138" i="7" s="1"/>
  <c r="K121" i="7" a="1"/>
  <c r="K121" i="7" s="1"/>
  <c r="K122" i="7" a="1"/>
  <c r="K122" i="7" s="1"/>
  <c r="K120" i="7" a="1"/>
  <c r="K120" i="7" s="1"/>
  <c r="K92" i="7" a="1"/>
  <c r="K92" i="7" s="1"/>
  <c r="K60" i="7" a="1"/>
  <c r="K60" i="7" s="1"/>
  <c r="K74" i="7" a="1"/>
  <c r="K74" i="7" s="1"/>
  <c r="K93" i="7" a="1"/>
  <c r="K93" i="7" s="1"/>
  <c r="K61" i="7" a="1"/>
  <c r="K61" i="7" s="1"/>
  <c r="K88" i="7" a="1"/>
  <c r="K88" i="7" s="1"/>
  <c r="K63" i="7" a="1"/>
  <c r="K63" i="7" s="1"/>
  <c r="K27" i="7" a="1"/>
  <c r="K27" i="7" s="1"/>
  <c r="K55" i="7" a="1"/>
  <c r="K55" i="7" s="1"/>
  <c r="K16" i="7" a="1"/>
  <c r="K16" i="7" s="1"/>
  <c r="K192" i="7" a="1"/>
  <c r="K192" i="7" s="1"/>
  <c r="K184" i="7" a="1"/>
  <c r="K184" i="7" s="1"/>
  <c r="K187" i="7" a="1"/>
  <c r="K187" i="7" s="1"/>
  <c r="K177" i="7" a="1"/>
  <c r="K177" i="7" s="1"/>
  <c r="K160" i="7" a="1"/>
  <c r="K160" i="7" s="1"/>
  <c r="K156" i="7" a="1"/>
  <c r="K156" i="7" s="1"/>
  <c r="K143" i="7" a="1"/>
  <c r="K143" i="7" s="1"/>
  <c r="K140" i="7" a="1"/>
  <c r="K140" i="7" s="1"/>
  <c r="K137" i="7" a="1"/>
  <c r="K137" i="7" s="1"/>
  <c r="K117" i="7" a="1"/>
  <c r="K117" i="7" s="1"/>
  <c r="K118" i="7" a="1"/>
  <c r="K118" i="7" s="1"/>
  <c r="K111" i="7" a="1"/>
  <c r="K111" i="7" s="1"/>
  <c r="K91" i="7" a="1"/>
  <c r="K91" i="7" s="1"/>
  <c r="K59" i="7" a="1"/>
  <c r="K59" i="7" s="1"/>
  <c r="K73" i="7" a="1"/>
  <c r="K73" i="7" s="1"/>
  <c r="K86" i="7" a="1"/>
  <c r="K86" i="7" s="1"/>
  <c r="K119" i="7" a="1"/>
  <c r="K119" i="7" s="1"/>
  <c r="K198" i="7" a="1"/>
  <c r="K198" i="7" s="1"/>
  <c r="K190" i="7" a="1"/>
  <c r="K190" i="7" s="1"/>
  <c r="K183" i="7" a="1"/>
  <c r="K183" i="7" s="1"/>
  <c r="K166" i="7" a="1"/>
  <c r="K166" i="7" s="1"/>
  <c r="K169" i="7" a="1"/>
  <c r="K169" i="7" s="1"/>
  <c r="K148" i="7" a="1"/>
  <c r="K148" i="7" s="1"/>
  <c r="K135" i="7" a="1"/>
  <c r="K135" i="7" s="1"/>
  <c r="K134" i="7" a="1"/>
  <c r="K134" i="7" s="1"/>
  <c r="K146" i="7" a="1"/>
  <c r="K146" i="7" s="1"/>
  <c r="K109" i="7" a="1"/>
  <c r="K109" i="7" s="1"/>
  <c r="K114" i="7" a="1"/>
  <c r="K114" i="7" s="1"/>
  <c r="K103" i="7" a="1"/>
  <c r="K103" i="7" s="1"/>
  <c r="K83" i="7" a="1"/>
  <c r="K83" i="7" s="1"/>
  <c r="K97" i="7" a="1"/>
  <c r="K97" i="7" s="1"/>
  <c r="K65" i="7" a="1"/>
  <c r="K65" i="7" s="1"/>
  <c r="K78" i="7" a="1"/>
  <c r="K78" i="7" s="1"/>
  <c r="K87" i="7" a="1"/>
  <c r="K87" i="7" s="1"/>
  <c r="K57" i="7" a="1"/>
  <c r="K57" i="7" s="1"/>
  <c r="K51" i="7" a="1"/>
  <c r="K51" i="7" s="1"/>
  <c r="K18" i="7" a="1"/>
  <c r="K18" i="7" s="1"/>
  <c r="K33" i="7" a="1"/>
  <c r="K33" i="7" s="1"/>
  <c r="K56" i="7" a="1"/>
  <c r="K56" i="7" s="1"/>
  <c r="K22" i="7" a="1"/>
  <c r="K22" i="7" s="1"/>
  <c r="K189" i="7" a="1"/>
  <c r="K189" i="7" s="1"/>
  <c r="K178" i="7" a="1"/>
  <c r="K178" i="7" s="1"/>
  <c r="K84" i="7" a="1"/>
  <c r="K84" i="7" s="1"/>
  <c r="K81" i="7" a="1"/>
  <c r="K81" i="7" s="1"/>
  <c r="K69" i="7" a="1"/>
  <c r="K69" i="7" s="1"/>
  <c r="K26" i="7" a="1"/>
  <c r="K26" i="7" s="1"/>
  <c r="K5" i="7" a="1"/>
  <c r="K5" i="7" s="1"/>
  <c r="K155" i="7" a="1"/>
  <c r="K155" i="7" s="1"/>
  <c r="K152" i="7" a="1"/>
  <c r="K152" i="7" s="1"/>
  <c r="K142" i="7" a="1"/>
  <c r="K142" i="7" s="1"/>
  <c r="K106" i="7" a="1"/>
  <c r="K106" i="7" s="1"/>
  <c r="K76" i="7" a="1"/>
  <c r="K76" i="7" s="1"/>
  <c r="K112" i="7" a="1"/>
  <c r="K112" i="7" s="1"/>
  <c r="K24" i="7" a="1"/>
  <c r="K24" i="7" s="1"/>
  <c r="K23" i="7" a="1"/>
  <c r="K23" i="7" s="1"/>
  <c r="K200" i="7" a="1"/>
  <c r="K200" i="7" s="1"/>
  <c r="K182" i="7" a="1"/>
  <c r="K182" i="7" s="1"/>
  <c r="K172" i="7" a="1"/>
  <c r="K172" i="7" s="1"/>
  <c r="K147" i="7" a="1"/>
  <c r="K147" i="7" s="1"/>
  <c r="K66" i="7" a="1"/>
  <c r="K66" i="7" s="1"/>
  <c r="K62" i="7" a="1"/>
  <c r="K62" i="7" s="1"/>
  <c r="K19" i="7" a="1"/>
  <c r="K19" i="7" s="1"/>
  <c r="K15" i="7" a="1"/>
  <c r="K15" i="7" s="1"/>
  <c r="K21" i="7" a="1"/>
  <c r="K21" i="7" s="1"/>
  <c r="K139" i="7" a="1"/>
  <c r="K139" i="7" s="1"/>
  <c r="K125" i="7" a="1"/>
  <c r="K125" i="7" s="1"/>
  <c r="K128" i="7" a="1"/>
  <c r="K128" i="7" s="1"/>
  <c r="K75" i="7" a="1"/>
  <c r="K75" i="7" s="1"/>
  <c r="K123" i="7" a="1"/>
  <c r="K123" i="7" s="1"/>
  <c r="K95" i="7" a="1"/>
  <c r="K95" i="7" s="1"/>
  <c r="K11" i="7" a="1"/>
  <c r="K11" i="7" s="1"/>
  <c r="K17" i="7" a="1"/>
  <c r="K17" i="7" s="1"/>
  <c r="K199" i="7" a="1"/>
  <c r="K199" i="7" s="1"/>
  <c r="K181" i="7" a="1"/>
  <c r="K181" i="7" s="1"/>
  <c r="K165" i="7" a="1"/>
  <c r="K165" i="7" s="1"/>
  <c r="K168" i="7" a="1"/>
  <c r="K168" i="7" s="1"/>
  <c r="K132" i="7" a="1"/>
  <c r="K132" i="7" s="1"/>
  <c r="K96" i="7" a="1"/>
  <c r="K96" i="7" s="1"/>
  <c r="K9" i="7" a="1"/>
  <c r="K9" i="7" s="1"/>
  <c r="K14" i="7" a="1"/>
  <c r="K14" i="7" s="1"/>
  <c r="K12" i="7" a="1"/>
  <c r="K12" i="7" s="1"/>
  <c r="K188" i="7" a="1"/>
  <c r="K188" i="7" s="1"/>
  <c r="K171" i="7" a="1"/>
  <c r="K171" i="7" s="1"/>
  <c r="K151" i="7" a="1"/>
  <c r="K151" i="7" s="1"/>
  <c r="K130" i="7" a="1"/>
  <c r="K130" i="7" s="1"/>
  <c r="K108" i="7" a="1"/>
  <c r="K108" i="7" s="1"/>
  <c r="K53" i="7" a="1"/>
  <c r="K53" i="7" s="1"/>
  <c r="K8" i="7" a="1"/>
  <c r="K8" i="7" s="1"/>
  <c r="K7" i="7" a="1"/>
  <c r="K7" i="7" s="1"/>
  <c r="K44" i="7" a="1"/>
  <c r="K44" i="7" s="1"/>
  <c r="K186" i="7" a="1"/>
  <c r="K186" i="7" s="1"/>
  <c r="K174" i="7" a="1"/>
  <c r="K174" i="7" s="1"/>
  <c r="K110" i="7" a="1"/>
  <c r="K110" i="7" s="1"/>
  <c r="K67" i="7" a="1"/>
  <c r="K67" i="7" s="1"/>
  <c r="K104" i="7" a="1"/>
  <c r="K104" i="7" s="1"/>
  <c r="K58" i="7" a="1"/>
  <c r="K58" i="7" s="1"/>
  <c r="K80" i="7" a="1"/>
  <c r="K80" i="7" s="1"/>
  <c r="K47" i="7" a="1"/>
  <c r="K47" i="7" s="1"/>
  <c r="K159" i="7" a="1"/>
  <c r="K159" i="7" s="1"/>
  <c r="K150" i="7" a="1"/>
  <c r="K150" i="7" s="1"/>
  <c r="K161" i="7" a="1"/>
  <c r="K161" i="7" s="1"/>
  <c r="K101" i="7" a="1"/>
  <c r="K101" i="7" s="1"/>
  <c r="K102" i="7" a="1"/>
  <c r="K102" i="7" s="1"/>
  <c r="K52" i="7" a="1"/>
  <c r="K52" i="7" s="1"/>
  <c r="K6" i="7" a="1"/>
  <c r="K6" i="7" s="1"/>
  <c r="K3" i="7" a="1"/>
  <c r="K3" i="7" s="1"/>
  <c r="K179" i="7" a="1"/>
  <c r="K179" i="7" s="1"/>
  <c r="K133" i="7" a="1"/>
  <c r="K133" i="7" s="1"/>
  <c r="K49" i="7" a="1"/>
  <c r="K49" i="7" s="1"/>
  <c r="K126" i="7" a="1"/>
  <c r="K126" i="7" s="1"/>
  <c r="K89" i="7" a="1"/>
  <c r="K89" i="7" s="1"/>
  <c r="K79" i="7" a="1"/>
  <c r="K79" i="7" s="1"/>
  <c r="K40" i="7" a="1"/>
  <c r="K40" i="7" s="1"/>
  <c r="K13" i="7" a="1"/>
  <c r="K13" i="7" s="1"/>
  <c r="K176" i="7" a="1"/>
  <c r="K176" i="7" s="1"/>
  <c r="K131" i="7" a="1"/>
  <c r="K131" i="7" s="1"/>
  <c r="K32" i="7" a="1"/>
  <c r="K32" i="7" s="1"/>
  <c r="K29" i="7" a="1"/>
  <c r="K29" i="7" s="1"/>
  <c r="K115" i="7" a="1"/>
  <c r="K115" i="7" s="1"/>
  <c r="K82" i="7" a="1"/>
  <c r="K82" i="7" s="1"/>
  <c r="K54" i="7" a="1"/>
  <c r="K54" i="7" s="1"/>
  <c r="K20" i="7" a="1"/>
  <c r="K20" i="7" s="1"/>
  <c r="K167" i="7" a="1"/>
  <c r="K167" i="7" s="1"/>
  <c r="K153" i="7" a="1"/>
  <c r="K153" i="7" s="1"/>
  <c r="K107" i="7" a="1"/>
  <c r="K107" i="7" s="1"/>
  <c r="K48" i="7" a="1"/>
  <c r="K48" i="7" s="1"/>
  <c r="K25" i="7" a="1"/>
  <c r="K25" i="7" s="1"/>
  <c r="K185" i="7" a="1"/>
  <c r="K185" i="7" s="1"/>
  <c r="K162" i="7" a="1"/>
  <c r="K162" i="7" s="1"/>
  <c r="K94" i="7" a="1"/>
  <c r="K94" i="7" s="1"/>
  <c r="K43" i="7" a="1"/>
  <c r="K43" i="7" s="1"/>
  <c r="K46" i="7" a="1"/>
  <c r="K46" i="7" s="1"/>
  <c r="K37" i="7" a="1"/>
  <c r="K37" i="7" s="1"/>
  <c r="K154" i="7" a="1"/>
  <c r="K154" i="7" s="1"/>
  <c r="K127" i="7" a="1"/>
  <c r="K127" i="7" s="1"/>
  <c r="K28" i="7" a="1"/>
  <c r="K28" i="7" s="1"/>
  <c r="K197" i="7" a="1"/>
  <c r="K197" i="7" s="1"/>
  <c r="K158" i="7" a="1"/>
  <c r="K158" i="7" s="1"/>
  <c r="K85" i="7" a="1"/>
  <c r="K85" i="7" s="1"/>
  <c r="K42" i="7" a="1"/>
  <c r="K42" i="7" s="1"/>
  <c r="K39" i="7" a="1"/>
  <c r="K39" i="7" s="1"/>
  <c r="K116" i="7" a="1"/>
  <c r="K116" i="7" s="1"/>
  <c r="K64" i="7" a="1"/>
  <c r="K64" i="7" s="1"/>
  <c r="K173" i="7" a="1"/>
  <c r="K173" i="7" s="1"/>
  <c r="K50" i="7" a="1"/>
  <c r="K50" i="7" s="1"/>
  <c r="K45" i="7" a="1"/>
  <c r="K45" i="7" s="1"/>
  <c r="K100" i="7" a="1"/>
  <c r="K100" i="7" s="1"/>
  <c r="K36" i="7" a="1"/>
  <c r="K36" i="7" s="1"/>
  <c r="K124" i="7" a="1"/>
  <c r="K124" i="7" s="1"/>
  <c r="K72" i="7" a="1"/>
  <c r="K72" i="7" s="1"/>
  <c r="K4" i="7" a="1"/>
  <c r="K4" i="7" s="1"/>
  <c r="K157" i="7" a="1"/>
  <c r="K157" i="7" s="1"/>
  <c r="K35" i="7" a="1"/>
  <c r="K35" i="7" s="1"/>
  <c r="K99" i="7" a="1"/>
  <c r="K99" i="7" s="1"/>
  <c r="K170" i="7" a="1"/>
  <c r="K170" i="7" s="1"/>
  <c r="K34" i="7" a="1"/>
  <c r="K34" i="7" s="1"/>
  <c r="K68" i="7" a="1"/>
  <c r="K68" i="7" s="1"/>
  <c r="K10" i="7" a="1"/>
  <c r="K10" i="7" s="1"/>
  <c r="K136" i="7" a="1"/>
  <c r="K136" i="7" s="1"/>
  <c r="K41" i="7" a="1"/>
  <c r="K41" i="7" s="1"/>
  <c r="K149" i="7" a="1"/>
  <c r="K149" i="7" s="1"/>
  <c r="K141" i="7" a="1"/>
  <c r="K141" i="7" s="1"/>
  <c r="K38" i="7" a="1"/>
  <c r="K38" i="7" s="1"/>
  <c r="K105" i="7" a="1"/>
  <c r="K105" i="7" s="1"/>
  <c r="K98" i="7" a="1"/>
  <c r="K98" i="7" s="1"/>
  <c r="K90" i="7" a="1"/>
  <c r="K90" i="7" s="1"/>
  <c r="K195" i="7" a="1"/>
  <c r="K195" i="7" s="1"/>
  <c r="K113" i="7" a="1"/>
  <c r="K113" i="7" s="1"/>
  <c r="K77" i="7" a="1"/>
  <c r="K77" i="7" s="1"/>
  <c r="K30" i="7" a="1"/>
  <c r="K30" i="7" s="1"/>
  <c r="K194" i="7" a="1"/>
  <c r="K194" i="7" s="1"/>
  <c r="K196" i="7" a="1"/>
  <c r="K196" i="7" s="1"/>
  <c r="K129" i="7" a="1"/>
  <c r="K129" i="7" s="1"/>
  <c r="K71" i="7" a="1"/>
  <c r="K71" i="7" s="1"/>
  <c r="K31" i="7" a="1"/>
  <c r="K31" i="7" s="1"/>
  <c r="K70" i="7" a="1"/>
  <c r="K70" i="7" s="1"/>
  <c r="AY76" i="13"/>
  <c r="P77" i="4"/>
  <c r="AY19" i="13"/>
  <c r="P20" i="4"/>
  <c r="AY60" i="13"/>
  <c r="P61" i="4"/>
  <c r="AY3" i="13"/>
  <c r="P4" i="4"/>
  <c r="AY168" i="13"/>
  <c r="P169" i="4"/>
  <c r="P141" i="4"/>
  <c r="AY140" i="13"/>
  <c r="H3" i="4"/>
  <c r="G196" i="7" a="1"/>
  <c r="G196" i="7" s="1"/>
  <c r="G188" i="7" a="1"/>
  <c r="G188" i="7" s="1"/>
  <c r="G183" i="7" a="1"/>
  <c r="G183" i="7" s="1"/>
  <c r="G175" i="7" a="1"/>
  <c r="G175" i="7" s="1"/>
  <c r="G174" i="7" a="1"/>
  <c r="G174" i="7" s="1"/>
  <c r="G166" i="7" a="1"/>
  <c r="G166" i="7" s="1"/>
  <c r="G150" i="7" a="1"/>
  <c r="G150" i="7" s="1"/>
  <c r="G144" i="7" a="1"/>
  <c r="G144" i="7" s="1"/>
  <c r="G145" i="7" a="1"/>
  <c r="G145" i="7" s="1"/>
  <c r="G117" i="7" a="1"/>
  <c r="G117" i="7" s="1"/>
  <c r="G118" i="7" a="1"/>
  <c r="G118" i="7" s="1"/>
  <c r="G115" i="7" a="1"/>
  <c r="G115" i="7" s="1"/>
  <c r="G88" i="7" a="1"/>
  <c r="G88" i="7" s="1"/>
  <c r="G53" i="7" a="1"/>
  <c r="G53" i="7" s="1"/>
  <c r="G77" i="7" a="1"/>
  <c r="G77" i="7" s="1"/>
  <c r="G98" i="7" a="1"/>
  <c r="G98" i="7" s="1"/>
  <c r="G66" i="7" a="1"/>
  <c r="G66" i="7" s="1"/>
  <c r="G91" i="7" a="1"/>
  <c r="G91" i="7" s="1"/>
  <c r="G59" i="7" a="1"/>
  <c r="G59" i="7" s="1"/>
  <c r="G39" i="7" a="1"/>
  <c r="G39" i="7" s="1"/>
  <c r="G7" i="7" a="1"/>
  <c r="G7" i="7" s="1"/>
  <c r="G21" i="7" a="1"/>
  <c r="G21" i="7" s="1"/>
  <c r="G27" i="7" a="1"/>
  <c r="G27" i="7" s="1"/>
  <c r="G16" i="7" a="1"/>
  <c r="G16" i="7" s="1"/>
  <c r="G49" i="7" a="1"/>
  <c r="G49" i="7" s="1"/>
  <c r="G195" i="7" a="1"/>
  <c r="G195" i="7" s="1"/>
  <c r="G187" i="7" a="1"/>
  <c r="G187" i="7" s="1"/>
  <c r="G192" i="7" a="1"/>
  <c r="G192" i="7" s="1"/>
  <c r="G171" i="7" a="1"/>
  <c r="G171" i="7" s="1"/>
  <c r="G167" i="7" a="1"/>
  <c r="G167" i="7" s="1"/>
  <c r="G160" i="7" a="1"/>
  <c r="G160" i="7" s="1"/>
  <c r="G147" i="7" a="1"/>
  <c r="G147" i="7" s="1"/>
  <c r="G143" i="7" a="1"/>
  <c r="G143" i="7" s="1"/>
  <c r="G142" i="7" a="1"/>
  <c r="G142" i="7" s="1"/>
  <c r="G113" i="7" a="1"/>
  <c r="G113" i="7" s="1"/>
  <c r="G111" i="7" a="1"/>
  <c r="G111" i="7" s="1"/>
  <c r="G114" i="7" a="1"/>
  <c r="G114" i="7" s="1"/>
  <c r="G87" i="7" a="1"/>
  <c r="G87" i="7" s="1"/>
  <c r="G127" i="7" a="1"/>
  <c r="G127" i="7" s="1"/>
  <c r="G70" i="7" a="1"/>
  <c r="G70" i="7" s="1"/>
  <c r="G97" i="7" a="1"/>
  <c r="G97" i="7" s="1"/>
  <c r="G65" i="7" a="1"/>
  <c r="G65" i="7" s="1"/>
  <c r="G68" i="7" a="1"/>
  <c r="G68" i="7" s="1"/>
  <c r="G57" i="7" a="1"/>
  <c r="G57" i="7" s="1"/>
  <c r="G38" i="7" a="1"/>
  <c r="G38" i="7" s="1"/>
  <c r="G60" i="7" a="1"/>
  <c r="G60" i="7" s="1"/>
  <c r="G20" i="7" a="1"/>
  <c r="G20" i="7" s="1"/>
  <c r="G26" i="7" a="1"/>
  <c r="G26" i="7" s="1"/>
  <c r="G6" i="7" a="1"/>
  <c r="G6" i="7" s="1"/>
  <c r="G33" i="7" a="1"/>
  <c r="G33" i="7" s="1"/>
  <c r="G199" i="7" a="1"/>
  <c r="G199" i="7" s="1"/>
  <c r="G186" i="7" a="1"/>
  <c r="G186" i="7" s="1"/>
  <c r="G191" i="7" a="1"/>
  <c r="G191" i="7" s="1"/>
  <c r="G163" i="7" a="1"/>
  <c r="G163" i="7" s="1"/>
  <c r="G155" i="7" a="1"/>
  <c r="G155" i="7" s="1"/>
  <c r="G152" i="7" a="1"/>
  <c r="G152" i="7" s="1"/>
  <c r="G139" i="7" a="1"/>
  <c r="G139" i="7" s="1"/>
  <c r="G134" i="7" a="1"/>
  <c r="G134" i="7" s="1"/>
  <c r="G149" i="7" a="1"/>
  <c r="G149" i="7" s="1"/>
  <c r="G105" i="7" a="1"/>
  <c r="G105" i="7" s="1"/>
  <c r="G103" i="7" a="1"/>
  <c r="G103" i="7" s="1"/>
  <c r="G106" i="7" a="1"/>
  <c r="G106" i="7" s="1"/>
  <c r="G79" i="7" a="1"/>
  <c r="G79" i="7" s="1"/>
  <c r="G94" i="7" a="1"/>
  <c r="G94" i="7" s="1"/>
  <c r="G62" i="7" a="1"/>
  <c r="G62" i="7" s="1"/>
  <c r="G89" i="7" a="1"/>
  <c r="G89" i="7" s="1"/>
  <c r="G76" i="7" a="1"/>
  <c r="G76" i="7" s="1"/>
  <c r="G52" i="7" a="1"/>
  <c r="G52" i="7" s="1"/>
  <c r="G83" i="7" a="1"/>
  <c r="G83" i="7" s="1"/>
  <c r="G190" i="7" a="1"/>
  <c r="G190" i="7" s="1"/>
  <c r="G182" i="7" a="1"/>
  <c r="G182" i="7" s="1"/>
  <c r="G179" i="7" a="1"/>
  <c r="G179" i="7" s="1"/>
  <c r="G162" i="7" a="1"/>
  <c r="G162" i="7" s="1"/>
  <c r="G172" i="7" a="1"/>
  <c r="G172" i="7" s="1"/>
  <c r="G151" i="7" a="1"/>
  <c r="G151" i="7" s="1"/>
  <c r="G135" i="7" a="1"/>
  <c r="G135" i="7" s="1"/>
  <c r="G132" i="7" a="1"/>
  <c r="G132" i="7" s="1"/>
  <c r="G137" i="7" a="1"/>
  <c r="G137" i="7" s="1"/>
  <c r="G104" i="7" a="1"/>
  <c r="G104" i="7" s="1"/>
  <c r="G102" i="7" a="1"/>
  <c r="G102" i="7" s="1"/>
  <c r="G123" i="7" a="1"/>
  <c r="G123" i="7" s="1"/>
  <c r="G72" i="7" a="1"/>
  <c r="G72" i="7" s="1"/>
  <c r="G93" i="7" a="1"/>
  <c r="G93" i="7" s="1"/>
  <c r="G61" i="7" a="1"/>
  <c r="G61" i="7" s="1"/>
  <c r="G82" i="7" a="1"/>
  <c r="G82" i="7" s="1"/>
  <c r="G67" i="7" a="1"/>
  <c r="G67" i="7" s="1"/>
  <c r="G51" i="7" a="1"/>
  <c r="G51" i="7" s="1"/>
  <c r="G54" i="7" a="1"/>
  <c r="G54" i="7" s="1"/>
  <c r="G23" i="7" a="1"/>
  <c r="G23" i="7" s="1"/>
  <c r="G37" i="7" a="1"/>
  <c r="G37" i="7" s="1"/>
  <c r="G43" i="7" a="1"/>
  <c r="G43" i="7" s="1"/>
  <c r="G11" i="7" a="1"/>
  <c r="G11" i="7" s="1"/>
  <c r="G122" i="7" a="1"/>
  <c r="G122" i="7" s="1"/>
  <c r="G96" i="7" a="1"/>
  <c r="G96" i="7" s="1"/>
  <c r="G86" i="7" a="1"/>
  <c r="G86" i="7" s="1"/>
  <c r="G90" i="7" a="1"/>
  <c r="G90" i="7" s="1"/>
  <c r="G9" i="7" a="1"/>
  <c r="G9" i="7" s="1"/>
  <c r="G176" i="7" a="1"/>
  <c r="G176" i="7" s="1"/>
  <c r="G154" i="7" a="1"/>
  <c r="G154" i="7" s="1"/>
  <c r="G133" i="7" a="1"/>
  <c r="G133" i="7" s="1"/>
  <c r="G141" i="7" a="1"/>
  <c r="G141" i="7" s="1"/>
  <c r="G46" i="7" a="1"/>
  <c r="G46" i="7" s="1"/>
  <c r="G36" i="7" a="1"/>
  <c r="G36" i="7" s="1"/>
  <c r="G198" i="7" a="1"/>
  <c r="G198" i="7" s="1"/>
  <c r="G95" i="7" a="1"/>
  <c r="G95" i="7" s="1"/>
  <c r="G85" i="7" a="1"/>
  <c r="G85" i="7" s="1"/>
  <c r="G81" i="7" a="1"/>
  <c r="G81" i="7" s="1"/>
  <c r="G58" i="7" a="1"/>
  <c r="G58" i="7" s="1"/>
  <c r="G19" i="7" a="1"/>
  <c r="G19" i="7" s="1"/>
  <c r="G24" i="7" a="1"/>
  <c r="G24" i="7" s="1"/>
  <c r="G153" i="7" a="1"/>
  <c r="G153" i="7" s="1"/>
  <c r="G131" i="7" a="1"/>
  <c r="G131" i="7" s="1"/>
  <c r="G129" i="7" a="1"/>
  <c r="G129" i="7" s="1"/>
  <c r="G110" i="7" a="1"/>
  <c r="G110" i="7" s="1"/>
  <c r="G29" i="7" a="1"/>
  <c r="G29" i="7" s="1"/>
  <c r="G197" i="7" a="1"/>
  <c r="G197" i="7" s="1"/>
  <c r="G185" i="7" a="1"/>
  <c r="G185" i="7" s="1"/>
  <c r="G173" i="7" a="1"/>
  <c r="G173" i="7" s="1"/>
  <c r="G159" i="7" a="1"/>
  <c r="G159" i="7" s="1"/>
  <c r="G73" i="7" a="1"/>
  <c r="G73" i="7" s="1"/>
  <c r="G84" i="7" a="1"/>
  <c r="G84" i="7" s="1"/>
  <c r="G121" i="7" a="1"/>
  <c r="G121" i="7" s="1"/>
  <c r="G124" i="7" a="1"/>
  <c r="G124" i="7" s="1"/>
  <c r="G71" i="7" a="1"/>
  <c r="G71" i="7" s="1"/>
  <c r="G69" i="7" a="1"/>
  <c r="G69" i="7" s="1"/>
  <c r="G22" i="7" a="1"/>
  <c r="G22" i="7" s="1"/>
  <c r="G3" i="7" a="1"/>
  <c r="G3" i="7" s="1"/>
  <c r="G40" i="7" a="1"/>
  <c r="G40" i="7" s="1"/>
  <c r="G184" i="7" a="1"/>
  <c r="G184" i="7" s="1"/>
  <c r="G169" i="7" a="1"/>
  <c r="G169" i="7" s="1"/>
  <c r="G164" i="7" a="1"/>
  <c r="G164" i="7" s="1"/>
  <c r="G136" i="7" a="1"/>
  <c r="G136" i="7" s="1"/>
  <c r="G75" i="7" a="1"/>
  <c r="G75" i="7" s="1"/>
  <c r="G13" i="7" a="1"/>
  <c r="G13" i="7" s="1"/>
  <c r="G17" i="7" a="1"/>
  <c r="G17" i="7" s="1"/>
  <c r="G189" i="7" a="1"/>
  <c r="G189" i="7" s="1"/>
  <c r="G126" i="7" a="1"/>
  <c r="G126" i="7" s="1"/>
  <c r="G30" i="7" a="1"/>
  <c r="G30" i="7" s="1"/>
  <c r="G34" i="7" a="1"/>
  <c r="G34" i="7" s="1"/>
  <c r="G168" i="7" a="1"/>
  <c r="G168" i="7" s="1"/>
  <c r="G146" i="7" a="1"/>
  <c r="G146" i="7" s="1"/>
  <c r="G56" i="7" a="1"/>
  <c r="G56" i="7" s="1"/>
  <c r="G15" i="7" a="1"/>
  <c r="G15" i="7" s="1"/>
  <c r="G18" i="7" a="1"/>
  <c r="G18" i="7" s="1"/>
  <c r="G200" i="7" a="1"/>
  <c r="G200" i="7" s="1"/>
  <c r="G109" i="7" a="1"/>
  <c r="G109" i="7" s="1"/>
  <c r="G130" i="7" a="1"/>
  <c r="G130" i="7" s="1"/>
  <c r="G128" i="7" a="1"/>
  <c r="G128" i="7" s="1"/>
  <c r="G55" i="7" a="1"/>
  <c r="G55" i="7" s="1"/>
  <c r="G14" i="7" a="1"/>
  <c r="G14" i="7" s="1"/>
  <c r="G10" i="7" a="1"/>
  <c r="G10" i="7" s="1"/>
  <c r="G165" i="7" a="1"/>
  <c r="G165" i="7" s="1"/>
  <c r="G119" i="7" a="1"/>
  <c r="G119" i="7" s="1"/>
  <c r="G48" i="7" a="1"/>
  <c r="G48" i="7" s="1"/>
  <c r="G45" i="7" a="1"/>
  <c r="G45" i="7" s="1"/>
  <c r="G148" i="7" a="1"/>
  <c r="G148" i="7" s="1"/>
  <c r="G107" i="7" a="1"/>
  <c r="G107" i="7" s="1"/>
  <c r="G44" i="7" a="1"/>
  <c r="G44" i="7" s="1"/>
  <c r="G4" i="7" a="1"/>
  <c r="G4" i="7" s="1"/>
  <c r="G116" i="7" a="1"/>
  <c r="G116" i="7" s="1"/>
  <c r="G41" i="7" a="1"/>
  <c r="G41" i="7" s="1"/>
  <c r="G120" i="7" a="1"/>
  <c r="G120" i="7" s="1"/>
  <c r="G42" i="7" a="1"/>
  <c r="G42" i="7" s="1"/>
  <c r="G161" i="7" a="1"/>
  <c r="G161" i="7" s="1"/>
  <c r="G99" i="7" a="1"/>
  <c r="G99" i="7" s="1"/>
  <c r="G108" i="7" a="1"/>
  <c r="G108" i="7" s="1"/>
  <c r="G35" i="7" a="1"/>
  <c r="G35" i="7" s="1"/>
  <c r="G194" i="7" a="1"/>
  <c r="G194" i="7" s="1"/>
  <c r="G158" i="7" a="1"/>
  <c r="G158" i="7" s="1"/>
  <c r="G101" i="7" a="1"/>
  <c r="G101" i="7" s="1"/>
  <c r="G193" i="7" a="1"/>
  <c r="G193" i="7" s="1"/>
  <c r="G80" i="7" a="1"/>
  <c r="G80" i="7" s="1"/>
  <c r="G92" i="7" a="1"/>
  <c r="G92" i="7" s="1"/>
  <c r="G181" i="7" a="1"/>
  <c r="G181" i="7" s="1"/>
  <c r="G140" i="7" a="1"/>
  <c r="G140" i="7" s="1"/>
  <c r="G64" i="7" a="1"/>
  <c r="G64" i="7" s="1"/>
  <c r="G32" i="7" a="1"/>
  <c r="G32" i="7" s="1"/>
  <c r="G180" i="7" a="1"/>
  <c r="G180" i="7" s="1"/>
  <c r="G50" i="7" a="1"/>
  <c r="G50" i="7" s="1"/>
  <c r="G157" i="7" a="1"/>
  <c r="G157" i="7" s="1"/>
  <c r="G63" i="7" a="1"/>
  <c r="G63" i="7" s="1"/>
  <c r="G178" i="7" a="1"/>
  <c r="G178" i="7" s="1"/>
  <c r="G78" i="7" a="1"/>
  <c r="G78" i="7" s="1"/>
  <c r="G47" i="7" a="1"/>
  <c r="G47" i="7" s="1"/>
  <c r="G5" i="7" a="1"/>
  <c r="G5" i="7" s="1"/>
  <c r="G125" i="7" a="1"/>
  <c r="G125" i="7" s="1"/>
  <c r="G31" i="7" a="1"/>
  <c r="G31" i="7" s="1"/>
  <c r="G156" i="7" a="1"/>
  <c r="G156" i="7" s="1"/>
  <c r="G138" i="7" a="1"/>
  <c r="G138" i="7" s="1"/>
  <c r="G12" i="7" a="1"/>
  <c r="G12" i="7" s="1"/>
  <c r="G74" i="7" a="1"/>
  <c r="G74" i="7" s="1"/>
  <c r="G28" i="7" a="1"/>
  <c r="G28" i="7" s="1"/>
  <c r="G177" i="7" a="1"/>
  <c r="G177" i="7" s="1"/>
  <c r="G8" i="7" a="1"/>
  <c r="G8" i="7" s="1"/>
  <c r="G170" i="7" a="1"/>
  <c r="G170" i="7" s="1"/>
  <c r="G100" i="7" a="1"/>
  <c r="G100" i="7" s="1"/>
  <c r="G25" i="7" a="1"/>
  <c r="G25" i="7" s="1"/>
  <c r="G112" i="7" a="1"/>
  <c r="G112" i="7" s="1"/>
  <c r="I55" i="4"/>
  <c r="AV54" i="13"/>
  <c r="BD54" i="13"/>
  <c r="AB55" i="4" s="1"/>
  <c r="BC144" i="13"/>
  <c r="AA145" i="4" s="1"/>
  <c r="Q156" i="4"/>
  <c r="AX155" i="13"/>
  <c r="R156" i="4" s="1"/>
  <c r="AY155" i="13"/>
  <c r="R193" i="4"/>
  <c r="AZ192" i="13"/>
  <c r="T193" i="4" s="1"/>
  <c r="I160" i="4"/>
  <c r="BD159" i="13"/>
  <c r="AB160" i="4" s="1"/>
  <c r="AV159" i="13"/>
  <c r="S200" i="4"/>
  <c r="AZ199" i="13"/>
  <c r="T200" i="4" s="1"/>
  <c r="BC87" i="13"/>
  <c r="AA88" i="4" s="1"/>
  <c r="Q80" i="4"/>
  <c r="AX79" i="13"/>
  <c r="R80" i="4" s="1"/>
  <c r="H42" i="4"/>
  <c r="AY35" i="13"/>
  <c r="P36" i="4"/>
  <c r="AY7" i="13"/>
  <c r="P8" i="4"/>
  <c r="BC114" i="13"/>
  <c r="AA115" i="4" s="1"/>
  <c r="S199" i="4"/>
  <c r="AZ198" i="13"/>
  <c r="T199" i="4" s="1"/>
  <c r="I103" i="4"/>
  <c r="AV102" i="13"/>
  <c r="BD102" i="13"/>
  <c r="AB103" i="4" s="1"/>
  <c r="BC176" i="13"/>
  <c r="AA177" i="4" s="1"/>
  <c r="Q39" i="4"/>
  <c r="AX38" i="13"/>
  <c r="R39" i="4" s="1"/>
  <c r="BB38" i="13"/>
  <c r="BC38" i="13" s="1"/>
  <c r="AA39" i="4" s="1"/>
  <c r="O192" i="7" a="1"/>
  <c r="O192" i="7" s="1"/>
  <c r="O184" i="7" a="1"/>
  <c r="O184" i="7" s="1"/>
  <c r="O163" i="7" a="1"/>
  <c r="O163" i="7" s="1"/>
  <c r="O167" i="7" a="1"/>
  <c r="O167" i="7" s="1"/>
  <c r="O133" i="7" a="1"/>
  <c r="O133" i="7" s="1"/>
  <c r="O130" i="7" a="1"/>
  <c r="O130" i="7" s="1"/>
  <c r="O121" i="7" a="1"/>
  <c r="O121" i="7" s="1"/>
  <c r="O103" i="7" a="1"/>
  <c r="O103" i="7" s="1"/>
  <c r="O137" i="7" a="1"/>
  <c r="O137" i="7" s="1"/>
  <c r="O64" i="7" a="1"/>
  <c r="O64" i="7" s="1"/>
  <c r="O77" i="7" a="1"/>
  <c r="O77" i="7" s="1"/>
  <c r="O82" i="7" a="1"/>
  <c r="O82" i="7" s="1"/>
  <c r="O56" i="7" a="1"/>
  <c r="O56" i="7" s="1"/>
  <c r="O57" i="7" a="1"/>
  <c r="O57" i="7" s="1"/>
  <c r="O22" i="7" a="1"/>
  <c r="O22" i="7" s="1"/>
  <c r="O29" i="7" a="1"/>
  <c r="O29" i="7" s="1"/>
  <c r="O27" i="7" a="1"/>
  <c r="O27" i="7" s="1"/>
  <c r="O40" i="7" a="1"/>
  <c r="O40" i="7" s="1"/>
  <c r="O188" i="7" a="1"/>
  <c r="O188" i="7" s="1"/>
  <c r="O162" i="7" a="1"/>
  <c r="O162" i="7" s="1"/>
  <c r="O164" i="7" a="1"/>
  <c r="O164" i="7" s="1"/>
  <c r="O160" i="7" a="1"/>
  <c r="O160" i="7" s="1"/>
  <c r="O117" i="7" a="1"/>
  <c r="O117" i="7" s="1"/>
  <c r="O116" i="7" a="1"/>
  <c r="O116" i="7" s="1"/>
  <c r="O63" i="7" a="1"/>
  <c r="O63" i="7" s="1"/>
  <c r="O81" i="7" a="1"/>
  <c r="O81" i="7" s="1"/>
  <c r="O55" i="7" a="1"/>
  <c r="O55" i="7" s="1"/>
  <c r="O15" i="7" a="1"/>
  <c r="O15" i="7" s="1"/>
  <c r="O28" i="7" a="1"/>
  <c r="O28" i="7" s="1"/>
  <c r="O17" i="7" a="1"/>
  <c r="O17" i="7" s="1"/>
  <c r="O187" i="7" a="1"/>
  <c r="O187" i="7" s="1"/>
  <c r="O183" i="7" a="1"/>
  <c r="O183" i="7" s="1"/>
  <c r="O169" i="7" a="1"/>
  <c r="O169" i="7" s="1"/>
  <c r="O161" i="7" a="1"/>
  <c r="O161" i="7" s="1"/>
  <c r="O131" i="7" a="1"/>
  <c r="O131" i="7" s="1"/>
  <c r="O150" i="7" a="1"/>
  <c r="O150" i="7" s="1"/>
  <c r="O113" i="7" a="1"/>
  <c r="O113" i="7" s="1"/>
  <c r="O102" i="7" a="1"/>
  <c r="O102" i="7" s="1"/>
  <c r="O99" i="7" a="1"/>
  <c r="O99" i="7" s="1"/>
  <c r="O53" i="7" a="1"/>
  <c r="O53" i="7" s="1"/>
  <c r="O70" i="7" a="1"/>
  <c r="O70" i="7" s="1"/>
  <c r="O74" i="7" a="1"/>
  <c r="O74" i="7" s="1"/>
  <c r="O76" i="7" a="1"/>
  <c r="O76" i="7" s="1"/>
  <c r="O48" i="7" a="1"/>
  <c r="O48" i="7" s="1"/>
  <c r="O14" i="7" a="1"/>
  <c r="O14" i="7" s="1"/>
  <c r="O21" i="7" a="1"/>
  <c r="O21" i="7" s="1"/>
  <c r="O26" i="7" a="1"/>
  <c r="O26" i="7" s="1"/>
  <c r="O8" i="7" a="1"/>
  <c r="O8" i="7" s="1"/>
  <c r="O199" i="7" a="1"/>
  <c r="O199" i="7" s="1"/>
  <c r="O200" i="7" a="1"/>
  <c r="O200" i="7" s="1"/>
  <c r="O168" i="7" a="1"/>
  <c r="O168" i="7" s="1"/>
  <c r="O159" i="7" a="1"/>
  <c r="O159" i="7" s="1"/>
  <c r="O196" i="7" a="1"/>
  <c r="O196" i="7" s="1"/>
  <c r="O185" i="7" a="1"/>
  <c r="O185" i="7" s="1"/>
  <c r="O177" i="7" a="1"/>
  <c r="O177" i="7" s="1"/>
  <c r="O173" i="7" a="1"/>
  <c r="O173" i="7" s="1"/>
  <c r="O152" i="7" a="1"/>
  <c r="O152" i="7" s="1"/>
  <c r="O145" i="7" a="1"/>
  <c r="O145" i="7" s="1"/>
  <c r="O141" i="7" a="1"/>
  <c r="O141" i="7" s="1"/>
  <c r="O105" i="7" a="1"/>
  <c r="O105" i="7" s="1"/>
  <c r="O124" i="7" a="1"/>
  <c r="O124" i="7" s="1"/>
  <c r="O88" i="7" a="1"/>
  <c r="O88" i="7" s="1"/>
  <c r="O108" i="7" a="1"/>
  <c r="O108" i="7" s="1"/>
  <c r="O61" i="7" a="1"/>
  <c r="O61" i="7" s="1"/>
  <c r="O65" i="7" a="1"/>
  <c r="O65" i="7" s="1"/>
  <c r="O54" i="7" a="1"/>
  <c r="O54" i="7" s="1"/>
  <c r="O46" i="7" a="1"/>
  <c r="O46" i="7" s="1"/>
  <c r="O91" i="7" a="1"/>
  <c r="O91" i="7" s="1"/>
  <c r="O13" i="7" a="1"/>
  <c r="O13" i="7" s="1"/>
  <c r="O11" i="7" a="1"/>
  <c r="O11" i="7" s="1"/>
  <c r="O4" i="7" a="1"/>
  <c r="O4" i="7" s="1"/>
  <c r="O195" i="7" a="1"/>
  <c r="O195" i="7" s="1"/>
  <c r="O182" i="7" a="1"/>
  <c r="O182" i="7" s="1"/>
  <c r="O176" i="7" a="1"/>
  <c r="O176" i="7" s="1"/>
  <c r="O166" i="7" a="1"/>
  <c r="O166" i="7" s="1"/>
  <c r="O151" i="7" a="1"/>
  <c r="O151" i="7" s="1"/>
  <c r="O143" i="7" a="1"/>
  <c r="O143" i="7" s="1"/>
  <c r="O138" i="7" a="1"/>
  <c r="O138" i="7" s="1"/>
  <c r="O104" i="7" a="1"/>
  <c r="O104" i="7" s="1"/>
  <c r="O120" i="7" a="1"/>
  <c r="O120" i="7" s="1"/>
  <c r="O87" i="7" a="1"/>
  <c r="O87" i="7" s="1"/>
  <c r="O101" i="7" a="1"/>
  <c r="O101" i="7" s="1"/>
  <c r="O127" i="7" a="1"/>
  <c r="O127" i="7" s="1"/>
  <c r="O109" i="7" a="1"/>
  <c r="O109" i="7" s="1"/>
  <c r="O52" i="7" a="1"/>
  <c r="O52" i="7" s="1"/>
  <c r="O39" i="7" a="1"/>
  <c r="O39" i="7" s="1"/>
  <c r="O50" i="7" a="1"/>
  <c r="O50" i="7" s="1"/>
  <c r="O12" i="7" a="1"/>
  <c r="O12" i="7" s="1"/>
  <c r="O10" i="7" a="1"/>
  <c r="O10" i="7" s="1"/>
  <c r="O41" i="7" a="1"/>
  <c r="O41" i="7" s="1"/>
  <c r="O146" i="7" a="1"/>
  <c r="O146" i="7" s="1"/>
  <c r="O71" i="7" a="1"/>
  <c r="O71" i="7" s="1"/>
  <c r="O90" i="7" a="1"/>
  <c r="O90" i="7" s="1"/>
  <c r="O123" i="7" a="1"/>
  <c r="O123" i="7" s="1"/>
  <c r="O6" i="7" a="1"/>
  <c r="O6" i="7" s="1"/>
  <c r="O16" i="7" a="1"/>
  <c r="O16" i="7" s="1"/>
  <c r="O198" i="7" a="1"/>
  <c r="O198" i="7" s="1"/>
  <c r="O171" i="7" a="1"/>
  <c r="O171" i="7" s="1"/>
  <c r="O149" i="7" a="1"/>
  <c r="O149" i="7" s="1"/>
  <c r="O172" i="7" a="1"/>
  <c r="O172" i="7" s="1"/>
  <c r="O128" i="7" a="1"/>
  <c r="O128" i="7" s="1"/>
  <c r="O19" i="7" a="1"/>
  <c r="O19" i="7" s="1"/>
  <c r="O190" i="7" a="1"/>
  <c r="O190" i="7" s="1"/>
  <c r="O140" i="7" a="1"/>
  <c r="O140" i="7" s="1"/>
  <c r="O115" i="7" a="1"/>
  <c r="O115" i="7" s="1"/>
  <c r="O119" i="7" a="1"/>
  <c r="O119" i="7" s="1"/>
  <c r="O89" i="7" a="1"/>
  <c r="O89" i="7" s="1"/>
  <c r="O92" i="7" a="1"/>
  <c r="O92" i="7" s="1"/>
  <c r="O45" i="7" a="1"/>
  <c r="O45" i="7" s="1"/>
  <c r="O18" i="7" a="1"/>
  <c r="O18" i="7" s="1"/>
  <c r="O189" i="7" a="1"/>
  <c r="O189" i="7" s="1"/>
  <c r="O170" i="7" a="1"/>
  <c r="O170" i="7" s="1"/>
  <c r="O139" i="7" a="1"/>
  <c r="O139" i="7" s="1"/>
  <c r="O158" i="7" a="1"/>
  <c r="O158" i="7" s="1"/>
  <c r="O114" i="7" a="1"/>
  <c r="O114" i="7" s="1"/>
  <c r="O83" i="7" a="1"/>
  <c r="O83" i="7" s="1"/>
  <c r="O3" i="7" a="1"/>
  <c r="O3" i="7" s="1"/>
  <c r="O129" i="7" a="1"/>
  <c r="O129" i="7" s="1"/>
  <c r="O94" i="7" a="1"/>
  <c r="O94" i="7" s="1"/>
  <c r="O73" i="7" a="1"/>
  <c r="O73" i="7" s="1"/>
  <c r="O60" i="7" a="1"/>
  <c r="O60" i="7" s="1"/>
  <c r="O44" i="7" a="1"/>
  <c r="O44" i="7" s="1"/>
  <c r="O33" i="7" a="1"/>
  <c r="O33" i="7" s="1"/>
  <c r="O181" i="7" a="1"/>
  <c r="O181" i="7" s="1"/>
  <c r="O148" i="7" a="1"/>
  <c r="O148" i="7" s="1"/>
  <c r="O49" i="7" a="1"/>
  <c r="O49" i="7" s="1"/>
  <c r="O36" i="7" a="1"/>
  <c r="O36" i="7" s="1"/>
  <c r="O24" i="7" a="1"/>
  <c r="O24" i="7" s="1"/>
  <c r="O186" i="7" a="1"/>
  <c r="O186" i="7" s="1"/>
  <c r="O156" i="7" a="1"/>
  <c r="O156" i="7" s="1"/>
  <c r="O136" i="7" a="1"/>
  <c r="O136" i="7" s="1"/>
  <c r="O112" i="7" a="1"/>
  <c r="O112" i="7" s="1"/>
  <c r="O106" i="7" a="1"/>
  <c r="O106" i="7" s="1"/>
  <c r="O86" i="7" a="1"/>
  <c r="O86" i="7" s="1"/>
  <c r="O100" i="7" a="1"/>
  <c r="O100" i="7" s="1"/>
  <c r="O47" i="7" a="1"/>
  <c r="O47" i="7" s="1"/>
  <c r="O135" i="7" a="1"/>
  <c r="O135" i="7" s="1"/>
  <c r="O85" i="7" a="1"/>
  <c r="O85" i="7" s="1"/>
  <c r="O38" i="7" a="1"/>
  <c r="O38" i="7" s="1"/>
  <c r="O20" i="7" a="1"/>
  <c r="O20" i="7" s="1"/>
  <c r="O59" i="7" a="1"/>
  <c r="O59" i="7" s="1"/>
  <c r="O197" i="7" a="1"/>
  <c r="O197" i="7" s="1"/>
  <c r="O111" i="7" a="1"/>
  <c r="O111" i="7" s="1"/>
  <c r="O98" i="7" a="1"/>
  <c r="O98" i="7" s="1"/>
  <c r="O23" i="7" a="1"/>
  <c r="O23" i="7" s="1"/>
  <c r="O32" i="7" a="1"/>
  <c r="O32" i="7" s="1"/>
  <c r="O144" i="7" a="1"/>
  <c r="O144" i="7" s="1"/>
  <c r="O110" i="7" a="1"/>
  <c r="O110" i="7" s="1"/>
  <c r="O97" i="7" a="1"/>
  <c r="O97" i="7" s="1"/>
  <c r="O194" i="7" a="1"/>
  <c r="O194" i="7" s="1"/>
  <c r="O157" i="7" a="1"/>
  <c r="O157" i="7" s="1"/>
  <c r="O7" i="7" a="1"/>
  <c r="O7" i="7" s="1"/>
  <c r="O25" i="7" a="1"/>
  <c r="O25" i="7" s="1"/>
  <c r="O193" i="7" a="1"/>
  <c r="O193" i="7" s="1"/>
  <c r="O134" i="7" a="1"/>
  <c r="O134" i="7" s="1"/>
  <c r="O95" i="7" a="1"/>
  <c r="O95" i="7" s="1"/>
  <c r="O75" i="7" a="1"/>
  <c r="O75" i="7" s="1"/>
  <c r="O68" i="7" a="1"/>
  <c r="O68" i="7" s="1"/>
  <c r="O191" i="7" a="1"/>
  <c r="O191" i="7" s="1"/>
  <c r="O58" i="7" a="1"/>
  <c r="O58" i="7" s="1"/>
  <c r="O43" i="7" a="1"/>
  <c r="O43" i="7" s="1"/>
  <c r="O132" i="7" a="1"/>
  <c r="O132" i="7" s="1"/>
  <c r="O80" i="7" a="1"/>
  <c r="O80" i="7" s="1"/>
  <c r="O178" i="7" a="1"/>
  <c r="O178" i="7" s="1"/>
  <c r="O67" i="7" a="1"/>
  <c r="O67" i="7" s="1"/>
  <c r="O42" i="7" a="1"/>
  <c r="O42" i="7" s="1"/>
  <c r="O180" i="7" a="1"/>
  <c r="O180" i="7" s="1"/>
  <c r="O118" i="7" a="1"/>
  <c r="O118" i="7" s="1"/>
  <c r="O175" i="7" a="1"/>
  <c r="O175" i="7" s="1"/>
  <c r="O107" i="7" a="1"/>
  <c r="O107" i="7" s="1"/>
  <c r="O30" i="7" a="1"/>
  <c r="O30" i="7" s="1"/>
  <c r="O174" i="7" a="1"/>
  <c r="O174" i="7" s="1"/>
  <c r="O96" i="7" a="1"/>
  <c r="O96" i="7" s="1"/>
  <c r="O179" i="7" a="1"/>
  <c r="O179" i="7" s="1"/>
  <c r="O79" i="7" a="1"/>
  <c r="O79" i="7" s="1"/>
  <c r="O37" i="7" a="1"/>
  <c r="O37" i="7" s="1"/>
  <c r="O153" i="7" a="1"/>
  <c r="O153" i="7" s="1"/>
  <c r="O78" i="7" a="1"/>
  <c r="O78" i="7" s="1"/>
  <c r="O34" i="7" a="1"/>
  <c r="O34" i="7" s="1"/>
  <c r="O165" i="7" a="1"/>
  <c r="O165" i="7" s="1"/>
  <c r="O69" i="7" a="1"/>
  <c r="O69" i="7" s="1"/>
  <c r="O72" i="7" a="1"/>
  <c r="O72" i="7" s="1"/>
  <c r="O93" i="7" a="1"/>
  <c r="O93" i="7" s="1"/>
  <c r="O62" i="7" a="1"/>
  <c r="O62" i="7" s="1"/>
  <c r="O66" i="7" a="1"/>
  <c r="O66" i="7" s="1"/>
  <c r="O51" i="7" a="1"/>
  <c r="O51" i="7" s="1"/>
  <c r="O155" i="7" a="1"/>
  <c r="O155" i="7" s="1"/>
  <c r="O126" i="7" a="1"/>
  <c r="O126" i="7" s="1"/>
  <c r="O122" i="7" a="1"/>
  <c r="O122" i="7" s="1"/>
  <c r="O84" i="7" a="1"/>
  <c r="O84" i="7" s="1"/>
  <c r="O31" i="7" a="1"/>
  <c r="O31" i="7" s="1"/>
  <c r="O35" i="7" a="1"/>
  <c r="O35" i="7" s="1"/>
  <c r="O5" i="7" a="1"/>
  <c r="O5" i="7" s="1"/>
  <c r="O9" i="7" a="1"/>
  <c r="O9" i="7" s="1"/>
  <c r="O142" i="7" a="1"/>
  <c r="O142" i="7" s="1"/>
  <c r="O125" i="7" a="1"/>
  <c r="O125" i="7" s="1"/>
  <c r="O154" i="7" a="1"/>
  <c r="O154" i="7" s="1"/>
  <c r="O147" i="7" a="1"/>
  <c r="O147" i="7" s="1"/>
  <c r="I146" i="4"/>
  <c r="AV145" i="13"/>
  <c r="H140" i="4"/>
  <c r="E125" i="4"/>
  <c r="F125" i="4" s="1"/>
  <c r="AX124" i="13"/>
  <c r="R125" i="4" s="1"/>
  <c r="BA124" i="13"/>
  <c r="BB124" i="13" s="1"/>
  <c r="BD124" i="13"/>
  <c r="AB125" i="4" s="1"/>
  <c r="AX94" i="13"/>
  <c r="R95" i="4" s="1"/>
  <c r="E95" i="4"/>
  <c r="F95" i="4" s="1"/>
  <c r="BD94" i="13"/>
  <c r="AB95" i="4" s="1"/>
  <c r="BA94" i="13"/>
  <c r="BB94" i="13" s="1"/>
  <c r="AV94" i="13"/>
  <c r="BC61" i="13"/>
  <c r="AA62" i="4" s="1"/>
  <c r="BC22" i="13"/>
  <c r="AA23" i="4" s="1"/>
  <c r="H62" i="4"/>
  <c r="BC39" i="13"/>
  <c r="AA40" i="4" s="1"/>
  <c r="AY14" i="13"/>
  <c r="P15" i="4"/>
  <c r="F78" i="4"/>
  <c r="AX129" i="13"/>
  <c r="R130" i="4" s="1"/>
  <c r="BD129" i="13"/>
  <c r="AB130" i="4" s="1"/>
  <c r="E130" i="4"/>
  <c r="F130" i="4" s="1"/>
  <c r="BA129" i="13"/>
  <c r="BB129" i="13" s="1"/>
  <c r="F57" i="4"/>
  <c r="AY4" i="13"/>
  <c r="P5" i="4"/>
  <c r="Q149" i="4"/>
  <c r="AX148" i="13"/>
  <c r="R149" i="4" s="1"/>
  <c r="BB148" i="13"/>
  <c r="AX59" i="13"/>
  <c r="R60" i="4" s="1"/>
  <c r="AY59" i="13"/>
  <c r="BD138" i="13"/>
  <c r="AB139" i="4" s="1"/>
  <c r="AX138" i="13"/>
  <c r="R139" i="4" s="1"/>
  <c r="BA138" i="13"/>
  <c r="BB138" i="13" s="1"/>
  <c r="E139" i="4"/>
  <c r="F139" i="4" s="1"/>
  <c r="AV138" i="13"/>
  <c r="F48" i="4"/>
  <c r="H48" i="4"/>
  <c r="F94" i="4"/>
  <c r="H94" i="4"/>
  <c r="H112" i="4"/>
  <c r="R115" i="4"/>
  <c r="AZ114" i="13"/>
  <c r="T115" i="4" s="1"/>
  <c r="Q158" i="4"/>
  <c r="AX157" i="13"/>
  <c r="R158" i="4" s="1"/>
  <c r="BB157" i="13"/>
  <c r="J88" i="7" a="1"/>
  <c r="J88" i="7" s="1"/>
  <c r="AY124" i="13"/>
  <c r="P125" i="4"/>
  <c r="I34" i="4"/>
  <c r="AV33" i="13"/>
  <c r="AX28" i="13"/>
  <c r="R29" i="4" s="1"/>
  <c r="E29" i="4"/>
  <c r="F29" i="4" s="1"/>
  <c r="BA28" i="13"/>
  <c r="BB28" i="13" s="1"/>
  <c r="BC28" i="13" s="1"/>
  <c r="AA29" i="4" s="1"/>
  <c r="BD28" i="13"/>
  <c r="AB29" i="4" s="1"/>
  <c r="AX123" i="13"/>
  <c r="R124" i="4" s="1"/>
  <c r="BB123" i="13"/>
  <c r="AY123" i="13"/>
  <c r="Q172" i="4"/>
  <c r="AX171" i="13"/>
  <c r="R172" i="4" s="1"/>
  <c r="BB171" i="13"/>
  <c r="BC171" i="13" s="1"/>
  <c r="AA172" i="4" s="1"/>
  <c r="AY171" i="13"/>
  <c r="S97" i="4"/>
  <c r="BC88" i="13"/>
  <c r="AA89" i="4" s="1"/>
  <c r="AA7" i="28"/>
  <c r="AX122" i="13"/>
  <c r="R123" i="4" s="1"/>
  <c r="BA122" i="13"/>
  <c r="BB122" i="13" s="1"/>
  <c r="E123" i="4"/>
  <c r="F123" i="4" s="1"/>
  <c r="AV122" i="13"/>
  <c r="BD122" i="13"/>
  <c r="AB123" i="4" s="1"/>
  <c r="F23" i="4"/>
  <c r="AX58" i="13"/>
  <c r="R59" i="4" s="1"/>
  <c r="E59" i="4"/>
  <c r="F59" i="4" s="1"/>
  <c r="BD58" i="13"/>
  <c r="AB59" i="4" s="1"/>
  <c r="BA58" i="13"/>
  <c r="BB58" i="13" s="1"/>
  <c r="N184" i="7" a="1"/>
  <c r="N184" i="7" s="1"/>
  <c r="N200" i="7" a="1"/>
  <c r="N200" i="7" s="1"/>
  <c r="N196" i="7" a="1"/>
  <c r="N196" i="7" s="1"/>
  <c r="N198" i="7" a="1"/>
  <c r="N198" i="7" s="1"/>
  <c r="N190" i="7" a="1"/>
  <c r="N190" i="7" s="1"/>
  <c r="N183" i="7" a="1"/>
  <c r="N183" i="7" s="1"/>
  <c r="N166" i="7" a="1"/>
  <c r="N166" i="7" s="1"/>
  <c r="N158" i="7" a="1"/>
  <c r="N158" i="7" s="1"/>
  <c r="N154" i="7" a="1"/>
  <c r="N154" i="7" s="1"/>
  <c r="N134" i="7" a="1"/>
  <c r="N134" i="7" s="1"/>
  <c r="N199" i="7" a="1"/>
  <c r="N199" i="7" s="1"/>
  <c r="N194" i="7" a="1"/>
  <c r="N194" i="7" s="1"/>
  <c r="N180" i="7" a="1"/>
  <c r="N180" i="7" s="1"/>
  <c r="N165" i="7" a="1"/>
  <c r="N165" i="7" s="1"/>
  <c r="N168" i="7" a="1"/>
  <c r="N168" i="7" s="1"/>
  <c r="N147" i="7" a="1"/>
  <c r="N147" i="7" s="1"/>
  <c r="N132" i="7" a="1"/>
  <c r="N132" i="7" s="1"/>
  <c r="N133" i="7" a="1"/>
  <c r="N133" i="7" s="1"/>
  <c r="N136" i="7" a="1"/>
  <c r="N136" i="7" s="1"/>
  <c r="N107" i="7" a="1"/>
  <c r="N107" i="7" s="1"/>
  <c r="N113" i="7" a="1"/>
  <c r="N113" i="7" s="1"/>
  <c r="N110" i="7" a="1"/>
  <c r="N110" i="7" s="1"/>
  <c r="N83" i="7" a="1"/>
  <c r="N83" i="7" s="1"/>
  <c r="N112" i="7" a="1"/>
  <c r="N112" i="7" s="1"/>
  <c r="N73" i="7" a="1"/>
  <c r="N73" i="7" s="1"/>
  <c r="N84" i="7" a="1"/>
  <c r="N84" i="7" s="1"/>
  <c r="N70" i="7" a="1"/>
  <c r="N70" i="7" s="1"/>
  <c r="N57" i="7" a="1"/>
  <c r="N57" i="7" s="1"/>
  <c r="N55" i="7" a="1"/>
  <c r="N55" i="7" s="1"/>
  <c r="N192" i="7" a="1"/>
  <c r="N192" i="7" s="1"/>
  <c r="N197" i="7" a="1"/>
  <c r="N197" i="7" s="1"/>
  <c r="N188" i="7" a="1"/>
  <c r="N188" i="7" s="1"/>
  <c r="N173" i="7" a="1"/>
  <c r="N173" i="7" s="1"/>
  <c r="N171" i="7" a="1"/>
  <c r="N171" i="7" s="1"/>
  <c r="N157" i="7" a="1"/>
  <c r="N157" i="7" s="1"/>
  <c r="N150" i="7" a="1"/>
  <c r="N150" i="7" s="1"/>
  <c r="N164" i="7" a="1"/>
  <c r="N164" i="7" s="1"/>
  <c r="N129" i="7" a="1"/>
  <c r="N129" i="7" s="1"/>
  <c r="N128" i="7" a="1"/>
  <c r="N128" i="7" s="1"/>
  <c r="N99" i="7" a="1"/>
  <c r="N99" i="7" s="1"/>
  <c r="N105" i="7" a="1"/>
  <c r="N105" i="7" s="1"/>
  <c r="N102" i="7" a="1"/>
  <c r="N102" i="7" s="1"/>
  <c r="N75" i="7" a="1"/>
  <c r="N75" i="7" s="1"/>
  <c r="N97" i="7" a="1"/>
  <c r="N97" i="7" s="1"/>
  <c r="N65" i="7" a="1"/>
  <c r="N65" i="7" s="1"/>
  <c r="N76" i="7" a="1"/>
  <c r="N76" i="7" s="1"/>
  <c r="N48" i="7" a="1"/>
  <c r="N48" i="7" s="1"/>
  <c r="N101" i="7" a="1"/>
  <c r="N101" i="7" s="1"/>
  <c r="N41" i="7" a="1"/>
  <c r="N41" i="7" s="1"/>
  <c r="N9" i="7" a="1"/>
  <c r="N9" i="7" s="1"/>
  <c r="N16" i="7" a="1"/>
  <c r="N16" i="7" s="1"/>
  <c r="N45" i="7" a="1"/>
  <c r="N45" i="7" s="1"/>
  <c r="N193" i="7" a="1"/>
  <c r="N193" i="7" s="1"/>
  <c r="N181" i="7" a="1"/>
  <c r="N181" i="7" s="1"/>
  <c r="N178" i="7" a="1"/>
  <c r="N178" i="7" s="1"/>
  <c r="N177" i="7" a="1"/>
  <c r="N177" i="7" s="1"/>
  <c r="N156" i="7" a="1"/>
  <c r="N156" i="7" s="1"/>
  <c r="N144" i="7" a="1"/>
  <c r="N144" i="7" s="1"/>
  <c r="N161" i="7" a="1"/>
  <c r="N161" i="7" s="1"/>
  <c r="N167" i="7" a="1"/>
  <c r="N167" i="7" s="1"/>
  <c r="N124" i="7" a="1"/>
  <c r="N124" i="7" s="1"/>
  <c r="N130" i="7" a="1"/>
  <c r="N130" i="7" s="1"/>
  <c r="N153" i="7" a="1"/>
  <c r="N153" i="7" s="1"/>
  <c r="N126" i="7" a="1"/>
  <c r="N126" i="7" s="1"/>
  <c r="N74" i="7" a="1"/>
  <c r="N74" i="7" s="1"/>
  <c r="N96" i="7" a="1"/>
  <c r="N96" i="7" s="1"/>
  <c r="N64" i="7" a="1"/>
  <c r="N64" i="7" s="1"/>
  <c r="N69" i="7" a="1"/>
  <c r="N69" i="7" s="1"/>
  <c r="N118" i="7" a="1"/>
  <c r="N118" i="7" s="1"/>
  <c r="N87" i="7" a="1"/>
  <c r="N87" i="7" s="1"/>
  <c r="N34" i="7" a="1"/>
  <c r="N34" i="7" s="1"/>
  <c r="N47" i="7" a="1"/>
  <c r="N47" i="7" s="1"/>
  <c r="N15" i="7" a="1"/>
  <c r="N15" i="7" s="1"/>
  <c r="N38" i="7" a="1"/>
  <c r="N38" i="7" s="1"/>
  <c r="N6" i="7" a="1"/>
  <c r="N6" i="7" s="1"/>
  <c r="N12" i="7" a="1"/>
  <c r="N12" i="7" s="1"/>
  <c r="N195" i="7" a="1"/>
  <c r="N195" i="7" s="1"/>
  <c r="N159" i="7" a="1"/>
  <c r="N159" i="7" s="1"/>
  <c r="N142" i="7" a="1"/>
  <c r="N142" i="7" s="1"/>
  <c r="N82" i="7" a="1"/>
  <c r="N82" i="7" s="1"/>
  <c r="N31" i="7" a="1"/>
  <c r="N31" i="7" s="1"/>
  <c r="N37" i="7" a="1"/>
  <c r="N37" i="7" s="1"/>
  <c r="N28" i="7" a="1"/>
  <c r="N28" i="7" s="1"/>
  <c r="N43" i="7" a="1"/>
  <c r="N43" i="7" s="1"/>
  <c r="N176" i="7" a="1"/>
  <c r="N176" i="7" s="1"/>
  <c r="N72" i="7" a="1"/>
  <c r="N72" i="7" s="1"/>
  <c r="N29" i="7" a="1"/>
  <c r="N29" i="7" s="1"/>
  <c r="N44" i="7" a="1"/>
  <c r="N44" i="7" s="1"/>
  <c r="N140" i="7" a="1"/>
  <c r="N140" i="7" s="1"/>
  <c r="N191" i="7" a="1"/>
  <c r="N191" i="7" s="1"/>
  <c r="N172" i="7" a="1"/>
  <c r="N172" i="7" s="1"/>
  <c r="N109" i="7" a="1"/>
  <c r="N109" i="7" s="1"/>
  <c r="N24" i="7" a="1"/>
  <c r="N24" i="7" s="1"/>
  <c r="N35" i="7" a="1"/>
  <c r="N35" i="7" s="1"/>
  <c r="N152" i="7" a="1"/>
  <c r="N152" i="7" s="1"/>
  <c r="N125" i="7" a="1"/>
  <c r="N125" i="7" s="1"/>
  <c r="N58" i="7" a="1"/>
  <c r="N58" i="7" s="1"/>
  <c r="N92" i="7" a="1"/>
  <c r="N92" i="7" s="1"/>
  <c r="N94" i="7" a="1"/>
  <c r="N94" i="7" s="1"/>
  <c r="N33" i="7" a="1"/>
  <c r="N33" i="7" s="1"/>
  <c r="N23" i="7" a="1"/>
  <c r="N23" i="7" s="1"/>
  <c r="N189" i="7" a="1"/>
  <c r="N189" i="7" s="1"/>
  <c r="N143" i="7" a="1"/>
  <c r="N143" i="7" s="1"/>
  <c r="N103" i="7" a="1"/>
  <c r="N103" i="7" s="1"/>
  <c r="N26" i="7" a="1"/>
  <c r="N26" i="7" s="1"/>
  <c r="N22" i="7" a="1"/>
  <c r="N22" i="7" s="1"/>
  <c r="N36" i="7" a="1"/>
  <c r="N36" i="7" s="1"/>
  <c r="N163" i="7" a="1"/>
  <c r="N163" i="7" s="1"/>
  <c r="N135" i="7" a="1"/>
  <c r="N135" i="7" s="1"/>
  <c r="N117" i="7" a="1"/>
  <c r="N117" i="7" s="1"/>
  <c r="N98" i="7" a="1"/>
  <c r="N98" i="7" s="1"/>
  <c r="N89" i="7" a="1"/>
  <c r="N89" i="7" s="1"/>
  <c r="N56" i="7" a="1"/>
  <c r="N56" i="7" s="1"/>
  <c r="N18" i="7" a="1"/>
  <c r="N18" i="7" s="1"/>
  <c r="N7" i="7" a="1"/>
  <c r="N7" i="7" s="1"/>
  <c r="N187" i="7" a="1"/>
  <c r="N187" i="7" s="1"/>
  <c r="N137" i="7" a="1"/>
  <c r="N137" i="7" s="1"/>
  <c r="N68" i="7" a="1"/>
  <c r="N68" i="7" s="1"/>
  <c r="N17" i="7" a="1"/>
  <c r="N17" i="7" s="1"/>
  <c r="N13" i="7" a="1"/>
  <c r="N13" i="7" s="1"/>
  <c r="N20" i="7" a="1"/>
  <c r="N20" i="7" s="1"/>
  <c r="N114" i="7" a="1"/>
  <c r="N114" i="7" s="1"/>
  <c r="N91" i="7" a="1"/>
  <c r="N91" i="7" s="1"/>
  <c r="N88" i="7" a="1"/>
  <c r="N88" i="7" s="1"/>
  <c r="N78" i="7" a="1"/>
  <c r="N78" i="7" s="1"/>
  <c r="N10" i="7" a="1"/>
  <c r="N10" i="7" s="1"/>
  <c r="N95" i="7" a="1"/>
  <c r="N95" i="7" s="1"/>
  <c r="N182" i="7" a="1"/>
  <c r="N182" i="7" s="1"/>
  <c r="N160" i="7" a="1"/>
  <c r="N160" i="7" s="1"/>
  <c r="N106" i="7" a="1"/>
  <c r="N106" i="7" s="1"/>
  <c r="N81" i="7" a="1"/>
  <c r="N81" i="7" s="1"/>
  <c r="N61" i="7" a="1"/>
  <c r="N61" i="7" s="1"/>
  <c r="N5" i="7" a="1"/>
  <c r="N5" i="7" s="1"/>
  <c r="N11" i="7" a="1"/>
  <c r="N11" i="7" s="1"/>
  <c r="N179" i="7" a="1"/>
  <c r="N179" i="7" s="1"/>
  <c r="N149" i="7" a="1"/>
  <c r="N149" i="7" s="1"/>
  <c r="N59" i="7" a="1"/>
  <c r="N59" i="7" s="1"/>
  <c r="N175" i="7" a="1"/>
  <c r="N175" i="7" s="1"/>
  <c r="N39" i="7" a="1"/>
  <c r="N39" i="7" s="1"/>
  <c r="N63" i="7" a="1"/>
  <c r="N63" i="7" s="1"/>
  <c r="N139" i="7" a="1"/>
  <c r="N139" i="7" s="1"/>
  <c r="N104" i="7" a="1"/>
  <c r="N104" i="7" s="1"/>
  <c r="N174" i="7" a="1"/>
  <c r="N174" i="7" s="1"/>
  <c r="N141" i="7" a="1"/>
  <c r="N141" i="7" s="1"/>
  <c r="N71" i="7" a="1"/>
  <c r="N71" i="7" s="1"/>
  <c r="N32" i="7" a="1"/>
  <c r="N32" i="7" s="1"/>
  <c r="N148" i="7" a="1"/>
  <c r="N148" i="7" s="1"/>
  <c r="N123" i="7" a="1"/>
  <c r="N123" i="7" s="1"/>
  <c r="N169" i="7" a="1"/>
  <c r="N169" i="7" s="1"/>
  <c r="N145" i="7" a="1"/>
  <c r="N145" i="7" s="1"/>
  <c r="N119" i="7" a="1"/>
  <c r="N119" i="7" s="1"/>
  <c r="N122" i="7" a="1"/>
  <c r="N122" i="7" s="1"/>
  <c r="N51" i="7" a="1"/>
  <c r="N51" i="7" s="1"/>
  <c r="N86" i="7" a="1"/>
  <c r="N86" i="7" s="1"/>
  <c r="N185" i="7" a="1"/>
  <c r="N185" i="7" s="1"/>
  <c r="N120" i="7" a="1"/>
  <c r="N120" i="7" s="1"/>
  <c r="N111" i="7" a="1"/>
  <c r="N111" i="7" s="1"/>
  <c r="N54" i="7" a="1"/>
  <c r="N54" i="7" s="1"/>
  <c r="N27" i="7" a="1"/>
  <c r="N27" i="7" s="1"/>
  <c r="N138" i="7" a="1"/>
  <c r="N138" i="7" s="1"/>
  <c r="N66" i="7" a="1"/>
  <c r="N66" i="7" s="1"/>
  <c r="N131" i="7" a="1"/>
  <c r="N131" i="7" s="1"/>
  <c r="N25" i="7" a="1"/>
  <c r="N25" i="7" s="1"/>
  <c r="N3" i="7" a="1"/>
  <c r="N3" i="7" s="1"/>
  <c r="N80" i="7" a="1"/>
  <c r="N80" i="7" s="1"/>
  <c r="N186" i="7" a="1"/>
  <c r="N186" i="7" s="1"/>
  <c r="N116" i="7" a="1"/>
  <c r="N116" i="7" s="1"/>
  <c r="N40" i="7" a="1"/>
  <c r="N40" i="7" s="1"/>
  <c r="N108" i="7" a="1"/>
  <c r="N108" i="7" s="1"/>
  <c r="N77" i="7" a="1"/>
  <c r="N77" i="7" s="1"/>
  <c r="N46" i="7" a="1"/>
  <c r="N46" i="7" s="1"/>
  <c r="N170" i="7" a="1"/>
  <c r="N170" i="7" s="1"/>
  <c r="N100" i="7" a="1"/>
  <c r="N100" i="7" s="1"/>
  <c r="N60" i="7" a="1"/>
  <c r="N60" i="7" s="1"/>
  <c r="N121" i="7" a="1"/>
  <c r="N121" i="7" s="1"/>
  <c r="N79" i="7" a="1"/>
  <c r="N79" i="7" s="1"/>
  <c r="N146" i="7" a="1"/>
  <c r="N146" i="7" s="1"/>
  <c r="N49" i="7" a="1"/>
  <c r="N49" i="7" s="1"/>
  <c r="N62" i="7" a="1"/>
  <c r="N62" i="7" s="1"/>
  <c r="N53" i="7" a="1"/>
  <c r="N53" i="7" s="1"/>
  <c r="N42" i="7" a="1"/>
  <c r="N42" i="7" s="1"/>
  <c r="N115" i="7" a="1"/>
  <c r="N115" i="7" s="1"/>
  <c r="N127" i="7" a="1"/>
  <c r="N127" i="7" s="1"/>
  <c r="N8" i="7" a="1"/>
  <c r="N8" i="7" s="1"/>
  <c r="N90" i="7" a="1"/>
  <c r="N90" i="7" s="1"/>
  <c r="N30" i="7" a="1"/>
  <c r="N30" i="7" s="1"/>
  <c r="N162" i="7" a="1"/>
  <c r="N162" i="7" s="1"/>
  <c r="N93" i="7" a="1"/>
  <c r="N93" i="7" s="1"/>
  <c r="N4" i="7" a="1"/>
  <c r="N4" i="7" s="1"/>
  <c r="N155" i="7" a="1"/>
  <c r="N155" i="7" s="1"/>
  <c r="N85" i="7" a="1"/>
  <c r="N85" i="7" s="1"/>
  <c r="N52" i="7" a="1"/>
  <c r="N52" i="7" s="1"/>
  <c r="N151" i="7" a="1"/>
  <c r="N151" i="7" s="1"/>
  <c r="N67" i="7" a="1"/>
  <c r="N67" i="7" s="1"/>
  <c r="N21" i="7" a="1"/>
  <c r="N21" i="7" s="1"/>
  <c r="N14" i="7" a="1"/>
  <c r="N14" i="7" s="1"/>
  <c r="N19" i="7" a="1"/>
  <c r="N19" i="7" s="1"/>
  <c r="N50" i="7" a="1"/>
  <c r="N50" i="7" s="1"/>
  <c r="I153" i="4"/>
  <c r="AV152" i="13"/>
  <c r="AZ144" i="13"/>
  <c r="T145" i="4" s="1"/>
  <c r="BD117" i="13"/>
  <c r="AB118" i="4" s="1"/>
  <c r="AX117" i="13"/>
  <c r="R118" i="4" s="1"/>
  <c r="E118" i="4"/>
  <c r="F118" i="4" s="1"/>
  <c r="BA117" i="13"/>
  <c r="BB117" i="13" s="1"/>
  <c r="AV117" i="13"/>
  <c r="E111" i="4"/>
  <c r="F111" i="4" s="1"/>
  <c r="BD110" i="13"/>
  <c r="AB111" i="4" s="1"/>
  <c r="AX110" i="13"/>
  <c r="R111" i="4" s="1"/>
  <c r="BA110" i="13"/>
  <c r="BB110" i="13" s="1"/>
  <c r="BB27" i="13"/>
  <c r="BC27" i="13" s="1"/>
  <c r="AA28" i="4" s="1"/>
  <c r="H119" i="4"/>
  <c r="E72" i="4"/>
  <c r="F72" i="4" s="1"/>
  <c r="AX71" i="13"/>
  <c r="R72" i="4" s="1"/>
  <c r="AV71" i="13"/>
  <c r="BD71" i="13"/>
  <c r="AB72" i="4" s="1"/>
  <c r="BA71" i="13"/>
  <c r="BB71" i="13" s="1"/>
  <c r="I57" i="4"/>
  <c r="AV56" i="13"/>
  <c r="BA46" i="13"/>
  <c r="BB46" i="13" s="1"/>
  <c r="BC46" i="13" s="1"/>
  <c r="AA47" i="4" s="1"/>
  <c r="AY39" i="13"/>
  <c r="P40" i="4"/>
  <c r="AY180" i="13"/>
  <c r="P181" i="4"/>
  <c r="F181" i="4"/>
  <c r="H181" i="4"/>
  <c r="P174" i="4"/>
  <c r="AY173" i="13"/>
  <c r="F129" i="4"/>
  <c r="P126" i="4"/>
  <c r="AY125" i="13"/>
  <c r="F81" i="4"/>
  <c r="H188" i="4"/>
  <c r="P151" i="4"/>
  <c r="AY150" i="13"/>
  <c r="P97" i="4"/>
  <c r="AX43" i="13"/>
  <c r="R44" i="4" s="1"/>
  <c r="BB43" i="13"/>
  <c r="F145" i="4"/>
  <c r="F89" i="4"/>
  <c r="AX85" i="13"/>
  <c r="R86" i="4" s="1"/>
  <c r="E86" i="4"/>
  <c r="F86" i="4" s="1"/>
  <c r="BA85" i="13"/>
  <c r="BB85" i="13" s="1"/>
  <c r="BC85" i="13" s="1"/>
  <c r="AA86" i="4" s="1"/>
  <c r="BD85" i="13"/>
  <c r="AB86" i="4" s="1"/>
  <c r="AV85" i="13"/>
  <c r="AX145" i="13"/>
  <c r="R146" i="4" s="1"/>
  <c r="BD145" i="13"/>
  <c r="AB146" i="4" s="1"/>
  <c r="E146" i="4"/>
  <c r="F146" i="4" s="1"/>
  <c r="BA145" i="13"/>
  <c r="BB145" i="13" s="1"/>
  <c r="AY29" i="13"/>
  <c r="P30" i="4"/>
  <c r="Z46" i="7" a="1"/>
  <c r="Z46" i="7" s="1"/>
  <c r="Z30" i="7" a="1"/>
  <c r="Z30" i="7" s="1"/>
  <c r="Z29" i="7" a="1"/>
  <c r="Z29" i="7" s="1"/>
  <c r="Z67" i="7" a="1"/>
  <c r="Z67" i="7" s="1"/>
  <c r="Z32" i="7" a="1"/>
  <c r="Z32" i="7" s="1"/>
  <c r="Z66" i="7" a="1"/>
  <c r="Z66" i="7" s="1"/>
  <c r="Z20" i="7" a="1"/>
  <c r="Z20" i="7" s="1"/>
  <c r="Z89" i="7" a="1"/>
  <c r="Z89" i="7" s="1"/>
  <c r="Z27" i="7" a="1"/>
  <c r="Z27" i="7" s="1"/>
  <c r="Z93" i="7" a="1"/>
  <c r="Z93" i="7" s="1"/>
  <c r="Z40" i="7" a="1"/>
  <c r="Z40" i="7" s="1"/>
  <c r="Z75" i="7" a="1"/>
  <c r="Z75" i="7" s="1"/>
  <c r="Z70" i="7" a="1"/>
  <c r="Z70" i="7" s="1"/>
  <c r="Z36" i="7" a="1"/>
  <c r="Z36" i="7" s="1"/>
  <c r="Z42" i="7" a="1"/>
  <c r="Z42" i="7" s="1"/>
  <c r="Z50" i="7" a="1"/>
  <c r="Z50" i="7" s="1"/>
  <c r="Z45" i="7" a="1"/>
  <c r="Z45" i="7" s="1"/>
  <c r="Z47" i="7" a="1"/>
  <c r="Z47" i="7" s="1"/>
  <c r="Z51" i="7" a="1"/>
  <c r="Z51" i="7" s="1"/>
  <c r="Z52" i="7" a="1"/>
  <c r="Z52" i="7" s="1"/>
  <c r="Z59" i="7" a="1"/>
  <c r="Z59" i="7" s="1"/>
  <c r="Z21" i="7" a="1"/>
  <c r="Z21" i="7" s="1"/>
  <c r="Z95" i="7" a="1"/>
  <c r="Z95" i="7" s="1"/>
  <c r="Z92" i="7" a="1"/>
  <c r="Z92" i="7" s="1"/>
  <c r="Z63" i="7" a="1"/>
  <c r="Z63" i="7" s="1"/>
  <c r="Z88" i="7" a="1"/>
  <c r="Z88" i="7" s="1"/>
  <c r="Z139" i="7" a="1"/>
  <c r="Z139" i="7" s="1"/>
  <c r="Z121" i="7" a="1"/>
  <c r="Z121" i="7" s="1"/>
  <c r="Z137" i="7" a="1"/>
  <c r="Z137" i="7" s="1"/>
  <c r="Z183" i="7" a="1"/>
  <c r="Z183" i="7" s="1"/>
  <c r="Z150" i="7" a="1"/>
  <c r="Z150" i="7" s="1"/>
  <c r="Z172" i="7" a="1"/>
  <c r="Z172" i="7" s="1"/>
  <c r="Z158" i="7" a="1"/>
  <c r="Z158" i="7" s="1"/>
  <c r="Z53" i="7" a="1"/>
  <c r="Z53" i="7" s="1"/>
  <c r="Z39" i="7" a="1"/>
  <c r="Z39" i="7" s="1"/>
  <c r="Z68" i="7" a="1"/>
  <c r="Z68" i="7" s="1"/>
  <c r="Z104" i="7" a="1"/>
  <c r="Z104" i="7" s="1"/>
  <c r="Z112" i="7" a="1"/>
  <c r="Z112" i="7" s="1"/>
  <c r="Z177" i="7" a="1"/>
  <c r="Z177" i="7" s="1"/>
  <c r="Z155" i="7" a="1"/>
  <c r="Z155" i="7" s="1"/>
  <c r="Z35" i="7" a="1"/>
  <c r="Z35" i="7" s="1"/>
  <c r="Z161" i="7" a="1"/>
  <c r="Z161" i="7" s="1"/>
  <c r="Z14" i="7" a="1"/>
  <c r="Z14" i="7" s="1"/>
  <c r="Z175" i="7" a="1"/>
  <c r="Z175" i="7" s="1"/>
  <c r="Z25" i="7" a="1"/>
  <c r="Z25" i="7" s="1"/>
  <c r="Z100" i="7" a="1"/>
  <c r="Z100" i="7" s="1"/>
  <c r="Z94" i="7" a="1"/>
  <c r="Z94" i="7" s="1"/>
  <c r="Z143" i="7" a="1"/>
  <c r="Z143" i="7" s="1"/>
  <c r="Z122" i="7" a="1"/>
  <c r="Z122" i="7" s="1"/>
  <c r="Z136" i="7" a="1"/>
  <c r="Z136" i="7" s="1"/>
  <c r="Z185" i="7" a="1"/>
  <c r="Z185" i="7" s="1"/>
  <c r="Z167" i="7" a="1"/>
  <c r="Z167" i="7" s="1"/>
  <c r="Z17" i="7" a="1"/>
  <c r="Z17" i="7" s="1"/>
  <c r="Z184" i="7" a="1"/>
  <c r="Z184" i="7" s="1"/>
  <c r="Z48" i="7" a="1"/>
  <c r="Z48" i="7" s="1"/>
  <c r="Z105" i="7" a="1"/>
  <c r="Z105" i="7" s="1"/>
  <c r="Z76" i="7" a="1"/>
  <c r="Z76" i="7" s="1"/>
  <c r="Z109" i="7" a="1"/>
  <c r="Z109" i="7" s="1"/>
  <c r="Z113" i="7" a="1"/>
  <c r="Z113" i="7" s="1"/>
  <c r="Z181" i="7" a="1"/>
  <c r="Z181" i="7" s="1"/>
  <c r="Z159" i="7" a="1"/>
  <c r="Z159" i="7" s="1"/>
  <c r="Z132" i="7" a="1"/>
  <c r="Z132" i="7" s="1"/>
  <c r="Z192" i="7" a="1"/>
  <c r="Z192" i="7" s="1"/>
  <c r="Z176" i="7" a="1"/>
  <c r="Z176" i="7" s="1"/>
  <c r="Z178" i="7" a="1"/>
  <c r="Z178" i="7" s="1"/>
  <c r="Z37" i="7" a="1"/>
  <c r="Z37" i="7" s="1"/>
  <c r="Z54" i="7" a="1"/>
  <c r="Z54" i="7" s="1"/>
  <c r="Z110" i="7" a="1"/>
  <c r="Z110" i="7" s="1"/>
  <c r="Z84" i="7" a="1"/>
  <c r="Z84" i="7" s="1"/>
  <c r="Z19" i="7" a="1"/>
  <c r="Z19" i="7" s="1"/>
  <c r="Z116" i="7" a="1"/>
  <c r="Z116" i="7" s="1"/>
  <c r="Z189" i="7" a="1"/>
  <c r="Z189" i="7" s="1"/>
  <c r="Z163" i="7" a="1"/>
  <c r="Z163" i="7" s="1"/>
  <c r="Z145" i="7" a="1"/>
  <c r="Z145" i="7" s="1"/>
  <c r="Z191" i="7" a="1"/>
  <c r="Z191" i="7" s="1"/>
  <c r="Z179" i="7" a="1"/>
  <c r="Z179" i="7" s="1"/>
  <c r="Z6" i="7" a="1"/>
  <c r="Z6" i="7" s="1"/>
  <c r="Z74" i="7" a="1"/>
  <c r="Z74" i="7" s="1"/>
  <c r="Z60" i="7" a="1"/>
  <c r="Z60" i="7" s="1"/>
  <c r="Z111" i="7" a="1"/>
  <c r="Z111" i="7" s="1"/>
  <c r="Z87" i="7" a="1"/>
  <c r="Z87" i="7" s="1"/>
  <c r="Z28" i="7" a="1"/>
  <c r="Z28" i="7" s="1"/>
  <c r="Z118" i="7" a="1"/>
  <c r="Z118" i="7" s="1"/>
  <c r="Z193" i="7" a="1"/>
  <c r="Z193" i="7" s="1"/>
  <c r="Z58" i="7" a="1"/>
  <c r="Z58" i="7" s="1"/>
  <c r="Z157" i="7" a="1"/>
  <c r="Z157" i="7" s="1"/>
  <c r="Z194" i="7" a="1"/>
  <c r="Z194" i="7" s="1"/>
  <c r="Z182" i="7" a="1"/>
  <c r="Z182" i="7" s="1"/>
  <c r="Z9" i="7" a="1"/>
  <c r="Z9" i="7" s="1"/>
  <c r="Z22" i="7" a="1"/>
  <c r="Z22" i="7" s="1"/>
  <c r="Z57" i="7" a="1"/>
  <c r="Z57" i="7" s="1"/>
  <c r="Z71" i="7" a="1"/>
  <c r="Z71" i="7" s="1"/>
  <c r="Z78" i="7" a="1"/>
  <c r="Z78" i="7" s="1"/>
  <c r="Z107" i="7" a="1"/>
  <c r="Z107" i="7" s="1"/>
  <c r="Z156" i="7" a="1"/>
  <c r="Z156" i="7" s="1"/>
  <c r="Z134" i="7" a="1"/>
  <c r="Z134" i="7" s="1"/>
  <c r="Z120" i="7" a="1"/>
  <c r="Z120" i="7" s="1"/>
  <c r="Z162" i="7" a="1"/>
  <c r="Z162" i="7" s="1"/>
  <c r="Z4" i="7" a="1"/>
  <c r="Z4" i="7" s="1"/>
  <c r="Z144" i="7" a="1"/>
  <c r="Z144" i="7" s="1"/>
  <c r="Z10" i="7" a="1"/>
  <c r="Z10" i="7" s="1"/>
  <c r="Z69" i="7" a="1"/>
  <c r="Z69" i="7" s="1"/>
  <c r="Z115" i="7" a="1"/>
  <c r="Z115" i="7" s="1"/>
  <c r="Z90" i="7" a="1"/>
  <c r="Z90" i="7" s="1"/>
  <c r="Z44" i="7" a="1"/>
  <c r="Z44" i="7" s="1"/>
  <c r="Z123" i="7" a="1"/>
  <c r="Z123" i="7" s="1"/>
  <c r="Z197" i="7" a="1"/>
  <c r="Z197" i="7" s="1"/>
  <c r="Z138" i="7" a="1"/>
  <c r="Z138" i="7" s="1"/>
  <c r="Z170" i="7" a="1"/>
  <c r="Z170" i="7" s="1"/>
  <c r="Z200" i="7" a="1"/>
  <c r="Z200" i="7" s="1"/>
  <c r="Z186" i="7" a="1"/>
  <c r="Z186" i="7" s="1"/>
  <c r="Z12" i="7" a="1"/>
  <c r="Z12" i="7" s="1"/>
  <c r="Z26" i="7" a="1"/>
  <c r="Z26" i="7" s="1"/>
  <c r="Z79" i="7" a="1"/>
  <c r="Z79" i="7" s="1"/>
  <c r="Z108" i="7" a="1"/>
  <c r="Z108" i="7" s="1"/>
  <c r="Z160" i="7" a="1"/>
  <c r="Z160" i="7" s="1"/>
  <c r="Z83" i="7" a="1"/>
  <c r="Z83" i="7" s="1"/>
  <c r="Z77" i="7" a="1"/>
  <c r="Z77" i="7" s="1"/>
  <c r="Z164" i="7" a="1"/>
  <c r="Z164" i="7" s="1"/>
  <c r="Z142" i="7" a="1"/>
  <c r="Z142" i="7" s="1"/>
  <c r="Z180" i="7" a="1"/>
  <c r="Z180" i="7" s="1"/>
  <c r="Z7" i="7" a="1"/>
  <c r="Z7" i="7" s="1"/>
  <c r="Z199" i="7" a="1"/>
  <c r="Z199" i="7" s="1"/>
  <c r="Z15" i="7" a="1"/>
  <c r="Z15" i="7" s="1"/>
  <c r="Z34" i="7" a="1"/>
  <c r="Z34" i="7" s="1"/>
  <c r="Z96" i="7" a="1"/>
  <c r="Z96" i="7" s="1"/>
  <c r="Z80" i="7" a="1"/>
  <c r="Z80" i="7" s="1"/>
  <c r="Z38" i="7" a="1"/>
  <c r="Z38" i="7" s="1"/>
  <c r="Z23" i="7" a="1"/>
  <c r="Z23" i="7" s="1"/>
  <c r="Z85" i="7" a="1"/>
  <c r="Z85" i="7" s="1"/>
  <c r="Z97" i="7" a="1"/>
  <c r="Z97" i="7" s="1"/>
  <c r="Z168" i="7" a="1"/>
  <c r="Z168" i="7" s="1"/>
  <c r="Z146" i="7" a="1"/>
  <c r="Z146" i="7" s="1"/>
  <c r="Z187" i="7" a="1"/>
  <c r="Z187" i="7" s="1"/>
  <c r="Z11" i="7" a="1"/>
  <c r="Z11" i="7" s="1"/>
  <c r="Z5" i="7" a="1"/>
  <c r="Z5" i="7" s="1"/>
  <c r="Z124" i="7" a="1"/>
  <c r="Z124" i="7" s="1"/>
  <c r="Z33" i="7" a="1"/>
  <c r="Z33" i="7" s="1"/>
  <c r="Z195" i="7" a="1"/>
  <c r="Z195" i="7" s="1"/>
  <c r="Z119" i="7" a="1"/>
  <c r="Z119" i="7" s="1"/>
  <c r="Z196" i="7" a="1"/>
  <c r="Z196" i="7" s="1"/>
  <c r="Z41" i="7" a="1"/>
  <c r="Z41" i="7" s="1"/>
  <c r="Z154" i="7" a="1"/>
  <c r="Z154" i="7" s="1"/>
  <c r="Z198" i="7" a="1"/>
  <c r="Z198" i="7" s="1"/>
  <c r="Z128" i="7" a="1"/>
  <c r="Z128" i="7" s="1"/>
  <c r="Z101" i="7" a="1"/>
  <c r="Z101" i="7" s="1"/>
  <c r="Z62" i="7" a="1"/>
  <c r="Z62" i="7" s="1"/>
  <c r="Z82" i="7" a="1"/>
  <c r="Z82" i="7" s="1"/>
  <c r="Z72" i="7" a="1"/>
  <c r="Z72" i="7" s="1"/>
  <c r="Z125" i="7" a="1"/>
  <c r="Z125" i="7" s="1"/>
  <c r="Z165" i="7" a="1"/>
  <c r="Z165" i="7" s="1"/>
  <c r="Z13" i="7" a="1"/>
  <c r="Z13" i="7" s="1"/>
  <c r="Z153" i="7" a="1"/>
  <c r="Z153" i="7" s="1"/>
  <c r="Z3" i="7" a="1"/>
  <c r="Z3" i="7" s="1"/>
  <c r="Z91" i="7" a="1"/>
  <c r="Z91" i="7" s="1"/>
  <c r="Z173" i="7" a="1"/>
  <c r="Z173" i="7" s="1"/>
  <c r="Z148" i="7" a="1"/>
  <c r="Z148" i="7" s="1"/>
  <c r="Z73" i="7" a="1"/>
  <c r="Z73" i="7" s="1"/>
  <c r="Z56" i="7" a="1"/>
  <c r="Z56" i="7" s="1"/>
  <c r="Z81" i="7" a="1"/>
  <c r="Z81" i="7" s="1"/>
  <c r="Z114" i="7" a="1"/>
  <c r="Z114" i="7" s="1"/>
  <c r="Z190" i="7" a="1"/>
  <c r="Z190" i="7" s="1"/>
  <c r="Z24" i="7" a="1"/>
  <c r="Z24" i="7" s="1"/>
  <c r="Z102" i="7" a="1"/>
  <c r="Z102" i="7" s="1"/>
  <c r="Z18" i="7" a="1"/>
  <c r="Z18" i="7" s="1"/>
  <c r="Z126" i="7" a="1"/>
  <c r="Z126" i="7" s="1"/>
  <c r="Z174" i="7" a="1"/>
  <c r="Z174" i="7" s="1"/>
  <c r="Z166" i="7" a="1"/>
  <c r="Z166" i="7" s="1"/>
  <c r="Z49" i="7" a="1"/>
  <c r="Z49" i="7" s="1"/>
  <c r="Z106" i="7" a="1"/>
  <c r="Z106" i="7" s="1"/>
  <c r="Z130" i="7" a="1"/>
  <c r="Z130" i="7" s="1"/>
  <c r="Z127" i="7" a="1"/>
  <c r="Z127" i="7" s="1"/>
  <c r="Z188" i="7" a="1"/>
  <c r="Z188" i="7" s="1"/>
  <c r="Z169" i="7" a="1"/>
  <c r="Z169" i="7" s="1"/>
  <c r="Z86" i="7" a="1"/>
  <c r="Z86" i="7" s="1"/>
  <c r="Z147" i="7" a="1"/>
  <c r="Z147" i="7" s="1"/>
  <c r="Z16" i="7" a="1"/>
  <c r="Z16" i="7" s="1"/>
  <c r="Z152" i="7" a="1"/>
  <c r="Z152" i="7" s="1"/>
  <c r="Z55" i="7" a="1"/>
  <c r="Z55" i="7" s="1"/>
  <c r="Z151" i="7" a="1"/>
  <c r="Z151" i="7" s="1"/>
  <c r="Z8" i="7" a="1"/>
  <c r="Z8" i="7" s="1"/>
  <c r="Z99" i="7" a="1"/>
  <c r="Z99" i="7" s="1"/>
  <c r="Z129" i="7" a="1"/>
  <c r="Z129" i="7" s="1"/>
  <c r="Z98" i="7" a="1"/>
  <c r="Z98" i="7" s="1"/>
  <c r="Z131" i="7" a="1"/>
  <c r="Z131" i="7" s="1"/>
  <c r="Z149" i="7" a="1"/>
  <c r="Z149" i="7" s="1"/>
  <c r="Z135" i="7" a="1"/>
  <c r="Z135" i="7" s="1"/>
  <c r="Z61" i="7" a="1"/>
  <c r="Z61" i="7" s="1"/>
  <c r="Z64" i="7" a="1"/>
  <c r="Z64" i="7" s="1"/>
  <c r="Z133" i="7" a="1"/>
  <c r="Z133" i="7" s="1"/>
  <c r="Z31" i="7" a="1"/>
  <c r="Z31" i="7" s="1"/>
  <c r="Z43" i="7" a="1"/>
  <c r="Z43" i="7" s="1"/>
  <c r="Z65" i="7" a="1"/>
  <c r="Z65" i="7" s="1"/>
  <c r="Z117" i="7" a="1"/>
  <c r="Z117" i="7" s="1"/>
  <c r="Z171" i="7" a="1"/>
  <c r="Z171" i="7" s="1"/>
  <c r="Z141" i="7" a="1"/>
  <c r="Z141" i="7" s="1"/>
  <c r="Z103" i="7" a="1"/>
  <c r="Z103" i="7" s="1"/>
  <c r="Z140" i="7" a="1"/>
  <c r="Z140" i="7" s="1"/>
  <c r="I144" i="4"/>
  <c r="BD143" i="13"/>
  <c r="AB144" i="4" s="1"/>
  <c r="AV143" i="13"/>
  <c r="C190" i="7" a="1"/>
  <c r="C190" i="7" s="1"/>
  <c r="C165" i="7" a="1"/>
  <c r="C165" i="7" s="1"/>
  <c r="C144" i="7" a="1"/>
  <c r="C144" i="7" s="1"/>
  <c r="C140" i="7" a="1"/>
  <c r="C140" i="7" s="1"/>
  <c r="C117" i="7" a="1"/>
  <c r="C117" i="7" s="1"/>
  <c r="C110" i="7" a="1"/>
  <c r="C110" i="7" s="1"/>
  <c r="C112" i="7" a="1"/>
  <c r="C112" i="7" s="1"/>
  <c r="C77" i="7" a="1"/>
  <c r="C77" i="7" s="1"/>
  <c r="C64" i="7" a="1"/>
  <c r="C64" i="7" s="1"/>
  <c r="C56" i="7" a="1"/>
  <c r="C56" i="7" s="1"/>
  <c r="C30" i="7" a="1"/>
  <c r="C30" i="7" s="1"/>
  <c r="C4" i="7" a="1"/>
  <c r="C4" i="7" s="1"/>
  <c r="C195" i="7" a="1"/>
  <c r="C195" i="7" s="1"/>
  <c r="C173" i="7" a="1"/>
  <c r="C173" i="7" s="1"/>
  <c r="C157" i="7" a="1"/>
  <c r="C157" i="7" s="1"/>
  <c r="C143" i="7" a="1"/>
  <c r="C143" i="7" s="1"/>
  <c r="C153" i="7" a="1"/>
  <c r="C153" i="7" s="1"/>
  <c r="C115" i="7" a="1"/>
  <c r="C115" i="7" s="1"/>
  <c r="C83" i="7" a="1"/>
  <c r="C83" i="7" s="1"/>
  <c r="C66" i="7" a="1"/>
  <c r="C66" i="7" s="1"/>
  <c r="C80" i="7" a="1"/>
  <c r="C80" i="7" s="1"/>
  <c r="C34" i="7" a="1"/>
  <c r="C34" i="7" s="1"/>
  <c r="C9" i="7" a="1"/>
  <c r="C9" i="7" s="1"/>
  <c r="C23" i="7" a="1"/>
  <c r="C23" i="7" s="1"/>
  <c r="C104" i="7" a="1"/>
  <c r="C104" i="7" s="1"/>
  <c r="C182" i="7" a="1"/>
  <c r="C182" i="7" s="1"/>
  <c r="C177" i="7" a="1"/>
  <c r="C177" i="7" s="1"/>
  <c r="C171" i="7" a="1"/>
  <c r="C171" i="7" s="1"/>
  <c r="C139" i="7" a="1"/>
  <c r="C139" i="7" s="1"/>
  <c r="C116" i="7" a="1"/>
  <c r="C116" i="7" s="1"/>
  <c r="C103" i="7" a="1"/>
  <c r="C103" i="7" s="1"/>
  <c r="C98" i="7" a="1"/>
  <c r="C98" i="7" s="1"/>
  <c r="C70" i="7" a="1"/>
  <c r="C70" i="7" s="1"/>
  <c r="C196" i="7" a="1"/>
  <c r="C196" i="7" s="1"/>
  <c r="C175" i="7" a="1"/>
  <c r="C175" i="7" s="1"/>
  <c r="C156" i="7" a="1"/>
  <c r="C156" i="7" s="1"/>
  <c r="C132" i="7" a="1"/>
  <c r="C132" i="7" s="1"/>
  <c r="C108" i="7" a="1"/>
  <c r="C108" i="7" s="1"/>
  <c r="C131" i="7" a="1"/>
  <c r="C131" i="7" s="1"/>
  <c r="C90" i="7" a="1"/>
  <c r="C90" i="7" s="1"/>
  <c r="C62" i="7" a="1"/>
  <c r="C62" i="7" s="1"/>
  <c r="C53" i="7" a="1"/>
  <c r="C53" i="7" s="1"/>
  <c r="C19" i="7" a="1"/>
  <c r="C19" i="7" s="1"/>
  <c r="C47" i="7" a="1"/>
  <c r="C47" i="7" s="1"/>
  <c r="C44" i="7" a="1"/>
  <c r="C44" i="7" s="1"/>
  <c r="C200" i="7" a="1"/>
  <c r="C200" i="7" s="1"/>
  <c r="C183" i="7" a="1"/>
  <c r="C183" i="7" s="1"/>
  <c r="C160" i="7" a="1"/>
  <c r="C160" i="7" s="1"/>
  <c r="C133" i="7" a="1"/>
  <c r="C133" i="7" s="1"/>
  <c r="C164" i="7" a="1"/>
  <c r="C164" i="7" s="1"/>
  <c r="C106" i="7" a="1"/>
  <c r="C106" i="7" s="1"/>
  <c r="C68" i="7" a="1"/>
  <c r="C68" i="7" s="1"/>
  <c r="C94" i="7" a="1"/>
  <c r="C94" i="7" s="1"/>
  <c r="C61" i="7" a="1"/>
  <c r="C61" i="7" s="1"/>
  <c r="C63" i="7" a="1"/>
  <c r="C63" i="7" s="1"/>
  <c r="C32" i="7" a="1"/>
  <c r="C32" i="7" s="1"/>
  <c r="C14" i="7" a="1"/>
  <c r="C14" i="7" s="1"/>
  <c r="C29" i="7" a="1"/>
  <c r="C29" i="7" s="1"/>
  <c r="C191" i="7" a="1"/>
  <c r="C191" i="7" s="1"/>
  <c r="C178" i="7" a="1"/>
  <c r="C178" i="7" s="1"/>
  <c r="C193" i="7" a="1"/>
  <c r="C193" i="7" s="1"/>
  <c r="C137" i="7" a="1"/>
  <c r="C137" i="7" s="1"/>
  <c r="C111" i="7" a="1"/>
  <c r="C111" i="7" s="1"/>
  <c r="C74" i="7" a="1"/>
  <c r="C74" i="7" s="1"/>
  <c r="C35" i="7" a="1"/>
  <c r="C35" i="7" s="1"/>
  <c r="C33" i="7" a="1"/>
  <c r="C33" i="7" s="1"/>
  <c r="C28" i="7" a="1"/>
  <c r="C28" i="7" s="1"/>
  <c r="C36" i="7" a="1"/>
  <c r="C36" i="7" s="1"/>
  <c r="C166" i="7" a="1"/>
  <c r="C166" i="7" s="1"/>
  <c r="C162" i="7" a="1"/>
  <c r="C162" i="7" s="1"/>
  <c r="C154" i="7" a="1"/>
  <c r="C154" i="7" s="1"/>
  <c r="C142" i="7" a="1"/>
  <c r="C142" i="7" s="1"/>
  <c r="C100" i="7" a="1"/>
  <c r="C100" i="7" s="1"/>
  <c r="C67" i="7" a="1"/>
  <c r="C67" i="7" s="1"/>
  <c r="C96" i="7" a="1"/>
  <c r="C96" i="7" s="1"/>
  <c r="C38" i="7" a="1"/>
  <c r="C38" i="7" s="1"/>
  <c r="C113" i="7" a="1"/>
  <c r="C113" i="7" s="1"/>
  <c r="C192" i="7" a="1"/>
  <c r="C192" i="7" s="1"/>
  <c r="C181" i="7" a="1"/>
  <c r="C181" i="7" s="1"/>
  <c r="C60" i="7" a="1"/>
  <c r="C60" i="7" s="1"/>
  <c r="C73" i="7" a="1"/>
  <c r="C73" i="7" s="1"/>
  <c r="C88" i="7" a="1"/>
  <c r="C88" i="7" s="1"/>
  <c r="C27" i="7" a="1"/>
  <c r="C27" i="7" s="1"/>
  <c r="C25" i="7" a="1"/>
  <c r="C25" i="7" s="1"/>
  <c r="C20" i="7" a="1"/>
  <c r="C20" i="7" s="1"/>
  <c r="C188" i="7" a="1"/>
  <c r="C188" i="7" s="1"/>
  <c r="C172" i="7" a="1"/>
  <c r="C172" i="7" s="1"/>
  <c r="C155" i="7" a="1"/>
  <c r="C155" i="7" s="1"/>
  <c r="C149" i="7" a="1"/>
  <c r="C149" i="7" s="1"/>
  <c r="C150" i="7" a="1"/>
  <c r="C150" i="7" s="1"/>
  <c r="C126" i="7" a="1"/>
  <c r="C126" i="7" s="1"/>
  <c r="C102" i="7" a="1"/>
  <c r="C102" i="7" s="1"/>
  <c r="C65" i="7" a="1"/>
  <c r="C65" i="7" s="1"/>
  <c r="C87" i="7" a="1"/>
  <c r="C87" i="7" s="1"/>
  <c r="C26" i="7" a="1"/>
  <c r="C26" i="7" s="1"/>
  <c r="C31" i="7" a="1"/>
  <c r="C31" i="7" s="1"/>
  <c r="C95" i="7" a="1"/>
  <c r="C95" i="7" s="1"/>
  <c r="C198" i="7" a="1"/>
  <c r="C198" i="7" s="1"/>
  <c r="C184" i="7" a="1"/>
  <c r="C184" i="7" s="1"/>
  <c r="C118" i="7" a="1"/>
  <c r="C118" i="7" s="1"/>
  <c r="C123" i="7" a="1"/>
  <c r="C123" i="7" s="1"/>
  <c r="C93" i="7" a="1"/>
  <c r="C93" i="7" s="1"/>
  <c r="C50" i="7" a="1"/>
  <c r="C50" i="7" s="1"/>
  <c r="C17" i="7" a="1"/>
  <c r="C17" i="7" s="1"/>
  <c r="C22" i="7" a="1"/>
  <c r="C22" i="7" s="1"/>
  <c r="C186" i="7" a="1"/>
  <c r="C186" i="7" s="1"/>
  <c r="C161" i="7" a="1"/>
  <c r="C161" i="7" s="1"/>
  <c r="C147" i="7" a="1"/>
  <c r="C147" i="7" s="1"/>
  <c r="C134" i="7" a="1"/>
  <c r="C134" i="7" s="1"/>
  <c r="C129" i="7" a="1"/>
  <c r="C129" i="7" s="1"/>
  <c r="C114" i="7" a="1"/>
  <c r="C114" i="7" s="1"/>
  <c r="C99" i="7" a="1"/>
  <c r="C99" i="7" s="1"/>
  <c r="C51" i="7" a="1"/>
  <c r="C51" i="7" s="1"/>
  <c r="C11" i="7" a="1"/>
  <c r="C11" i="7" s="1"/>
  <c r="C12" i="7" a="1"/>
  <c r="C12" i="7" s="1"/>
  <c r="C179" i="7" a="1"/>
  <c r="C179" i="7" s="1"/>
  <c r="C92" i="7" a="1"/>
  <c r="C92" i="7" s="1"/>
  <c r="C86" i="7" a="1"/>
  <c r="C86" i="7" s="1"/>
  <c r="C49" i="7" a="1"/>
  <c r="C49" i="7" s="1"/>
  <c r="C72" i="7" a="1"/>
  <c r="C72" i="7" s="1"/>
  <c r="C16" i="7" a="1"/>
  <c r="C16" i="7" s="1"/>
  <c r="C15" i="7" a="1"/>
  <c r="C15" i="7" s="1"/>
  <c r="C176" i="7" a="1"/>
  <c r="C176" i="7" s="1"/>
  <c r="C141" i="7" a="1"/>
  <c r="C141" i="7" s="1"/>
  <c r="C10" i="7" a="1"/>
  <c r="C10" i="7" s="1"/>
  <c r="C45" i="7" a="1"/>
  <c r="C45" i="7" s="1"/>
  <c r="C136" i="7" a="1"/>
  <c r="C136" i="7" s="1"/>
  <c r="C125" i="7" a="1"/>
  <c r="C125" i="7" s="1"/>
  <c r="C81" i="7" a="1"/>
  <c r="C81" i="7" s="1"/>
  <c r="C58" i="7" a="1"/>
  <c r="C58" i="7" s="1"/>
  <c r="C199" i="7" a="1"/>
  <c r="C199" i="7" s="1"/>
  <c r="C121" i="7" a="1"/>
  <c r="C121" i="7" s="1"/>
  <c r="C119" i="7" a="1"/>
  <c r="C119" i="7" s="1"/>
  <c r="C57" i="7" a="1"/>
  <c r="C57" i="7" s="1"/>
  <c r="C54" i="7" a="1"/>
  <c r="C54" i="7" s="1"/>
  <c r="C167" i="7" a="1"/>
  <c r="C167" i="7" s="1"/>
  <c r="C135" i="7" a="1"/>
  <c r="C135" i="7" s="1"/>
  <c r="C7" i="7" a="1"/>
  <c r="C7" i="7" s="1"/>
  <c r="C170" i="7" a="1"/>
  <c r="C170" i="7" s="1"/>
  <c r="C169" i="7" a="1"/>
  <c r="C169" i="7" s="1"/>
  <c r="C109" i="7" a="1"/>
  <c r="C109" i="7" s="1"/>
  <c r="C40" i="7" a="1"/>
  <c r="C40" i="7" s="1"/>
  <c r="C6" i="7" a="1"/>
  <c r="C6" i="7" s="1"/>
  <c r="C194" i="7" a="1"/>
  <c r="C194" i="7" s="1"/>
  <c r="C159" i="7" a="1"/>
  <c r="C159" i="7" s="1"/>
  <c r="C84" i="7" a="1"/>
  <c r="C84" i="7" s="1"/>
  <c r="C85" i="7" a="1"/>
  <c r="C85" i="7" s="1"/>
  <c r="C52" i="7" a="1"/>
  <c r="C52" i="7" s="1"/>
  <c r="C146" i="7" a="1"/>
  <c r="C146" i="7" s="1"/>
  <c r="C101" i="7" a="1"/>
  <c r="C101" i="7" s="1"/>
  <c r="C76" i="7" a="1"/>
  <c r="C76" i="7" s="1"/>
  <c r="C24" i="7" a="1"/>
  <c r="C24" i="7" s="1"/>
  <c r="C37" i="7" a="1"/>
  <c r="C37" i="7" s="1"/>
  <c r="C189" i="7" a="1"/>
  <c r="C189" i="7" s="1"/>
  <c r="C168" i="7" a="1"/>
  <c r="C168" i="7" s="1"/>
  <c r="C130" i="7" a="1"/>
  <c r="C130" i="7" s="1"/>
  <c r="C122" i="7" a="1"/>
  <c r="C122" i="7" s="1"/>
  <c r="C78" i="7" a="1"/>
  <c r="C78" i="7" s="1"/>
  <c r="C55" i="7" a="1"/>
  <c r="C55" i="7" s="1"/>
  <c r="C75" i="7" a="1"/>
  <c r="C75" i="7" s="1"/>
  <c r="C8" i="7" a="1"/>
  <c r="C8" i="7" s="1"/>
  <c r="C197" i="7" a="1"/>
  <c r="C197" i="7" s="1"/>
  <c r="C163" i="7" a="1"/>
  <c r="C163" i="7" s="1"/>
  <c r="C151" i="7" a="1"/>
  <c r="C151" i="7" s="1"/>
  <c r="C107" i="7" a="1"/>
  <c r="C107" i="7" s="1"/>
  <c r="C59" i="7" a="1"/>
  <c r="C59" i="7" s="1"/>
  <c r="C43" i="7" a="1"/>
  <c r="C43" i="7" s="1"/>
  <c r="C21" i="7" a="1"/>
  <c r="C21" i="7" s="1"/>
  <c r="C174" i="7" a="1"/>
  <c r="C174" i="7" s="1"/>
  <c r="C148" i="7" a="1"/>
  <c r="C148" i="7" s="1"/>
  <c r="C138" i="7" a="1"/>
  <c r="C138" i="7" s="1"/>
  <c r="C124" i="7" a="1"/>
  <c r="C124" i="7" s="1"/>
  <c r="C89" i="7" a="1"/>
  <c r="C89" i="7" s="1"/>
  <c r="C5" i="7" a="1"/>
  <c r="C5" i="7" s="1"/>
  <c r="C180" i="7" a="1"/>
  <c r="C180" i="7" s="1"/>
  <c r="C152" i="7" a="1"/>
  <c r="C152" i="7" s="1"/>
  <c r="C120" i="7" a="1"/>
  <c r="C120" i="7" s="1"/>
  <c r="C82" i="7" a="1"/>
  <c r="C82" i="7" s="1"/>
  <c r="C71" i="7" a="1"/>
  <c r="C71" i="7" s="1"/>
  <c r="C18" i="7" a="1"/>
  <c r="C18" i="7" s="1"/>
  <c r="C39" i="7" a="1"/>
  <c r="C39" i="7" s="1"/>
  <c r="C41" i="7" a="1"/>
  <c r="C41" i="7" s="1"/>
  <c r="C48" i="7" a="1"/>
  <c r="C48" i="7" s="1"/>
  <c r="C128" i="7" a="1"/>
  <c r="C128" i="7" s="1"/>
  <c r="C46" i="7" a="1"/>
  <c r="C46" i="7" s="1"/>
  <c r="C187" i="7" a="1"/>
  <c r="C187" i="7" s="1"/>
  <c r="C3" i="7" a="1"/>
  <c r="C3" i="7" s="1"/>
  <c r="C97" i="7" a="1"/>
  <c r="C97" i="7" s="1"/>
  <c r="C13" i="7" a="1"/>
  <c r="C13" i="7" s="1"/>
  <c r="C105" i="7" a="1"/>
  <c r="C105" i="7" s="1"/>
  <c r="C69" i="7" a="1"/>
  <c r="C69" i="7" s="1"/>
  <c r="C145" i="7" a="1"/>
  <c r="C145" i="7" s="1"/>
  <c r="C42" i="7" a="1"/>
  <c r="C42" i="7" s="1"/>
  <c r="C79" i="7" a="1"/>
  <c r="C79" i="7" s="1"/>
  <c r="C127" i="7" a="1"/>
  <c r="C127" i="7" s="1"/>
  <c r="C185" i="7" a="1"/>
  <c r="C185" i="7" s="1"/>
  <c r="C158" i="7" a="1"/>
  <c r="C158" i="7" s="1"/>
  <c r="C91" i="7" a="1"/>
  <c r="C91" i="7" s="1"/>
  <c r="H144" i="4"/>
  <c r="F144" i="4"/>
  <c r="H110" i="4"/>
  <c r="E173" i="4"/>
  <c r="F173" i="4" s="1"/>
  <c r="AX172" i="13"/>
  <c r="R173" i="4" s="1"/>
  <c r="BA172" i="13"/>
  <c r="BB172" i="13" s="1"/>
  <c r="AV172" i="13"/>
  <c r="BD172" i="13"/>
  <c r="AB173" i="4" s="1"/>
  <c r="AY77" i="13"/>
  <c r="P78" i="4"/>
  <c r="E66" i="4"/>
  <c r="F66" i="4" s="1"/>
  <c r="BA65" i="13"/>
  <c r="BB65" i="13" s="1"/>
  <c r="AX65" i="13"/>
  <c r="R66" i="4" s="1"/>
  <c r="BD65" i="13"/>
  <c r="AB66" i="4" s="1"/>
  <c r="AY45" i="13"/>
  <c r="P46" i="4"/>
  <c r="Q110" i="4"/>
  <c r="AX109" i="13"/>
  <c r="R110" i="4" s="1"/>
  <c r="AY5" i="13"/>
  <c r="P6" i="4"/>
  <c r="Q55" i="4"/>
  <c r="BB54" i="13"/>
  <c r="BC54" i="13" s="1"/>
  <c r="AA55" i="4" s="1"/>
  <c r="Q14" i="4"/>
  <c r="BB13" i="13"/>
  <c r="BC13" i="13" s="1"/>
  <c r="AA14" i="4" s="1"/>
  <c r="E132" i="4"/>
  <c r="F132" i="4" s="1"/>
  <c r="AX131" i="13"/>
  <c r="R132" i="4" s="1"/>
  <c r="BA131" i="13"/>
  <c r="BB131" i="13" s="1"/>
  <c r="BD131" i="13"/>
  <c r="AB132" i="4" s="1"/>
  <c r="AV131" i="13"/>
  <c r="AX101" i="13"/>
  <c r="R102" i="4" s="1"/>
  <c r="BA101" i="13"/>
  <c r="BB101" i="13" s="1"/>
  <c r="BD101" i="13"/>
  <c r="AB102" i="4" s="1"/>
  <c r="E102" i="4"/>
  <c r="F102" i="4" s="1"/>
  <c r="E77" i="4"/>
  <c r="F77" i="4" s="1"/>
  <c r="BA76" i="13"/>
  <c r="BB76" i="13" s="1"/>
  <c r="AX76" i="13"/>
  <c r="R77" i="4" s="1"/>
  <c r="BD76" i="13"/>
  <c r="AB77" i="4" s="1"/>
  <c r="BD51" i="13"/>
  <c r="AB52" i="4" s="1"/>
  <c r="E52" i="4"/>
  <c r="F52" i="4" s="1"/>
  <c r="AX51" i="13"/>
  <c r="R52" i="4" s="1"/>
  <c r="BA51" i="13"/>
  <c r="BB51" i="13" s="1"/>
  <c r="E171" i="4"/>
  <c r="F171" i="4" s="1"/>
  <c r="AX170" i="13"/>
  <c r="R171" i="4" s="1"/>
  <c r="AV170" i="13"/>
  <c r="BD170" i="13"/>
  <c r="AB171" i="4" s="1"/>
  <c r="BA170" i="13"/>
  <c r="BB170" i="13" s="1"/>
  <c r="AY52" i="13"/>
  <c r="P53" i="4"/>
  <c r="P17" i="4"/>
  <c r="R90" i="4"/>
  <c r="AZ89" i="13"/>
  <c r="T90" i="4" s="1"/>
  <c r="I135" i="4"/>
  <c r="BD134" i="13"/>
  <c r="AB135" i="4" s="1"/>
  <c r="AV134" i="13"/>
  <c r="F39" i="4"/>
  <c r="F46" i="4"/>
  <c r="H46" i="4"/>
  <c r="H66" i="4"/>
  <c r="BB109" i="13"/>
  <c r="H35" i="4"/>
  <c r="Q30" i="4"/>
  <c r="AX29" i="13"/>
  <c r="R30" i="4" s="1"/>
  <c r="W56" i="7" a="1"/>
  <c r="W56" i="7" s="1"/>
  <c r="W96" i="7" a="1"/>
  <c r="W96" i="7" s="1"/>
  <c r="W94" i="7" a="1"/>
  <c r="W94" i="7" s="1"/>
  <c r="W65" i="7" a="1"/>
  <c r="W65" i="7" s="1"/>
  <c r="W178" i="7" a="1"/>
  <c r="W178" i="7" s="1"/>
  <c r="W54" i="7" a="1"/>
  <c r="W54" i="7" s="1"/>
  <c r="W135" i="7" a="1"/>
  <c r="W135" i="7" s="1"/>
  <c r="W69" i="7" a="1"/>
  <c r="W69" i="7" s="1"/>
  <c r="W150" i="7" a="1"/>
  <c r="W150" i="7" s="1"/>
  <c r="W191" i="7" a="1"/>
  <c r="W191" i="7" s="1"/>
  <c r="W168" i="7" a="1"/>
  <c r="W168" i="7" s="1"/>
  <c r="W120" i="7" a="1"/>
  <c r="W120" i="7" s="1"/>
  <c r="W18" i="7" a="1"/>
  <c r="W18" i="7" s="1"/>
  <c r="W22" i="7" a="1"/>
  <c r="W22" i="7" s="1"/>
  <c r="W53" i="7" a="1"/>
  <c r="W53" i="7" s="1"/>
  <c r="W68" i="7" a="1"/>
  <c r="W68" i="7" s="1"/>
  <c r="W73" i="7" a="1"/>
  <c r="W73" i="7" s="1"/>
  <c r="W51" i="7" a="1"/>
  <c r="W51" i="7" s="1"/>
  <c r="W109" i="7" a="1"/>
  <c r="W109" i="7" s="1"/>
  <c r="W140" i="7" a="1"/>
  <c r="W140" i="7" s="1"/>
  <c r="W90" i="7" a="1"/>
  <c r="W90" i="7" s="1"/>
  <c r="W154" i="7" a="1"/>
  <c r="W154" i="7" s="1"/>
  <c r="W142" i="7" a="1"/>
  <c r="W142" i="7" s="1"/>
  <c r="W196" i="7" a="1"/>
  <c r="W196" i="7" s="1"/>
  <c r="W138" i="7" a="1"/>
  <c r="W138" i="7" s="1"/>
  <c r="W72" i="7" a="1"/>
  <c r="W72" i="7" s="1"/>
  <c r="W58" i="7" a="1"/>
  <c r="W58" i="7" s="1"/>
  <c r="W25" i="7" a="1"/>
  <c r="W25" i="7" s="1"/>
  <c r="W97" i="7" a="1"/>
  <c r="W97" i="7" s="1"/>
  <c r="W144" i="7" a="1"/>
  <c r="W144" i="7" s="1"/>
  <c r="W182" i="7" a="1"/>
  <c r="W182" i="7" s="1"/>
  <c r="W77" i="7" a="1"/>
  <c r="W77" i="7" s="1"/>
  <c r="W139" i="7" a="1"/>
  <c r="W139" i="7" s="1"/>
  <c r="W4" i="7" a="1"/>
  <c r="W4" i="7" s="1"/>
  <c r="W200" i="7" a="1"/>
  <c r="W200" i="7" s="1"/>
  <c r="W197" i="7" a="1"/>
  <c r="W197" i="7" s="1"/>
  <c r="W34" i="7" a="1"/>
  <c r="W34" i="7" s="1"/>
  <c r="W21" i="7" a="1"/>
  <c r="W21" i="7" s="1"/>
  <c r="W80" i="7" a="1"/>
  <c r="W80" i="7" s="1"/>
  <c r="W71" i="7" a="1"/>
  <c r="W71" i="7" s="1"/>
  <c r="W70" i="7" a="1"/>
  <c r="W70" i="7" s="1"/>
  <c r="W115" i="7" a="1"/>
  <c r="W115" i="7" s="1"/>
  <c r="W153" i="7" a="1"/>
  <c r="W153" i="7" s="1"/>
  <c r="W185" i="7" a="1"/>
  <c r="W185" i="7" s="1"/>
  <c r="W172" i="7" a="1"/>
  <c r="W172" i="7" s="1"/>
  <c r="W167" i="7" a="1"/>
  <c r="W167" i="7" s="1"/>
  <c r="W12" i="7" a="1"/>
  <c r="W12" i="7" s="1"/>
  <c r="W9" i="7" a="1"/>
  <c r="W9" i="7" s="1"/>
  <c r="W31" i="7" a="1"/>
  <c r="W31" i="7" s="1"/>
  <c r="W75" i="7" a="1"/>
  <c r="W75" i="7" s="1"/>
  <c r="W66" i="7" a="1"/>
  <c r="W66" i="7" s="1"/>
  <c r="W112" i="7" a="1"/>
  <c r="W112" i="7" s="1"/>
  <c r="W100" i="7" a="1"/>
  <c r="W100" i="7" s="1"/>
  <c r="W186" i="7" a="1"/>
  <c r="W186" i="7" s="1"/>
  <c r="W118" i="7" a="1"/>
  <c r="W118" i="7" s="1"/>
  <c r="W152" i="7" a="1"/>
  <c r="W152" i="7" s="1"/>
  <c r="W121" i="7" a="1"/>
  <c r="W121" i="7" s="1"/>
  <c r="W15" i="7" a="1"/>
  <c r="W15" i="7" s="1"/>
  <c r="W16" i="7" a="1"/>
  <c r="W16" i="7" s="1"/>
  <c r="W35" i="7" a="1"/>
  <c r="W35" i="7" s="1"/>
  <c r="W38" i="7" a="1"/>
  <c r="W38" i="7" s="1"/>
  <c r="W29" i="7" a="1"/>
  <c r="W29" i="7" s="1"/>
  <c r="W84" i="7" a="1"/>
  <c r="W84" i="7" s="1"/>
  <c r="W104" i="7" a="1"/>
  <c r="W104" i="7" s="1"/>
  <c r="W78" i="7" a="1"/>
  <c r="W78" i="7" s="1"/>
  <c r="W119" i="7" a="1"/>
  <c r="W119" i="7" s="1"/>
  <c r="W157" i="7" a="1"/>
  <c r="W157" i="7" s="1"/>
  <c r="W126" i="7" a="1"/>
  <c r="W126" i="7" s="1"/>
  <c r="W175" i="7" a="1"/>
  <c r="W175" i="7" s="1"/>
  <c r="W170" i="7" a="1"/>
  <c r="W170" i="7" s="1"/>
  <c r="W13" i="7" a="1"/>
  <c r="W13" i="7" s="1"/>
  <c r="W48" i="7" a="1"/>
  <c r="W48" i="7" s="1"/>
  <c r="W37" i="7" a="1"/>
  <c r="W37" i="7" s="1"/>
  <c r="W88" i="7" a="1"/>
  <c r="W88" i="7" s="1"/>
  <c r="W95" i="7" a="1"/>
  <c r="W95" i="7" s="1"/>
  <c r="W164" i="7" a="1"/>
  <c r="W164" i="7" s="1"/>
  <c r="W166" i="7" a="1"/>
  <c r="W166" i="7" s="1"/>
  <c r="W177" i="7" a="1"/>
  <c r="W177" i="7" s="1"/>
  <c r="W3" i="7" a="1"/>
  <c r="W3" i="7" s="1"/>
  <c r="W55" i="7" a="1"/>
  <c r="W55" i="7" s="1"/>
  <c r="W45" i="7" a="1"/>
  <c r="W45" i="7" s="1"/>
  <c r="W67" i="7" a="1"/>
  <c r="W67" i="7" s="1"/>
  <c r="W103" i="7" a="1"/>
  <c r="W103" i="7" s="1"/>
  <c r="W165" i="7" a="1"/>
  <c r="W165" i="7" s="1"/>
  <c r="W98" i="7" a="1"/>
  <c r="W98" i="7" s="1"/>
  <c r="W193" i="7" a="1"/>
  <c r="W193" i="7" s="1"/>
  <c r="W155" i="7" a="1"/>
  <c r="W155" i="7" s="1"/>
  <c r="W180" i="7" a="1"/>
  <c r="W180" i="7" s="1"/>
  <c r="W171" i="7" a="1"/>
  <c r="W171" i="7" s="1"/>
  <c r="W26" i="7" a="1"/>
  <c r="W26" i="7" s="1"/>
  <c r="W91" i="7" a="1"/>
  <c r="W91" i="7" s="1"/>
  <c r="W105" i="7" a="1"/>
  <c r="W105" i="7" s="1"/>
  <c r="W85" i="7" a="1"/>
  <c r="W85" i="7" s="1"/>
  <c r="W107" i="7" a="1"/>
  <c r="W107" i="7" s="1"/>
  <c r="W24" i="7" a="1"/>
  <c r="W24" i="7" s="1"/>
  <c r="W189" i="7" a="1"/>
  <c r="W189" i="7" s="1"/>
  <c r="W60" i="7" a="1"/>
  <c r="W60" i="7" s="1"/>
  <c r="W83" i="7" a="1"/>
  <c r="W83" i="7" s="1"/>
  <c r="W174" i="7" a="1"/>
  <c r="W174" i="7" s="1"/>
  <c r="W123" i="7" a="1"/>
  <c r="W123" i="7" s="1"/>
  <c r="W195" i="7" a="1"/>
  <c r="W195" i="7" s="1"/>
  <c r="W17" i="7" a="1"/>
  <c r="W17" i="7" s="1"/>
  <c r="W198" i="7" a="1"/>
  <c r="W198" i="7" s="1"/>
  <c r="W42" i="7" a="1"/>
  <c r="W42" i="7" s="1"/>
  <c r="W106" i="7" a="1"/>
  <c r="W106" i="7" s="1"/>
  <c r="W111" i="7" a="1"/>
  <c r="W111" i="7" s="1"/>
  <c r="W124" i="7" a="1"/>
  <c r="W124" i="7" s="1"/>
  <c r="W127" i="7" a="1"/>
  <c r="W127" i="7" s="1"/>
  <c r="W113" i="7" a="1"/>
  <c r="W113" i="7" s="1"/>
  <c r="W11" i="7" a="1"/>
  <c r="W11" i="7" s="1"/>
  <c r="W76" i="7" a="1"/>
  <c r="W76" i="7" s="1"/>
  <c r="W87" i="7" a="1"/>
  <c r="W87" i="7" s="1"/>
  <c r="W116" i="7" a="1"/>
  <c r="W116" i="7" s="1"/>
  <c r="W33" i="7" a="1"/>
  <c r="W33" i="7" s="1"/>
  <c r="W128" i="7" a="1"/>
  <c r="W128" i="7" s="1"/>
  <c r="W184" i="7" a="1"/>
  <c r="W184" i="7" s="1"/>
  <c r="W137" i="7" a="1"/>
  <c r="W137" i="7" s="1"/>
  <c r="W108" i="7" a="1"/>
  <c r="W108" i="7" s="1"/>
  <c r="W7" i="7" a="1"/>
  <c r="W7" i="7" s="1"/>
  <c r="W23" i="7" a="1"/>
  <c r="W23" i="7" s="1"/>
  <c r="W46" i="7" a="1"/>
  <c r="W46" i="7" s="1"/>
  <c r="W92" i="7" a="1"/>
  <c r="W92" i="7" s="1"/>
  <c r="W32" i="7" a="1"/>
  <c r="W32" i="7" s="1"/>
  <c r="W61" i="7" a="1"/>
  <c r="W61" i="7" s="1"/>
  <c r="W131" i="7" a="1"/>
  <c r="W131" i="7" s="1"/>
  <c r="W130" i="7" a="1"/>
  <c r="W130" i="7" s="1"/>
  <c r="W151" i="7" a="1"/>
  <c r="W151" i="7" s="1"/>
  <c r="W10" i="7" a="1"/>
  <c r="W10" i="7" s="1"/>
  <c r="W129" i="7" a="1"/>
  <c r="W129" i="7" s="1"/>
  <c r="W19" i="7" a="1"/>
  <c r="W19" i="7" s="1"/>
  <c r="W89" i="7" a="1"/>
  <c r="W89" i="7" s="1"/>
  <c r="W134" i="7" a="1"/>
  <c r="W134" i="7" s="1"/>
  <c r="W39" i="7" a="1"/>
  <c r="W39" i="7" s="1"/>
  <c r="W101" i="7" a="1"/>
  <c r="W101" i="7" s="1"/>
  <c r="W99" i="7" a="1"/>
  <c r="W99" i="7" s="1"/>
  <c r="W40" i="7" a="1"/>
  <c r="W40" i="7" s="1"/>
  <c r="W117" i="7" a="1"/>
  <c r="W117" i="7" s="1"/>
  <c r="W183" i="7" a="1"/>
  <c r="W183" i="7" s="1"/>
  <c r="W28" i="7" a="1"/>
  <c r="W28" i="7" s="1"/>
  <c r="W102" i="7" a="1"/>
  <c r="W102" i="7" s="1"/>
  <c r="W49" i="7" a="1"/>
  <c r="W49" i="7" s="1"/>
  <c r="W125" i="7" a="1"/>
  <c r="W125" i="7" s="1"/>
  <c r="W187" i="7" a="1"/>
  <c r="W187" i="7" s="1"/>
  <c r="W43" i="7" a="1"/>
  <c r="W43" i="7" s="1"/>
  <c r="W50" i="7" a="1"/>
  <c r="W50" i="7" s="1"/>
  <c r="W145" i="7" a="1"/>
  <c r="W145" i="7" s="1"/>
  <c r="W141" i="7" a="1"/>
  <c r="W141" i="7" s="1"/>
  <c r="W30" i="7" a="1"/>
  <c r="W30" i="7" s="1"/>
  <c r="W44" i="7" a="1"/>
  <c r="W44" i="7" s="1"/>
  <c r="W136" i="7" a="1"/>
  <c r="W136" i="7" s="1"/>
  <c r="W47" i="7" a="1"/>
  <c r="W47" i="7" s="1"/>
  <c r="W79" i="7" a="1"/>
  <c r="W79" i="7" s="1"/>
  <c r="W81" i="7" a="1"/>
  <c r="W81" i="7" s="1"/>
  <c r="W143" i="7" a="1"/>
  <c r="W143" i="7" s="1"/>
  <c r="W192" i="7" a="1"/>
  <c r="W192" i="7" s="1"/>
  <c r="W146" i="7" a="1"/>
  <c r="W146" i="7" s="1"/>
  <c r="W199" i="7" a="1"/>
  <c r="W199" i="7" s="1"/>
  <c r="W148" i="7" a="1"/>
  <c r="W148" i="7" s="1"/>
  <c r="W159" i="7" a="1"/>
  <c r="W159" i="7" s="1"/>
  <c r="W181" i="7" a="1"/>
  <c r="W181" i="7" s="1"/>
  <c r="W59" i="7" a="1"/>
  <c r="W59" i="7" s="1"/>
  <c r="W161" i="7" a="1"/>
  <c r="W161" i="7" s="1"/>
  <c r="W158" i="7" a="1"/>
  <c r="W158" i="7" s="1"/>
  <c r="W27" i="7" a="1"/>
  <c r="W27" i="7" s="1"/>
  <c r="W74" i="7" a="1"/>
  <c r="W74" i="7" s="1"/>
  <c r="W169" i="7" a="1"/>
  <c r="W169" i="7" s="1"/>
  <c r="W163" i="7" a="1"/>
  <c r="W163" i="7" s="1"/>
  <c r="W82" i="7" a="1"/>
  <c r="W82" i="7" s="1"/>
  <c r="W190" i="7" a="1"/>
  <c r="W190" i="7" s="1"/>
  <c r="W173" i="7" a="1"/>
  <c r="W173" i="7" s="1"/>
  <c r="W14" i="7" a="1"/>
  <c r="W14" i="7" s="1"/>
  <c r="W52" i="7" a="1"/>
  <c r="W52" i="7" s="1"/>
  <c r="W176" i="7" a="1"/>
  <c r="W176" i="7" s="1"/>
  <c r="W5" i="7" a="1"/>
  <c r="W5" i="7" s="1"/>
  <c r="W20" i="7" a="1"/>
  <c r="W20" i="7" s="1"/>
  <c r="W122" i="7" a="1"/>
  <c r="W122" i="7" s="1"/>
  <c r="W179" i="7" a="1"/>
  <c r="W179" i="7" s="1"/>
  <c r="W110" i="7" a="1"/>
  <c r="W110" i="7" s="1"/>
  <c r="W8" i="7" a="1"/>
  <c r="W8" i="7" s="1"/>
  <c r="W147" i="7" a="1"/>
  <c r="W147" i="7" s="1"/>
  <c r="W62" i="7" a="1"/>
  <c r="W62" i="7" s="1"/>
  <c r="W64" i="7" a="1"/>
  <c r="W64" i="7" s="1"/>
  <c r="W6" i="7" a="1"/>
  <c r="W6" i="7" s="1"/>
  <c r="W188" i="7" a="1"/>
  <c r="W188" i="7" s="1"/>
  <c r="W86" i="7" a="1"/>
  <c r="W86" i="7" s="1"/>
  <c r="W114" i="7" a="1"/>
  <c r="W114" i="7" s="1"/>
  <c r="W149" i="7" a="1"/>
  <c r="W149" i="7" s="1"/>
  <c r="W63" i="7" a="1"/>
  <c r="W63" i="7" s="1"/>
  <c r="W194" i="7" a="1"/>
  <c r="W194" i="7" s="1"/>
  <c r="W36" i="7" a="1"/>
  <c r="W36" i="7" s="1"/>
  <c r="W132" i="7" a="1"/>
  <c r="W132" i="7" s="1"/>
  <c r="W156" i="7" a="1"/>
  <c r="W156" i="7" s="1"/>
  <c r="W160" i="7" a="1"/>
  <c r="W160" i="7" s="1"/>
  <c r="W93" i="7" a="1"/>
  <c r="W93" i="7" s="1"/>
  <c r="W162" i="7" a="1"/>
  <c r="W162" i="7" s="1"/>
  <c r="W57" i="7" a="1"/>
  <c r="W57" i="7" s="1"/>
  <c r="W41" i="7" a="1"/>
  <c r="W41" i="7" s="1"/>
  <c r="W133" i="7" a="1"/>
  <c r="W133" i="7" s="1"/>
  <c r="BB29" i="13"/>
  <c r="Q144" i="4"/>
  <c r="AX143" i="13"/>
  <c r="R144" i="4" s="1"/>
  <c r="I137" i="4"/>
  <c r="AV136" i="13"/>
  <c r="AX108" i="13"/>
  <c r="R109" i="4" s="1"/>
  <c r="BD108" i="13"/>
  <c r="AB109" i="4" s="1"/>
  <c r="E109" i="4"/>
  <c r="F109" i="4" s="1"/>
  <c r="BA108" i="13"/>
  <c r="BB108" i="13" s="1"/>
  <c r="F104" i="4"/>
  <c r="BD31" i="13"/>
  <c r="AB32" i="4" s="1"/>
  <c r="I32" i="4"/>
  <c r="AV31" i="13"/>
  <c r="AY12" i="13"/>
  <c r="P13" i="4"/>
  <c r="P158" i="4"/>
  <c r="AY157" i="13"/>
  <c r="Q135" i="4"/>
  <c r="AX134" i="13"/>
  <c r="R135" i="4" s="1"/>
  <c r="Q94" i="4"/>
  <c r="AX93" i="13"/>
  <c r="R94" i="4" s="1"/>
  <c r="AY66" i="13"/>
  <c r="P67" i="4"/>
  <c r="BC187" i="13"/>
  <c r="AA188" i="4" s="1"/>
  <c r="Q71" i="4"/>
  <c r="AX70" i="13"/>
  <c r="R71" i="4" s="1"/>
  <c r="M200" i="7" a="1"/>
  <c r="M200" i="7" s="1"/>
  <c r="M184" i="7" a="1"/>
  <c r="M184" i="7" s="1"/>
  <c r="M174" i="7" a="1"/>
  <c r="M174" i="7" s="1"/>
  <c r="M172" i="7" a="1"/>
  <c r="M172" i="7" s="1"/>
  <c r="M157" i="7" a="1"/>
  <c r="M157" i="7" s="1"/>
  <c r="M142" i="7" a="1"/>
  <c r="M142" i="7" s="1"/>
  <c r="M143" i="7" a="1"/>
  <c r="M143" i="7" s="1"/>
  <c r="M102" i="7" a="1"/>
  <c r="M102" i="7" s="1"/>
  <c r="M113" i="7" a="1"/>
  <c r="M113" i="7" s="1"/>
  <c r="M86" i="7" a="1"/>
  <c r="M86" i="7" s="1"/>
  <c r="M91" i="7" a="1"/>
  <c r="M91" i="7" s="1"/>
  <c r="M96" i="7" a="1"/>
  <c r="M96" i="7" s="1"/>
  <c r="M97" i="7" a="1"/>
  <c r="M97" i="7" s="1"/>
  <c r="M49" i="7" a="1"/>
  <c r="M49" i="7" s="1"/>
  <c r="M29" i="7" a="1"/>
  <c r="M29" i="7" s="1"/>
  <c r="M34" i="7" a="1"/>
  <c r="M34" i="7" s="1"/>
  <c r="M32" i="7" a="1"/>
  <c r="M32" i="7" s="1"/>
  <c r="M23" i="7" a="1"/>
  <c r="M23" i="7" s="1"/>
  <c r="M38" i="7" a="1"/>
  <c r="M38" i="7" s="1"/>
  <c r="M193" i="7" a="1"/>
  <c r="M193" i="7" s="1"/>
  <c r="M183" i="7" a="1"/>
  <c r="M183" i="7" s="1"/>
  <c r="M165" i="7" a="1"/>
  <c r="M165" i="7" s="1"/>
  <c r="M150" i="7" a="1"/>
  <c r="M150" i="7" s="1"/>
  <c r="M129" i="7" a="1"/>
  <c r="M129" i="7" s="1"/>
  <c r="M171" i="7" a="1"/>
  <c r="M171" i="7" s="1"/>
  <c r="M85" i="7" a="1"/>
  <c r="M85" i="7" s="1"/>
  <c r="M84" i="7" a="1"/>
  <c r="M84" i="7" s="1"/>
  <c r="M74" i="7" a="1"/>
  <c r="M74" i="7" s="1"/>
  <c r="M82" i="7" a="1"/>
  <c r="M82" i="7" s="1"/>
  <c r="M27" i="7" a="1"/>
  <c r="M27" i="7" s="1"/>
  <c r="M25" i="7" a="1"/>
  <c r="M25" i="7" s="1"/>
  <c r="M15" i="7" a="1"/>
  <c r="M15" i="7" s="1"/>
  <c r="M192" i="7" a="1"/>
  <c r="M192" i="7" s="1"/>
  <c r="M180" i="7" a="1"/>
  <c r="M180" i="7" s="1"/>
  <c r="M173" i="7" a="1"/>
  <c r="M173" i="7" s="1"/>
  <c r="M164" i="7" a="1"/>
  <c r="M164" i="7" s="1"/>
  <c r="M149" i="7" a="1"/>
  <c r="M149" i="7" s="1"/>
  <c r="M141" i="7" a="1"/>
  <c r="M141" i="7" s="1"/>
  <c r="M147" i="7" a="1"/>
  <c r="M147" i="7" s="1"/>
  <c r="M128" i="7" a="1"/>
  <c r="M128" i="7" s="1"/>
  <c r="M112" i="7" a="1"/>
  <c r="M112" i="7" s="1"/>
  <c r="M78" i="7" a="1"/>
  <c r="M78" i="7" s="1"/>
  <c r="M83" i="7" a="1"/>
  <c r="M83" i="7" s="1"/>
  <c r="M95" i="7" a="1"/>
  <c r="M95" i="7" s="1"/>
  <c r="M65" i="7" a="1"/>
  <c r="M65" i="7" s="1"/>
  <c r="M73" i="7" a="1"/>
  <c r="M73" i="7" s="1"/>
  <c r="M28" i="7" a="1"/>
  <c r="M28" i="7" s="1"/>
  <c r="M26" i="7" a="1"/>
  <c r="M26" i="7" s="1"/>
  <c r="M24" i="7" a="1"/>
  <c r="M24" i="7" s="1"/>
  <c r="M14" i="7" a="1"/>
  <c r="M14" i="7" s="1"/>
  <c r="M6" i="7" a="1"/>
  <c r="M6" i="7" s="1"/>
  <c r="M197" i="7" a="1"/>
  <c r="M197" i="7" s="1"/>
  <c r="M190" i="7" a="1"/>
  <c r="M190" i="7" s="1"/>
  <c r="M178" i="7" a="1"/>
  <c r="M178" i="7" s="1"/>
  <c r="M154" i="7" a="1"/>
  <c r="M154" i="7" s="1"/>
  <c r="M156" i="7" a="1"/>
  <c r="M156" i="7" s="1"/>
  <c r="M134" i="7" a="1"/>
  <c r="M134" i="7" s="1"/>
  <c r="M135" i="7" a="1"/>
  <c r="M135" i="7" s="1"/>
  <c r="M124" i="7" a="1"/>
  <c r="M124" i="7" s="1"/>
  <c r="M105" i="7" a="1"/>
  <c r="M105" i="7" s="1"/>
  <c r="M77" i="7" a="1"/>
  <c r="M77" i="7" s="1"/>
  <c r="M76" i="7" a="1"/>
  <c r="M76" i="7" s="1"/>
  <c r="M88" i="7" a="1"/>
  <c r="M88" i="7" s="1"/>
  <c r="M59" i="7" a="1"/>
  <c r="M59" i="7" s="1"/>
  <c r="M54" i="7" a="1"/>
  <c r="M54" i="7" s="1"/>
  <c r="M21" i="7" a="1"/>
  <c r="M21" i="7" s="1"/>
  <c r="M19" i="7" a="1"/>
  <c r="M19" i="7" s="1"/>
  <c r="M17" i="7" a="1"/>
  <c r="M17" i="7" s="1"/>
  <c r="M5" i="7" a="1"/>
  <c r="M5" i="7" s="1"/>
  <c r="M4" i="7" a="1"/>
  <c r="M4" i="7" s="1"/>
  <c r="M187" i="7" a="1"/>
  <c r="M187" i="7" s="1"/>
  <c r="M182" i="7" a="1"/>
  <c r="M182" i="7" s="1"/>
  <c r="M169" i="7" a="1"/>
  <c r="M169" i="7" s="1"/>
  <c r="M170" i="7" a="1"/>
  <c r="M170" i="7" s="1"/>
  <c r="M148" i="7" a="1"/>
  <c r="M148" i="7" s="1"/>
  <c r="M130" i="7" a="1"/>
  <c r="M130" i="7" s="1"/>
  <c r="M127" i="7" a="1"/>
  <c r="M127" i="7" s="1"/>
  <c r="M120" i="7" a="1"/>
  <c r="M120" i="7" s="1"/>
  <c r="M121" i="7" a="1"/>
  <c r="M121" i="7" s="1"/>
  <c r="M69" i="7" a="1"/>
  <c r="M69" i="7" s="1"/>
  <c r="M75" i="7" a="1"/>
  <c r="M75" i="7" s="1"/>
  <c r="M80" i="7" a="1"/>
  <c r="M80" i="7" s="1"/>
  <c r="M51" i="7" a="1"/>
  <c r="M51" i="7" s="1"/>
  <c r="M56" i="7" a="1"/>
  <c r="M56" i="7" s="1"/>
  <c r="M13" i="7" a="1"/>
  <c r="M13" i="7" s="1"/>
  <c r="M11" i="7" a="1"/>
  <c r="M11" i="7" s="1"/>
  <c r="M16" i="7" a="1"/>
  <c r="M16" i="7" s="1"/>
  <c r="M30" i="7" a="1"/>
  <c r="M30" i="7" s="1"/>
  <c r="M198" i="7" a="1"/>
  <c r="M198" i="7" s="1"/>
  <c r="M181" i="7" a="1"/>
  <c r="M181" i="7" s="1"/>
  <c r="M168" i="7" a="1"/>
  <c r="M168" i="7" s="1"/>
  <c r="M159" i="7" a="1"/>
  <c r="M159" i="7" s="1"/>
  <c r="M145" i="7" a="1"/>
  <c r="M145" i="7" s="1"/>
  <c r="M155" i="7" a="1"/>
  <c r="M155" i="7" s="1"/>
  <c r="M123" i="7" a="1"/>
  <c r="M123" i="7" s="1"/>
  <c r="M116" i="7" a="1"/>
  <c r="M116" i="7" s="1"/>
  <c r="M115" i="7" a="1"/>
  <c r="M115" i="7" s="1"/>
  <c r="M62" i="7" a="1"/>
  <c r="M62" i="7" s="1"/>
  <c r="M68" i="7" a="1"/>
  <c r="M68" i="7" s="1"/>
  <c r="M79" i="7" a="1"/>
  <c r="M79" i="7" s="1"/>
  <c r="M98" i="7" a="1"/>
  <c r="M98" i="7" s="1"/>
  <c r="M55" i="7" a="1"/>
  <c r="M55" i="7" s="1"/>
  <c r="M12" i="7" a="1"/>
  <c r="M12" i="7" s="1"/>
  <c r="M10" i="7" a="1"/>
  <c r="M10" i="7" s="1"/>
  <c r="M9" i="7" a="1"/>
  <c r="M9" i="7" s="1"/>
  <c r="M7" i="7" a="1"/>
  <c r="M7" i="7" s="1"/>
  <c r="M185" i="7" a="1"/>
  <c r="M185" i="7" s="1"/>
  <c r="M167" i="7" a="1"/>
  <c r="M167" i="7" s="1"/>
  <c r="M133" i="7" a="1"/>
  <c r="M133" i="7" s="1"/>
  <c r="M111" i="7" a="1"/>
  <c r="M111" i="7" s="1"/>
  <c r="M94" i="7" a="1"/>
  <c r="M94" i="7" s="1"/>
  <c r="M117" i="7" a="1"/>
  <c r="M117" i="7" s="1"/>
  <c r="M66" i="7" a="1"/>
  <c r="M66" i="7" s="1"/>
  <c r="M42" i="7" a="1"/>
  <c r="M42" i="7" s="1"/>
  <c r="M90" i="7" a="1"/>
  <c r="M90" i="7" s="1"/>
  <c r="M196" i="7" a="1"/>
  <c r="M196" i="7" s="1"/>
  <c r="M131" i="7" a="1"/>
  <c r="M131" i="7" s="1"/>
  <c r="M110" i="7" a="1"/>
  <c r="M110" i="7" s="1"/>
  <c r="M114" i="7" a="1"/>
  <c r="M114" i="7" s="1"/>
  <c r="M53" i="7" a="1"/>
  <c r="M53" i="7" s="1"/>
  <c r="M81" i="7" a="1"/>
  <c r="M81" i="7" s="1"/>
  <c r="M191" i="7" a="1"/>
  <c r="M191" i="7" s="1"/>
  <c r="M166" i="7" a="1"/>
  <c r="M166" i="7" s="1"/>
  <c r="M144" i="7" a="1"/>
  <c r="M144" i="7" s="1"/>
  <c r="M103" i="7" a="1"/>
  <c r="M103" i="7" s="1"/>
  <c r="M93" i="7" a="1"/>
  <c r="M93" i="7" s="1"/>
  <c r="M101" i="7" a="1"/>
  <c r="M101" i="7" s="1"/>
  <c r="M50" i="7" a="1"/>
  <c r="M50" i="7" s="1"/>
  <c r="M35" i="7" a="1"/>
  <c r="M35" i="7" s="1"/>
  <c r="M46" i="7" a="1"/>
  <c r="M46" i="7" s="1"/>
  <c r="M179" i="7" a="1"/>
  <c r="M179" i="7" s="1"/>
  <c r="M146" i="7" a="1"/>
  <c r="M146" i="7" s="1"/>
  <c r="M109" i="7" a="1"/>
  <c r="M109" i="7" s="1"/>
  <c r="M72" i="7" a="1"/>
  <c r="M72" i="7" s="1"/>
  <c r="M48" i="7" a="1"/>
  <c r="M48" i="7" s="1"/>
  <c r="M22" i="7" a="1"/>
  <c r="M22" i="7" s="1"/>
  <c r="M189" i="7" a="1"/>
  <c r="M189" i="7" s="1"/>
  <c r="M152" i="7" a="1"/>
  <c r="M152" i="7" s="1"/>
  <c r="M140" i="7" a="1"/>
  <c r="M140" i="7" s="1"/>
  <c r="M108" i="7" a="1"/>
  <c r="M108" i="7" s="1"/>
  <c r="M61" i="7" a="1"/>
  <c r="M61" i="7" s="1"/>
  <c r="M71" i="7" a="1"/>
  <c r="M71" i="7" s="1"/>
  <c r="M45" i="7" a="1"/>
  <c r="M45" i="7" s="1"/>
  <c r="M57" i="7" a="1"/>
  <c r="M57" i="7" s="1"/>
  <c r="M31" i="7" a="1"/>
  <c r="M31" i="7" s="1"/>
  <c r="M177" i="7" a="1"/>
  <c r="M177" i="7" s="1"/>
  <c r="M136" i="7" a="1"/>
  <c r="M136" i="7" s="1"/>
  <c r="M20" i="7" a="1"/>
  <c r="M20" i="7" s="1"/>
  <c r="M161" i="7" a="1"/>
  <c r="M161" i="7" s="1"/>
  <c r="M67" i="7" a="1"/>
  <c r="M67" i="7" s="1"/>
  <c r="M58" i="7" a="1"/>
  <c r="M58" i="7" s="1"/>
  <c r="M160" i="7" a="1"/>
  <c r="M160" i="7" s="1"/>
  <c r="M119" i="7" a="1"/>
  <c r="M119" i="7" s="1"/>
  <c r="M60" i="7" a="1"/>
  <c r="M60" i="7" s="1"/>
  <c r="M43" i="7" a="1"/>
  <c r="M43" i="7" s="1"/>
  <c r="M153" i="7" a="1"/>
  <c r="M153" i="7" s="1"/>
  <c r="M87" i="7" a="1"/>
  <c r="M87" i="7" s="1"/>
  <c r="M163" i="7" a="1"/>
  <c r="M163" i="7" s="1"/>
  <c r="M122" i="7" a="1"/>
  <c r="M122" i="7" s="1"/>
  <c r="M40" i="7" a="1"/>
  <c r="M40" i="7" s="1"/>
  <c r="M194" i="7" a="1"/>
  <c r="M194" i="7" s="1"/>
  <c r="M158" i="7" a="1"/>
  <c r="M158" i="7" s="1"/>
  <c r="M118" i="7" a="1"/>
  <c r="M118" i="7" s="1"/>
  <c r="M63" i="7" a="1"/>
  <c r="M63" i="7" s="1"/>
  <c r="M33" i="7" a="1"/>
  <c r="M33" i="7" s="1"/>
  <c r="M188" i="7" a="1"/>
  <c r="M188" i="7" s="1"/>
  <c r="M104" i="7" a="1"/>
  <c r="M104" i="7" s="1"/>
  <c r="M52" i="7" a="1"/>
  <c r="M52" i="7" s="1"/>
  <c r="M137" i="7" a="1"/>
  <c r="M137" i="7" s="1"/>
  <c r="M89" i="7" a="1"/>
  <c r="M89" i="7" s="1"/>
  <c r="M132" i="7" a="1"/>
  <c r="M132" i="7" s="1"/>
  <c r="M139" i="7" a="1"/>
  <c r="M139" i="7" s="1"/>
  <c r="M44" i="7" a="1"/>
  <c r="M44" i="7" s="1"/>
  <c r="M37" i="7" a="1"/>
  <c r="M37" i="7" s="1"/>
  <c r="M195" i="7" a="1"/>
  <c r="M195" i="7" s="1"/>
  <c r="M126" i="7" a="1"/>
  <c r="M126" i="7" s="1"/>
  <c r="M18" i="7" a="1"/>
  <c r="M18" i="7" s="1"/>
  <c r="M106" i="7" a="1"/>
  <c r="M106" i="7" s="1"/>
  <c r="M41" i="7" a="1"/>
  <c r="M41" i="7" s="1"/>
  <c r="M186" i="7" a="1"/>
  <c r="M186" i="7" s="1"/>
  <c r="M100" i="7" a="1"/>
  <c r="M100" i="7" s="1"/>
  <c r="M8" i="7" a="1"/>
  <c r="M8" i="7" s="1"/>
  <c r="M199" i="7" a="1"/>
  <c r="M199" i="7" s="1"/>
  <c r="M176" i="7" a="1"/>
  <c r="M176" i="7" s="1"/>
  <c r="M99" i="7" a="1"/>
  <c r="M99" i="7" s="1"/>
  <c r="M175" i="7" a="1"/>
  <c r="M175" i="7" s="1"/>
  <c r="M39" i="7" a="1"/>
  <c r="M39" i="7" s="1"/>
  <c r="M3" i="7" a="1"/>
  <c r="M3" i="7" s="1"/>
  <c r="M151" i="7" a="1"/>
  <c r="M151" i="7" s="1"/>
  <c r="M162" i="7" a="1"/>
  <c r="M162" i="7" s="1"/>
  <c r="M70" i="7" a="1"/>
  <c r="M70" i="7" s="1"/>
  <c r="M138" i="7" a="1"/>
  <c r="M138" i="7" s="1"/>
  <c r="M125" i="7" a="1"/>
  <c r="M125" i="7" s="1"/>
  <c r="M92" i="7" a="1"/>
  <c r="M92" i="7" s="1"/>
  <c r="M64" i="7" a="1"/>
  <c r="M64" i="7" s="1"/>
  <c r="M36" i="7" a="1"/>
  <c r="M36" i="7" s="1"/>
  <c r="M47" i="7" a="1"/>
  <c r="M47" i="7" s="1"/>
  <c r="M107" i="7" a="1"/>
  <c r="M107" i="7" s="1"/>
  <c r="E116" i="4"/>
  <c r="F116" i="4" s="1"/>
  <c r="BA115" i="13"/>
  <c r="BB115" i="13" s="1"/>
  <c r="BD115" i="13"/>
  <c r="AB116" i="4" s="1"/>
  <c r="AX115" i="13"/>
  <c r="R116" i="4" s="1"/>
  <c r="AX99" i="13"/>
  <c r="R100" i="4" s="1"/>
  <c r="E100" i="4"/>
  <c r="F100" i="4" s="1"/>
  <c r="BA99" i="13"/>
  <c r="BB99" i="13" s="1"/>
  <c r="BC99" i="13" s="1"/>
  <c r="AA100" i="4" s="1"/>
  <c r="BD99" i="13"/>
  <c r="AB100" i="4" s="1"/>
  <c r="AV81" i="13"/>
  <c r="I82" i="4"/>
  <c r="BB155" i="13"/>
  <c r="S92" i="4"/>
  <c r="I64" i="4"/>
  <c r="AV63" i="13"/>
  <c r="BD63" i="13"/>
  <c r="AB64" i="4" s="1"/>
  <c r="F56" i="4"/>
  <c r="H51" i="4"/>
  <c r="BC31" i="13"/>
  <c r="AA32" i="4" s="1"/>
  <c r="F24" i="4"/>
  <c r="H10" i="4"/>
  <c r="E178" i="4"/>
  <c r="F178" i="4" s="1"/>
  <c r="AX177" i="13"/>
  <c r="R178" i="4" s="1"/>
  <c r="BD177" i="13"/>
  <c r="AB178" i="4" s="1"/>
  <c r="BA177" i="13"/>
  <c r="BB177" i="13" s="1"/>
  <c r="S65" i="4"/>
  <c r="H177" i="4"/>
  <c r="H172" i="4"/>
  <c r="BA136" i="13"/>
  <c r="BB136" i="13" s="1"/>
  <c r="E137" i="4"/>
  <c r="F137" i="4" s="1"/>
  <c r="BD136" i="13"/>
  <c r="AB137" i="4" s="1"/>
  <c r="AX136" i="13"/>
  <c r="R137" i="4" s="1"/>
  <c r="P142" i="4"/>
  <c r="AY141" i="13"/>
  <c r="AX33" i="13"/>
  <c r="R34" i="4" s="1"/>
  <c r="E34" i="4"/>
  <c r="F34" i="4" s="1"/>
  <c r="BD33" i="13"/>
  <c r="AB34" i="4" s="1"/>
  <c r="BA33" i="13"/>
  <c r="BB33" i="13" s="1"/>
  <c r="BC33" i="13" s="1"/>
  <c r="AA34" i="4" s="1"/>
  <c r="P133" i="4"/>
  <c r="AY132" i="13"/>
  <c r="AV65" i="13"/>
  <c r="I66" i="4"/>
  <c r="E61" i="4"/>
  <c r="F61" i="4" s="1"/>
  <c r="AX60" i="13"/>
  <c r="R61" i="4" s="1"/>
  <c r="BA60" i="13"/>
  <c r="BB60" i="13" s="1"/>
  <c r="BD60" i="13"/>
  <c r="AB61" i="4" s="1"/>
  <c r="AY46" i="13"/>
  <c r="P47" i="4"/>
  <c r="I119" i="4"/>
  <c r="AV118" i="13"/>
  <c r="BD118" i="13"/>
  <c r="AB119" i="4" s="1"/>
  <c r="E121" i="4"/>
  <c r="F121" i="4" s="1"/>
  <c r="BD120" i="13"/>
  <c r="AB121" i="4" s="1"/>
  <c r="AX120" i="13"/>
  <c r="R121" i="4" s="1"/>
  <c r="BA120" i="13"/>
  <c r="BB120" i="13" s="1"/>
  <c r="Q69" i="4"/>
  <c r="AX68" i="13"/>
  <c r="R69" i="4" s="1"/>
  <c r="BB68" i="13"/>
  <c r="BC68" i="13" s="1"/>
  <c r="AA69" i="4" s="1"/>
  <c r="F161" i="4"/>
  <c r="AY84" i="13"/>
  <c r="P85" i="4"/>
  <c r="Q119" i="4"/>
  <c r="BB118" i="13"/>
  <c r="AX118" i="13"/>
  <c r="R119" i="4" s="1"/>
  <c r="AY115" i="13"/>
  <c r="P116" i="4"/>
  <c r="BD55" i="13"/>
  <c r="AB56" i="4" s="1"/>
  <c r="F44" i="4"/>
  <c r="S28" i="4"/>
  <c r="S17" i="4"/>
  <c r="AV156" i="13"/>
  <c r="BA156" i="13"/>
  <c r="BB156" i="13" s="1"/>
  <c r="E157" i="4"/>
  <c r="F157" i="4" s="1"/>
  <c r="BD156" i="13"/>
  <c r="AB157" i="4" s="1"/>
  <c r="AX156" i="13"/>
  <c r="R157" i="4" s="1"/>
  <c r="I130" i="4"/>
  <c r="AV129" i="13"/>
  <c r="F92" i="4"/>
  <c r="BC102" i="13"/>
  <c r="AA103" i="4" s="1"/>
  <c r="H9" i="4"/>
  <c r="F142" i="4"/>
  <c r="BC192" i="13"/>
  <c r="AA193" i="4" s="1"/>
  <c r="R42" i="4"/>
  <c r="BC93" i="13"/>
  <c r="AA94" i="4" s="1"/>
  <c r="E11" i="4"/>
  <c r="BA10" i="13"/>
  <c r="BB10" i="13" s="1"/>
  <c r="AX10" i="13"/>
  <c r="R11" i="4" s="1"/>
  <c r="BD10" i="13"/>
  <c r="AB11" i="4" s="1"/>
  <c r="A3" i="7" a="1"/>
  <c r="A3" i="7" s="1"/>
  <c r="A192" i="7" a="1"/>
  <c r="A192" i="7" s="1"/>
  <c r="A193" i="7" a="1"/>
  <c r="A193" i="7" s="1"/>
  <c r="A182" i="7" a="1"/>
  <c r="A182" i="7" s="1"/>
  <c r="A172" i="7" a="1"/>
  <c r="A172" i="7" s="1"/>
  <c r="A158" i="7" a="1"/>
  <c r="A158" i="7" s="1"/>
  <c r="A154" i="7" a="1"/>
  <c r="A154" i="7" s="1"/>
  <c r="A135" i="7" a="1"/>
  <c r="A135" i="7" s="1"/>
  <c r="A163" i="7" a="1"/>
  <c r="A163" i="7" s="1"/>
  <c r="A152" i="7" a="1"/>
  <c r="A152" i="7" s="1"/>
  <c r="A114" i="7" a="1"/>
  <c r="A114" i="7" s="1"/>
  <c r="A105" i="7" a="1"/>
  <c r="A105" i="7" s="1"/>
  <c r="A108" i="7" a="1"/>
  <c r="A108" i="7" s="1"/>
  <c r="A81" i="7" a="1"/>
  <c r="A81" i="7" s="1"/>
  <c r="A111" i="7" a="1"/>
  <c r="A111" i="7" s="1"/>
  <c r="A79" i="7" a="1"/>
  <c r="A79" i="7" s="1"/>
  <c r="A5" i="7" a="1"/>
  <c r="A5" i="7" s="1"/>
  <c r="A196" i="7" a="1"/>
  <c r="A196" i="7" s="1"/>
  <c r="A184" i="7" a="1"/>
  <c r="A184" i="7" s="1"/>
  <c r="A180" i="7" a="1"/>
  <c r="A180" i="7" s="1"/>
  <c r="A164" i="7" a="1"/>
  <c r="A164" i="7" s="1"/>
  <c r="A167" i="7" a="1"/>
  <c r="A167" i="7" s="1"/>
  <c r="A146" i="7" a="1"/>
  <c r="A146" i="7" s="1"/>
  <c r="A148" i="7" a="1"/>
  <c r="A148" i="7" s="1"/>
  <c r="A150" i="7" a="1"/>
  <c r="A150" i="7" s="1"/>
  <c r="A139" i="7" a="1"/>
  <c r="A139" i="7" s="1"/>
  <c r="A106" i="7" a="1"/>
  <c r="A106" i="7" s="1"/>
  <c r="A126" i="7" a="1"/>
  <c r="A126" i="7" s="1"/>
  <c r="A191" i="7" a="1"/>
  <c r="A191" i="7" s="1"/>
  <c r="A183" i="7" a="1"/>
  <c r="A183" i="7" s="1"/>
  <c r="A179" i="7" a="1"/>
  <c r="A179" i="7" s="1"/>
  <c r="A171" i="7" a="1"/>
  <c r="A171" i="7" s="1"/>
  <c r="A156" i="7" a="1"/>
  <c r="A156" i="7" s="1"/>
  <c r="A145" i="7" a="1"/>
  <c r="A145" i="7" s="1"/>
  <c r="A138" i="7" a="1"/>
  <c r="A138" i="7" s="1"/>
  <c r="A147" i="7" a="1"/>
  <c r="A147" i="7" s="1"/>
  <c r="A131" i="7" a="1"/>
  <c r="A131" i="7" s="1"/>
  <c r="A128" i="7" a="1"/>
  <c r="A128" i="7" s="1"/>
  <c r="A198" i="7" a="1"/>
  <c r="A198" i="7" s="1"/>
  <c r="A177" i="7" a="1"/>
  <c r="A177" i="7" s="1"/>
  <c r="A162" i="7" a="1"/>
  <c r="A162" i="7" s="1"/>
  <c r="A134" i="7" a="1"/>
  <c r="A134" i="7" s="1"/>
  <c r="A166" i="7" a="1"/>
  <c r="A166" i="7" s="1"/>
  <c r="A91" i="7" a="1"/>
  <c r="A91" i="7" s="1"/>
  <c r="A55" i="7" a="1"/>
  <c r="A55" i="7" s="1"/>
  <c r="A85" i="7" a="1"/>
  <c r="A85" i="7" s="1"/>
  <c r="A37" i="7" a="1"/>
  <c r="A37" i="7" s="1"/>
  <c r="A26" i="7" a="1"/>
  <c r="A26" i="7" s="1"/>
  <c r="A117" i="7" a="1"/>
  <c r="A117" i="7" s="1"/>
  <c r="A89" i="7" a="1"/>
  <c r="A89" i="7" s="1"/>
  <c r="A129" i="7" a="1"/>
  <c r="A129" i="7" s="1"/>
  <c r="A72" i="7" a="1"/>
  <c r="A72" i="7" s="1"/>
  <c r="A78" i="7" a="1"/>
  <c r="A78" i="7" s="1"/>
  <c r="A33" i="7" a="1"/>
  <c r="A33" i="7" s="1"/>
  <c r="A15" i="7" a="1"/>
  <c r="A15" i="7" s="1"/>
  <c r="A51" i="7" a="1"/>
  <c r="A51" i="7" s="1"/>
  <c r="A197" i="7" a="1"/>
  <c r="A197" i="7" s="1"/>
  <c r="A187" i="7" a="1"/>
  <c r="A187" i="7" s="1"/>
  <c r="A174" i="7" a="1"/>
  <c r="A174" i="7" s="1"/>
  <c r="A157" i="7" a="1"/>
  <c r="A157" i="7" s="1"/>
  <c r="A160" i="7" a="1"/>
  <c r="A160" i="7" s="1"/>
  <c r="A132" i="7" a="1"/>
  <c r="A132" i="7" s="1"/>
  <c r="A151" i="7" a="1"/>
  <c r="A151" i="7" s="1"/>
  <c r="A124" i="7" a="1"/>
  <c r="A124" i="7" s="1"/>
  <c r="A84" i="7" a="1"/>
  <c r="A84" i="7" s="1"/>
  <c r="A86" i="7" a="1"/>
  <c r="A86" i="7" s="1"/>
  <c r="A47" i="7" a="1"/>
  <c r="A47" i="7" s="1"/>
  <c r="A36" i="7" a="1"/>
  <c r="A36" i="7" s="1"/>
  <c r="A42" i="7" a="1"/>
  <c r="A42" i="7" s="1"/>
  <c r="A8" i="7" a="1"/>
  <c r="A8" i="7" s="1"/>
  <c r="A195" i="7" a="1"/>
  <c r="A195" i="7" s="1"/>
  <c r="A181" i="7" a="1"/>
  <c r="A181" i="7" s="1"/>
  <c r="A165" i="7" a="1"/>
  <c r="A165" i="7" s="1"/>
  <c r="A155" i="7" a="1"/>
  <c r="A155" i="7" s="1"/>
  <c r="A142" i="7" a="1"/>
  <c r="A142" i="7" s="1"/>
  <c r="A159" i="7" a="1"/>
  <c r="A159" i="7" s="1"/>
  <c r="A127" i="7" a="1"/>
  <c r="A127" i="7" s="1"/>
  <c r="A113" i="7" a="1"/>
  <c r="A113" i="7" s="1"/>
  <c r="A76" i="7" a="1"/>
  <c r="A76" i="7" s="1"/>
  <c r="A50" i="7" a="1"/>
  <c r="A50" i="7" s="1"/>
  <c r="A39" i="7" a="1"/>
  <c r="A39" i="7" s="1"/>
  <c r="A28" i="7" a="1"/>
  <c r="A28" i="7" s="1"/>
  <c r="A10" i="7" a="1"/>
  <c r="A10" i="7" s="1"/>
  <c r="A125" i="7" a="1"/>
  <c r="A125" i="7" s="1"/>
  <c r="A73" i="7" a="1"/>
  <c r="A73" i="7" s="1"/>
  <c r="A96" i="7" a="1"/>
  <c r="A96" i="7" s="1"/>
  <c r="A63" i="7" a="1"/>
  <c r="A63" i="7" s="1"/>
  <c r="A57" i="7" a="1"/>
  <c r="A57" i="7" s="1"/>
  <c r="A24" i="7" a="1"/>
  <c r="A24" i="7" s="1"/>
  <c r="A6" i="7" a="1"/>
  <c r="A6" i="7" s="1"/>
  <c r="A43" i="7" a="1"/>
  <c r="A43" i="7" s="1"/>
  <c r="A190" i="7" a="1"/>
  <c r="A190" i="7" s="1"/>
  <c r="A194" i="7" a="1"/>
  <c r="A194" i="7" s="1"/>
  <c r="A175" i="7" a="1"/>
  <c r="A175" i="7" s="1"/>
  <c r="A141" i="7" a="1"/>
  <c r="A141" i="7" s="1"/>
  <c r="A123" i="7" a="1"/>
  <c r="A123" i="7" s="1"/>
  <c r="A112" i="7" a="1"/>
  <c r="A112" i="7" s="1"/>
  <c r="A75" i="7" a="1"/>
  <c r="A75" i="7" s="1"/>
  <c r="A49" i="7" a="1"/>
  <c r="A49" i="7" s="1"/>
  <c r="A38" i="7" a="1"/>
  <c r="A38" i="7" s="1"/>
  <c r="A21" i="7" a="1"/>
  <c r="A21" i="7" s="1"/>
  <c r="A34" i="7" a="1"/>
  <c r="A34" i="7" s="1"/>
  <c r="A185" i="7" a="1"/>
  <c r="A185" i="7" s="1"/>
  <c r="A87" i="7" a="1"/>
  <c r="A87" i="7" s="1"/>
  <c r="A16" i="7" a="1"/>
  <c r="A16" i="7" s="1"/>
  <c r="A12" i="7" a="1"/>
  <c r="A12" i="7" s="1"/>
  <c r="A169" i="7" a="1"/>
  <c r="A169" i="7" s="1"/>
  <c r="A133" i="7" a="1"/>
  <c r="A133" i="7" s="1"/>
  <c r="A74" i="7" a="1"/>
  <c r="A74" i="7" s="1"/>
  <c r="A68" i="7" a="1"/>
  <c r="A68" i="7" s="1"/>
  <c r="A9" i="7" a="1"/>
  <c r="A9" i="7" s="1"/>
  <c r="A7" i="7" a="1"/>
  <c r="A7" i="7" s="1"/>
  <c r="A122" i="7" a="1"/>
  <c r="A122" i="7" s="1"/>
  <c r="A66" i="7" a="1"/>
  <c r="A66" i="7" s="1"/>
  <c r="A80" i="7" a="1"/>
  <c r="A80" i="7" s="1"/>
  <c r="A77" i="7" a="1"/>
  <c r="A77" i="7" s="1"/>
  <c r="A62" i="7" a="1"/>
  <c r="A62" i="7" s="1"/>
  <c r="A4" i="7" a="1"/>
  <c r="A4" i="7" s="1"/>
  <c r="A199" i="7" a="1"/>
  <c r="A199" i="7" s="1"/>
  <c r="A186" i="7" a="1"/>
  <c r="A186" i="7" s="1"/>
  <c r="A71" i="7" a="1"/>
  <c r="A71" i="7" s="1"/>
  <c r="A67" i="7" a="1"/>
  <c r="A67" i="7" s="1"/>
  <c r="A94" i="7" a="1"/>
  <c r="A94" i="7" s="1"/>
  <c r="A60" i="7" a="1"/>
  <c r="A60" i="7" s="1"/>
  <c r="A27" i="7" a="1"/>
  <c r="A27" i="7" s="1"/>
  <c r="A58" i="7" a="1"/>
  <c r="A58" i="7" s="1"/>
  <c r="A140" i="7" a="1"/>
  <c r="A140" i="7" s="1"/>
  <c r="A100" i="7" a="1"/>
  <c r="A100" i="7" s="1"/>
  <c r="A46" i="7" a="1"/>
  <c r="A46" i="7" s="1"/>
  <c r="A178" i="7" a="1"/>
  <c r="A178" i="7" s="1"/>
  <c r="A168" i="7" a="1"/>
  <c r="A168" i="7" s="1"/>
  <c r="A115" i="7" a="1"/>
  <c r="A115" i="7" s="1"/>
  <c r="A109" i="7" a="1"/>
  <c r="A109" i="7" s="1"/>
  <c r="A69" i="7" a="1"/>
  <c r="A69" i="7" s="1"/>
  <c r="A48" i="7" a="1"/>
  <c r="A48" i="7" s="1"/>
  <c r="A44" i="7" a="1"/>
  <c r="A44" i="7" s="1"/>
  <c r="A11" i="7" a="1"/>
  <c r="A11" i="7" s="1"/>
  <c r="A130" i="7" a="1"/>
  <c r="A130" i="7" s="1"/>
  <c r="A110" i="7" a="1"/>
  <c r="A110" i="7" s="1"/>
  <c r="A54" i="7" a="1"/>
  <c r="A54" i="7" s="1"/>
  <c r="A121" i="7" a="1"/>
  <c r="A121" i="7" s="1"/>
  <c r="A41" i="7" a="1"/>
  <c r="A41" i="7" s="1"/>
  <c r="A136" i="7" a="1"/>
  <c r="A136" i="7" s="1"/>
  <c r="A19" i="7" a="1"/>
  <c r="A19" i="7" s="1"/>
  <c r="A200" i="7" a="1"/>
  <c r="A200" i="7" s="1"/>
  <c r="A161" i="7" a="1"/>
  <c r="A161" i="7" s="1"/>
  <c r="A90" i="7" a="1"/>
  <c r="A90" i="7" s="1"/>
  <c r="A92" i="7" a="1"/>
  <c r="A92" i="7" s="1"/>
  <c r="A40" i="7" a="1"/>
  <c r="A40" i="7" s="1"/>
  <c r="A45" i="7" a="1"/>
  <c r="A45" i="7" s="1"/>
  <c r="A119" i="7" a="1"/>
  <c r="A119" i="7" s="1"/>
  <c r="A82" i="7" a="1"/>
  <c r="A82" i="7" s="1"/>
  <c r="A32" i="7" a="1"/>
  <c r="A32" i="7" s="1"/>
  <c r="A188" i="7" a="1"/>
  <c r="A188" i="7" s="1"/>
  <c r="A153" i="7" a="1"/>
  <c r="A153" i="7" s="1"/>
  <c r="A107" i="7" a="1"/>
  <c r="A107" i="7" s="1"/>
  <c r="A65" i="7" a="1"/>
  <c r="A65" i="7" s="1"/>
  <c r="A83" i="7" a="1"/>
  <c r="A83" i="7" s="1"/>
  <c r="A29" i="7" a="1"/>
  <c r="A29" i="7" s="1"/>
  <c r="A102" i="7" a="1"/>
  <c r="A102" i="7" s="1"/>
  <c r="A17" i="7" a="1"/>
  <c r="A17" i="7" s="1"/>
  <c r="A20" i="7" a="1"/>
  <c r="A20" i="7" s="1"/>
  <c r="A149" i="7" a="1"/>
  <c r="A149" i="7" s="1"/>
  <c r="A120" i="7" a="1"/>
  <c r="A120" i="7" s="1"/>
  <c r="A103" i="7" a="1"/>
  <c r="A103" i="7" s="1"/>
  <c r="A101" i="7" a="1"/>
  <c r="A101" i="7" s="1"/>
  <c r="A53" i="7" a="1"/>
  <c r="A53" i="7" s="1"/>
  <c r="A13" i="7" a="1"/>
  <c r="A13" i="7" s="1"/>
  <c r="A95" i="7" a="1"/>
  <c r="A95" i="7" s="1"/>
  <c r="A93" i="7" a="1"/>
  <c r="A93" i="7" s="1"/>
  <c r="A173" i="7" a="1"/>
  <c r="A173" i="7" s="1"/>
  <c r="A137" i="7" a="1"/>
  <c r="A137" i="7" s="1"/>
  <c r="A104" i="7" a="1"/>
  <c r="A104" i="7" s="1"/>
  <c r="A31" i="7" a="1"/>
  <c r="A31" i="7" s="1"/>
  <c r="A118" i="7" a="1"/>
  <c r="A118" i="7" s="1"/>
  <c r="A88" i="7" a="1"/>
  <c r="A88" i="7" s="1"/>
  <c r="A70" i="7" a="1"/>
  <c r="A70" i="7" s="1"/>
  <c r="A30" i="7" a="1"/>
  <c r="A30" i="7" s="1"/>
  <c r="A18" i="7" a="1"/>
  <c r="A18" i="7" s="1"/>
  <c r="A176" i="7" a="1"/>
  <c r="A176" i="7" s="1"/>
  <c r="A143" i="7" a="1"/>
  <c r="A143" i="7" s="1"/>
  <c r="A22" i="7" a="1"/>
  <c r="A22" i="7" s="1"/>
  <c r="A189" i="7" a="1"/>
  <c r="A189" i="7" s="1"/>
  <c r="A97" i="7" a="1"/>
  <c r="A97" i="7" s="1"/>
  <c r="A99" i="7" a="1"/>
  <c r="A99" i="7" s="1"/>
  <c r="A52" i="7" a="1"/>
  <c r="A52" i="7" s="1"/>
  <c r="A14" i="7" a="1"/>
  <c r="A14" i="7" s="1"/>
  <c r="A116" i="7" a="1"/>
  <c r="A116" i="7" s="1"/>
  <c r="A59" i="7" a="1"/>
  <c r="A59" i="7" s="1"/>
  <c r="A98" i="7" a="1"/>
  <c r="A98" i="7" s="1"/>
  <c r="A35" i="7" a="1"/>
  <c r="A35" i="7" s="1"/>
  <c r="A64" i="7" a="1"/>
  <c r="A64" i="7" s="1"/>
  <c r="A144" i="7" a="1"/>
  <c r="A144" i="7" s="1"/>
  <c r="A23" i="7" a="1"/>
  <c r="A23" i="7" s="1"/>
  <c r="A170" i="7" a="1"/>
  <c r="A170" i="7" s="1"/>
  <c r="A61" i="7" a="1"/>
  <c r="A61" i="7" s="1"/>
  <c r="A56" i="7" a="1"/>
  <c r="A56" i="7" s="1"/>
  <c r="A25" i="7" a="1"/>
  <c r="A25" i="7" s="1"/>
  <c r="E143" i="4"/>
  <c r="F143" i="4" s="1"/>
  <c r="AX142" i="13"/>
  <c r="R143" i="4" s="1"/>
  <c r="BD142" i="13"/>
  <c r="AB143" i="4" s="1"/>
  <c r="BA142" i="13"/>
  <c r="BB142" i="13" s="1"/>
  <c r="BC128" i="13"/>
  <c r="AA129" i="4" s="1"/>
  <c r="AZ128" i="13"/>
  <c r="T129" i="4" s="1"/>
  <c r="BC191" i="13"/>
  <c r="AA192" i="4" s="1"/>
  <c r="AY103" i="13"/>
  <c r="P104" i="4"/>
  <c r="AX63" i="13"/>
  <c r="R64" i="4" s="1"/>
  <c r="BB63" i="13"/>
  <c r="Q64" i="4"/>
  <c r="Q60" i="4"/>
  <c r="I50" i="4"/>
  <c r="AV49" i="13"/>
  <c r="E38" i="4"/>
  <c r="F38" i="4" s="1"/>
  <c r="AX37" i="13"/>
  <c r="R38" i="4" s="1"/>
  <c r="BD37" i="13"/>
  <c r="AB38" i="4" s="1"/>
  <c r="AV37" i="13"/>
  <c r="BA37" i="13"/>
  <c r="BB37" i="13" s="1"/>
  <c r="BA23" i="13"/>
  <c r="BB23" i="13" s="1"/>
  <c r="BC23" i="13" s="1"/>
  <c r="AA24" i="4" s="1"/>
  <c r="I18" i="4"/>
  <c r="AV17" i="13"/>
  <c r="E13" i="4"/>
  <c r="F13" i="4" s="1"/>
  <c r="BD12" i="13"/>
  <c r="AB13" i="4" s="1"/>
  <c r="AX12" i="13"/>
  <c r="R13" i="4" s="1"/>
  <c r="BA12" i="13"/>
  <c r="BB12" i="13" s="1"/>
  <c r="I9" i="4"/>
  <c r="AV8" i="13"/>
  <c r="AY109" i="13"/>
  <c r="P110" i="4"/>
  <c r="AY182" i="13"/>
  <c r="P183" i="4"/>
  <c r="Q5" i="4"/>
  <c r="Q71" i="7" s="1" a="1"/>
  <c r="Q71" i="7" s="1"/>
  <c r="BB4" i="13"/>
  <c r="BC4" i="13" s="1"/>
  <c r="AA5" i="4" s="1"/>
  <c r="AY100" i="13"/>
  <c r="P101" i="4"/>
  <c r="BD81" i="13"/>
  <c r="AB82" i="4" s="1"/>
  <c r="F18" i="4"/>
  <c r="R186" i="4"/>
  <c r="AY184" i="13"/>
  <c r="P185" i="4"/>
  <c r="H99" i="4"/>
  <c r="AX179" i="13"/>
  <c r="R180" i="4" s="1"/>
  <c r="E180" i="4"/>
  <c r="F180" i="4" s="1"/>
  <c r="BA179" i="13"/>
  <c r="BB179" i="13" s="1"/>
  <c r="AV179" i="13"/>
  <c r="BD179" i="13"/>
  <c r="AB180" i="4" s="1"/>
  <c r="H82" i="4"/>
  <c r="AY55" i="13"/>
  <c r="P56" i="4"/>
  <c r="Q117" i="4"/>
  <c r="AX116" i="13"/>
  <c r="R117" i="4" s="1"/>
  <c r="R198" i="4"/>
  <c r="F112" i="4"/>
  <c r="F42" i="4"/>
  <c r="BC89" i="13"/>
  <c r="AA90" i="4" s="1"/>
  <c r="Q46" i="4"/>
  <c r="AX45" i="13"/>
  <c r="R46" i="4" s="1"/>
  <c r="D200" i="7" a="1"/>
  <c r="D200" i="7" s="1"/>
  <c r="D183" i="7" a="1"/>
  <c r="D183" i="7" s="1"/>
  <c r="D179" i="7" a="1"/>
  <c r="D179" i="7" s="1"/>
  <c r="D164" i="7" a="1"/>
  <c r="D164" i="7" s="1"/>
  <c r="D156" i="7" a="1"/>
  <c r="D156" i="7" s="1"/>
  <c r="D153" i="7" a="1"/>
  <c r="D153" i="7" s="1"/>
  <c r="D132" i="7" a="1"/>
  <c r="D132" i="7" s="1"/>
  <c r="D133" i="7" a="1"/>
  <c r="D133" i="7" s="1"/>
  <c r="D146" i="7" a="1"/>
  <c r="D146" i="7" s="1"/>
  <c r="D105" i="7" a="1"/>
  <c r="D105" i="7" s="1"/>
  <c r="D103" i="7" a="1"/>
  <c r="D103" i="7" s="1"/>
  <c r="D107" i="7" a="1"/>
  <c r="D107" i="7" s="1"/>
  <c r="D80" i="7" a="1"/>
  <c r="D80" i="7" s="1"/>
  <c r="D95" i="7" a="1"/>
  <c r="D95" i="7" s="1"/>
  <c r="D63" i="7" a="1"/>
  <c r="D63" i="7" s="1"/>
  <c r="D90" i="7" a="1"/>
  <c r="D90" i="7" s="1"/>
  <c r="D84" i="7" a="1"/>
  <c r="D84" i="7" s="1"/>
  <c r="D55" i="7" a="1"/>
  <c r="D55" i="7" s="1"/>
  <c r="D48" i="7" a="1"/>
  <c r="D48" i="7" s="1"/>
  <c r="D16" i="7" a="1"/>
  <c r="D16" i="7" s="1"/>
  <c r="D37" i="7" a="1"/>
  <c r="D37" i="7" s="1"/>
  <c r="D51" i="7" a="1"/>
  <c r="D51" i="7" s="1"/>
  <c r="D19" i="7" a="1"/>
  <c r="D19" i="7" s="1"/>
  <c r="D77" i="7" a="1"/>
  <c r="D77" i="7" s="1"/>
  <c r="D34" i="7" a="1"/>
  <c r="D34" i="7" s="1"/>
  <c r="D191" i="7" a="1"/>
  <c r="D191" i="7" s="1"/>
  <c r="D182" i="7" a="1"/>
  <c r="D182" i="7" s="1"/>
  <c r="D181" i="7" a="1"/>
  <c r="D181" i="7" s="1"/>
  <c r="D163" i="7" a="1"/>
  <c r="D163" i="7" s="1"/>
  <c r="D166" i="7" a="1"/>
  <c r="D166" i="7" s="1"/>
  <c r="D152" i="7" a="1"/>
  <c r="D152" i="7" s="1"/>
  <c r="D159" i="7" a="1"/>
  <c r="D159" i="7" s="1"/>
  <c r="D131" i="7" a="1"/>
  <c r="D131" i="7" s="1"/>
  <c r="D130" i="7" a="1"/>
  <c r="D130" i="7" s="1"/>
  <c r="D158" i="7" a="1"/>
  <c r="D158" i="7" s="1"/>
  <c r="D129" i="7" a="1"/>
  <c r="D129" i="7" s="1"/>
  <c r="D124" i="7" a="1"/>
  <c r="D124" i="7" s="1"/>
  <c r="D73" i="7" a="1"/>
  <c r="D73" i="7" s="1"/>
  <c r="D94" i="7" a="1"/>
  <c r="D94" i="7" s="1"/>
  <c r="D62" i="7" a="1"/>
  <c r="D62" i="7" s="1"/>
  <c r="D83" i="7" a="1"/>
  <c r="D83" i="7" s="1"/>
  <c r="D61" i="7" a="1"/>
  <c r="D61" i="7" s="1"/>
  <c r="D194" i="7" a="1"/>
  <c r="D194" i="7" s="1"/>
  <c r="D186" i="7" a="1"/>
  <c r="D186" i="7" s="1"/>
  <c r="D177" i="7" a="1"/>
  <c r="D177" i="7" s="1"/>
  <c r="D173" i="7" a="1"/>
  <c r="D173" i="7" s="1"/>
  <c r="D155" i="7" a="1"/>
  <c r="D155" i="7" s="1"/>
  <c r="D165" i="7" a="1"/>
  <c r="D165" i="7" s="1"/>
  <c r="D148" i="7" a="1"/>
  <c r="D148" i="7" s="1"/>
  <c r="D143" i="7" a="1"/>
  <c r="D143" i="7" s="1"/>
  <c r="D122" i="7" a="1"/>
  <c r="D122" i="7" s="1"/>
  <c r="D123" i="7" a="1"/>
  <c r="D123" i="7" s="1"/>
  <c r="D121" i="7" a="1"/>
  <c r="D121" i="7" s="1"/>
  <c r="D97" i="7" a="1"/>
  <c r="D97" i="7" s="1"/>
  <c r="D65" i="7" a="1"/>
  <c r="D65" i="7" s="1"/>
  <c r="D86" i="7" a="1"/>
  <c r="D86" i="7" s="1"/>
  <c r="D110" i="7" a="1"/>
  <c r="D110" i="7" s="1"/>
  <c r="D75" i="7" a="1"/>
  <c r="D75" i="7" s="1"/>
  <c r="D57" i="7" a="1"/>
  <c r="D57" i="7" s="1"/>
  <c r="D69" i="7" a="1"/>
  <c r="D69" i="7" s="1"/>
  <c r="D39" i="7" a="1"/>
  <c r="D39" i="7" s="1"/>
  <c r="D7" i="7" a="1"/>
  <c r="D7" i="7" s="1"/>
  <c r="D22" i="7" a="1"/>
  <c r="D22" i="7" s="1"/>
  <c r="D36" i="7" a="1"/>
  <c r="D36" i="7" s="1"/>
  <c r="D4" i="7" a="1"/>
  <c r="D4" i="7" s="1"/>
  <c r="D17" i="7" a="1"/>
  <c r="D17" i="7" s="1"/>
  <c r="D53" i="7" a="1"/>
  <c r="D53" i="7" s="1"/>
  <c r="D8" i="7" a="1"/>
  <c r="D8" i="7" s="1"/>
  <c r="D134" i="7" a="1"/>
  <c r="D134" i="7" s="1"/>
  <c r="D142" i="7" a="1"/>
  <c r="D142" i="7" s="1"/>
  <c r="D109" i="7" a="1"/>
  <c r="D109" i="7" s="1"/>
  <c r="D14" i="7" a="1"/>
  <c r="D14" i="7" s="1"/>
  <c r="D195" i="7" a="1"/>
  <c r="D195" i="7" s="1"/>
  <c r="D193" i="7" a="1"/>
  <c r="D193" i="7" s="1"/>
  <c r="D171" i="7" a="1"/>
  <c r="D171" i="7" s="1"/>
  <c r="D154" i="7" a="1"/>
  <c r="D154" i="7" s="1"/>
  <c r="D138" i="7" a="1"/>
  <c r="D138" i="7" s="1"/>
  <c r="D116" i="7" a="1"/>
  <c r="D116" i="7" s="1"/>
  <c r="D78" i="7" a="1"/>
  <c r="D78" i="7" s="1"/>
  <c r="D47" i="7" a="1"/>
  <c r="D47" i="7" s="1"/>
  <c r="D50" i="7" a="1"/>
  <c r="D50" i="7" s="1"/>
  <c r="D20" i="7" a="1"/>
  <c r="D20" i="7" s="1"/>
  <c r="D68" i="7" a="1"/>
  <c r="D68" i="7" s="1"/>
  <c r="D167" i="7" a="1"/>
  <c r="D167" i="7" s="1"/>
  <c r="D82" i="7" a="1"/>
  <c r="D82" i="7" s="1"/>
  <c r="D85" i="7" a="1"/>
  <c r="D85" i="7" s="1"/>
  <c r="D13" i="7" a="1"/>
  <c r="D13" i="7" s="1"/>
  <c r="D190" i="7" a="1"/>
  <c r="D190" i="7" s="1"/>
  <c r="D185" i="7" a="1"/>
  <c r="D185" i="7" s="1"/>
  <c r="D160" i="7" a="1"/>
  <c r="D160" i="7" s="1"/>
  <c r="D144" i="7" a="1"/>
  <c r="D144" i="7" s="1"/>
  <c r="D149" i="7" a="1"/>
  <c r="D149" i="7" s="1"/>
  <c r="D119" i="7" a="1"/>
  <c r="D119" i="7" s="1"/>
  <c r="D108" i="7" a="1"/>
  <c r="D108" i="7" s="1"/>
  <c r="D64" i="7" a="1"/>
  <c r="D64" i="7" s="1"/>
  <c r="D67" i="7" a="1"/>
  <c r="D67" i="7" s="1"/>
  <c r="D32" i="7" a="1"/>
  <c r="D32" i="7" s="1"/>
  <c r="D45" i="7" a="1"/>
  <c r="D45" i="7" s="1"/>
  <c r="D5" i="7" a="1"/>
  <c r="D5" i="7" s="1"/>
  <c r="D180" i="7" a="1"/>
  <c r="D180" i="7" s="1"/>
  <c r="D170" i="7" a="1"/>
  <c r="D170" i="7" s="1"/>
  <c r="D54" i="7" a="1"/>
  <c r="D54" i="7" s="1"/>
  <c r="D52" i="7" a="1"/>
  <c r="D52" i="7" s="1"/>
  <c r="D11" i="7" a="1"/>
  <c r="D11" i="7" s="1"/>
  <c r="D189" i="7" a="1"/>
  <c r="D189" i="7" s="1"/>
  <c r="D169" i="7" a="1"/>
  <c r="D169" i="7" s="1"/>
  <c r="D137" i="7" a="1"/>
  <c r="D137" i="7" s="1"/>
  <c r="D112" i="7" a="1"/>
  <c r="D112" i="7" s="1"/>
  <c r="D120" i="7" a="1"/>
  <c r="D120" i="7" s="1"/>
  <c r="D66" i="7" a="1"/>
  <c r="D66" i="7" s="1"/>
  <c r="D31" i="7" a="1"/>
  <c r="D31" i="7" s="1"/>
  <c r="D38" i="7" a="1"/>
  <c r="D38" i="7" s="1"/>
  <c r="D44" i="7" a="1"/>
  <c r="D44" i="7" s="1"/>
  <c r="D18" i="7" a="1"/>
  <c r="D18" i="7" s="1"/>
  <c r="D188" i="7" a="1"/>
  <c r="D188" i="7" s="1"/>
  <c r="D102" i="7" a="1"/>
  <c r="D102" i="7" s="1"/>
  <c r="D128" i="7" a="1"/>
  <c r="D128" i="7" s="1"/>
  <c r="D92" i="7" a="1"/>
  <c r="D92" i="7" s="1"/>
  <c r="D3" i="7" a="1"/>
  <c r="D3" i="7" s="1"/>
  <c r="D79" i="7" a="1"/>
  <c r="D79" i="7" s="1"/>
  <c r="D58" i="7" a="1"/>
  <c r="D58" i="7" s="1"/>
  <c r="D23" i="7" a="1"/>
  <c r="D23" i="7" s="1"/>
  <c r="D43" i="7" a="1"/>
  <c r="D43" i="7" s="1"/>
  <c r="D26" i="7" a="1"/>
  <c r="D26" i="7" s="1"/>
  <c r="D172" i="7" a="1"/>
  <c r="D172" i="7" s="1"/>
  <c r="D141" i="7" a="1"/>
  <c r="D141" i="7" s="1"/>
  <c r="D118" i="7" a="1"/>
  <c r="D118" i="7" s="1"/>
  <c r="D71" i="7" a="1"/>
  <c r="D71" i="7" s="1"/>
  <c r="D114" i="7" a="1"/>
  <c r="D114" i="7" s="1"/>
  <c r="D96" i="7" a="1"/>
  <c r="D96" i="7" s="1"/>
  <c r="D70" i="7" a="1"/>
  <c r="D70" i="7" s="1"/>
  <c r="D56" i="7" a="1"/>
  <c r="D56" i="7" s="1"/>
  <c r="D35" i="7" a="1"/>
  <c r="D35" i="7" s="1"/>
  <c r="D9" i="7" a="1"/>
  <c r="D9" i="7" s="1"/>
  <c r="D199" i="7" a="1"/>
  <c r="D199" i="7" s="1"/>
  <c r="D175" i="7" a="1"/>
  <c r="D175" i="7" s="1"/>
  <c r="D140" i="7" a="1"/>
  <c r="D140" i="7" s="1"/>
  <c r="D89" i="7" a="1"/>
  <c r="D89" i="7" s="1"/>
  <c r="D100" i="7" a="1"/>
  <c r="D100" i="7" s="1"/>
  <c r="D76" i="7" a="1"/>
  <c r="D76" i="7" s="1"/>
  <c r="D15" i="7" a="1"/>
  <c r="D15" i="7" s="1"/>
  <c r="D157" i="7" a="1"/>
  <c r="D157" i="7" s="1"/>
  <c r="D136" i="7" a="1"/>
  <c r="D136" i="7" s="1"/>
  <c r="D127" i="7" a="1"/>
  <c r="D127" i="7" s="1"/>
  <c r="D60" i="7" a="1"/>
  <c r="D60" i="7" s="1"/>
  <c r="D27" i="7" a="1"/>
  <c r="D27" i="7" s="1"/>
  <c r="D81" i="7" a="1"/>
  <c r="D81" i="7" s="1"/>
  <c r="D98" i="7" a="1"/>
  <c r="D98" i="7" s="1"/>
  <c r="D25" i="7" a="1"/>
  <c r="D25" i="7" s="1"/>
  <c r="D192" i="7" a="1"/>
  <c r="D192" i="7" s="1"/>
  <c r="D135" i="7" a="1"/>
  <c r="D135" i="7" s="1"/>
  <c r="D111" i="7" a="1"/>
  <c r="D111" i="7" s="1"/>
  <c r="D72" i="7" a="1"/>
  <c r="D72" i="7" s="1"/>
  <c r="D59" i="7" a="1"/>
  <c r="D59" i="7" s="1"/>
  <c r="D30" i="7" a="1"/>
  <c r="D30" i="7" s="1"/>
  <c r="D12" i="7" a="1"/>
  <c r="D12" i="7" s="1"/>
  <c r="D126" i="7" a="1"/>
  <c r="D126" i="7" s="1"/>
  <c r="D49" i="7" a="1"/>
  <c r="D49" i="7" s="1"/>
  <c r="D113" i="7" a="1"/>
  <c r="D113" i="7" s="1"/>
  <c r="D87" i="7" a="1"/>
  <c r="D87" i="7" s="1"/>
  <c r="D40" i="7" a="1"/>
  <c r="D40" i="7" s="1"/>
  <c r="D42" i="7" a="1"/>
  <c r="D42" i="7" s="1"/>
  <c r="D198" i="7" a="1"/>
  <c r="D198" i="7" s="1"/>
  <c r="D162" i="7" a="1"/>
  <c r="D162" i="7" s="1"/>
  <c r="D106" i="7" a="1"/>
  <c r="D106" i="7" s="1"/>
  <c r="D197" i="7" a="1"/>
  <c r="D197" i="7" s="1"/>
  <c r="D104" i="7" a="1"/>
  <c r="D104" i="7" s="1"/>
  <c r="D24" i="7" a="1"/>
  <c r="D24" i="7" s="1"/>
  <c r="D33" i="7" a="1"/>
  <c r="D33" i="7" s="1"/>
  <c r="D187" i="7" a="1"/>
  <c r="D187" i="7" s="1"/>
  <c r="D125" i="7" a="1"/>
  <c r="D125" i="7" s="1"/>
  <c r="D46" i="7" a="1"/>
  <c r="D46" i="7" s="1"/>
  <c r="D147" i="7" a="1"/>
  <c r="D147" i="7" s="1"/>
  <c r="D74" i="7" a="1"/>
  <c r="D74" i="7" s="1"/>
  <c r="D41" i="7" a="1"/>
  <c r="D41" i="7" s="1"/>
  <c r="D184" i="7" a="1"/>
  <c r="D184" i="7" s="1"/>
  <c r="D151" i="7" a="1"/>
  <c r="D151" i="7" s="1"/>
  <c r="D117" i="7" a="1"/>
  <c r="D117" i="7" s="1"/>
  <c r="D93" i="7" a="1"/>
  <c r="D93" i="7" s="1"/>
  <c r="D29" i="7" a="1"/>
  <c r="D29" i="7" s="1"/>
  <c r="D139" i="7" a="1"/>
  <c r="D139" i="7" s="1"/>
  <c r="D196" i="7" a="1"/>
  <c r="D196" i="7" s="1"/>
  <c r="D178" i="7" a="1"/>
  <c r="D178" i="7" s="1"/>
  <c r="D176" i="7" a="1"/>
  <c r="D176" i="7" s="1"/>
  <c r="D88" i="7" a="1"/>
  <c r="D88" i="7" s="1"/>
  <c r="D174" i="7" a="1"/>
  <c r="D174" i="7" s="1"/>
  <c r="D21" i="7" a="1"/>
  <c r="D21" i="7" s="1"/>
  <c r="D168" i="7" a="1"/>
  <c r="D168" i="7" s="1"/>
  <c r="D101" i="7" a="1"/>
  <c r="D101" i="7" s="1"/>
  <c r="D161" i="7" a="1"/>
  <c r="D161" i="7" s="1"/>
  <c r="D145" i="7" a="1"/>
  <c r="D145" i="7" s="1"/>
  <c r="D6" i="7" a="1"/>
  <c r="D6" i="7" s="1"/>
  <c r="D150" i="7" a="1"/>
  <c r="D150" i="7" s="1"/>
  <c r="D10" i="7" a="1"/>
  <c r="D10" i="7" s="1"/>
  <c r="D28" i="7" a="1"/>
  <c r="D28" i="7" s="1"/>
  <c r="D91" i="7" a="1"/>
  <c r="D91" i="7" s="1"/>
  <c r="D115" i="7" a="1"/>
  <c r="D115" i="7" s="1"/>
  <c r="D99" i="7" a="1"/>
  <c r="D99" i="7" s="1"/>
  <c r="AV101" i="13"/>
  <c r="BA149" i="13"/>
  <c r="BB149" i="13" s="1"/>
  <c r="E150" i="4"/>
  <c r="F150" i="4" s="1"/>
  <c r="AX149" i="13"/>
  <c r="R150" i="4" s="1"/>
  <c r="BD149" i="13"/>
  <c r="AB150" i="4" s="1"/>
  <c r="AV149" i="13"/>
  <c r="BD135" i="13"/>
  <c r="AB136" i="4" s="1"/>
  <c r="AX135" i="13"/>
  <c r="R136" i="4" s="1"/>
  <c r="BA135" i="13"/>
  <c r="BB135" i="13" s="1"/>
  <c r="E136" i="4"/>
  <c r="F136" i="4" s="1"/>
  <c r="AV135" i="13"/>
  <c r="AV127" i="13"/>
  <c r="BD127" i="13"/>
  <c r="AB128" i="4" s="1"/>
  <c r="I128" i="4"/>
  <c r="Q124" i="4"/>
  <c r="I98" i="4"/>
  <c r="AV97" i="13"/>
  <c r="H90" i="4"/>
  <c r="F30" i="4"/>
  <c r="BB59" i="13"/>
  <c r="AX69" i="13"/>
  <c r="R70" i="4" s="1"/>
  <c r="E70" i="4"/>
  <c r="F70" i="4" s="1"/>
  <c r="BA69" i="13"/>
  <c r="BB69" i="13" s="1"/>
  <c r="BD69" i="13"/>
  <c r="AB70" i="4" s="1"/>
  <c r="H64" i="4"/>
  <c r="F64" i="4"/>
  <c r="F60" i="4"/>
  <c r="H55" i="4"/>
  <c r="AX44" i="13"/>
  <c r="R45" i="4" s="1"/>
  <c r="BD44" i="13"/>
  <c r="AB45" i="4" s="1"/>
  <c r="E45" i="4"/>
  <c r="F45" i="4" s="1"/>
  <c r="BA44" i="13"/>
  <c r="BB44" i="13" s="1"/>
  <c r="F28" i="4"/>
  <c r="BD23" i="13"/>
  <c r="AB24" i="4" s="1"/>
  <c r="BC16" i="13"/>
  <c r="AA17" i="4" s="1"/>
  <c r="BD3" i="13"/>
  <c r="AB4" i="4" s="1"/>
  <c r="AB63" i="7" s="1" a="1"/>
  <c r="AB63" i="7" s="1"/>
  <c r="BA3" i="13"/>
  <c r="BB3" i="13" s="1"/>
  <c r="BC3" i="13" s="1"/>
  <c r="AA4" i="4" s="1"/>
  <c r="E4" i="4"/>
  <c r="F4" i="4" s="1"/>
  <c r="AX3" i="13"/>
  <c r="R4" i="4" s="1"/>
  <c r="P65" i="4"/>
  <c r="R177" i="4"/>
  <c r="BC74" i="13"/>
  <c r="AA75" i="4" s="1"/>
  <c r="E41" i="4"/>
  <c r="F41" i="4" s="1"/>
  <c r="AX40" i="13"/>
  <c r="R41" i="4" s="1"/>
  <c r="BD40" i="13"/>
  <c r="AB41" i="4" s="1"/>
  <c r="BA40" i="13"/>
  <c r="BB40" i="13" s="1"/>
  <c r="AY166" i="13"/>
  <c r="P167" i="4"/>
  <c r="P49" i="4"/>
  <c r="Q133" i="4"/>
  <c r="BB132" i="13"/>
  <c r="AX132" i="13"/>
  <c r="R133" i="4" s="1"/>
  <c r="F82" i="4"/>
  <c r="E20" i="4"/>
  <c r="F20" i="4" s="1"/>
  <c r="BD19" i="13"/>
  <c r="AB20" i="4" s="1"/>
  <c r="BA19" i="13"/>
  <c r="BB19" i="13" s="1"/>
  <c r="AX19" i="13"/>
  <c r="R20" i="4" s="1"/>
  <c r="AX92" i="13"/>
  <c r="R93" i="4" s="1"/>
  <c r="E93" i="4"/>
  <c r="F93" i="4" s="1"/>
  <c r="BA92" i="13"/>
  <c r="BB92" i="13" s="1"/>
  <c r="AV92" i="13"/>
  <c r="BD92" i="13"/>
  <c r="AB93" i="4" s="1"/>
  <c r="BA55" i="13"/>
  <c r="BB55" i="13" s="1"/>
  <c r="BC55" i="13" s="1"/>
  <c r="AA56" i="4" s="1"/>
  <c r="I25" i="4"/>
  <c r="AV24" i="13"/>
  <c r="E6" i="4"/>
  <c r="F6" i="4" s="1"/>
  <c r="AX5" i="13"/>
  <c r="R6" i="4" s="1"/>
  <c r="BD5" i="13"/>
  <c r="AB6" i="4" s="1"/>
  <c r="BA5" i="13"/>
  <c r="BB5" i="13" s="1"/>
  <c r="P149" i="4"/>
  <c r="AY148" i="13"/>
  <c r="F25" i="4"/>
  <c r="F16" i="4"/>
  <c r="AX83" i="13"/>
  <c r="R84" i="4" s="1"/>
  <c r="E84" i="4"/>
  <c r="F84" i="4" s="1"/>
  <c r="BA83" i="13"/>
  <c r="BB83" i="13" s="1"/>
  <c r="AV83" i="13"/>
  <c r="BD83" i="13"/>
  <c r="AB84" i="4" s="1"/>
  <c r="AY69" i="13"/>
  <c r="P70" i="4"/>
  <c r="AX139" i="13"/>
  <c r="R140" i="4" s="1"/>
  <c r="BB139" i="13"/>
  <c r="BC139" i="13" s="1"/>
  <c r="AA140" i="4" s="1"/>
  <c r="AY139" i="13"/>
  <c r="AY36" i="13"/>
  <c r="P37" i="4"/>
  <c r="I71" i="4"/>
  <c r="AV70" i="13"/>
  <c r="BD70" i="13"/>
  <c r="AB71" i="4" s="1"/>
  <c r="H100" i="4"/>
  <c r="H4" i="4"/>
  <c r="H128" i="4"/>
  <c r="I162" i="4"/>
  <c r="AV161" i="13"/>
  <c r="AX154" i="13"/>
  <c r="R155" i="4" s="1"/>
  <c r="BD154" i="13"/>
  <c r="AB155" i="4" s="1"/>
  <c r="BA154" i="13"/>
  <c r="BB154" i="13" s="1"/>
  <c r="E155" i="4"/>
  <c r="F155" i="4" s="1"/>
  <c r="F51" i="4"/>
  <c r="S191" i="4"/>
  <c r="AZ190" i="13"/>
  <c r="T191" i="4" s="1"/>
  <c r="BB79" i="13"/>
  <c r="F67" i="4"/>
  <c r="AX26" i="13"/>
  <c r="R27" i="4" s="1"/>
  <c r="E27" i="4"/>
  <c r="F27" i="4" s="1"/>
  <c r="BD26" i="13"/>
  <c r="AB27" i="4" s="1"/>
  <c r="BA26" i="13"/>
  <c r="BB26" i="13" s="1"/>
  <c r="I7" i="4"/>
  <c r="I12" i="7" s="1" a="1"/>
  <c r="I12" i="7" s="1"/>
  <c r="BD6" i="13"/>
  <c r="AB7" i="4" s="1"/>
  <c r="AB80" i="7" s="1" a="1"/>
  <c r="AB80" i="7" s="1"/>
  <c r="AV6" i="13"/>
  <c r="Y28" i="7" a="1"/>
  <c r="Y28" i="7" s="1"/>
  <c r="Y74" i="7" a="1"/>
  <c r="Y74" i="7" s="1"/>
  <c r="Y90" i="7" a="1"/>
  <c r="Y90" i="7" s="1"/>
  <c r="Y33" i="7" a="1"/>
  <c r="Y33" i="7" s="1"/>
  <c r="Y60" i="7" a="1"/>
  <c r="Y60" i="7" s="1"/>
  <c r="Y54" i="7" a="1"/>
  <c r="Y54" i="7" s="1"/>
  <c r="Y87" i="7" a="1"/>
  <c r="Y87" i="7" s="1"/>
  <c r="Y107" i="7" a="1"/>
  <c r="Y107" i="7" s="1"/>
  <c r="Y130" i="7" a="1"/>
  <c r="Y130" i="7" s="1"/>
  <c r="Y92" i="7" a="1"/>
  <c r="Y92" i="7" s="1"/>
  <c r="Y141" i="7" a="1"/>
  <c r="Y141" i="7" s="1"/>
  <c r="Y79" i="7" a="1"/>
  <c r="Y79" i="7" s="1"/>
  <c r="Y32" i="7" a="1"/>
  <c r="Y32" i="7" s="1"/>
  <c r="Y78" i="7" a="1"/>
  <c r="Y78" i="7" s="1"/>
  <c r="Y94" i="7" a="1"/>
  <c r="Y94" i="7" s="1"/>
  <c r="Y52" i="7" a="1"/>
  <c r="Y52" i="7" s="1"/>
  <c r="Y97" i="7" a="1"/>
  <c r="Y97" i="7" s="1"/>
  <c r="Y167" i="7" a="1"/>
  <c r="Y167" i="7" s="1"/>
  <c r="Y95" i="7" a="1"/>
  <c r="Y95" i="7" s="1"/>
  <c r="Y105" i="7" a="1"/>
  <c r="Y105" i="7" s="1"/>
  <c r="Y171" i="7" a="1"/>
  <c r="Y171" i="7" s="1"/>
  <c r="Y116" i="7" a="1"/>
  <c r="Y116" i="7" s="1"/>
  <c r="Y178" i="7" a="1"/>
  <c r="Y178" i="7" s="1"/>
  <c r="Y143" i="7" a="1"/>
  <c r="Y143" i="7" s="1"/>
  <c r="Y37" i="7" a="1"/>
  <c r="Y37" i="7" s="1"/>
  <c r="Y61" i="7" a="1"/>
  <c r="Y61" i="7" s="1"/>
  <c r="Y62" i="7" a="1"/>
  <c r="Y62" i="7" s="1"/>
  <c r="Y93" i="7" a="1"/>
  <c r="Y93" i="7" s="1"/>
  <c r="Y108" i="7" a="1"/>
  <c r="Y108" i="7" s="1"/>
  <c r="Y134" i="7" a="1"/>
  <c r="Y134" i="7" s="1"/>
  <c r="Y172" i="7" a="1"/>
  <c r="Y172" i="7" s="1"/>
  <c r="Y41" i="7" a="1"/>
  <c r="Y41" i="7" s="1"/>
  <c r="Y23" i="7" a="1"/>
  <c r="Y23" i="7" s="1"/>
  <c r="Y65" i="7" a="1"/>
  <c r="Y65" i="7" s="1"/>
  <c r="Y96" i="7" a="1"/>
  <c r="Y96" i="7" s="1"/>
  <c r="Y35" i="7" a="1"/>
  <c r="Y35" i="7" s="1"/>
  <c r="Y106" i="7" a="1"/>
  <c r="Y106" i="7" s="1"/>
  <c r="Y176" i="7" a="1"/>
  <c r="Y176" i="7" s="1"/>
  <c r="Y149" i="7" a="1"/>
  <c r="Y149" i="7" s="1"/>
  <c r="Y127" i="7" a="1"/>
  <c r="Y127" i="7" s="1"/>
  <c r="Y45" i="7" a="1"/>
  <c r="Y45" i="7" s="1"/>
  <c r="Y31" i="7" a="1"/>
  <c r="Y31" i="7" s="1"/>
  <c r="Y69" i="7" a="1"/>
  <c r="Y69" i="7" s="1"/>
  <c r="Y44" i="7" a="1"/>
  <c r="Y44" i="7" s="1"/>
  <c r="Y22" i="7" a="1"/>
  <c r="Y22" i="7" s="1"/>
  <c r="Y43" i="7" a="1"/>
  <c r="Y43" i="7" s="1"/>
  <c r="Y103" i="7" a="1"/>
  <c r="Y103" i="7" s="1"/>
  <c r="Y57" i="7" a="1"/>
  <c r="Y57" i="7" s="1"/>
  <c r="Y146" i="7" a="1"/>
  <c r="Y146" i="7" s="1"/>
  <c r="Y120" i="7" a="1"/>
  <c r="Y120" i="7" s="1"/>
  <c r="Y124" i="7" a="1"/>
  <c r="Y124" i="7" s="1"/>
  <c r="Y183" i="7" a="1"/>
  <c r="Y183" i="7" s="1"/>
  <c r="Y153" i="7" a="1"/>
  <c r="Y153" i="7" s="1"/>
  <c r="Y199" i="7" a="1"/>
  <c r="Y199" i="7" s="1"/>
  <c r="Y51" i="7" a="1"/>
  <c r="Y51" i="7" s="1"/>
  <c r="Y39" i="7" a="1"/>
  <c r="Y39" i="7" s="1"/>
  <c r="Y73" i="7" a="1"/>
  <c r="Y73" i="7" s="1"/>
  <c r="Y63" i="7" a="1"/>
  <c r="Y63" i="7" s="1"/>
  <c r="Y83" i="7" a="1"/>
  <c r="Y83" i="7" s="1"/>
  <c r="Y71" i="7" a="1"/>
  <c r="Y71" i="7" s="1"/>
  <c r="Y188" i="7" a="1"/>
  <c r="Y188" i="7" s="1"/>
  <c r="Y154" i="7" a="1"/>
  <c r="Y154" i="7" s="1"/>
  <c r="Y147" i="7" a="1"/>
  <c r="Y147" i="7" s="1"/>
  <c r="Y77" i="7" a="1"/>
  <c r="Y77" i="7" s="1"/>
  <c r="Y98" i="7" a="1"/>
  <c r="Y98" i="7" s="1"/>
  <c r="Y112" i="7" a="1"/>
  <c r="Y112" i="7" s="1"/>
  <c r="Y125" i="7" a="1"/>
  <c r="Y125" i="7" s="1"/>
  <c r="Y42" i="7" a="1"/>
  <c r="Y42" i="7" s="1"/>
  <c r="Y139" i="7" a="1"/>
  <c r="Y139" i="7" s="1"/>
  <c r="Y122" i="7" a="1"/>
  <c r="Y122" i="7" s="1"/>
  <c r="Y184" i="7" a="1"/>
  <c r="Y184" i="7" s="1"/>
  <c r="Y13" i="7" a="1"/>
  <c r="Y13" i="7" s="1"/>
  <c r="Y19" i="7" a="1"/>
  <c r="Y19" i="7" s="1"/>
  <c r="Y48" i="7" a="1"/>
  <c r="Y48" i="7" s="1"/>
  <c r="Y163" i="7" a="1"/>
  <c r="Y163" i="7" s="1"/>
  <c r="Y64" i="7" a="1"/>
  <c r="Y64" i="7" s="1"/>
  <c r="Y194" i="7" a="1"/>
  <c r="Y194" i="7" s="1"/>
  <c r="Y181" i="7" a="1"/>
  <c r="Y181" i="7" s="1"/>
  <c r="Y179" i="7" a="1"/>
  <c r="Y179" i="7" s="1"/>
  <c r="Y66" i="7" a="1"/>
  <c r="Y66" i="7" s="1"/>
  <c r="Y81" i="7" a="1"/>
  <c r="Y81" i="7" s="1"/>
  <c r="Y99" i="7" a="1"/>
  <c r="Y99" i="7" s="1"/>
  <c r="Y102" i="7" a="1"/>
  <c r="Y102" i="7" s="1"/>
  <c r="Y117" i="7" a="1"/>
  <c r="Y117" i="7" s="1"/>
  <c r="Y129" i="7" a="1"/>
  <c r="Y129" i="7" s="1"/>
  <c r="Y156" i="7" a="1"/>
  <c r="Y156" i="7" s="1"/>
  <c r="Y182" i="7" a="1"/>
  <c r="Y182" i="7" s="1"/>
  <c r="Y131" i="7" a="1"/>
  <c r="Y131" i="7" s="1"/>
  <c r="Y200" i="7" a="1"/>
  <c r="Y200" i="7" s="1"/>
  <c r="Y16" i="7" a="1"/>
  <c r="Y16" i="7" s="1"/>
  <c r="Y20" i="7" a="1"/>
  <c r="Y20" i="7" s="1"/>
  <c r="Y104" i="7" a="1"/>
  <c r="Y104" i="7" s="1"/>
  <c r="Y115" i="7" a="1"/>
  <c r="Y115" i="7" s="1"/>
  <c r="Y113" i="7" a="1"/>
  <c r="Y113" i="7" s="1"/>
  <c r="Y195" i="7" a="1"/>
  <c r="Y195" i="7" s="1"/>
  <c r="Y17" i="7" a="1"/>
  <c r="Y17" i="7" s="1"/>
  <c r="Y36" i="7" a="1"/>
  <c r="Y36" i="7" s="1"/>
  <c r="Y82" i="7" a="1"/>
  <c r="Y82" i="7" s="1"/>
  <c r="Y18" i="7" a="1"/>
  <c r="Y18" i="7" s="1"/>
  <c r="Y126" i="7" a="1"/>
  <c r="Y126" i="7" s="1"/>
  <c r="Y192" i="7" a="1"/>
  <c r="Y192" i="7" s="1"/>
  <c r="Y137" i="7" a="1"/>
  <c r="Y137" i="7" s="1"/>
  <c r="Y128" i="7" a="1"/>
  <c r="Y128" i="7" s="1"/>
  <c r="Y189" i="7" a="1"/>
  <c r="Y189" i="7" s="1"/>
  <c r="Y157" i="7" a="1"/>
  <c r="Y157" i="7" s="1"/>
  <c r="Y40" i="7" a="1"/>
  <c r="Y40" i="7" s="1"/>
  <c r="Y86" i="7" a="1"/>
  <c r="Y86" i="7" s="1"/>
  <c r="Y27" i="7" a="1"/>
  <c r="Y27" i="7" s="1"/>
  <c r="Y114" i="7" a="1"/>
  <c r="Y114" i="7" s="1"/>
  <c r="Y58" i="7" a="1"/>
  <c r="Y58" i="7" s="1"/>
  <c r="Y145" i="7" a="1"/>
  <c r="Y145" i="7" s="1"/>
  <c r="Y168" i="7" a="1"/>
  <c r="Y168" i="7" s="1"/>
  <c r="Y144" i="7" a="1"/>
  <c r="Y144" i="7" s="1"/>
  <c r="Y10" i="7" a="1"/>
  <c r="Y10" i="7" s="1"/>
  <c r="Y173" i="7" a="1"/>
  <c r="Y173" i="7" s="1"/>
  <c r="Y187" i="7" a="1"/>
  <c r="Y187" i="7" s="1"/>
  <c r="Y49" i="7" a="1"/>
  <c r="Y49" i="7" s="1"/>
  <c r="Y30" i="7" a="1"/>
  <c r="Y30" i="7" s="1"/>
  <c r="Y138" i="7" a="1"/>
  <c r="Y138" i="7" s="1"/>
  <c r="Y196" i="7" a="1"/>
  <c r="Y196" i="7" s="1"/>
  <c r="Y132" i="7" a="1"/>
  <c r="Y132" i="7" s="1"/>
  <c r="Y5" i="7" a="1"/>
  <c r="Y5" i="7" s="1"/>
  <c r="Y38" i="7" a="1"/>
  <c r="Y38" i="7" s="1"/>
  <c r="Y101" i="7" a="1"/>
  <c r="Y101" i="7" s="1"/>
  <c r="Y136" i="7" a="1"/>
  <c r="Y136" i="7" s="1"/>
  <c r="Y123" i="7" a="1"/>
  <c r="Y123" i="7" s="1"/>
  <c r="Y170" i="7" a="1"/>
  <c r="Y170" i="7" s="1"/>
  <c r="Y3" i="7" a="1"/>
  <c r="Y3" i="7" s="1"/>
  <c r="Y25" i="7" a="1"/>
  <c r="Y25" i="7" s="1"/>
  <c r="Y109" i="7" a="1"/>
  <c r="Y109" i="7" s="1"/>
  <c r="Y100" i="7" a="1"/>
  <c r="Y100" i="7" s="1"/>
  <c r="Y26" i="7" a="1"/>
  <c r="Y26" i="7" s="1"/>
  <c r="Y161" i="7" a="1"/>
  <c r="Y161" i="7" s="1"/>
  <c r="Y186" i="7" a="1"/>
  <c r="Y186" i="7" s="1"/>
  <c r="Y160" i="7" a="1"/>
  <c r="Y160" i="7" s="1"/>
  <c r="Y29" i="7" a="1"/>
  <c r="Y29" i="7" s="1"/>
  <c r="Y46" i="7" a="1"/>
  <c r="Y46" i="7" s="1"/>
  <c r="Y34" i="7" a="1"/>
  <c r="Y34" i="7" s="1"/>
  <c r="Y121" i="7" a="1"/>
  <c r="Y121" i="7" s="1"/>
  <c r="Y111" i="7" a="1"/>
  <c r="Y111" i="7" s="1"/>
  <c r="Y24" i="7" a="1"/>
  <c r="Y24" i="7" s="1"/>
  <c r="Y75" i="7" a="1"/>
  <c r="Y75" i="7" s="1"/>
  <c r="Y169" i="7" a="1"/>
  <c r="Y169" i="7" s="1"/>
  <c r="Y11" i="7" a="1"/>
  <c r="Y11" i="7" s="1"/>
  <c r="Y193" i="7" a="1"/>
  <c r="Y193" i="7" s="1"/>
  <c r="Y151" i="7" a="1"/>
  <c r="Y151" i="7" s="1"/>
  <c r="Y164" i="7" a="1"/>
  <c r="Y164" i="7" s="1"/>
  <c r="Y85" i="7" a="1"/>
  <c r="Y85" i="7" s="1"/>
  <c r="Y88" i="7" a="1"/>
  <c r="Y88" i="7" s="1"/>
  <c r="Y150" i="7" a="1"/>
  <c r="Y150" i="7" s="1"/>
  <c r="Y165" i="7" a="1"/>
  <c r="Y165" i="7" s="1"/>
  <c r="Y175" i="7" a="1"/>
  <c r="Y175" i="7" s="1"/>
  <c r="Y14" i="7" a="1"/>
  <c r="Y14" i="7" s="1"/>
  <c r="Y198" i="7" a="1"/>
  <c r="Y198" i="7" s="1"/>
  <c r="Y50" i="7" a="1"/>
  <c r="Y50" i="7" s="1"/>
  <c r="Y155" i="7" a="1"/>
  <c r="Y155" i="7" s="1"/>
  <c r="Y174" i="7" a="1"/>
  <c r="Y174" i="7" s="1"/>
  <c r="Y4" i="7" a="1"/>
  <c r="Y4" i="7" s="1"/>
  <c r="Y110" i="7" a="1"/>
  <c r="Y110" i="7" s="1"/>
  <c r="Y56" i="7" a="1"/>
  <c r="Y56" i="7" s="1"/>
  <c r="Y53" i="7" a="1"/>
  <c r="Y53" i="7" s="1"/>
  <c r="Y89" i="7" a="1"/>
  <c r="Y89" i="7" s="1"/>
  <c r="Y185" i="7" a="1"/>
  <c r="Y185" i="7" s="1"/>
  <c r="Y148" i="7" a="1"/>
  <c r="Y148" i="7" s="1"/>
  <c r="Y67" i="7" a="1"/>
  <c r="Y67" i="7" s="1"/>
  <c r="Y59" i="7" a="1"/>
  <c r="Y59" i="7" s="1"/>
  <c r="Y191" i="7" a="1"/>
  <c r="Y191" i="7" s="1"/>
  <c r="Y9" i="7" a="1"/>
  <c r="Y9" i="7" s="1"/>
  <c r="Y70" i="7" a="1"/>
  <c r="Y70" i="7" s="1"/>
  <c r="Y80" i="7" a="1"/>
  <c r="Y80" i="7" s="1"/>
  <c r="Y162" i="7" a="1"/>
  <c r="Y162" i="7" s="1"/>
  <c r="Y6" i="7" a="1"/>
  <c r="Y6" i="7" s="1"/>
  <c r="Y140" i="7" a="1"/>
  <c r="Y140" i="7" s="1"/>
  <c r="Y15" i="7" a="1"/>
  <c r="Y15" i="7" s="1"/>
  <c r="Y190" i="7" a="1"/>
  <c r="Y190" i="7" s="1"/>
  <c r="Y72" i="7" a="1"/>
  <c r="Y72" i="7" s="1"/>
  <c r="Y177" i="7" a="1"/>
  <c r="Y177" i="7" s="1"/>
  <c r="Y197" i="7" a="1"/>
  <c r="Y197" i="7" s="1"/>
  <c r="Y91" i="7" a="1"/>
  <c r="Y91" i="7" s="1"/>
  <c r="Y166" i="7" a="1"/>
  <c r="Y166" i="7" s="1"/>
  <c r="Y142" i="7" a="1"/>
  <c r="Y142" i="7" s="1"/>
  <c r="Y21" i="7" a="1"/>
  <c r="Y21" i="7" s="1"/>
  <c r="Y135" i="7" a="1"/>
  <c r="Y135" i="7" s="1"/>
  <c r="Y180" i="7" a="1"/>
  <c r="Y180" i="7" s="1"/>
  <c r="Y152" i="7" a="1"/>
  <c r="Y152" i="7" s="1"/>
  <c r="Y47" i="7" a="1"/>
  <c r="Y47" i="7" s="1"/>
  <c r="Y133" i="7" a="1"/>
  <c r="Y133" i="7" s="1"/>
  <c r="Y8" i="7" a="1"/>
  <c r="Y8" i="7" s="1"/>
  <c r="Y68" i="7" a="1"/>
  <c r="Y68" i="7" s="1"/>
  <c r="Y12" i="7" a="1"/>
  <c r="Y12" i="7" s="1"/>
  <c r="Y76" i="7" a="1"/>
  <c r="Y76" i="7" s="1"/>
  <c r="Y84" i="7" a="1"/>
  <c r="Y84" i="7" s="1"/>
  <c r="Y55" i="7" a="1"/>
  <c r="Y55" i="7" s="1"/>
  <c r="Y159" i="7" a="1"/>
  <c r="Y159" i="7" s="1"/>
  <c r="Y158" i="7" a="1"/>
  <c r="Y158" i="7" s="1"/>
  <c r="Y119" i="7" a="1"/>
  <c r="Y119" i="7" s="1"/>
  <c r="Y118" i="7" a="1"/>
  <c r="Y118" i="7" s="1"/>
  <c r="Y7" i="7" a="1"/>
  <c r="Y7" i="7" s="1"/>
  <c r="F76" i="4"/>
  <c r="H135" i="4"/>
  <c r="AX127" i="13"/>
  <c r="R128" i="4" s="1"/>
  <c r="Q128" i="4"/>
  <c r="I121" i="4"/>
  <c r="AV120" i="13"/>
  <c r="I114" i="4"/>
  <c r="AV113" i="13"/>
  <c r="I89" i="4"/>
  <c r="AV88" i="13"/>
  <c r="I80" i="4"/>
  <c r="AV79" i="13"/>
  <c r="BD79" i="13"/>
  <c r="AB80" i="4" s="1"/>
  <c r="J63" i="4"/>
  <c r="J93" i="7" s="1" a="1"/>
  <c r="J93" i="7" s="1"/>
  <c r="BA62" i="13"/>
  <c r="BB62" i="13" s="1"/>
  <c r="BC62" i="13" s="1"/>
  <c r="AA63" i="4" s="1"/>
  <c r="AZ48" i="13"/>
  <c r="T49" i="4" s="1"/>
  <c r="BC41" i="13"/>
  <c r="AA42" i="4" s="1"/>
  <c r="BD7" i="13"/>
  <c r="AB8" i="4" s="1"/>
  <c r="AY191" i="13"/>
  <c r="P192" i="4"/>
  <c r="AY116" i="13"/>
  <c r="P117" i="4"/>
  <c r="S49" i="4"/>
  <c r="AY86" i="13"/>
  <c r="P87" i="4"/>
  <c r="S33" i="4"/>
  <c r="BC100" i="13"/>
  <c r="AA101" i="4" s="1"/>
  <c r="BC81" i="13"/>
  <c r="AA82" i="4" s="1"/>
  <c r="AY13" i="13"/>
  <c r="P14" i="4"/>
  <c r="AY108" i="13"/>
  <c r="P109" i="4"/>
  <c r="R196" i="4"/>
  <c r="AZ195" i="13"/>
  <c r="T196" i="4" s="1"/>
  <c r="AY110" i="13"/>
  <c r="P111" i="4"/>
  <c r="L192" i="7" a="1"/>
  <c r="L192" i="7" s="1"/>
  <c r="L198" i="7" a="1"/>
  <c r="L198" i="7" s="1"/>
  <c r="L193" i="7" a="1"/>
  <c r="L193" i="7" s="1"/>
  <c r="L185" i="7" a="1"/>
  <c r="L185" i="7" s="1"/>
  <c r="L172" i="7" a="1"/>
  <c r="L172" i="7" s="1"/>
  <c r="L184" i="7" a="1"/>
  <c r="L184" i="7" s="1"/>
  <c r="L155" i="7" a="1"/>
  <c r="L155" i="7" s="1"/>
  <c r="L149" i="7" a="1"/>
  <c r="L149" i="7" s="1"/>
  <c r="L137" i="7" a="1"/>
  <c r="L137" i="7" s="1"/>
  <c r="L147" i="7" a="1"/>
  <c r="L147" i="7" s="1"/>
  <c r="L126" i="7" a="1"/>
  <c r="L126" i="7" s="1"/>
  <c r="L123" i="7" a="1"/>
  <c r="L123" i="7" s="1"/>
  <c r="L117" i="7" a="1"/>
  <c r="L117" i="7" s="1"/>
  <c r="L96" i="7" a="1"/>
  <c r="L96" i="7" s="1"/>
  <c r="L64" i="7" a="1"/>
  <c r="L64" i="7" s="1"/>
  <c r="L62" i="7" a="1"/>
  <c r="L62" i="7" s="1"/>
  <c r="L56" i="7" a="1"/>
  <c r="L56" i="7" s="1"/>
  <c r="L68" i="7" a="1"/>
  <c r="L68" i="7" s="1"/>
  <c r="L40" i="7" a="1"/>
  <c r="L40" i="7" s="1"/>
  <c r="L8" i="7" a="1"/>
  <c r="L8" i="7" s="1"/>
  <c r="L22" i="7" a="1"/>
  <c r="L22" i="7" s="1"/>
  <c r="L36" i="7" a="1"/>
  <c r="L36" i="7" s="1"/>
  <c r="L4" i="7" a="1"/>
  <c r="L4" i="7" s="1"/>
  <c r="L51" i="7" a="1"/>
  <c r="L51" i="7" s="1"/>
  <c r="L188" i="7" a="1"/>
  <c r="L188" i="7" s="1"/>
  <c r="L179" i="7" a="1"/>
  <c r="L179" i="7" s="1"/>
  <c r="L180" i="7" a="1"/>
  <c r="L180" i="7" s="1"/>
  <c r="L175" i="7" a="1"/>
  <c r="L175" i="7" s="1"/>
  <c r="L144" i="7" a="1"/>
  <c r="L144" i="7" s="1"/>
  <c r="L150" i="7" a="1"/>
  <c r="L150" i="7" s="1"/>
  <c r="L143" i="7" a="1"/>
  <c r="L143" i="7" s="1"/>
  <c r="L118" i="7" a="1"/>
  <c r="L118" i="7" s="1"/>
  <c r="L111" i="7" a="1"/>
  <c r="L111" i="7" s="1"/>
  <c r="L107" i="7" a="1"/>
  <c r="L107" i="7" s="1"/>
  <c r="L73" i="7" a="1"/>
  <c r="L73" i="7" s="1"/>
  <c r="L94" i="7" a="1"/>
  <c r="L94" i="7" s="1"/>
  <c r="L75" i="7" a="1"/>
  <c r="L75" i="7" s="1"/>
  <c r="L197" i="7" a="1"/>
  <c r="L197" i="7" s="1"/>
  <c r="L128" i="7" a="1"/>
  <c r="L128" i="7" s="1"/>
  <c r="L100" i="7" a="1"/>
  <c r="L100" i="7" s="1"/>
  <c r="L58" i="7" a="1"/>
  <c r="L58" i="7" s="1"/>
  <c r="L39" i="7" a="1"/>
  <c r="L39" i="7" s="1"/>
  <c r="L7" i="7" a="1"/>
  <c r="L7" i="7" s="1"/>
  <c r="L21" i="7" a="1"/>
  <c r="L21" i="7" s="1"/>
  <c r="L35" i="7" a="1"/>
  <c r="L35" i="7" s="1"/>
  <c r="L3" i="7" a="1"/>
  <c r="L3" i="7" s="1"/>
  <c r="L26" i="7" a="1"/>
  <c r="L26" i="7" s="1"/>
  <c r="L186" i="7" a="1"/>
  <c r="L186" i="7" s="1"/>
  <c r="L177" i="7" a="1"/>
  <c r="L177" i="7" s="1"/>
  <c r="L170" i="7" a="1"/>
  <c r="L170" i="7" s="1"/>
  <c r="L161" i="7" a="1"/>
  <c r="L161" i="7" s="1"/>
  <c r="L146" i="7" a="1"/>
  <c r="L146" i="7" s="1"/>
  <c r="L133" i="7" a="1"/>
  <c r="L133" i="7" s="1"/>
  <c r="L135" i="7" a="1"/>
  <c r="L135" i="7" s="1"/>
  <c r="L113" i="7" a="1"/>
  <c r="L113" i="7" s="1"/>
  <c r="L103" i="7" a="1"/>
  <c r="L103" i="7" s="1"/>
  <c r="L101" i="7" a="1"/>
  <c r="L101" i="7" s="1"/>
  <c r="L65" i="7" a="1"/>
  <c r="L65" i="7" s="1"/>
  <c r="L86" i="7" a="1"/>
  <c r="L86" i="7" s="1"/>
  <c r="L99" i="7" a="1"/>
  <c r="L99" i="7" s="1"/>
  <c r="L195" i="7" a="1"/>
  <c r="L195" i="7" s="1"/>
  <c r="L79" i="7" a="1"/>
  <c r="L79" i="7" s="1"/>
  <c r="L66" i="7" a="1"/>
  <c r="L66" i="7" s="1"/>
  <c r="L84" i="7" a="1"/>
  <c r="L84" i="7" s="1"/>
  <c r="L48" i="7" a="1"/>
  <c r="L48" i="7" s="1"/>
  <c r="L31" i="7" a="1"/>
  <c r="L31" i="7" s="1"/>
  <c r="L45" i="7" a="1"/>
  <c r="L45" i="7" s="1"/>
  <c r="L13" i="7" a="1"/>
  <c r="L13" i="7" s="1"/>
  <c r="L27" i="7" a="1"/>
  <c r="L27" i="7" s="1"/>
  <c r="L18" i="7" a="1"/>
  <c r="L18" i="7" s="1"/>
  <c r="L42" i="7" a="1"/>
  <c r="L42" i="7" s="1"/>
  <c r="L183" i="7" a="1"/>
  <c r="L183" i="7" s="1"/>
  <c r="L176" i="7" a="1"/>
  <c r="L176" i="7" s="1"/>
  <c r="L169" i="7" a="1"/>
  <c r="L169" i="7" s="1"/>
  <c r="L154" i="7" a="1"/>
  <c r="L154" i="7" s="1"/>
  <c r="L141" i="7" a="1"/>
  <c r="L141" i="7" s="1"/>
  <c r="L131" i="7" a="1"/>
  <c r="L131" i="7" s="1"/>
  <c r="L148" i="7" a="1"/>
  <c r="L148" i="7" s="1"/>
  <c r="L106" i="7" a="1"/>
  <c r="L106" i="7" s="1"/>
  <c r="L125" i="7" a="1"/>
  <c r="L125" i="7" s="1"/>
  <c r="L97" i="7" a="1"/>
  <c r="L97" i="7" s="1"/>
  <c r="L54" i="7" a="1"/>
  <c r="L54" i="7" s="1"/>
  <c r="L98" i="7" a="1"/>
  <c r="L98" i="7" s="1"/>
  <c r="L199" i="7" a="1"/>
  <c r="L199" i="7" s="1"/>
  <c r="L78" i="7" a="1"/>
  <c r="L78" i="7" s="1"/>
  <c r="L92" i="7" a="1"/>
  <c r="L92" i="7" s="1"/>
  <c r="L61" i="7" a="1"/>
  <c r="L61" i="7" s="1"/>
  <c r="L85" i="7" a="1"/>
  <c r="L85" i="7" s="1"/>
  <c r="L24" i="7" a="1"/>
  <c r="L24" i="7" s="1"/>
  <c r="L38" i="7" a="1"/>
  <c r="L38" i="7" s="1"/>
  <c r="L6" i="7" a="1"/>
  <c r="L6" i="7" s="1"/>
  <c r="L20" i="7" a="1"/>
  <c r="L20" i="7" s="1"/>
  <c r="L9" i="7" a="1"/>
  <c r="L9" i="7" s="1"/>
  <c r="L33" i="7" a="1"/>
  <c r="L33" i="7" s="1"/>
  <c r="L122" i="7" a="1"/>
  <c r="L122" i="7" s="1"/>
  <c r="L115" i="7" a="1"/>
  <c r="L115" i="7" s="1"/>
  <c r="L120" i="7" a="1"/>
  <c r="L120" i="7" s="1"/>
  <c r="L91" i="7" a="1"/>
  <c r="L91" i="7" s="1"/>
  <c r="L47" i="7" a="1"/>
  <c r="L47" i="7" s="1"/>
  <c r="L30" i="7" a="1"/>
  <c r="L30" i="7" s="1"/>
  <c r="L19" i="7" a="1"/>
  <c r="L19" i="7" s="1"/>
  <c r="L124" i="7" a="1"/>
  <c r="L124" i="7" s="1"/>
  <c r="L189" i="7" a="1"/>
  <c r="L189" i="7" s="1"/>
  <c r="L164" i="7" a="1"/>
  <c r="L164" i="7" s="1"/>
  <c r="L153" i="7" a="1"/>
  <c r="L153" i="7" s="1"/>
  <c r="L129" i="7" a="1"/>
  <c r="L129" i="7" s="1"/>
  <c r="L114" i="7" a="1"/>
  <c r="L114" i="7" s="1"/>
  <c r="L93" i="7" a="1"/>
  <c r="L93" i="7" s="1"/>
  <c r="L200" i="7" a="1"/>
  <c r="L200" i="7" s="1"/>
  <c r="L108" i="7" a="1"/>
  <c r="L108" i="7" s="1"/>
  <c r="L102" i="7" a="1"/>
  <c r="L102" i="7" s="1"/>
  <c r="L90" i="7" a="1"/>
  <c r="L90" i="7" s="1"/>
  <c r="L29" i="7" a="1"/>
  <c r="L29" i="7" s="1"/>
  <c r="L12" i="7" a="1"/>
  <c r="L12" i="7" s="1"/>
  <c r="L5" i="7" a="1"/>
  <c r="L5" i="7" s="1"/>
  <c r="L163" i="7" a="1"/>
  <c r="L163" i="7" s="1"/>
  <c r="L152" i="7" a="1"/>
  <c r="L152" i="7" s="1"/>
  <c r="L166" i="7" a="1"/>
  <c r="L166" i="7" s="1"/>
  <c r="L105" i="7" a="1"/>
  <c r="L105" i="7" s="1"/>
  <c r="L110" i="7" a="1"/>
  <c r="L110" i="7" s="1"/>
  <c r="L55" i="7" a="1"/>
  <c r="L55" i="7" s="1"/>
  <c r="L32" i="7" a="1"/>
  <c r="L32" i="7" s="1"/>
  <c r="L187" i="7" a="1"/>
  <c r="L187" i="7" s="1"/>
  <c r="L167" i="7" a="1"/>
  <c r="L167" i="7" s="1"/>
  <c r="L160" i="7" a="1"/>
  <c r="L160" i="7" s="1"/>
  <c r="L82" i="7" a="1"/>
  <c r="L82" i="7" s="1"/>
  <c r="L151" i="7" a="1"/>
  <c r="L151" i="7" s="1"/>
  <c r="L119" i="7" a="1"/>
  <c r="L119" i="7" s="1"/>
  <c r="L88" i="7" a="1"/>
  <c r="L88" i="7" s="1"/>
  <c r="L74" i="7" a="1"/>
  <c r="L74" i="7" s="1"/>
  <c r="L77" i="7" a="1"/>
  <c r="L77" i="7" s="1"/>
  <c r="L16" i="7" a="1"/>
  <c r="L16" i="7" s="1"/>
  <c r="L50" i="7" a="1"/>
  <c r="L50" i="7" s="1"/>
  <c r="L41" i="7" a="1"/>
  <c r="L41" i="7" s="1"/>
  <c r="L194" i="7" a="1"/>
  <c r="L194" i="7" s="1"/>
  <c r="L162" i="7" a="1"/>
  <c r="L162" i="7" s="1"/>
  <c r="L140" i="7" a="1"/>
  <c r="L140" i="7" s="1"/>
  <c r="L142" i="7" a="1"/>
  <c r="L142" i="7" s="1"/>
  <c r="L71" i="7" a="1"/>
  <c r="L71" i="7" s="1"/>
  <c r="L67" i="7" a="1"/>
  <c r="L67" i="7" s="1"/>
  <c r="L182" i="7" a="1"/>
  <c r="L182" i="7" s="1"/>
  <c r="L139" i="7" a="1"/>
  <c r="L139" i="7" s="1"/>
  <c r="L168" i="7" a="1"/>
  <c r="L168" i="7" s="1"/>
  <c r="L80" i="7" a="1"/>
  <c r="L80" i="7" s="1"/>
  <c r="L28" i="7" a="1"/>
  <c r="L28" i="7" s="1"/>
  <c r="L130" i="7" a="1"/>
  <c r="L130" i="7" s="1"/>
  <c r="L72" i="7" a="1"/>
  <c r="L72" i="7" s="1"/>
  <c r="L69" i="7" a="1"/>
  <c r="L69" i="7" s="1"/>
  <c r="L23" i="7" a="1"/>
  <c r="L23" i="7" s="1"/>
  <c r="L181" i="7" a="1"/>
  <c r="L181" i="7" s="1"/>
  <c r="L145" i="7" a="1"/>
  <c r="L145" i="7" s="1"/>
  <c r="L15" i="7" a="1"/>
  <c r="L15" i="7" s="1"/>
  <c r="L11" i="7" a="1"/>
  <c r="L11" i="7" s="1"/>
  <c r="L173" i="7" a="1"/>
  <c r="L173" i="7" s="1"/>
  <c r="L112" i="7" a="1"/>
  <c r="L112" i="7" s="1"/>
  <c r="L95" i="7" a="1"/>
  <c r="L95" i="7" s="1"/>
  <c r="L57" i="7" a="1"/>
  <c r="L57" i="7" s="1"/>
  <c r="L46" i="7" a="1"/>
  <c r="L46" i="7" s="1"/>
  <c r="L132" i="7" a="1"/>
  <c r="L132" i="7" s="1"/>
  <c r="L104" i="7" a="1"/>
  <c r="L104" i="7" s="1"/>
  <c r="L87" i="7" a="1"/>
  <c r="L87" i="7" s="1"/>
  <c r="L25" i="7" a="1"/>
  <c r="L25" i="7" s="1"/>
  <c r="L171" i="7" a="1"/>
  <c r="L171" i="7" s="1"/>
  <c r="L37" i="7" a="1"/>
  <c r="L37" i="7" s="1"/>
  <c r="L196" i="7" a="1"/>
  <c r="L196" i="7" s="1"/>
  <c r="L134" i="7" a="1"/>
  <c r="L134" i="7" s="1"/>
  <c r="L81" i="7" a="1"/>
  <c r="L81" i="7" s="1"/>
  <c r="L76" i="7" a="1"/>
  <c r="L76" i="7" s="1"/>
  <c r="L158" i="7" a="1"/>
  <c r="L158" i="7" s="1"/>
  <c r="L53" i="7" a="1"/>
  <c r="L53" i="7" s="1"/>
  <c r="L10" i="7" a="1"/>
  <c r="L10" i="7" s="1"/>
  <c r="L136" i="7" a="1"/>
  <c r="L136" i="7" s="1"/>
  <c r="L59" i="7" a="1"/>
  <c r="L59" i="7" s="1"/>
  <c r="L191" i="7" a="1"/>
  <c r="L191" i="7" s="1"/>
  <c r="L70" i="7" a="1"/>
  <c r="L70" i="7" s="1"/>
  <c r="L190" i="7" a="1"/>
  <c r="L190" i="7" s="1"/>
  <c r="L63" i="7" a="1"/>
  <c r="L63" i="7" s="1"/>
  <c r="L178" i="7" a="1"/>
  <c r="L178" i="7" s="1"/>
  <c r="L138" i="7" a="1"/>
  <c r="L138" i="7" s="1"/>
  <c r="L14" i="7" a="1"/>
  <c r="L14" i="7" s="1"/>
  <c r="L174" i="7" a="1"/>
  <c r="L174" i="7" s="1"/>
  <c r="L109" i="7" a="1"/>
  <c r="L109" i="7" s="1"/>
  <c r="L44" i="7" a="1"/>
  <c r="L44" i="7" s="1"/>
  <c r="L127" i="7" a="1"/>
  <c r="L127" i="7" s="1"/>
  <c r="L83" i="7" a="1"/>
  <c r="L83" i="7" s="1"/>
  <c r="L121" i="7" a="1"/>
  <c r="L121" i="7" s="1"/>
  <c r="L60" i="7" a="1"/>
  <c r="L60" i="7" s="1"/>
  <c r="L43" i="7" a="1"/>
  <c r="L43" i="7" s="1"/>
  <c r="L165" i="7" a="1"/>
  <c r="L165" i="7" s="1"/>
  <c r="L49" i="7" a="1"/>
  <c r="L49" i="7" s="1"/>
  <c r="L17" i="7" a="1"/>
  <c r="L17" i="7" s="1"/>
  <c r="L89" i="7" a="1"/>
  <c r="L89" i="7" s="1"/>
  <c r="L34" i="7" a="1"/>
  <c r="L34" i="7" s="1"/>
  <c r="L157" i="7" a="1"/>
  <c r="L157" i="7" s="1"/>
  <c r="L156" i="7" a="1"/>
  <c r="L156" i="7" s="1"/>
  <c r="L159" i="7" a="1"/>
  <c r="L159" i="7" s="1"/>
  <c r="L52" i="7" a="1"/>
  <c r="L52" i="7" s="1"/>
  <c r="L116" i="7" a="1"/>
  <c r="L116" i="7" s="1"/>
  <c r="R88" i="4"/>
  <c r="AZ87" i="13"/>
  <c r="T88" i="4" s="1"/>
  <c r="BC127" i="13"/>
  <c r="AA128" i="4" s="1"/>
  <c r="P33" i="4"/>
  <c r="AX168" i="13"/>
  <c r="R169" i="4" s="1"/>
  <c r="BA168" i="13"/>
  <c r="BB168" i="13" s="1"/>
  <c r="BD168" i="13"/>
  <c r="AB169" i="4" s="1"/>
  <c r="E169" i="4"/>
  <c r="F169" i="4" s="1"/>
  <c r="AY99" i="13"/>
  <c r="P100" i="4"/>
  <c r="B189" i="7" a="1"/>
  <c r="B189" i="7" s="1"/>
  <c r="B184" i="7" a="1"/>
  <c r="B184" i="7" s="1"/>
  <c r="B177" i="7" a="1"/>
  <c r="B177" i="7" s="1"/>
  <c r="B161" i="7" a="1"/>
  <c r="B161" i="7" s="1"/>
  <c r="B164" i="7" a="1"/>
  <c r="B164" i="7" s="1"/>
  <c r="B151" i="7" a="1"/>
  <c r="B151" i="7" s="1"/>
  <c r="B147" i="7" a="1"/>
  <c r="B147" i="7" s="1"/>
  <c r="B146" i="7" a="1"/>
  <c r="B146" i="7" s="1"/>
  <c r="B144" i="7" a="1"/>
  <c r="B144" i="7" s="1"/>
  <c r="B136" i="7" a="1"/>
  <c r="B136" i="7" s="1"/>
  <c r="B127" i="7" a="1"/>
  <c r="B127" i="7" s="1"/>
  <c r="B95" i="7" a="1"/>
  <c r="B95" i="7" s="1"/>
  <c r="B63" i="7" a="1"/>
  <c r="B63" i="7" s="1"/>
  <c r="B85" i="7" a="1"/>
  <c r="B85" i="7" s="1"/>
  <c r="B126" i="7" a="1"/>
  <c r="B126" i="7" s="1"/>
  <c r="B73" i="7" a="1"/>
  <c r="B73" i="7" s="1"/>
  <c r="B52" i="7" a="1"/>
  <c r="B52" i="7" s="1"/>
  <c r="B108" i="7" a="1"/>
  <c r="B108" i="7" s="1"/>
  <c r="B58" i="7" a="1"/>
  <c r="B58" i="7" s="1"/>
  <c r="B21" i="7" a="1"/>
  <c r="B21" i="7" s="1"/>
  <c r="B35" i="7" a="1"/>
  <c r="B35" i="7" s="1"/>
  <c r="B41" i="7" a="1"/>
  <c r="B41" i="7" s="1"/>
  <c r="B9" i="7" a="1"/>
  <c r="B9" i="7" s="1"/>
  <c r="B4" i="7" a="1"/>
  <c r="B4" i="7" s="1"/>
  <c r="B15" i="7" a="1"/>
  <c r="B15" i="7" s="1"/>
  <c r="B188" i="7" a="1"/>
  <c r="B188" i="7" s="1"/>
  <c r="B199" i="7" a="1"/>
  <c r="B199" i="7" s="1"/>
  <c r="B176" i="7" a="1"/>
  <c r="B176" i="7" s="1"/>
  <c r="B168" i="7" a="1"/>
  <c r="B168" i="7" s="1"/>
  <c r="B160" i="7" a="1"/>
  <c r="B160" i="7" s="1"/>
  <c r="B150" i="7" a="1"/>
  <c r="B150" i="7" s="1"/>
  <c r="B143" i="7" a="1"/>
  <c r="B143" i="7" s="1"/>
  <c r="B141" i="7" a="1"/>
  <c r="B141" i="7" s="1"/>
  <c r="B128" i="7" a="1"/>
  <c r="B128" i="7" s="1"/>
  <c r="B129" i="7" a="1"/>
  <c r="B129" i="7" s="1"/>
  <c r="B123" i="7" a="1"/>
  <c r="B123" i="7" s="1"/>
  <c r="B94" i="7" a="1"/>
  <c r="B94" i="7" s="1"/>
  <c r="B62" i="7" a="1"/>
  <c r="B62" i="7" s="1"/>
  <c r="B84" i="7" a="1"/>
  <c r="B84" i="7" s="1"/>
  <c r="B101" i="7" a="1"/>
  <c r="B101" i="7" s="1"/>
  <c r="B72" i="7" a="1"/>
  <c r="B72" i="7" s="1"/>
  <c r="B122" i="7" a="1"/>
  <c r="B122" i="7" s="1"/>
  <c r="B91" i="7" a="1"/>
  <c r="B91" i="7" s="1"/>
  <c r="B46" i="7" a="1"/>
  <c r="B46" i="7" s="1"/>
  <c r="B14" i="7" a="1"/>
  <c r="B14" i="7" s="1"/>
  <c r="B28" i="7" a="1"/>
  <c r="B28" i="7" s="1"/>
  <c r="B34" i="7" a="1"/>
  <c r="B34" i="7" s="1"/>
  <c r="B32" i="7" a="1"/>
  <c r="B32" i="7" s="1"/>
  <c r="B8" i="7" a="1"/>
  <c r="B8" i="7" s="1"/>
  <c r="B196" i="7" a="1"/>
  <c r="B196" i="7" s="1"/>
  <c r="B187" i="7" a="1"/>
  <c r="B187" i="7" s="1"/>
  <c r="B190" i="7" a="1"/>
  <c r="B190" i="7" s="1"/>
  <c r="B174" i="7" a="1"/>
  <c r="B174" i="7" s="1"/>
  <c r="B173" i="7" a="1"/>
  <c r="B173" i="7" s="1"/>
  <c r="B152" i="7" a="1"/>
  <c r="B152" i="7" s="1"/>
  <c r="B148" i="7" a="1"/>
  <c r="B148" i="7" s="1"/>
  <c r="B135" i="7" a="1"/>
  <c r="B135" i="7" s="1"/>
  <c r="B145" i="7" a="1"/>
  <c r="B145" i="7" s="1"/>
  <c r="B120" i="7" a="1"/>
  <c r="B120" i="7" s="1"/>
  <c r="B121" i="7" a="1"/>
  <c r="B121" i="7" s="1"/>
  <c r="B114" i="7" a="1"/>
  <c r="B114" i="7" s="1"/>
  <c r="B86" i="7" a="1"/>
  <c r="B86" i="7" s="1"/>
  <c r="B116" i="7" a="1"/>
  <c r="B116" i="7" s="1"/>
  <c r="B76" i="7" a="1"/>
  <c r="B76" i="7" s="1"/>
  <c r="B96" i="7" a="1"/>
  <c r="B96" i="7" s="1"/>
  <c r="B64" i="7" a="1"/>
  <c r="B64" i="7" s="1"/>
  <c r="B75" i="7" a="1"/>
  <c r="B75" i="7" s="1"/>
  <c r="B57" i="7" a="1"/>
  <c r="B57" i="7" s="1"/>
  <c r="B195" i="7" a="1"/>
  <c r="B195" i="7" s="1"/>
  <c r="B186" i="7" a="1"/>
  <c r="B186" i="7" s="1"/>
  <c r="B183" i="7" a="1"/>
  <c r="B183" i="7" s="1"/>
  <c r="B178" i="7" a="1"/>
  <c r="B178" i="7" s="1"/>
  <c r="B165" i="7" a="1"/>
  <c r="B165" i="7" s="1"/>
  <c r="B166" i="7" a="1"/>
  <c r="B166" i="7" s="1"/>
  <c r="B139" i="7" a="1"/>
  <c r="B139" i="7" s="1"/>
  <c r="B133" i="7" a="1"/>
  <c r="B133" i="7" s="1"/>
  <c r="B137" i="7" a="1"/>
  <c r="B137" i="7" s="1"/>
  <c r="B112" i="7" a="1"/>
  <c r="B112" i="7" s="1"/>
  <c r="B117" i="7" a="1"/>
  <c r="B117" i="7" s="1"/>
  <c r="B113" i="7" a="1"/>
  <c r="B113" i="7" s="1"/>
  <c r="B79" i="7" a="1"/>
  <c r="B79" i="7" s="1"/>
  <c r="B107" i="7" a="1"/>
  <c r="B107" i="7" s="1"/>
  <c r="B69" i="7" a="1"/>
  <c r="B69" i="7" s="1"/>
  <c r="B89" i="7" a="1"/>
  <c r="B89" i="7" s="1"/>
  <c r="B83" i="7" a="1"/>
  <c r="B83" i="7" s="1"/>
  <c r="B66" i="7" a="1"/>
  <c r="B66" i="7" s="1"/>
  <c r="B56" i="7" a="1"/>
  <c r="B56" i="7" s="1"/>
  <c r="B37" i="7" a="1"/>
  <c r="B37" i="7" s="1"/>
  <c r="B49" i="7" a="1"/>
  <c r="B49" i="7" s="1"/>
  <c r="B19" i="7" a="1"/>
  <c r="B19" i="7" s="1"/>
  <c r="B25" i="7" a="1"/>
  <c r="B25" i="7" s="1"/>
  <c r="B5" i="7" a="1"/>
  <c r="B5" i="7" s="1"/>
  <c r="B31" i="7" a="1"/>
  <c r="B31" i="7" s="1"/>
  <c r="B13" i="7" a="1"/>
  <c r="B13" i="7" s="1"/>
  <c r="B7" i="7" a="1"/>
  <c r="B7" i="7" s="1"/>
  <c r="B181" i="7" a="1"/>
  <c r="B181" i="7" s="1"/>
  <c r="B159" i="7" a="1"/>
  <c r="B159" i="7" s="1"/>
  <c r="B104" i="7" a="1"/>
  <c r="B104" i="7" s="1"/>
  <c r="B93" i="7" a="1"/>
  <c r="B93" i="7" s="1"/>
  <c r="B51" i="7" a="1"/>
  <c r="B51" i="7" s="1"/>
  <c r="B17" i="7" a="1"/>
  <c r="B17" i="7" s="1"/>
  <c r="B67" i="7" a="1"/>
  <c r="B67" i="7" s="1"/>
  <c r="B12" i="7" a="1"/>
  <c r="B12" i="7" s="1"/>
  <c r="B194" i="7" a="1"/>
  <c r="B194" i="7" s="1"/>
  <c r="B185" i="7" a="1"/>
  <c r="B185" i="7" s="1"/>
  <c r="B175" i="7" a="1"/>
  <c r="B175" i="7" s="1"/>
  <c r="B155" i="7" a="1"/>
  <c r="B155" i="7" s="1"/>
  <c r="B158" i="7" a="1"/>
  <c r="B158" i="7" s="1"/>
  <c r="B142" i="7" a="1"/>
  <c r="B142" i="7" s="1"/>
  <c r="B179" i="7" a="1"/>
  <c r="B179" i="7" s="1"/>
  <c r="B103" i="7" a="1"/>
  <c r="B103" i="7" s="1"/>
  <c r="B119" i="7" a="1"/>
  <c r="B119" i="7" s="1"/>
  <c r="B78" i="7" a="1"/>
  <c r="B78" i="7" s="1"/>
  <c r="B92" i="7" a="1"/>
  <c r="B92" i="7" s="1"/>
  <c r="B97" i="7" a="1"/>
  <c r="B97" i="7" s="1"/>
  <c r="B74" i="7" a="1"/>
  <c r="B74" i="7" s="1"/>
  <c r="B50" i="7" a="1"/>
  <c r="B50" i="7" s="1"/>
  <c r="B45" i="7" a="1"/>
  <c r="B45" i="7" s="1"/>
  <c r="B10" i="7" a="1"/>
  <c r="B10" i="7" s="1"/>
  <c r="B42" i="7" a="1"/>
  <c r="B42" i="7" s="1"/>
  <c r="B40" i="7" a="1"/>
  <c r="B40" i="7" s="1"/>
  <c r="B197" i="7" a="1"/>
  <c r="B197" i="7" s="1"/>
  <c r="B192" i="7" a="1"/>
  <c r="B192" i="7" s="1"/>
  <c r="B170" i="7" a="1"/>
  <c r="B170" i="7" s="1"/>
  <c r="B172" i="7" a="1"/>
  <c r="B172" i="7" s="1"/>
  <c r="B156" i="7" a="1"/>
  <c r="B156" i="7" s="1"/>
  <c r="B131" i="7" a="1"/>
  <c r="B131" i="7" s="1"/>
  <c r="B130" i="7" a="1"/>
  <c r="B130" i="7" s="1"/>
  <c r="B125" i="7" a="1"/>
  <c r="B125" i="7" s="1"/>
  <c r="B106" i="7" a="1"/>
  <c r="B106" i="7" s="1"/>
  <c r="B70" i="7" a="1"/>
  <c r="B70" i="7" s="1"/>
  <c r="B77" i="7" a="1"/>
  <c r="B77" i="7" s="1"/>
  <c r="B88" i="7" a="1"/>
  <c r="B88" i="7" s="1"/>
  <c r="B55" i="7" a="1"/>
  <c r="B55" i="7" s="1"/>
  <c r="B82" i="7" a="1"/>
  <c r="B82" i="7" s="1"/>
  <c r="B43" i="7" a="1"/>
  <c r="B43" i="7" s="1"/>
  <c r="B23" i="7" a="1"/>
  <c r="B23" i="7" s="1"/>
  <c r="B30" i="7" a="1"/>
  <c r="B30" i="7" s="1"/>
  <c r="B182" i="7" a="1"/>
  <c r="B182" i="7" s="1"/>
  <c r="B54" i="7" a="1"/>
  <c r="B54" i="7" s="1"/>
  <c r="B90" i="7" a="1"/>
  <c r="B90" i="7" s="1"/>
  <c r="B27" i="7" a="1"/>
  <c r="B27" i="7" s="1"/>
  <c r="B111" i="7" a="1"/>
  <c r="B111" i="7" s="1"/>
  <c r="B68" i="7" a="1"/>
  <c r="B68" i="7" s="1"/>
  <c r="B191" i="7" a="1"/>
  <c r="B191" i="7" s="1"/>
  <c r="B153" i="7" a="1"/>
  <c r="B153" i="7" s="1"/>
  <c r="B87" i="7" a="1"/>
  <c r="B87" i="7" s="1"/>
  <c r="B193" i="7" a="1"/>
  <c r="B193" i="7" s="1"/>
  <c r="B180" i="7" a="1"/>
  <c r="B180" i="7" s="1"/>
  <c r="B149" i="7" a="1"/>
  <c r="B149" i="7" s="1"/>
  <c r="B29" i="7" a="1"/>
  <c r="B29" i="7" s="1"/>
  <c r="B163" i="7" a="1"/>
  <c r="B163" i="7" s="1"/>
  <c r="B110" i="7" a="1"/>
  <c r="B110" i="7" s="1"/>
  <c r="B22" i="7" a="1"/>
  <c r="B22" i="7" s="1"/>
  <c r="B33" i="7" a="1"/>
  <c r="B33" i="7" s="1"/>
  <c r="B200" i="7" a="1"/>
  <c r="B200" i="7" s="1"/>
  <c r="B169" i="7" a="1"/>
  <c r="B169" i="7" s="1"/>
  <c r="B59" i="7" a="1"/>
  <c r="B59" i="7" s="1"/>
  <c r="B3" i="7" a="1"/>
  <c r="B3" i="7" s="1"/>
  <c r="B140" i="7" a="1"/>
  <c r="B140" i="7" s="1"/>
  <c r="B109" i="7" a="1"/>
  <c r="B109" i="7" s="1"/>
  <c r="B118" i="7" a="1"/>
  <c r="B118" i="7" s="1"/>
  <c r="B81" i="7" a="1"/>
  <c r="B81" i="7" s="1"/>
  <c r="B26" i="7" a="1"/>
  <c r="B26" i="7" s="1"/>
  <c r="B167" i="7" a="1"/>
  <c r="B167" i="7" s="1"/>
  <c r="B124" i="7" a="1"/>
  <c r="B124" i="7" s="1"/>
  <c r="B44" i="7" a="1"/>
  <c r="B44" i="7" s="1"/>
  <c r="B39" i="7" a="1"/>
  <c r="B39" i="7" s="1"/>
  <c r="B154" i="7" a="1"/>
  <c r="B154" i="7" s="1"/>
  <c r="B100" i="7" a="1"/>
  <c r="B100" i="7" s="1"/>
  <c r="B98" i="7" a="1"/>
  <c r="B98" i="7" s="1"/>
  <c r="B36" i="7" a="1"/>
  <c r="B36" i="7" s="1"/>
  <c r="B198" i="7" a="1"/>
  <c r="B198" i="7" s="1"/>
  <c r="B138" i="7" a="1"/>
  <c r="B138" i="7" s="1"/>
  <c r="B47" i="7" a="1"/>
  <c r="B47" i="7" s="1"/>
  <c r="B102" i="7" a="1"/>
  <c r="B102" i="7" s="1"/>
  <c r="B61" i="7" a="1"/>
  <c r="B61" i="7" s="1"/>
  <c r="B48" i="7" a="1"/>
  <c r="B48" i="7" s="1"/>
  <c r="B20" i="7" a="1"/>
  <c r="B20" i="7" s="1"/>
  <c r="B134" i="7" a="1"/>
  <c r="B134" i="7" s="1"/>
  <c r="B60" i="7" a="1"/>
  <c r="B60" i="7" s="1"/>
  <c r="B11" i="7" a="1"/>
  <c r="B11" i="7" s="1"/>
  <c r="B24" i="7" a="1"/>
  <c r="B24" i="7" s="1"/>
  <c r="B162" i="7" a="1"/>
  <c r="B162" i="7" s="1"/>
  <c r="B105" i="7" a="1"/>
  <c r="B105" i="7" s="1"/>
  <c r="B6" i="7" a="1"/>
  <c r="B6" i="7" s="1"/>
  <c r="B99" i="7" a="1"/>
  <c r="B99" i="7" s="1"/>
  <c r="B16" i="7" a="1"/>
  <c r="B16" i="7" s="1"/>
  <c r="B115" i="7" a="1"/>
  <c r="B115" i="7" s="1"/>
  <c r="B53" i="7" a="1"/>
  <c r="B53" i="7" s="1"/>
  <c r="B132" i="7" a="1"/>
  <c r="B132" i="7" s="1"/>
  <c r="B65" i="7" a="1"/>
  <c r="B65" i="7" s="1"/>
  <c r="B38" i="7" a="1"/>
  <c r="B38" i="7" s="1"/>
  <c r="B157" i="7" a="1"/>
  <c r="B157" i="7" s="1"/>
  <c r="B71" i="7" a="1"/>
  <c r="B71" i="7" s="1"/>
  <c r="B80" i="7" a="1"/>
  <c r="B80" i="7" s="1"/>
  <c r="B18" i="7" a="1"/>
  <c r="B18" i="7" s="1"/>
  <c r="B171" i="7" a="1"/>
  <c r="B171" i="7" s="1"/>
  <c r="AX140" i="13"/>
  <c r="R141" i="4" s="1"/>
  <c r="E141" i="4"/>
  <c r="F141" i="4" s="1"/>
  <c r="BD140" i="13"/>
  <c r="AB141" i="4" s="1"/>
  <c r="BA140" i="13"/>
  <c r="BB140" i="13" s="1"/>
  <c r="BA119" i="13"/>
  <c r="BB119" i="13" s="1"/>
  <c r="AX119" i="13"/>
  <c r="R120" i="4" s="1"/>
  <c r="AV119" i="13"/>
  <c r="BD119" i="13"/>
  <c r="AB120" i="4" s="1"/>
  <c r="E120" i="4"/>
  <c r="F120" i="4" s="1"/>
  <c r="I96" i="4"/>
  <c r="I86" i="7" s="1" a="1"/>
  <c r="I86" i="7" s="1"/>
  <c r="AV95" i="13"/>
  <c r="BD95" i="13"/>
  <c r="AB96" i="4" s="1"/>
  <c r="AY62" i="13"/>
  <c r="P63" i="4"/>
  <c r="AY58" i="13"/>
  <c r="P59" i="4"/>
  <c r="H34" i="4"/>
  <c r="Q126" i="4"/>
  <c r="AX125" i="13"/>
  <c r="R126" i="4" s="1"/>
  <c r="BB70" i="13"/>
  <c r="BC70" i="13" s="1"/>
  <c r="AA71" i="4" s="1"/>
  <c r="BD151" i="13"/>
  <c r="AB152" i="4" s="1"/>
  <c r="BA151" i="13"/>
  <c r="BB151" i="13" s="1"/>
  <c r="BC151" i="13" s="1"/>
  <c r="AA152" i="4" s="1"/>
  <c r="AV151" i="13"/>
  <c r="E152" i="4"/>
  <c r="F152" i="4" s="1"/>
  <c r="AX151" i="13"/>
  <c r="R152" i="4" s="1"/>
  <c r="BC159" i="13"/>
  <c r="AA160" i="4" s="1"/>
  <c r="R160" i="4"/>
  <c r="X36" i="7" a="1"/>
  <c r="X36" i="7" s="1"/>
  <c r="X68" i="7" a="1"/>
  <c r="X68" i="7" s="1"/>
  <c r="X52" i="7" a="1"/>
  <c r="X52" i="7" s="1"/>
  <c r="X108" i="7" a="1"/>
  <c r="X108" i="7" s="1"/>
  <c r="X91" i="7" a="1"/>
  <c r="X91" i="7" s="1"/>
  <c r="X191" i="7" a="1"/>
  <c r="X191" i="7" s="1"/>
  <c r="X136" i="7" a="1"/>
  <c r="X136" i="7" s="1"/>
  <c r="X78" i="7" a="1"/>
  <c r="X78" i="7" s="1"/>
  <c r="X131" i="7" a="1"/>
  <c r="X131" i="7" s="1"/>
  <c r="X185" i="7" a="1"/>
  <c r="X185" i="7" s="1"/>
  <c r="X190" i="7" a="1"/>
  <c r="X190" i="7" s="1"/>
  <c r="X174" i="7" a="1"/>
  <c r="X174" i="7" s="1"/>
  <c r="X11" i="7" a="1"/>
  <c r="X11" i="7" s="1"/>
  <c r="X40" i="7" a="1"/>
  <c r="X40" i="7" s="1"/>
  <c r="X35" i="7" a="1"/>
  <c r="X35" i="7" s="1"/>
  <c r="X30" i="7" a="1"/>
  <c r="X30" i="7" s="1"/>
  <c r="X81" i="7" a="1"/>
  <c r="X81" i="7" s="1"/>
  <c r="X94" i="7" a="1"/>
  <c r="X94" i="7" s="1"/>
  <c r="X95" i="7" a="1"/>
  <c r="X95" i="7" s="1"/>
  <c r="X125" i="7" a="1"/>
  <c r="X125" i="7" s="1"/>
  <c r="X158" i="7" a="1"/>
  <c r="X158" i="7" s="1"/>
  <c r="X135" i="7" a="1"/>
  <c r="X135" i="7" s="1"/>
  <c r="X181" i="7" a="1"/>
  <c r="X181" i="7" s="1"/>
  <c r="X184" i="7" a="1"/>
  <c r="X184" i="7" s="1"/>
  <c r="X126" i="7" a="1"/>
  <c r="X126" i="7" s="1"/>
  <c r="X85" i="7" a="1"/>
  <c r="X85" i="7" s="1"/>
  <c r="X72" i="7" a="1"/>
  <c r="X72" i="7" s="1"/>
  <c r="X53" i="7" a="1"/>
  <c r="X53" i="7" s="1"/>
  <c r="X113" i="7" a="1"/>
  <c r="X113" i="7" s="1"/>
  <c r="X162" i="7" a="1"/>
  <c r="X162" i="7" s="1"/>
  <c r="X195" i="7" a="1"/>
  <c r="X195" i="7" s="1"/>
  <c r="X140" i="7" a="1"/>
  <c r="X140" i="7" s="1"/>
  <c r="X87" i="7" a="1"/>
  <c r="X87" i="7" s="1"/>
  <c r="X159" i="7" a="1"/>
  <c r="X159" i="7" s="1"/>
  <c r="X194" i="7" a="1"/>
  <c r="X194" i="7" s="1"/>
  <c r="X193" i="7" a="1"/>
  <c r="X193" i="7" s="1"/>
  <c r="X17" i="7" a="1"/>
  <c r="X17" i="7" s="1"/>
  <c r="X44" i="7" a="1"/>
  <c r="X44" i="7" s="1"/>
  <c r="X39" i="7" a="1"/>
  <c r="X39" i="7" s="1"/>
  <c r="X38" i="7" a="1"/>
  <c r="X38" i="7" s="1"/>
  <c r="X117" i="7" a="1"/>
  <c r="X117" i="7" s="1"/>
  <c r="X97" i="7" a="1"/>
  <c r="X97" i="7" s="1"/>
  <c r="X100" i="7" a="1"/>
  <c r="X100" i="7" s="1"/>
  <c r="X129" i="7" a="1"/>
  <c r="X129" i="7" s="1"/>
  <c r="X96" i="7" a="1"/>
  <c r="X96" i="7" s="1"/>
  <c r="X112" i="7" a="1"/>
  <c r="X112" i="7" s="1"/>
  <c r="X48" i="7" a="1"/>
  <c r="X48" i="7" s="1"/>
  <c r="X47" i="7" a="1"/>
  <c r="X47" i="7" s="1"/>
  <c r="X29" i="7" a="1"/>
  <c r="X29" i="7" s="1"/>
  <c r="X80" i="7" a="1"/>
  <c r="X80" i="7" s="1"/>
  <c r="X105" i="7" a="1"/>
  <c r="X105" i="7" s="1"/>
  <c r="X137" i="7" a="1"/>
  <c r="X137" i="7" s="1"/>
  <c r="X170" i="7" a="1"/>
  <c r="X170" i="7" s="1"/>
  <c r="X109" i="7" a="1"/>
  <c r="X109" i="7" s="1"/>
  <c r="X130" i="7" a="1"/>
  <c r="X130" i="7" s="1"/>
  <c r="X192" i="7" a="1"/>
  <c r="X192" i="7" s="1"/>
  <c r="X173" i="7" a="1"/>
  <c r="X173" i="7" s="1"/>
  <c r="X6" i="7" a="1"/>
  <c r="X6" i="7" s="1"/>
  <c r="X19" i="7" a="1"/>
  <c r="X19" i="7" s="1"/>
  <c r="X50" i="7" a="1"/>
  <c r="X50" i="7" s="1"/>
  <c r="X84" i="7" a="1"/>
  <c r="X84" i="7" s="1"/>
  <c r="X83" i="7" a="1"/>
  <c r="X83" i="7" s="1"/>
  <c r="X41" i="7" a="1"/>
  <c r="X41" i="7" s="1"/>
  <c r="X106" i="7" a="1"/>
  <c r="X106" i="7" s="1"/>
  <c r="X115" i="7" a="1"/>
  <c r="X115" i="7" s="1"/>
  <c r="X153" i="7" a="1"/>
  <c r="X153" i="7" s="1"/>
  <c r="X116" i="7" a="1"/>
  <c r="X116" i="7" s="1"/>
  <c r="X138" i="7" a="1"/>
  <c r="X138" i="7" s="1"/>
  <c r="X15" i="7" a="1"/>
  <c r="X15" i="7" s="1"/>
  <c r="X4" i="7" a="1"/>
  <c r="X4" i="7" s="1"/>
  <c r="X8" i="7" a="1"/>
  <c r="X8" i="7" s="1"/>
  <c r="X56" i="7" a="1"/>
  <c r="X56" i="7" s="1"/>
  <c r="X55" i="7" a="1"/>
  <c r="X55" i="7" s="1"/>
  <c r="X62" i="7" a="1"/>
  <c r="X62" i="7" s="1"/>
  <c r="X37" i="7" a="1"/>
  <c r="X37" i="7" s="1"/>
  <c r="X26" i="7" a="1"/>
  <c r="X26" i="7" s="1"/>
  <c r="X110" i="7" a="1"/>
  <c r="X110" i="7" s="1"/>
  <c r="X141" i="7" a="1"/>
  <c r="X141" i="7" s="1"/>
  <c r="X171" i="7" a="1"/>
  <c r="X171" i="7" s="1"/>
  <c r="X146" i="7" a="1"/>
  <c r="X146" i="7" s="1"/>
  <c r="X143" i="7" a="1"/>
  <c r="X143" i="7" s="1"/>
  <c r="X198" i="7" a="1"/>
  <c r="X198" i="7" s="1"/>
  <c r="X176" i="7" a="1"/>
  <c r="X176" i="7" s="1"/>
  <c r="X21" i="7" a="1"/>
  <c r="X21" i="7" s="1"/>
  <c r="X34" i="7" a="1"/>
  <c r="X34" i="7" s="1"/>
  <c r="X74" i="7" a="1"/>
  <c r="X74" i="7" s="1"/>
  <c r="X111" i="7" a="1"/>
  <c r="X111" i="7" s="1"/>
  <c r="X152" i="7" a="1"/>
  <c r="X152" i="7" s="1"/>
  <c r="X177" i="7" a="1"/>
  <c r="X177" i="7" s="1"/>
  <c r="X28" i="7" a="1"/>
  <c r="X28" i="7" s="1"/>
  <c r="X54" i="7" a="1"/>
  <c r="X54" i="7" s="1"/>
  <c r="X175" i="7" a="1"/>
  <c r="X175" i="7" s="1"/>
  <c r="X144" i="7" a="1"/>
  <c r="X144" i="7" s="1"/>
  <c r="X127" i="7" a="1"/>
  <c r="X127" i="7" s="1"/>
  <c r="X167" i="7" a="1"/>
  <c r="X167" i="7" s="1"/>
  <c r="X142" i="7" a="1"/>
  <c r="X142" i="7" s="1"/>
  <c r="X147" i="7" a="1"/>
  <c r="X147" i="7" s="1"/>
  <c r="X45" i="7" a="1"/>
  <c r="X45" i="7" s="1"/>
  <c r="X67" i="7" a="1"/>
  <c r="X67" i="7" s="1"/>
  <c r="X82" i="7" a="1"/>
  <c r="X82" i="7" s="1"/>
  <c r="X61" i="7" a="1"/>
  <c r="X61" i="7" s="1"/>
  <c r="X148" i="7" a="1"/>
  <c r="X148" i="7" s="1"/>
  <c r="X160" i="7" a="1"/>
  <c r="X160" i="7" s="1"/>
  <c r="X151" i="7" a="1"/>
  <c r="X151" i="7" s="1"/>
  <c r="X168" i="7" a="1"/>
  <c r="X168" i="7" s="1"/>
  <c r="X101" i="7" a="1"/>
  <c r="X101" i="7" s="1"/>
  <c r="X120" i="7" a="1"/>
  <c r="X120" i="7" s="1"/>
  <c r="X183" i="7" a="1"/>
  <c r="X183" i="7" s="1"/>
  <c r="X161" i="7" a="1"/>
  <c r="X161" i="7" s="1"/>
  <c r="X182" i="7" a="1"/>
  <c r="X182" i="7" s="1"/>
  <c r="X12" i="7" a="1"/>
  <c r="X12" i="7" s="1"/>
  <c r="X196" i="7" a="1"/>
  <c r="X196" i="7" s="1"/>
  <c r="X49" i="7" a="1"/>
  <c r="X49" i="7" s="1"/>
  <c r="X22" i="7" a="1"/>
  <c r="X22" i="7" s="1"/>
  <c r="X60" i="7" a="1"/>
  <c r="X60" i="7" s="1"/>
  <c r="X98" i="7" a="1"/>
  <c r="X98" i="7" s="1"/>
  <c r="X133" i="7" a="1"/>
  <c r="X133" i="7" s="1"/>
  <c r="X33" i="7" a="1"/>
  <c r="X33" i="7" s="1"/>
  <c r="X155" i="7" a="1"/>
  <c r="X155" i="7" s="1"/>
  <c r="X186" i="7" a="1"/>
  <c r="X186" i="7" s="1"/>
  <c r="X197" i="7" a="1"/>
  <c r="X197" i="7" s="1"/>
  <c r="X156" i="7" a="1"/>
  <c r="X156" i="7" s="1"/>
  <c r="X46" i="7" a="1"/>
  <c r="X46" i="7" s="1"/>
  <c r="X102" i="7" a="1"/>
  <c r="X102" i="7" s="1"/>
  <c r="X42" i="7" a="1"/>
  <c r="X42" i="7" s="1"/>
  <c r="X187" i="7" a="1"/>
  <c r="X187" i="7" s="1"/>
  <c r="X189" i="7" a="1"/>
  <c r="X189" i="7" s="1"/>
  <c r="X139" i="7" a="1"/>
  <c r="X139" i="7" s="1"/>
  <c r="X7" i="7" a="1"/>
  <c r="X7" i="7" s="1"/>
  <c r="X18" i="7" a="1"/>
  <c r="X18" i="7" s="1"/>
  <c r="X63" i="7" a="1"/>
  <c r="X63" i="7" s="1"/>
  <c r="X86" i="7" a="1"/>
  <c r="X86" i="7" s="1"/>
  <c r="X51" i="7" a="1"/>
  <c r="X51" i="7" s="1"/>
  <c r="X163" i="7" a="1"/>
  <c r="X163" i="7" s="1"/>
  <c r="X32" i="7" a="1"/>
  <c r="X32" i="7" s="1"/>
  <c r="X25" i="7" a="1"/>
  <c r="X25" i="7" s="1"/>
  <c r="X149" i="7" a="1"/>
  <c r="X149" i="7" s="1"/>
  <c r="X70" i="7" a="1"/>
  <c r="X70" i="7" s="1"/>
  <c r="X77" i="7" a="1"/>
  <c r="X77" i="7" s="1"/>
  <c r="X59" i="7" a="1"/>
  <c r="X59" i="7" s="1"/>
  <c r="X172" i="7" a="1"/>
  <c r="X172" i="7" s="1"/>
  <c r="X66" i="7" a="1"/>
  <c r="X66" i="7" s="1"/>
  <c r="X150" i="7" a="1"/>
  <c r="X150" i="7" s="1"/>
  <c r="X99" i="7" a="1"/>
  <c r="X99" i="7" s="1"/>
  <c r="X23" i="7" a="1"/>
  <c r="X23" i="7" s="1"/>
  <c r="X57" i="7" a="1"/>
  <c r="X57" i="7" s="1"/>
  <c r="X103" i="7" a="1"/>
  <c r="X103" i="7" s="1"/>
  <c r="X31" i="7" a="1"/>
  <c r="X31" i="7" s="1"/>
  <c r="X88" i="7" a="1"/>
  <c r="X88" i="7" s="1"/>
  <c r="X71" i="7" a="1"/>
  <c r="X71" i="7" s="1"/>
  <c r="X179" i="7" a="1"/>
  <c r="X179" i="7" s="1"/>
  <c r="X13" i="7" a="1"/>
  <c r="X13" i="7" s="1"/>
  <c r="X123" i="7" a="1"/>
  <c r="X123" i="7" s="1"/>
  <c r="X14" i="7" a="1"/>
  <c r="X14" i="7" s="1"/>
  <c r="X43" i="7" a="1"/>
  <c r="X43" i="7" s="1"/>
  <c r="X89" i="7" a="1"/>
  <c r="X89" i="7" s="1"/>
  <c r="X79" i="7" a="1"/>
  <c r="X79" i="7" s="1"/>
  <c r="X16" i="7" a="1"/>
  <c r="X16" i="7" s="1"/>
  <c r="X75" i="7" a="1"/>
  <c r="X75" i="7" s="1"/>
  <c r="X119" i="7" a="1"/>
  <c r="X119" i="7" s="1"/>
  <c r="X5" i="7" a="1"/>
  <c r="X5" i="7" s="1"/>
  <c r="X20" i="7" a="1"/>
  <c r="X20" i="7" s="1"/>
  <c r="X90" i="7" a="1"/>
  <c r="X90" i="7" s="1"/>
  <c r="X9" i="7" a="1"/>
  <c r="X9" i="7" s="1"/>
  <c r="X24" i="7" a="1"/>
  <c r="X24" i="7" s="1"/>
  <c r="X107" i="7" a="1"/>
  <c r="X107" i="7" s="1"/>
  <c r="X124" i="7" a="1"/>
  <c r="X124" i="7" s="1"/>
  <c r="X3" i="7" a="1"/>
  <c r="X3" i="7" s="1"/>
  <c r="X199" i="7" a="1"/>
  <c r="X199" i="7" s="1"/>
  <c r="X27" i="7" a="1"/>
  <c r="X27" i="7" s="1"/>
  <c r="X128" i="7" a="1"/>
  <c r="X128" i="7" s="1"/>
  <c r="X64" i="7" a="1"/>
  <c r="X64" i="7" s="1"/>
  <c r="X157" i="7" a="1"/>
  <c r="X157" i="7" s="1"/>
  <c r="X92" i="7" a="1"/>
  <c r="X92" i="7" s="1"/>
  <c r="X118" i="7" a="1"/>
  <c r="X118" i="7" s="1"/>
  <c r="X200" i="7" a="1"/>
  <c r="X200" i="7" s="1"/>
  <c r="X65" i="7" a="1"/>
  <c r="X65" i="7" s="1"/>
  <c r="X122" i="7" a="1"/>
  <c r="X122" i="7" s="1"/>
  <c r="X164" i="7" a="1"/>
  <c r="X164" i="7" s="1"/>
  <c r="X104" i="7" a="1"/>
  <c r="X104" i="7" s="1"/>
  <c r="X10" i="7" a="1"/>
  <c r="X10" i="7" s="1"/>
  <c r="X114" i="7" a="1"/>
  <c r="X114" i="7" s="1"/>
  <c r="X165" i="7" a="1"/>
  <c r="X165" i="7" s="1"/>
  <c r="X154" i="7" a="1"/>
  <c r="X154" i="7" s="1"/>
  <c r="X166" i="7" a="1"/>
  <c r="X166" i="7" s="1"/>
  <c r="X180" i="7" a="1"/>
  <c r="X180" i="7" s="1"/>
  <c r="X58" i="7" a="1"/>
  <c r="X58" i="7" s="1"/>
  <c r="X132" i="7" a="1"/>
  <c r="X132" i="7" s="1"/>
  <c r="X73" i="7" a="1"/>
  <c r="X73" i="7" s="1"/>
  <c r="X76" i="7" a="1"/>
  <c r="X76" i="7" s="1"/>
  <c r="X145" i="7" a="1"/>
  <c r="X145" i="7" s="1"/>
  <c r="X134" i="7" a="1"/>
  <c r="X134" i="7" s="1"/>
  <c r="X169" i="7" a="1"/>
  <c r="X169" i="7" s="1"/>
  <c r="X93" i="7" a="1"/>
  <c r="X93" i="7" s="1"/>
  <c r="X178" i="7" a="1"/>
  <c r="X178" i="7" s="1"/>
  <c r="X69" i="7" a="1"/>
  <c r="X69" i="7" s="1"/>
  <c r="X188" i="7" a="1"/>
  <c r="X188" i="7" s="1"/>
  <c r="X121" i="7" a="1"/>
  <c r="X121" i="7" s="1"/>
  <c r="AV154" i="13"/>
  <c r="E148" i="4"/>
  <c r="F148" i="4" s="1"/>
  <c r="AX147" i="13"/>
  <c r="R148" i="4" s="1"/>
  <c r="BA147" i="13"/>
  <c r="BB147" i="13" s="1"/>
  <c r="BD147" i="13"/>
  <c r="AB148" i="4" s="1"/>
  <c r="AX126" i="13"/>
  <c r="R127" i="4" s="1"/>
  <c r="E127" i="4"/>
  <c r="F127" i="4" s="1"/>
  <c r="BD126" i="13"/>
  <c r="AB127" i="4" s="1"/>
  <c r="AV126" i="13"/>
  <c r="BA126" i="13"/>
  <c r="BB126" i="13" s="1"/>
  <c r="BC112" i="13"/>
  <c r="AA113" i="4" s="1"/>
  <c r="F108" i="4"/>
  <c r="H106" i="4"/>
  <c r="Q96" i="4"/>
  <c r="AX95" i="13"/>
  <c r="R96" i="4" s="1"/>
  <c r="F88" i="4"/>
  <c r="AY74" i="13"/>
  <c r="P75" i="4"/>
  <c r="J88" i="4"/>
  <c r="BD87" i="13"/>
  <c r="AB88" i="4" s="1"/>
  <c r="AV47" i="13"/>
  <c r="I48" i="4"/>
  <c r="I39" i="7" s="1" a="1"/>
  <c r="I39" i="7" s="1"/>
  <c r="BD47" i="13"/>
  <c r="AB48" i="4" s="1"/>
  <c r="S44" i="4"/>
  <c r="I41" i="4"/>
  <c r="AV40" i="13"/>
  <c r="I16" i="4"/>
  <c r="I44" i="7" s="1" a="1"/>
  <c r="I44" i="7" s="1"/>
  <c r="AV15" i="13"/>
  <c r="F8" i="4"/>
  <c r="BB77" i="13"/>
  <c r="E153" i="4"/>
  <c r="F153" i="4" s="1"/>
  <c r="AX152" i="13"/>
  <c r="R153" i="4" s="1"/>
  <c r="BD152" i="13"/>
  <c r="AB153" i="4" s="1"/>
  <c r="BA152" i="13"/>
  <c r="BB152" i="13" s="1"/>
  <c r="BD56" i="13"/>
  <c r="AB57" i="4" s="1"/>
  <c r="AY20" i="13"/>
  <c r="P21" i="4"/>
  <c r="E166" i="4"/>
  <c r="F166" i="4" s="1"/>
  <c r="BA165" i="13"/>
  <c r="BB165" i="13" s="1"/>
  <c r="AX165" i="13"/>
  <c r="R166" i="4" s="1"/>
  <c r="AV165" i="13"/>
  <c r="BD165" i="13"/>
  <c r="AB166" i="4" s="1"/>
  <c r="F49" i="4"/>
  <c r="Q165" i="4"/>
  <c r="AX164" i="13"/>
  <c r="R165" i="4" s="1"/>
  <c r="BB164" i="13"/>
  <c r="BC113" i="13"/>
  <c r="AA114" i="4" s="1"/>
  <c r="Q85" i="4"/>
  <c r="BB84" i="13"/>
  <c r="BC84" i="13" s="1"/>
  <c r="AA85" i="4" s="1"/>
  <c r="S145" i="4"/>
  <c r="AY93" i="13"/>
  <c r="P94" i="4"/>
  <c r="AY68" i="13"/>
  <c r="P69" i="4"/>
  <c r="F177" i="4"/>
  <c r="P81" i="4"/>
  <c r="AY175" i="13"/>
  <c r="P176" i="4"/>
  <c r="E164" i="4"/>
  <c r="F164" i="4" s="1"/>
  <c r="BD163" i="13"/>
  <c r="AB164" i="4" s="1"/>
  <c r="AX163" i="13"/>
  <c r="R164" i="4" s="1"/>
  <c r="AV163" i="13"/>
  <c r="BA163" i="13"/>
  <c r="BB163" i="13" s="1"/>
  <c r="F73" i="4"/>
  <c r="AX161" i="13"/>
  <c r="R162" i="4" s="1"/>
  <c r="E162" i="4"/>
  <c r="F162" i="4" s="1"/>
  <c r="BD161" i="13"/>
  <c r="AB162" i="4" s="1"/>
  <c r="BA161" i="13"/>
  <c r="BB161" i="13" s="1"/>
  <c r="BC161" i="13" s="1"/>
  <c r="AA162" i="4" s="1"/>
  <c r="F114" i="4"/>
  <c r="AX75" i="13"/>
  <c r="R76" i="4" s="1"/>
  <c r="BB75" i="13"/>
  <c r="AY75" i="13"/>
  <c r="V42" i="7" a="1"/>
  <c r="V42" i="7" s="1"/>
  <c r="V41" i="7" a="1"/>
  <c r="V41" i="7" s="1"/>
  <c r="V56" i="7" a="1"/>
  <c r="V56" i="7" s="1"/>
  <c r="V39" i="7" a="1"/>
  <c r="V39" i="7" s="1"/>
  <c r="V109" i="7" a="1"/>
  <c r="V109" i="7" s="1"/>
  <c r="V90" i="7" a="1"/>
  <c r="V90" i="7" s="1"/>
  <c r="V118" i="7" a="1"/>
  <c r="V118" i="7" s="1"/>
  <c r="V117" i="7" a="1"/>
  <c r="V117" i="7" s="1"/>
  <c r="V144" i="7" a="1"/>
  <c r="V144" i="7" s="1"/>
  <c r="V58" i="7" a="1"/>
  <c r="V58" i="7" s="1"/>
  <c r="V35" i="7" a="1"/>
  <c r="V35" i="7" s="1"/>
  <c r="V74" i="7" a="1"/>
  <c r="V74" i="7" s="1"/>
  <c r="V73" i="7" a="1"/>
  <c r="V73" i="7" s="1"/>
  <c r="V122" i="7" a="1"/>
  <c r="V122" i="7" s="1"/>
  <c r="V156" i="7" a="1"/>
  <c r="V156" i="7" s="1"/>
  <c r="V197" i="7" a="1"/>
  <c r="V197" i="7" s="1"/>
  <c r="V142" i="7" a="1"/>
  <c r="V142" i="7" s="1"/>
  <c r="V158" i="7" a="1"/>
  <c r="V158" i="7" s="1"/>
  <c r="V46" i="7" a="1"/>
  <c r="V46" i="7" s="1"/>
  <c r="V45" i="7" a="1"/>
  <c r="V45" i="7" s="1"/>
  <c r="V81" i="7" a="1"/>
  <c r="V81" i="7" s="1"/>
  <c r="V48" i="7" a="1"/>
  <c r="V48" i="7" s="1"/>
  <c r="V24" i="7" a="1"/>
  <c r="V24" i="7" s="1"/>
  <c r="V93" i="7" a="1"/>
  <c r="V93" i="7" s="1"/>
  <c r="V146" i="7" a="1"/>
  <c r="V146" i="7" s="1"/>
  <c r="V120" i="7" a="1"/>
  <c r="V120" i="7" s="1"/>
  <c r="V153" i="7" a="1"/>
  <c r="V153" i="7" s="1"/>
  <c r="V196" i="7" a="1"/>
  <c r="V196" i="7" s="1"/>
  <c r="V20" i="7" a="1"/>
  <c r="V20" i="7" s="1"/>
  <c r="V57" i="7" a="1"/>
  <c r="V57" i="7" s="1"/>
  <c r="V67" i="7" a="1"/>
  <c r="V67" i="7" s="1"/>
  <c r="V55" i="7" a="1"/>
  <c r="V55" i="7" s="1"/>
  <c r="V49" i="7" a="1"/>
  <c r="V49" i="7" s="1"/>
  <c r="V98" i="7" a="1"/>
  <c r="V98" i="7" s="1"/>
  <c r="V127" i="7" a="1"/>
  <c r="V127" i="7" s="1"/>
  <c r="V164" i="7" a="1"/>
  <c r="V164" i="7" s="1"/>
  <c r="V167" i="7" a="1"/>
  <c r="V167" i="7" s="1"/>
  <c r="V97" i="7" a="1"/>
  <c r="V97" i="7" s="1"/>
  <c r="V183" i="7" a="1"/>
  <c r="V183" i="7" s="1"/>
  <c r="V53" i="7" a="1"/>
  <c r="V53" i="7" s="1"/>
  <c r="V86" i="7" a="1"/>
  <c r="V86" i="7" s="1"/>
  <c r="V104" i="7" a="1"/>
  <c r="V104" i="7" s="1"/>
  <c r="V80" i="7" a="1"/>
  <c r="V80" i="7" s="1"/>
  <c r="V168" i="7" a="1"/>
  <c r="V168" i="7" s="1"/>
  <c r="V116" i="7" a="1"/>
  <c r="V116" i="7" s="1"/>
  <c r="V155" i="7" a="1"/>
  <c r="V155" i="7" s="1"/>
  <c r="V129" i="7" a="1"/>
  <c r="V129" i="7" s="1"/>
  <c r="V22" i="7" a="1"/>
  <c r="V22" i="7" s="1"/>
  <c r="V21" i="7" a="1"/>
  <c r="V21" i="7" s="1"/>
  <c r="V62" i="7" a="1"/>
  <c r="V62" i="7" s="1"/>
  <c r="V71" i="7" a="1"/>
  <c r="V71" i="7" s="1"/>
  <c r="V89" i="7" a="1"/>
  <c r="V89" i="7" s="1"/>
  <c r="V54" i="7" a="1"/>
  <c r="V54" i="7" s="1"/>
  <c r="V102" i="7" a="1"/>
  <c r="V102" i="7" s="1"/>
  <c r="V131" i="7" a="1"/>
  <c r="V131" i="7" s="1"/>
  <c r="V133" i="7" a="1"/>
  <c r="V133" i="7" s="1"/>
  <c r="V170" i="7" a="1"/>
  <c r="V170" i="7" s="1"/>
  <c r="V75" i="7" a="1"/>
  <c r="V75" i="7" s="1"/>
  <c r="V59" i="7" a="1"/>
  <c r="V59" i="7" s="1"/>
  <c r="V91" i="7" a="1"/>
  <c r="V91" i="7" s="1"/>
  <c r="V105" i="7" a="1"/>
  <c r="V105" i="7" s="1"/>
  <c r="V135" i="7" a="1"/>
  <c r="V135" i="7" s="1"/>
  <c r="V173" i="7" a="1"/>
  <c r="V173" i="7" s="1"/>
  <c r="V121" i="7" a="1"/>
  <c r="V121" i="7" s="1"/>
  <c r="V159" i="7" a="1"/>
  <c r="V159" i="7" s="1"/>
  <c r="V190" i="7" a="1"/>
  <c r="V190" i="7" s="1"/>
  <c r="V188" i="7" a="1"/>
  <c r="V188" i="7" s="1"/>
  <c r="V44" i="7" a="1"/>
  <c r="V44" i="7" s="1"/>
  <c r="V64" i="7" a="1"/>
  <c r="V64" i="7" s="1"/>
  <c r="V40" i="7" a="1"/>
  <c r="V40" i="7" s="1"/>
  <c r="V189" i="7" a="1"/>
  <c r="V189" i="7" s="1"/>
  <c r="V101" i="7" a="1"/>
  <c r="V101" i="7" s="1"/>
  <c r="V141" i="7" a="1"/>
  <c r="V141" i="7" s="1"/>
  <c r="V136" i="7" a="1"/>
  <c r="V136" i="7" s="1"/>
  <c r="V124" i="7" a="1"/>
  <c r="V124" i="7" s="1"/>
  <c r="V52" i="7" a="1"/>
  <c r="V52" i="7" s="1"/>
  <c r="V66" i="7" a="1"/>
  <c r="V66" i="7" s="1"/>
  <c r="V111" i="7" a="1"/>
  <c r="V111" i="7" s="1"/>
  <c r="V69" i="7" a="1"/>
  <c r="V69" i="7" s="1"/>
  <c r="V123" i="7" a="1"/>
  <c r="V123" i="7" s="1"/>
  <c r="V176" i="7" a="1"/>
  <c r="V176" i="7" s="1"/>
  <c r="V88" i="7" a="1"/>
  <c r="V88" i="7" s="1"/>
  <c r="V140" i="7" a="1"/>
  <c r="V140" i="7" s="1"/>
  <c r="V9" i="7" a="1"/>
  <c r="V9" i="7" s="1"/>
  <c r="V25" i="7" a="1"/>
  <c r="V25" i="7" s="1"/>
  <c r="V63" i="7" a="1"/>
  <c r="V63" i="7" s="1"/>
  <c r="V193" i="7" a="1"/>
  <c r="V193" i="7" s="1"/>
  <c r="V112" i="7" a="1"/>
  <c r="V112" i="7" s="1"/>
  <c r="V149" i="7" a="1"/>
  <c r="V149" i="7" s="1"/>
  <c r="V162" i="7" a="1"/>
  <c r="V162" i="7" s="1"/>
  <c r="V70" i="7" a="1"/>
  <c r="V70" i="7" s="1"/>
  <c r="V115" i="7" a="1"/>
  <c r="V115" i="7" s="1"/>
  <c r="V77" i="7" a="1"/>
  <c r="V77" i="7" s="1"/>
  <c r="V31" i="7" a="1"/>
  <c r="V31" i="7" s="1"/>
  <c r="V179" i="7" a="1"/>
  <c r="V179" i="7" s="1"/>
  <c r="V148" i="7" a="1"/>
  <c r="V148" i="7" s="1"/>
  <c r="V166" i="7" a="1"/>
  <c r="V166" i="7" s="1"/>
  <c r="V165" i="7" a="1"/>
  <c r="V165" i="7" s="1"/>
  <c r="V12" i="7" a="1"/>
  <c r="V12" i="7" s="1"/>
  <c r="V87" i="7" a="1"/>
  <c r="V87" i="7" s="1"/>
  <c r="V143" i="7" a="1"/>
  <c r="V143" i="7" s="1"/>
  <c r="V126" i="7" a="1"/>
  <c r="V126" i="7" s="1"/>
  <c r="V125" i="7" a="1"/>
  <c r="V125" i="7" s="1"/>
  <c r="V184" i="7" a="1"/>
  <c r="V184" i="7" s="1"/>
  <c r="V185" i="7" a="1"/>
  <c r="V185" i="7" s="1"/>
  <c r="V17" i="7" a="1"/>
  <c r="V17" i="7" s="1"/>
  <c r="V37" i="7" a="1"/>
  <c r="V37" i="7" s="1"/>
  <c r="V83" i="7" a="1"/>
  <c r="V83" i="7" s="1"/>
  <c r="V95" i="7" a="1"/>
  <c r="V95" i="7" s="1"/>
  <c r="V72" i="7" a="1"/>
  <c r="V72" i="7" s="1"/>
  <c r="V130" i="7" a="1"/>
  <c r="V130" i="7" s="1"/>
  <c r="V137" i="7" a="1"/>
  <c r="V137" i="7" s="1"/>
  <c r="V172" i="7" a="1"/>
  <c r="V172" i="7" s="1"/>
  <c r="V174" i="7" a="1"/>
  <c r="V174" i="7" s="1"/>
  <c r="V32" i="7" a="1"/>
  <c r="V32" i="7" s="1"/>
  <c r="V92" i="7" a="1"/>
  <c r="V92" i="7" s="1"/>
  <c r="V96" i="7" a="1"/>
  <c r="V96" i="7" s="1"/>
  <c r="V147" i="7" a="1"/>
  <c r="V147" i="7" s="1"/>
  <c r="V186" i="7" a="1"/>
  <c r="V186" i="7" s="1"/>
  <c r="V187" i="7" a="1"/>
  <c r="V187" i="7" s="1"/>
  <c r="V199" i="7" a="1"/>
  <c r="V199" i="7" s="1"/>
  <c r="V3" i="7" a="1"/>
  <c r="V3" i="7" s="1"/>
  <c r="V79" i="7" a="1"/>
  <c r="V79" i="7" s="1"/>
  <c r="V110" i="7" a="1"/>
  <c r="V110" i="7" s="1"/>
  <c r="V47" i="7" a="1"/>
  <c r="V47" i="7" s="1"/>
  <c r="V138" i="7" a="1"/>
  <c r="V138" i="7" s="1"/>
  <c r="V84" i="7" a="1"/>
  <c r="V84" i="7" s="1"/>
  <c r="V4" i="7" a="1"/>
  <c r="V4" i="7" s="1"/>
  <c r="V154" i="7" a="1"/>
  <c r="V154" i="7" s="1"/>
  <c r="V30" i="7" a="1"/>
  <c r="V30" i="7" s="1"/>
  <c r="V18" i="7" a="1"/>
  <c r="V18" i="7" s="1"/>
  <c r="V157" i="7" a="1"/>
  <c r="V157" i="7" s="1"/>
  <c r="V192" i="7" a="1"/>
  <c r="V192" i="7" s="1"/>
  <c r="V27" i="7" a="1"/>
  <c r="V27" i="7" s="1"/>
  <c r="V23" i="7" a="1"/>
  <c r="V23" i="7" s="1"/>
  <c r="V76" i="7" a="1"/>
  <c r="V76" i="7" s="1"/>
  <c r="V151" i="7" a="1"/>
  <c r="V151" i="7" s="1"/>
  <c r="V191" i="7" a="1"/>
  <c r="V191" i="7" s="1"/>
  <c r="V34" i="7" a="1"/>
  <c r="V34" i="7" s="1"/>
  <c r="V43" i="7" a="1"/>
  <c r="V43" i="7" s="1"/>
  <c r="V139" i="7" a="1"/>
  <c r="V139" i="7" s="1"/>
  <c r="V163" i="7" a="1"/>
  <c r="V163" i="7" s="1"/>
  <c r="V106" i="7" a="1"/>
  <c r="V106" i="7" s="1"/>
  <c r="V171" i="7" a="1"/>
  <c r="V171" i="7" s="1"/>
  <c r="V195" i="7" a="1"/>
  <c r="V195" i="7" s="1"/>
  <c r="V38" i="7" a="1"/>
  <c r="V38" i="7" s="1"/>
  <c r="V99" i="7" a="1"/>
  <c r="V99" i="7" s="1"/>
  <c r="V119" i="7" a="1"/>
  <c r="V119" i="7" s="1"/>
  <c r="V194" i="7" a="1"/>
  <c r="V194" i="7" s="1"/>
  <c r="V29" i="7" a="1"/>
  <c r="V29" i="7" s="1"/>
  <c r="V61" i="7" a="1"/>
  <c r="V61" i="7" s="1"/>
  <c r="V103" i="7" a="1"/>
  <c r="V103" i="7" s="1"/>
  <c r="V160" i="7" a="1"/>
  <c r="V160" i="7" s="1"/>
  <c r="V33" i="7" a="1"/>
  <c r="V33" i="7" s="1"/>
  <c r="V108" i="7" a="1"/>
  <c r="V108" i="7" s="1"/>
  <c r="V60" i="7" a="1"/>
  <c r="V60" i="7" s="1"/>
  <c r="V150" i="7" a="1"/>
  <c r="V150" i="7" s="1"/>
  <c r="V13" i="7" a="1"/>
  <c r="V13" i="7" s="1"/>
  <c r="V8" i="7" a="1"/>
  <c r="V8" i="7" s="1"/>
  <c r="V51" i="7" a="1"/>
  <c r="V51" i="7" s="1"/>
  <c r="V78" i="7" a="1"/>
  <c r="V78" i="7" s="1"/>
  <c r="V180" i="7" a="1"/>
  <c r="V180" i="7" s="1"/>
  <c r="V114" i="7" a="1"/>
  <c r="V114" i="7" s="1"/>
  <c r="V10" i="7" a="1"/>
  <c r="V10" i="7" s="1"/>
  <c r="V94" i="7" a="1"/>
  <c r="V94" i="7" s="1"/>
  <c r="V19" i="7" a="1"/>
  <c r="V19" i="7" s="1"/>
  <c r="V85" i="7" a="1"/>
  <c r="V85" i="7" s="1"/>
  <c r="V132" i="7" a="1"/>
  <c r="V132" i="7" s="1"/>
  <c r="V169" i="7" a="1"/>
  <c r="V169" i="7" s="1"/>
  <c r="V28" i="7" a="1"/>
  <c r="V28" i="7" s="1"/>
  <c r="V175" i="7" a="1"/>
  <c r="V175" i="7" s="1"/>
  <c r="V178" i="7" a="1"/>
  <c r="V178" i="7" s="1"/>
  <c r="V113" i="7" a="1"/>
  <c r="V113" i="7" s="1"/>
  <c r="V182" i="7" a="1"/>
  <c r="V182" i="7" s="1"/>
  <c r="V198" i="7" a="1"/>
  <c r="V198" i="7" s="1"/>
  <c r="V152" i="7" a="1"/>
  <c r="V152" i="7" s="1"/>
  <c r="V128" i="7" a="1"/>
  <c r="V128" i="7" s="1"/>
  <c r="V5" i="7" a="1"/>
  <c r="V5" i="7" s="1"/>
  <c r="V50" i="7" a="1"/>
  <c r="V50" i="7" s="1"/>
  <c r="V7" i="7" a="1"/>
  <c r="V7" i="7" s="1"/>
  <c r="V65" i="7" a="1"/>
  <c r="V65" i="7" s="1"/>
  <c r="V11" i="7" a="1"/>
  <c r="V11" i="7" s="1"/>
  <c r="V107" i="7" a="1"/>
  <c r="V107" i="7" s="1"/>
  <c r="V177" i="7" a="1"/>
  <c r="V177" i="7" s="1"/>
  <c r="V14" i="7" a="1"/>
  <c r="V14" i="7" s="1"/>
  <c r="V6" i="7" a="1"/>
  <c r="V6" i="7" s="1"/>
  <c r="V181" i="7" a="1"/>
  <c r="V181" i="7" s="1"/>
  <c r="V15" i="7" a="1"/>
  <c r="V15" i="7" s="1"/>
  <c r="V145" i="7" a="1"/>
  <c r="V145" i="7" s="1"/>
  <c r="V26" i="7" a="1"/>
  <c r="V26" i="7" s="1"/>
  <c r="V100" i="7" a="1"/>
  <c r="V100" i="7" s="1"/>
  <c r="V68" i="7" a="1"/>
  <c r="V68" i="7" s="1"/>
  <c r="V36" i="7" a="1"/>
  <c r="V36" i="7" s="1"/>
  <c r="V82" i="7" a="1"/>
  <c r="V82" i="7" s="1"/>
  <c r="V161" i="7" a="1"/>
  <c r="V161" i="7" s="1"/>
  <c r="V134" i="7" a="1"/>
  <c r="V134" i="7" s="1"/>
  <c r="V200" i="7" a="1"/>
  <c r="V200" i="7" s="1"/>
  <c r="V16" i="7" a="1"/>
  <c r="V16" i="7" s="1"/>
  <c r="AX90" i="13"/>
  <c r="R91" i="4" s="1"/>
  <c r="E91" i="4"/>
  <c r="F91" i="4" s="1"/>
  <c r="BD90" i="13"/>
  <c r="AB91" i="4" s="1"/>
  <c r="BA90" i="13"/>
  <c r="BB90" i="13" s="1"/>
  <c r="Q7" i="4"/>
  <c r="AX6" i="13"/>
  <c r="R7" i="4" s="1"/>
  <c r="H80" i="4"/>
  <c r="F80" i="4"/>
  <c r="AY34" i="13"/>
  <c r="P35" i="4"/>
  <c r="AY23" i="13"/>
  <c r="P24" i="4"/>
  <c r="AV90" i="13"/>
  <c r="H69" i="4"/>
  <c r="AX30" i="13"/>
  <c r="R31" i="4" s="1"/>
  <c r="E31" i="4"/>
  <c r="F31" i="4" s="1"/>
  <c r="AV30" i="13"/>
  <c r="BA30" i="13"/>
  <c r="BB30" i="13" s="1"/>
  <c r="BD30" i="13"/>
  <c r="AB31" i="4" s="1"/>
  <c r="P165" i="4"/>
  <c r="AY164" i="13"/>
  <c r="AX181" i="13"/>
  <c r="R182" i="4" s="1"/>
  <c r="E182" i="4"/>
  <c r="F182" i="4" s="1"/>
  <c r="AV181" i="13"/>
  <c r="BD181" i="13"/>
  <c r="AB182" i="4" s="1"/>
  <c r="BA181" i="13"/>
  <c r="BB181" i="13" s="1"/>
  <c r="AX188" i="13"/>
  <c r="R189" i="4" s="1"/>
  <c r="E189" i="4"/>
  <c r="F189" i="4" s="1"/>
  <c r="AV188" i="13"/>
  <c r="BD188" i="13"/>
  <c r="AB189" i="4" s="1"/>
  <c r="BA188" i="13"/>
  <c r="BB188" i="13" s="1"/>
  <c r="R122" i="4"/>
  <c r="AZ121" i="13"/>
  <c r="T122" i="4" s="1"/>
  <c r="Q151" i="4"/>
  <c r="AX150" i="13"/>
  <c r="R151" i="4" s="1"/>
  <c r="BB150" i="13"/>
  <c r="P148" i="4"/>
  <c r="AY147" i="13"/>
  <c r="I23" i="4"/>
  <c r="AV22" i="13"/>
  <c r="H85" i="4"/>
  <c r="R194" i="4"/>
  <c r="AZ193" i="13"/>
  <c r="T194" i="4" s="1"/>
  <c r="S188" i="4"/>
  <c r="AZ187" i="13"/>
  <c r="T188" i="4" s="1"/>
  <c r="H115" i="4"/>
  <c r="E107" i="4"/>
  <c r="F107" i="4" s="1"/>
  <c r="AX106" i="13"/>
  <c r="R107" i="4" s="1"/>
  <c r="BA106" i="13"/>
  <c r="BB106" i="13" s="1"/>
  <c r="BD106" i="13"/>
  <c r="AB107" i="4" s="1"/>
  <c r="Q87" i="4"/>
  <c r="BB86" i="13"/>
  <c r="BC86" i="13" s="1"/>
  <c r="AA87" i="4" s="1"/>
  <c r="P143" i="4"/>
  <c r="AY142" i="13"/>
  <c r="AX42" i="13"/>
  <c r="R43" i="4" s="1"/>
  <c r="E43" i="4"/>
  <c r="F43" i="4" s="1"/>
  <c r="BA42" i="13"/>
  <c r="BB42" i="13" s="1"/>
  <c r="BD42" i="13"/>
  <c r="AB43" i="4" s="1"/>
  <c r="F3" i="4"/>
  <c r="I176" i="7" a="1"/>
  <c r="I176" i="7" s="1"/>
  <c r="Q140" i="4"/>
  <c r="I112" i="4"/>
  <c r="AV111" i="13"/>
  <c r="BD111" i="13"/>
  <c r="AB112" i="4" s="1"/>
  <c r="I105" i="4"/>
  <c r="AV104" i="13"/>
  <c r="H96" i="4"/>
  <c r="F96" i="4"/>
  <c r="H74" i="4"/>
  <c r="BB143" i="13"/>
  <c r="AX67" i="13"/>
  <c r="R68" i="4" s="1"/>
  <c r="BD67" i="13"/>
  <c r="AB68" i="4" s="1"/>
  <c r="E68" i="4"/>
  <c r="F68" i="4" s="1"/>
  <c r="BA67" i="13"/>
  <c r="BB67" i="13" s="1"/>
  <c r="AX53" i="13"/>
  <c r="R54" i="4" s="1"/>
  <c r="E54" i="4"/>
  <c r="F54" i="4" s="1"/>
  <c r="BD53" i="13"/>
  <c r="AB54" i="4" s="1"/>
  <c r="BA53" i="13"/>
  <c r="BB53" i="13" s="1"/>
  <c r="AV53" i="13"/>
  <c r="AX35" i="13"/>
  <c r="R36" i="4" s="1"/>
  <c r="BD35" i="13"/>
  <c r="AB36" i="4" s="1"/>
  <c r="E36" i="4"/>
  <c r="F36" i="4" s="1"/>
  <c r="BA35" i="13"/>
  <c r="BB35" i="13" s="1"/>
  <c r="AY26" i="13"/>
  <c r="P27" i="4"/>
  <c r="E22" i="4"/>
  <c r="F22" i="4" s="1"/>
  <c r="BA21" i="13"/>
  <c r="BB21" i="13" s="1"/>
  <c r="AX21" i="13"/>
  <c r="R22" i="4" s="1"/>
  <c r="AV21" i="13"/>
  <c r="BD21" i="13"/>
  <c r="AB22" i="4" s="1"/>
  <c r="F12" i="4"/>
  <c r="AX186" i="13"/>
  <c r="R187" i="4" s="1"/>
  <c r="AV186" i="13"/>
  <c r="E187" i="4"/>
  <c r="F187" i="4" s="1"/>
  <c r="BA186" i="13"/>
  <c r="BB186" i="13" s="1"/>
  <c r="BD186" i="13"/>
  <c r="AB187" i="4" s="1"/>
  <c r="F98" i="4"/>
  <c r="AX180" i="13"/>
  <c r="R181" i="4" s="1"/>
  <c r="BC185" i="13"/>
  <c r="AA186" i="4" s="1"/>
  <c r="BD158" i="13"/>
  <c r="AB159" i="4" s="1"/>
  <c r="BA158" i="13"/>
  <c r="BB158" i="13" s="1"/>
  <c r="E159" i="4"/>
  <c r="F159" i="4" s="1"/>
  <c r="AX158" i="13"/>
  <c r="R159" i="4" s="1"/>
  <c r="AV158" i="13"/>
  <c r="H147" i="4"/>
  <c r="Q142" i="4"/>
  <c r="AX141" i="13"/>
  <c r="F165" i="4"/>
  <c r="I39" i="4"/>
  <c r="AV38" i="13"/>
  <c r="BD38" i="13"/>
  <c r="AB39" i="4" s="1"/>
  <c r="U66" i="7" a="1"/>
  <c r="U66" i="7" s="1"/>
  <c r="U52" i="7" a="1"/>
  <c r="U52" i="7" s="1"/>
  <c r="U41" i="7" a="1"/>
  <c r="U41" i="7" s="1"/>
  <c r="U36" i="7" a="1"/>
  <c r="U36" i="7" s="1"/>
  <c r="U35" i="7" a="1"/>
  <c r="U35" i="7" s="1"/>
  <c r="U49" i="7" a="1"/>
  <c r="U49" i="7" s="1"/>
  <c r="U61" i="7" a="1"/>
  <c r="U61" i="7" s="1"/>
  <c r="U42" i="7" a="1"/>
  <c r="U42" i="7" s="1"/>
  <c r="U79" i="7" a="1"/>
  <c r="U79" i="7" s="1"/>
  <c r="U60" i="7" a="1"/>
  <c r="U60" i="7" s="1"/>
  <c r="U38" i="7" a="1"/>
  <c r="U38" i="7" s="1"/>
  <c r="U138" i="7" a="1"/>
  <c r="U138" i="7" s="1"/>
  <c r="U136" i="7" a="1"/>
  <c r="U136" i="7" s="1"/>
  <c r="U190" i="7" a="1"/>
  <c r="U190" i="7" s="1"/>
  <c r="U174" i="7" a="1"/>
  <c r="U174" i="7" s="1"/>
  <c r="U15" i="7" a="1"/>
  <c r="U15" i="7" s="1"/>
  <c r="U186" i="7" a="1"/>
  <c r="U186" i="7" s="1"/>
  <c r="U51" i="7" a="1"/>
  <c r="U51" i="7" s="1"/>
  <c r="U23" i="7" a="1"/>
  <c r="U23" i="7" s="1"/>
  <c r="U99" i="7" a="1"/>
  <c r="U99" i="7" s="1"/>
  <c r="U142" i="7" a="1"/>
  <c r="U142" i="7" s="1"/>
  <c r="U176" i="7" a="1"/>
  <c r="U176" i="7" s="1"/>
  <c r="U117" i="7" a="1"/>
  <c r="U117" i="7" s="1"/>
  <c r="U154" i="7" a="1"/>
  <c r="U154" i="7" s="1"/>
  <c r="U122" i="7" a="1"/>
  <c r="U122" i="7" s="1"/>
  <c r="U198" i="7" a="1"/>
  <c r="U198" i="7" s="1"/>
  <c r="U184" i="7" a="1"/>
  <c r="U184" i="7" s="1"/>
  <c r="U9" i="7" a="1"/>
  <c r="U9" i="7" s="1"/>
  <c r="U50" i="7" a="1"/>
  <c r="U50" i="7" s="1"/>
  <c r="U64" i="7" a="1"/>
  <c r="U64" i="7" s="1"/>
  <c r="U103" i="7" a="1"/>
  <c r="U103" i="7" s="1"/>
  <c r="U87" i="7" a="1"/>
  <c r="U87" i="7" s="1"/>
  <c r="U68" i="7" a="1"/>
  <c r="U68" i="7" s="1"/>
  <c r="U67" i="7" a="1"/>
  <c r="U67" i="7" s="1"/>
  <c r="U158" i="7" a="1"/>
  <c r="U158" i="7" s="1"/>
  <c r="U104" i="7" a="1"/>
  <c r="U104" i="7" s="1"/>
  <c r="U193" i="7" a="1"/>
  <c r="U193" i="7" s="1"/>
  <c r="U177" i="7" a="1"/>
  <c r="U177" i="7" s="1"/>
  <c r="U12" i="7" a="1"/>
  <c r="U12" i="7" s="1"/>
  <c r="U13" i="7" a="1"/>
  <c r="U13" i="7" s="1"/>
  <c r="U20" i="7" a="1"/>
  <c r="U20" i="7" s="1"/>
  <c r="U59" i="7" a="1"/>
  <c r="U59" i="7" s="1"/>
  <c r="U69" i="7" a="1"/>
  <c r="U69" i="7" s="1"/>
  <c r="U84" i="7" a="1"/>
  <c r="U84" i="7" s="1"/>
  <c r="U111" i="7" a="1"/>
  <c r="U111" i="7" s="1"/>
  <c r="U150" i="7" a="1"/>
  <c r="U150" i="7" s="1"/>
  <c r="U188" i="7" a="1"/>
  <c r="U188" i="7" s="1"/>
  <c r="U140" i="7" a="1"/>
  <c r="U140" i="7" s="1"/>
  <c r="U191" i="7" a="1"/>
  <c r="U191" i="7" s="1"/>
  <c r="U139" i="7" a="1"/>
  <c r="U139" i="7" s="1"/>
  <c r="U7" i="7" a="1"/>
  <c r="U7" i="7" s="1"/>
  <c r="U19" i="7" a="1"/>
  <c r="U19" i="7" s="1"/>
  <c r="U65" i="7" a="1"/>
  <c r="U65" i="7" s="1"/>
  <c r="U74" i="7" a="1"/>
  <c r="U74" i="7" s="1"/>
  <c r="U73" i="7" a="1"/>
  <c r="U73" i="7" s="1"/>
  <c r="U62" i="7" a="1"/>
  <c r="U62" i="7" s="1"/>
  <c r="U109" i="7" a="1"/>
  <c r="U109" i="7" s="1"/>
  <c r="U96" i="7" a="1"/>
  <c r="U96" i="7" s="1"/>
  <c r="U192" i="7" a="1"/>
  <c r="U192" i="7" s="1"/>
  <c r="U129" i="7" a="1"/>
  <c r="U129" i="7" s="1"/>
  <c r="U83" i="7" a="1"/>
  <c r="U83" i="7" s="1"/>
  <c r="U143" i="7" a="1"/>
  <c r="U143" i="7" s="1"/>
  <c r="U16" i="7" a="1"/>
  <c r="U16" i="7" s="1"/>
  <c r="U11" i="7" a="1"/>
  <c r="U11" i="7" s="1"/>
  <c r="U179" i="7" a="1"/>
  <c r="U179" i="7" s="1"/>
  <c r="U3" i="7" a="1"/>
  <c r="U3" i="7" s="1"/>
  <c r="U21" i="7" a="1"/>
  <c r="U21" i="7" s="1"/>
  <c r="U24" i="7" a="1"/>
  <c r="U24" i="7" s="1"/>
  <c r="U98" i="7" a="1"/>
  <c r="U98" i="7" s="1"/>
  <c r="U88" i="7" a="1"/>
  <c r="U88" i="7" s="1"/>
  <c r="U116" i="7" a="1"/>
  <c r="U116" i="7" s="1"/>
  <c r="U151" i="7" a="1"/>
  <c r="U151" i="7" s="1"/>
  <c r="U152" i="7" a="1"/>
  <c r="U152" i="7" s="1"/>
  <c r="U148" i="7" a="1"/>
  <c r="U148" i="7" s="1"/>
  <c r="U194" i="7" a="1"/>
  <c r="U194" i="7" s="1"/>
  <c r="U164" i="7" a="1"/>
  <c r="U164" i="7" s="1"/>
  <c r="U25" i="7" a="1"/>
  <c r="U25" i="7" s="1"/>
  <c r="U27" i="7" a="1"/>
  <c r="U27" i="7" s="1"/>
  <c r="U78" i="7" a="1"/>
  <c r="U78" i="7" s="1"/>
  <c r="U77" i="7" a="1"/>
  <c r="U77" i="7" s="1"/>
  <c r="U72" i="7" a="1"/>
  <c r="U72" i="7" s="1"/>
  <c r="U114" i="7" a="1"/>
  <c r="U114" i="7" s="1"/>
  <c r="U155" i="7" a="1"/>
  <c r="U155" i="7" s="1"/>
  <c r="U196" i="7" a="1"/>
  <c r="U196" i="7" s="1"/>
  <c r="U133" i="7" a="1"/>
  <c r="U133" i="7" s="1"/>
  <c r="U110" i="7" a="1"/>
  <c r="U110" i="7" s="1"/>
  <c r="U166" i="7" a="1"/>
  <c r="U166" i="7" s="1"/>
  <c r="U91" i="7" a="1"/>
  <c r="U91" i="7" s="1"/>
  <c r="U14" i="7" a="1"/>
  <c r="U14" i="7" s="1"/>
  <c r="U200" i="7" a="1"/>
  <c r="U200" i="7" s="1"/>
  <c r="U37" i="7" a="1"/>
  <c r="U37" i="7" s="1"/>
  <c r="U43" i="7" a="1"/>
  <c r="U43" i="7" s="1"/>
  <c r="U47" i="7" a="1"/>
  <c r="U47" i="7" s="1"/>
  <c r="U130" i="7" a="1"/>
  <c r="U130" i="7" s="1"/>
  <c r="U22" i="7" a="1"/>
  <c r="U22" i="7" s="1"/>
  <c r="U162" i="7" a="1"/>
  <c r="U162" i="7" s="1"/>
  <c r="U115" i="7" a="1"/>
  <c r="U115" i="7" s="1"/>
  <c r="U55" i="7" a="1"/>
  <c r="U55" i="7" s="1"/>
  <c r="U81" i="7" a="1"/>
  <c r="U81" i="7" s="1"/>
  <c r="U108" i="7" a="1"/>
  <c r="U108" i="7" s="1"/>
  <c r="U119" i="7" a="1"/>
  <c r="U119" i="7" s="1"/>
  <c r="U10" i="7" a="1"/>
  <c r="U10" i="7" s="1"/>
  <c r="U127" i="7" a="1"/>
  <c r="U127" i="7" s="1"/>
  <c r="U45" i="7" a="1"/>
  <c r="U45" i="7" s="1"/>
  <c r="U30" i="7" a="1"/>
  <c r="U30" i="7" s="1"/>
  <c r="U134" i="7" a="1"/>
  <c r="U134" i="7" s="1"/>
  <c r="U63" i="7" a="1"/>
  <c r="U63" i="7" s="1"/>
  <c r="U135" i="7" a="1"/>
  <c r="U135" i="7" s="1"/>
  <c r="U144" i="7" a="1"/>
  <c r="U144" i="7" s="1"/>
  <c r="U170" i="7" a="1"/>
  <c r="U170" i="7" s="1"/>
  <c r="U57" i="7" a="1"/>
  <c r="U57" i="7" s="1"/>
  <c r="U53" i="7" a="1"/>
  <c r="U53" i="7" s="1"/>
  <c r="U85" i="7" a="1"/>
  <c r="U85" i="7" s="1"/>
  <c r="U76" i="7" a="1"/>
  <c r="U76" i="7" s="1"/>
  <c r="U105" i="7" a="1"/>
  <c r="U105" i="7" s="1"/>
  <c r="U124" i="7" a="1"/>
  <c r="U124" i="7" s="1"/>
  <c r="U157" i="7" a="1"/>
  <c r="U157" i="7" s="1"/>
  <c r="U131" i="7" a="1"/>
  <c r="U131" i="7" s="1"/>
  <c r="U32" i="7" a="1"/>
  <c r="U32" i="7" s="1"/>
  <c r="U70" i="7" a="1"/>
  <c r="U70" i="7" s="1"/>
  <c r="U94" i="7" a="1"/>
  <c r="U94" i="7" s="1"/>
  <c r="U58" i="7" a="1"/>
  <c r="U58" i="7" s="1"/>
  <c r="U101" i="7" a="1"/>
  <c r="U101" i="7" s="1"/>
  <c r="U120" i="7" a="1"/>
  <c r="U120" i="7" s="1"/>
  <c r="U168" i="7" a="1"/>
  <c r="U168" i="7" s="1"/>
  <c r="U169" i="7" a="1"/>
  <c r="U169" i="7" s="1"/>
  <c r="U8" i="7" a="1"/>
  <c r="U8" i="7" s="1"/>
  <c r="U161" i="7" a="1"/>
  <c r="U161" i="7" s="1"/>
  <c r="U82" i="7" a="1"/>
  <c r="U82" i="7" s="1"/>
  <c r="U39" i="7" a="1"/>
  <c r="U39" i="7" s="1"/>
  <c r="U106" i="7" a="1"/>
  <c r="U106" i="7" s="1"/>
  <c r="U159" i="7" a="1"/>
  <c r="U159" i="7" s="1"/>
  <c r="U125" i="7" a="1"/>
  <c r="U125" i="7" s="1"/>
  <c r="U132" i="7" a="1"/>
  <c r="U132" i="7" s="1"/>
  <c r="U48" i="7" a="1"/>
  <c r="U48" i="7" s="1"/>
  <c r="U71" i="7" a="1"/>
  <c r="U71" i="7" s="1"/>
  <c r="U171" i="7" a="1"/>
  <c r="U171" i="7" s="1"/>
  <c r="U175" i="7" a="1"/>
  <c r="U175" i="7" s="1"/>
  <c r="U17" i="7" a="1"/>
  <c r="U17" i="7" s="1"/>
  <c r="U189" i="7" a="1"/>
  <c r="U189" i="7" s="1"/>
  <c r="U56" i="7" a="1"/>
  <c r="U56" i="7" s="1"/>
  <c r="U89" i="7" a="1"/>
  <c r="U89" i="7" s="1"/>
  <c r="U112" i="7" a="1"/>
  <c r="U112" i="7" s="1"/>
  <c r="U183" i="7" a="1"/>
  <c r="U183" i="7" s="1"/>
  <c r="U4" i="7" a="1"/>
  <c r="U4" i="7" s="1"/>
  <c r="U113" i="7" a="1"/>
  <c r="U113" i="7" s="1"/>
  <c r="U187" i="7" a="1"/>
  <c r="U187" i="7" s="1"/>
  <c r="U92" i="7" a="1"/>
  <c r="U92" i="7" s="1"/>
  <c r="U100" i="7" a="1"/>
  <c r="U100" i="7" s="1"/>
  <c r="U137" i="7" a="1"/>
  <c r="U137" i="7" s="1"/>
  <c r="U141" i="7" a="1"/>
  <c r="U141" i="7" s="1"/>
  <c r="U165" i="7" a="1"/>
  <c r="U165" i="7" s="1"/>
  <c r="U118" i="7" a="1"/>
  <c r="U118" i="7" s="1"/>
  <c r="U95" i="7" a="1"/>
  <c r="U95" i="7" s="1"/>
  <c r="U121" i="7" a="1"/>
  <c r="U121" i="7" s="1"/>
  <c r="U153" i="7" a="1"/>
  <c r="U153" i="7" s="1"/>
  <c r="U29" i="7" a="1"/>
  <c r="U29" i="7" s="1"/>
  <c r="U147" i="7" a="1"/>
  <c r="U147" i="7" s="1"/>
  <c r="U26" i="7" a="1"/>
  <c r="U26" i="7" s="1"/>
  <c r="U146" i="7" a="1"/>
  <c r="U146" i="7" s="1"/>
  <c r="U149" i="7" a="1"/>
  <c r="U149" i="7" s="1"/>
  <c r="U197" i="7" a="1"/>
  <c r="U197" i="7" s="1"/>
  <c r="U33" i="7" a="1"/>
  <c r="U33" i="7" s="1"/>
  <c r="U93" i="7" a="1"/>
  <c r="U93" i="7" s="1"/>
  <c r="U199" i="7" a="1"/>
  <c r="U199" i="7" s="1"/>
  <c r="U156" i="7" a="1"/>
  <c r="U156" i="7" s="1"/>
  <c r="U86" i="7" a="1"/>
  <c r="U86" i="7" s="1"/>
  <c r="U126" i="7" a="1"/>
  <c r="U126" i="7" s="1"/>
  <c r="U185" i="7" a="1"/>
  <c r="U185" i="7" s="1"/>
  <c r="U34" i="7" a="1"/>
  <c r="U34" i="7" s="1"/>
  <c r="U163" i="7" a="1"/>
  <c r="U163" i="7" s="1"/>
  <c r="U54" i="7" a="1"/>
  <c r="U54" i="7" s="1"/>
  <c r="U6" i="7" a="1"/>
  <c r="U6" i="7" s="1"/>
  <c r="U167" i="7" a="1"/>
  <c r="U167" i="7" s="1"/>
  <c r="U90" i="7" a="1"/>
  <c r="U90" i="7" s="1"/>
  <c r="U172" i="7" a="1"/>
  <c r="U172" i="7" s="1"/>
  <c r="U178" i="7" a="1"/>
  <c r="U178" i="7" s="1"/>
  <c r="U80" i="7" a="1"/>
  <c r="U80" i="7" s="1"/>
  <c r="U181" i="7" a="1"/>
  <c r="U181" i="7" s="1"/>
  <c r="U46" i="7" a="1"/>
  <c r="U46" i="7" s="1"/>
  <c r="U145" i="7" a="1"/>
  <c r="U145" i="7" s="1"/>
  <c r="U5" i="7" a="1"/>
  <c r="U5" i="7" s="1"/>
  <c r="U28" i="7" a="1"/>
  <c r="U28" i="7" s="1"/>
  <c r="U123" i="7" a="1"/>
  <c r="U123" i="7" s="1"/>
  <c r="U40" i="7" a="1"/>
  <c r="U40" i="7" s="1"/>
  <c r="U160" i="7" a="1"/>
  <c r="U160" i="7" s="1"/>
  <c r="U44" i="7" a="1"/>
  <c r="U44" i="7" s="1"/>
  <c r="U173" i="7" a="1"/>
  <c r="U173" i="7" s="1"/>
  <c r="U102" i="7" a="1"/>
  <c r="U102" i="7" s="1"/>
  <c r="U195" i="7" a="1"/>
  <c r="U195" i="7" s="1"/>
  <c r="U107" i="7" a="1"/>
  <c r="U107" i="7" s="1"/>
  <c r="U75" i="7" a="1"/>
  <c r="U75" i="7" s="1"/>
  <c r="U182" i="7" a="1"/>
  <c r="U182" i="7" s="1"/>
  <c r="U18" i="7" a="1"/>
  <c r="U18" i="7" s="1"/>
  <c r="U128" i="7" a="1"/>
  <c r="U128" i="7" s="1"/>
  <c r="U31" i="7" a="1"/>
  <c r="U31" i="7" s="1"/>
  <c r="U180" i="7" a="1"/>
  <c r="U180" i="7" s="1"/>
  <c r="U97" i="7" a="1"/>
  <c r="U97" i="7" s="1"/>
  <c r="F140" i="4"/>
  <c r="AX133" i="13"/>
  <c r="R134" i="4" s="1"/>
  <c r="BA133" i="13"/>
  <c r="BB133" i="13" s="1"/>
  <c r="AV133" i="13"/>
  <c r="E134" i="4"/>
  <c r="F134" i="4" s="1"/>
  <c r="BD133" i="13"/>
  <c r="AB134" i="4" s="1"/>
  <c r="R112" i="4"/>
  <c r="BC111" i="13"/>
  <c r="AA112" i="4" s="1"/>
  <c r="AV78" i="13"/>
  <c r="E79" i="4"/>
  <c r="F79" i="4" s="1"/>
  <c r="BD78" i="13"/>
  <c r="AB79" i="4" s="1"/>
  <c r="BA78" i="13"/>
  <c r="BB78" i="13" s="1"/>
  <c r="AX78" i="13"/>
  <c r="R79" i="4" s="1"/>
  <c r="I73" i="4"/>
  <c r="AV72" i="13"/>
  <c r="AZ160" i="13"/>
  <c r="T161" i="4" s="1"/>
  <c r="F40" i="4"/>
  <c r="AV28" i="13"/>
  <c r="BD14" i="13"/>
  <c r="AB15" i="4" s="1"/>
  <c r="H7" i="4"/>
  <c r="AX77" i="13"/>
  <c r="R78" i="4" s="1"/>
  <c r="AX184" i="13"/>
  <c r="R185" i="4" s="1"/>
  <c r="E185" i="4"/>
  <c r="F185" i="4" s="1"/>
  <c r="BD184" i="13"/>
  <c r="AB185" i="4" s="1"/>
  <c r="BA184" i="13"/>
  <c r="BB184" i="13" s="1"/>
  <c r="BC184" i="13" s="1"/>
  <c r="AA185" i="4" s="1"/>
  <c r="BB91" i="13"/>
  <c r="BC91" i="13" s="1"/>
  <c r="AA92" i="4" s="1"/>
  <c r="AX91" i="13"/>
  <c r="R92" i="4" s="1"/>
  <c r="F65" i="4"/>
  <c r="AY189" i="13"/>
  <c r="P190" i="4"/>
  <c r="BD72" i="13"/>
  <c r="AB73" i="4" s="1"/>
  <c r="P161" i="4"/>
  <c r="P145" i="4"/>
  <c r="F113" i="4"/>
  <c r="AY61" i="13"/>
  <c r="P62" i="4"/>
  <c r="E156" i="7" l="1" a="1"/>
  <c r="E156" i="7" s="1"/>
  <c r="BC67" i="13"/>
  <c r="AA68" i="4" s="1"/>
  <c r="BC83" i="13"/>
  <c r="AA84" i="4" s="1"/>
  <c r="BC92" i="13"/>
  <c r="AA93" i="4" s="1"/>
  <c r="J128" i="7" a="1"/>
  <c r="J128" i="7" s="1"/>
  <c r="E110" i="7" a="1"/>
  <c r="E110" i="7" s="1"/>
  <c r="I29" i="7" a="1"/>
  <c r="I29" i="7" s="1"/>
  <c r="I198" i="7" a="1"/>
  <c r="I198" i="7" s="1"/>
  <c r="BC179" i="13"/>
  <c r="AA180" i="4" s="1"/>
  <c r="BC43" i="13"/>
  <c r="AA44" i="4" s="1"/>
  <c r="BC123" i="13"/>
  <c r="AA124" i="4" s="1"/>
  <c r="J134" i="7" a="1"/>
  <c r="J134" i="7" s="1"/>
  <c r="AZ25" i="13"/>
  <c r="T26" i="4" s="1"/>
  <c r="S26" i="4"/>
  <c r="BC118" i="13"/>
  <c r="AA119" i="4" s="1"/>
  <c r="AZ57" i="13"/>
  <c r="T58" i="4" s="1"/>
  <c r="S58" i="4"/>
  <c r="I31" i="7" a="1"/>
  <c r="I31" i="7" s="1"/>
  <c r="BC19" i="13"/>
  <c r="AA20" i="4" s="1"/>
  <c r="BC175" i="13"/>
  <c r="AA176" i="4" s="1"/>
  <c r="BC136" i="13"/>
  <c r="AA137" i="4" s="1"/>
  <c r="I30" i="7" a="1"/>
  <c r="I30" i="7" s="1"/>
  <c r="Q81" i="7" a="1"/>
  <c r="Q81" i="7" s="1"/>
  <c r="AB26" i="7" a="1"/>
  <c r="AB26" i="7" s="1"/>
  <c r="J62" i="7" a="1"/>
  <c r="J62" i="7" s="1"/>
  <c r="BC155" i="13"/>
  <c r="AA156" i="4" s="1"/>
  <c r="I9" i="7" a="1"/>
  <c r="I9" i="7" s="1"/>
  <c r="BC45" i="13"/>
  <c r="AA46" i="4" s="1"/>
  <c r="AZ9" i="13"/>
  <c r="T10" i="4" s="1"/>
  <c r="S10" i="4"/>
  <c r="S184" i="4"/>
  <c r="AZ183" i="13"/>
  <c r="T184" i="4" s="1"/>
  <c r="BC137" i="13"/>
  <c r="AA138" i="4" s="1"/>
  <c r="BC78" i="13"/>
  <c r="AA79" i="4" s="1"/>
  <c r="BC35" i="13"/>
  <c r="AA36" i="4" s="1"/>
  <c r="I123" i="7" a="1"/>
  <c r="I123" i="7" s="1"/>
  <c r="BC150" i="13"/>
  <c r="AA151" i="4" s="1"/>
  <c r="BC90" i="13"/>
  <c r="AA91" i="4" s="1"/>
  <c r="BC152" i="13"/>
  <c r="AA153" i="4" s="1"/>
  <c r="P178" i="4"/>
  <c r="BC170" i="13"/>
  <c r="AA171" i="4" s="1"/>
  <c r="BC94" i="13"/>
  <c r="AA95" i="4" s="1"/>
  <c r="S106" i="4"/>
  <c r="AZ105" i="13"/>
  <c r="T106" i="4" s="1"/>
  <c r="P168" i="4"/>
  <c r="AY167" i="13"/>
  <c r="AZ73" i="13"/>
  <c r="T74" i="4" s="1"/>
  <c r="S74" i="4"/>
  <c r="BC140" i="13"/>
  <c r="AA141" i="4" s="1"/>
  <c r="BC168" i="13"/>
  <c r="AA169" i="4" s="1"/>
  <c r="AB25" i="7" a="1"/>
  <c r="AB25" i="7" s="1"/>
  <c r="BC59" i="13"/>
  <c r="AA60" i="4" s="1"/>
  <c r="AZ185" i="13"/>
  <c r="T186" i="4" s="1"/>
  <c r="AB147" i="7" a="1"/>
  <c r="AB147" i="7" s="1"/>
  <c r="P12" i="4"/>
  <c r="AY11" i="13"/>
  <c r="AY197" i="13"/>
  <c r="P198" i="4"/>
  <c r="BC196" i="13"/>
  <c r="AA197" i="4" s="1"/>
  <c r="AZ196" i="13"/>
  <c r="T197" i="4" s="1"/>
  <c r="AB29" i="7" a="1"/>
  <c r="AB29" i="7" s="1"/>
  <c r="BC186" i="13"/>
  <c r="AA187" i="4" s="1"/>
  <c r="E76" i="7" a="1"/>
  <c r="E76" i="7" s="1"/>
  <c r="AZ43" i="13"/>
  <c r="T44" i="4" s="1"/>
  <c r="BC10" i="13"/>
  <c r="AA11" i="4" s="1"/>
  <c r="Q55" i="7" a="1"/>
  <c r="Q55" i="7" s="1"/>
  <c r="BC154" i="13"/>
  <c r="AA155" i="4" s="1"/>
  <c r="AB27" i="7" a="1"/>
  <c r="AB27" i="7" s="1"/>
  <c r="I120" i="7" a="1"/>
  <c r="I120" i="7" s="1"/>
  <c r="BC125" i="13"/>
  <c r="AA126" i="4" s="1"/>
  <c r="E9" i="7" a="1"/>
  <c r="E9" i="7" s="1"/>
  <c r="AZ107" i="13"/>
  <c r="T108" i="4" s="1"/>
  <c r="E33" i="7" a="1"/>
  <c r="E33" i="7" s="1"/>
  <c r="BC188" i="13"/>
  <c r="AA189" i="4" s="1"/>
  <c r="E102" i="7" a="1"/>
  <c r="E102" i="7" s="1"/>
  <c r="BC44" i="13"/>
  <c r="AA45" i="4" s="1"/>
  <c r="BC110" i="13"/>
  <c r="AA111" i="4" s="1"/>
  <c r="J175" i="7" a="1"/>
  <c r="J175" i="7" s="1"/>
  <c r="BC15" i="13"/>
  <c r="AA16" i="4" s="1"/>
  <c r="BC37" i="13"/>
  <c r="AA38" i="4" s="1"/>
  <c r="AZ41" i="13"/>
  <c r="T42" i="4" s="1"/>
  <c r="J120" i="7" a="1"/>
  <c r="J120" i="7" s="1"/>
  <c r="S154" i="4"/>
  <c r="AZ153" i="13"/>
  <c r="T154" i="4" s="1"/>
  <c r="AZ137" i="13"/>
  <c r="T138" i="4" s="1"/>
  <c r="E121" i="7" a="1"/>
  <c r="E121" i="7" s="1"/>
  <c r="E71" i="7" a="1"/>
  <c r="E71" i="7" s="1"/>
  <c r="BC126" i="13"/>
  <c r="AA127" i="4" s="1"/>
  <c r="BC40" i="13"/>
  <c r="AA41" i="4" s="1"/>
  <c r="BC142" i="13"/>
  <c r="AA143" i="4" s="1"/>
  <c r="BC172" i="13"/>
  <c r="AA173" i="4" s="1"/>
  <c r="J115" i="7" a="1"/>
  <c r="J115" i="7" s="1"/>
  <c r="BC138" i="13"/>
  <c r="AA139" i="4" s="1"/>
  <c r="I140" i="7" a="1"/>
  <c r="I140" i="7" s="1"/>
  <c r="I137" i="7" a="1"/>
  <c r="I137" i="7" s="1"/>
  <c r="E84" i="7" a="1"/>
  <c r="E84" i="7" s="1"/>
  <c r="I159" i="7" a="1"/>
  <c r="I159" i="7" s="1"/>
  <c r="E42" i="7" a="1"/>
  <c r="E42" i="7" s="1"/>
  <c r="E50" i="7" a="1"/>
  <c r="E50" i="7" s="1"/>
  <c r="Q144" i="7" a="1"/>
  <c r="Q144" i="7" s="1"/>
  <c r="P134" i="4"/>
  <c r="AY133" i="13"/>
  <c r="AZ69" i="13"/>
  <c r="T70" i="4" s="1"/>
  <c r="S70" i="4"/>
  <c r="Q24" i="7" a="1"/>
  <c r="Q24" i="7" s="1"/>
  <c r="J106" i="7" a="1"/>
  <c r="J106" i="7" s="1"/>
  <c r="AB130" i="7" a="1"/>
  <c r="AB130" i="7" s="1"/>
  <c r="AZ66" i="13"/>
  <c r="T67" i="4" s="1"/>
  <c r="S67" i="4"/>
  <c r="I65" i="7" a="1"/>
  <c r="I65" i="7" s="1"/>
  <c r="AY47" i="13"/>
  <c r="P48" i="4"/>
  <c r="Q85" i="7" a="1"/>
  <c r="Q85" i="7" s="1"/>
  <c r="J155" i="7" a="1"/>
  <c r="J155" i="7" s="1"/>
  <c r="AB70" i="7" a="1"/>
  <c r="AB70" i="7" s="1"/>
  <c r="I115" i="7" a="1"/>
  <c r="I115" i="7" s="1"/>
  <c r="I40" i="7" a="1"/>
  <c r="I40" i="7" s="1"/>
  <c r="E54" i="7" a="1"/>
  <c r="E54" i="7" s="1"/>
  <c r="AB109" i="7" a="1"/>
  <c r="AB109" i="7" s="1"/>
  <c r="Q166" i="7" a="1"/>
  <c r="Q166" i="7" s="1"/>
  <c r="J163" i="7" a="1"/>
  <c r="J163" i="7" s="1"/>
  <c r="AB51" i="7" a="1"/>
  <c r="AB51" i="7" s="1"/>
  <c r="AY79" i="13"/>
  <c r="P80" i="4"/>
  <c r="AZ93" i="13"/>
  <c r="T94" i="4" s="1"/>
  <c r="S94" i="4"/>
  <c r="AB87" i="7" a="1"/>
  <c r="AB87" i="7" s="1"/>
  <c r="Q18" i="7" a="1"/>
  <c r="Q18" i="7" s="1"/>
  <c r="Q116" i="7" a="1"/>
  <c r="Q116" i="7" s="1"/>
  <c r="J98" i="7" a="1"/>
  <c r="J98" i="7" s="1"/>
  <c r="E56" i="7" a="1"/>
  <c r="E56" i="7" s="1"/>
  <c r="I81" i="7" a="1"/>
  <c r="I81" i="7" s="1"/>
  <c r="I19" i="7" a="1"/>
  <c r="I19" i="7" s="1"/>
  <c r="I4" i="7" a="1"/>
  <c r="I4" i="7" s="1"/>
  <c r="I182" i="7" a="1"/>
  <c r="I182" i="7" s="1"/>
  <c r="I142" i="7" a="1"/>
  <c r="I142" i="7" s="1"/>
  <c r="I14" i="7" a="1"/>
  <c r="I14" i="7" s="1"/>
  <c r="I113" i="7" a="1"/>
  <c r="I113" i="7" s="1"/>
  <c r="I92" i="7" a="1"/>
  <c r="I92" i="7" s="1"/>
  <c r="I108" i="7" a="1"/>
  <c r="I108" i="7" s="1"/>
  <c r="I118" i="7" a="1"/>
  <c r="I118" i="7" s="1"/>
  <c r="I11" i="7" a="1"/>
  <c r="I11" i="7" s="1"/>
  <c r="I59" i="7" a="1"/>
  <c r="I59" i="7" s="1"/>
  <c r="I104" i="7" a="1"/>
  <c r="I104" i="7" s="1"/>
  <c r="I185" i="7" a="1"/>
  <c r="I185" i="7" s="1"/>
  <c r="I89" i="7" a="1"/>
  <c r="I89" i="7" s="1"/>
  <c r="I191" i="7" a="1"/>
  <c r="I191" i="7" s="1"/>
  <c r="I3" i="7" a="1"/>
  <c r="I3" i="7" s="1"/>
  <c r="I63" i="7" a="1"/>
  <c r="I63" i="7" s="1"/>
  <c r="I134" i="7" a="1"/>
  <c r="I134" i="7" s="1"/>
  <c r="I119" i="7" a="1"/>
  <c r="I119" i="7" s="1"/>
  <c r="I46" i="7" a="1"/>
  <c r="I46" i="7" s="1"/>
  <c r="I100" i="7" a="1"/>
  <c r="I100" i="7" s="1"/>
  <c r="I52" i="7" a="1"/>
  <c r="I52" i="7" s="1"/>
  <c r="I192" i="7" a="1"/>
  <c r="I192" i="7" s="1"/>
  <c r="I6" i="7" a="1"/>
  <c r="I6" i="7" s="1"/>
  <c r="I27" i="7" a="1"/>
  <c r="I27" i="7" s="1"/>
  <c r="I194" i="7" a="1"/>
  <c r="I194" i="7" s="1"/>
  <c r="I78" i="7" a="1"/>
  <c r="I78" i="7" s="1"/>
  <c r="I77" i="7" a="1"/>
  <c r="I77" i="7" s="1"/>
  <c r="I83" i="7" a="1"/>
  <c r="I83" i="7" s="1"/>
  <c r="I138" i="7" a="1"/>
  <c r="I138" i="7" s="1"/>
  <c r="I188" i="7" a="1"/>
  <c r="I188" i="7" s="1"/>
  <c r="I130" i="7" a="1"/>
  <c r="I130" i="7" s="1"/>
  <c r="I102" i="7" a="1"/>
  <c r="I102" i="7" s="1"/>
  <c r="I151" i="7" a="1"/>
  <c r="I151" i="7" s="1"/>
  <c r="I186" i="7" a="1"/>
  <c r="I186" i="7" s="1"/>
  <c r="I32" i="7" a="1"/>
  <c r="I32" i="7" s="1"/>
  <c r="I146" i="7" a="1"/>
  <c r="I146" i="7" s="1"/>
  <c r="I33" i="7" a="1"/>
  <c r="I33" i="7" s="1"/>
  <c r="I126" i="7" a="1"/>
  <c r="I126" i="7" s="1"/>
  <c r="I55" i="7" a="1"/>
  <c r="I55" i="7" s="1"/>
  <c r="I90" i="7" a="1"/>
  <c r="I90" i="7" s="1"/>
  <c r="I109" i="7" a="1"/>
  <c r="I109" i="7" s="1"/>
  <c r="I103" i="7" a="1"/>
  <c r="I103" i="7" s="1"/>
  <c r="I73" i="7" a="1"/>
  <c r="I73" i="7" s="1"/>
  <c r="I171" i="7" a="1"/>
  <c r="I171" i="7" s="1"/>
  <c r="I84" i="7" a="1"/>
  <c r="I84" i="7" s="1"/>
  <c r="I127" i="7" a="1"/>
  <c r="I127" i="7" s="1"/>
  <c r="I179" i="7" a="1"/>
  <c r="I179" i="7" s="1"/>
  <c r="I37" i="7" a="1"/>
  <c r="I37" i="7" s="1"/>
  <c r="I178" i="7" a="1"/>
  <c r="I178" i="7" s="1"/>
  <c r="I199" i="7" a="1"/>
  <c r="I199" i="7" s="1"/>
  <c r="I132" i="7" a="1"/>
  <c r="I132" i="7" s="1"/>
  <c r="I87" i="7" a="1"/>
  <c r="I87" i="7" s="1"/>
  <c r="I147" i="7" a="1"/>
  <c r="I147" i="7" s="1"/>
  <c r="I155" i="7" a="1"/>
  <c r="I155" i="7" s="1"/>
  <c r="I165" i="7" a="1"/>
  <c r="I165" i="7" s="1"/>
  <c r="I196" i="7" a="1"/>
  <c r="I196" i="7" s="1"/>
  <c r="I70" i="7" a="1"/>
  <c r="I70" i="7" s="1"/>
  <c r="I149" i="7" a="1"/>
  <c r="I149" i="7" s="1"/>
  <c r="I183" i="7" a="1"/>
  <c r="I183" i="7" s="1"/>
  <c r="I173" i="7" a="1"/>
  <c r="I173" i="7" s="1"/>
  <c r="I69" i="7" a="1"/>
  <c r="I69" i="7" s="1"/>
  <c r="I101" i="7" a="1"/>
  <c r="I101" i="7" s="1"/>
  <c r="I67" i="7" a="1"/>
  <c r="I67" i="7" s="1"/>
  <c r="I93" i="7" a="1"/>
  <c r="I93" i="7" s="1"/>
  <c r="I36" i="7" a="1"/>
  <c r="I36" i="7" s="1"/>
  <c r="I172" i="7" a="1"/>
  <c r="I172" i="7" s="1"/>
  <c r="I166" i="7" a="1"/>
  <c r="I166" i="7" s="1"/>
  <c r="I106" i="7" a="1"/>
  <c r="I106" i="7" s="1"/>
  <c r="I158" i="7" a="1"/>
  <c r="I158" i="7" s="1"/>
  <c r="I85" i="7" a="1"/>
  <c r="I85" i="7" s="1"/>
  <c r="I48" i="7" a="1"/>
  <c r="I48" i="7" s="1"/>
  <c r="I154" i="7" a="1"/>
  <c r="I154" i="7" s="1"/>
  <c r="I110" i="7" a="1"/>
  <c r="I110" i="7" s="1"/>
  <c r="I61" i="7" a="1"/>
  <c r="I61" i="7" s="1"/>
  <c r="I125" i="7" a="1"/>
  <c r="I125" i="7" s="1"/>
  <c r="I94" i="7" a="1"/>
  <c r="I94" i="7" s="1"/>
  <c r="I23" i="7" a="1"/>
  <c r="I23" i="7" s="1"/>
  <c r="I160" i="7" a="1"/>
  <c r="I160" i="7" s="1"/>
  <c r="I174" i="7" a="1"/>
  <c r="I174" i="7" s="1"/>
  <c r="I122" i="7" a="1"/>
  <c r="I122" i="7" s="1"/>
  <c r="E153" i="7" a="1"/>
  <c r="E153" i="7" s="1"/>
  <c r="I49" i="7" a="1"/>
  <c r="I49" i="7" s="1"/>
  <c r="R142" i="4"/>
  <c r="R4" i="7" s="1" a="1"/>
  <c r="R4" i="7" s="1"/>
  <c r="BC141" i="13"/>
  <c r="AA142" i="4" s="1"/>
  <c r="E87" i="7" a="1"/>
  <c r="E87" i="7" s="1"/>
  <c r="S165" i="4"/>
  <c r="AZ164" i="13"/>
  <c r="T165" i="4" s="1"/>
  <c r="Q21" i="7" a="1"/>
  <c r="Q21" i="7" s="1"/>
  <c r="Q107" i="7" a="1"/>
  <c r="Q107" i="7" s="1"/>
  <c r="Q60" i="7" a="1"/>
  <c r="Q60" i="7" s="1"/>
  <c r="Q167" i="7" a="1"/>
  <c r="Q167" i="7" s="1"/>
  <c r="Q152" i="7" a="1"/>
  <c r="Q152" i="7" s="1"/>
  <c r="Q95" i="7" a="1"/>
  <c r="Q95" i="7" s="1"/>
  <c r="Q150" i="7" a="1"/>
  <c r="Q150" i="7" s="1"/>
  <c r="Q97" i="7" a="1"/>
  <c r="Q97" i="7" s="1"/>
  <c r="Q73" i="7" a="1"/>
  <c r="Q73" i="7" s="1"/>
  <c r="Q183" i="7" a="1"/>
  <c r="Q183" i="7" s="1"/>
  <c r="Q192" i="7" a="1"/>
  <c r="Q192" i="7" s="1"/>
  <c r="Q164" i="7" a="1"/>
  <c r="Q164" i="7" s="1"/>
  <c r="Q29" i="7" a="1"/>
  <c r="Q29" i="7" s="1"/>
  <c r="Q78" i="7" a="1"/>
  <c r="Q78" i="7" s="1"/>
  <c r="Q142" i="7" a="1"/>
  <c r="Q142" i="7" s="1"/>
  <c r="Q54" i="7" a="1"/>
  <c r="Q54" i="7" s="1"/>
  <c r="Q25" i="7" a="1"/>
  <c r="Q25" i="7" s="1"/>
  <c r="Q79" i="7" a="1"/>
  <c r="Q79" i="7" s="1"/>
  <c r="Q196" i="7" a="1"/>
  <c r="Q196" i="7" s="1"/>
  <c r="Q74" i="7" a="1"/>
  <c r="Q74" i="7" s="1"/>
  <c r="Q72" i="7" a="1"/>
  <c r="Q72" i="7" s="1"/>
  <c r="Q26" i="7" a="1"/>
  <c r="Q26" i="7" s="1"/>
  <c r="Q160" i="7" a="1"/>
  <c r="Q160" i="7" s="1"/>
  <c r="Q42" i="7" a="1"/>
  <c r="Q42" i="7" s="1"/>
  <c r="Q113" i="7" a="1"/>
  <c r="Q113" i="7" s="1"/>
  <c r="Q28" i="7" a="1"/>
  <c r="Q28" i="7" s="1"/>
  <c r="J53" i="7" a="1"/>
  <c r="J53" i="7" s="1"/>
  <c r="J198" i="7" a="1"/>
  <c r="J198" i="7" s="1"/>
  <c r="J186" i="7" a="1"/>
  <c r="J186" i="7" s="1"/>
  <c r="J10" i="7" a="1"/>
  <c r="J10" i="7" s="1"/>
  <c r="J165" i="7" a="1"/>
  <c r="J165" i="7" s="1"/>
  <c r="J33" i="7" a="1"/>
  <c r="J33" i="7" s="1"/>
  <c r="J72" i="7" a="1"/>
  <c r="J72" i="7" s="1"/>
  <c r="J147" i="7" a="1"/>
  <c r="J147" i="7" s="1"/>
  <c r="J61" i="7" a="1"/>
  <c r="J61" i="7" s="1"/>
  <c r="J179" i="7" a="1"/>
  <c r="J179" i="7" s="1"/>
  <c r="J142" i="7" a="1"/>
  <c r="J142" i="7" s="1"/>
  <c r="J55" i="7" a="1"/>
  <c r="J55" i="7" s="1"/>
  <c r="J91" i="7" a="1"/>
  <c r="J91" i="7" s="1"/>
  <c r="J94" i="7" a="1"/>
  <c r="J94" i="7" s="1"/>
  <c r="J42" i="7" a="1"/>
  <c r="J42" i="7" s="1"/>
  <c r="J139" i="7" a="1"/>
  <c r="J139" i="7" s="1"/>
  <c r="J174" i="7" a="1"/>
  <c r="J174" i="7" s="1"/>
  <c r="J46" i="7" a="1"/>
  <c r="J46" i="7" s="1"/>
  <c r="J68" i="7" a="1"/>
  <c r="J68" i="7" s="1"/>
  <c r="J31" i="7" a="1"/>
  <c r="J31" i="7" s="1"/>
  <c r="J71" i="7" a="1"/>
  <c r="J71" i="7" s="1"/>
  <c r="J144" i="7" a="1"/>
  <c r="J144" i="7" s="1"/>
  <c r="J16" i="7" a="1"/>
  <c r="J16" i="7" s="1"/>
  <c r="J25" i="7" a="1"/>
  <c r="J25" i="7" s="1"/>
  <c r="I116" i="7" a="1"/>
  <c r="I116" i="7" s="1"/>
  <c r="Q65" i="7" a="1"/>
  <c r="Q65" i="7" s="1"/>
  <c r="J195" i="7" a="1"/>
  <c r="J195" i="7" s="1"/>
  <c r="AY28" i="13"/>
  <c r="P29" i="4"/>
  <c r="E122" i="7" a="1"/>
  <c r="E122" i="7" s="1"/>
  <c r="E128" i="7" a="1"/>
  <c r="E128" i="7" s="1"/>
  <c r="AZ68" i="13"/>
  <c r="T69" i="4" s="1"/>
  <c r="S69" i="4"/>
  <c r="E116" i="7" a="1"/>
  <c r="E116" i="7" s="1"/>
  <c r="I47" i="7" a="1"/>
  <c r="I47" i="7" s="1"/>
  <c r="E124" i="7" a="1"/>
  <c r="E124" i="7" s="1"/>
  <c r="E86" i="7" a="1"/>
  <c r="E86" i="7" s="1"/>
  <c r="Q181" i="7" a="1"/>
  <c r="Q181" i="7" s="1"/>
  <c r="AY21" i="13"/>
  <c r="P22" i="4"/>
  <c r="I18" i="7" a="1"/>
  <c r="I18" i="7" s="1"/>
  <c r="I177" i="7" a="1"/>
  <c r="I177" i="7" s="1"/>
  <c r="E65" i="7" a="1"/>
  <c r="E65" i="7" s="1"/>
  <c r="I26" i="7" a="1"/>
  <c r="I26" i="7" s="1"/>
  <c r="E179" i="7" a="1"/>
  <c r="E179" i="7" s="1"/>
  <c r="Q32" i="7" a="1"/>
  <c r="Q32" i="7" s="1"/>
  <c r="F11" i="4"/>
  <c r="F180" i="7" s="1" a="1"/>
  <c r="F180" i="7" s="1"/>
  <c r="E189" i="7" a="1"/>
  <c r="E189" i="7" s="1"/>
  <c r="E95" i="7" a="1"/>
  <c r="E95" i="7" s="1"/>
  <c r="E187" i="7" a="1"/>
  <c r="E187" i="7" s="1"/>
  <c r="E21" i="7" a="1"/>
  <c r="E21" i="7" s="1"/>
  <c r="E78" i="7" a="1"/>
  <c r="E78" i="7" s="1"/>
  <c r="E101" i="7" a="1"/>
  <c r="E101" i="7" s="1"/>
  <c r="E19" i="7" a="1"/>
  <c r="E19" i="7" s="1"/>
  <c r="E10" i="7" a="1"/>
  <c r="E10" i="7" s="1"/>
  <c r="E61" i="7" a="1"/>
  <c r="E61" i="7" s="1"/>
  <c r="E173" i="7" a="1"/>
  <c r="E173" i="7" s="1"/>
  <c r="E106" i="7" a="1"/>
  <c r="E106" i="7" s="1"/>
  <c r="E137" i="7" a="1"/>
  <c r="E137" i="7" s="1"/>
  <c r="E157" i="7" a="1"/>
  <c r="E157" i="7" s="1"/>
  <c r="E147" i="7" a="1"/>
  <c r="E147" i="7" s="1"/>
  <c r="E141" i="7" a="1"/>
  <c r="E141" i="7" s="1"/>
  <c r="E117" i="7" a="1"/>
  <c r="E117" i="7" s="1"/>
  <c r="E43" i="7" a="1"/>
  <c r="E43" i="7" s="1"/>
  <c r="E12" i="7" a="1"/>
  <c r="E12" i="7" s="1"/>
  <c r="E53" i="7" a="1"/>
  <c r="E53" i="7" s="1"/>
  <c r="E39" i="7" a="1"/>
  <c r="E39" i="7" s="1"/>
  <c r="E118" i="7" a="1"/>
  <c r="E118" i="7" s="1"/>
  <c r="E97" i="7" a="1"/>
  <c r="E97" i="7" s="1"/>
  <c r="E3" i="7" a="1"/>
  <c r="E3" i="7" s="1"/>
  <c r="E27" i="7" a="1"/>
  <c r="E27" i="7" s="1"/>
  <c r="E51" i="7" a="1"/>
  <c r="E51" i="7" s="1"/>
  <c r="E138" i="7" a="1"/>
  <c r="E138" i="7" s="1"/>
  <c r="E100" i="7" a="1"/>
  <c r="E100" i="7" s="1"/>
  <c r="E145" i="7" a="1"/>
  <c r="E145" i="7" s="1"/>
  <c r="E20" i="7" a="1"/>
  <c r="E20" i="7" s="1"/>
  <c r="E180" i="7" a="1"/>
  <c r="E180" i="7" s="1"/>
  <c r="E114" i="7" a="1"/>
  <c r="E114" i="7" s="1"/>
  <c r="E79" i="7" a="1"/>
  <c r="E79" i="7" s="1"/>
  <c r="E35" i="7" a="1"/>
  <c r="E35" i="7" s="1"/>
  <c r="E163" i="7" a="1"/>
  <c r="E163" i="7" s="1"/>
  <c r="E5" i="7" a="1"/>
  <c r="E5" i="7" s="1"/>
  <c r="E74" i="7" a="1"/>
  <c r="E74" i="7" s="1"/>
  <c r="E161" i="7" a="1"/>
  <c r="E161" i="7" s="1"/>
  <c r="E136" i="7" a="1"/>
  <c r="E136" i="7" s="1"/>
  <c r="E57" i="7" a="1"/>
  <c r="E57" i="7" s="1"/>
  <c r="E81" i="7" a="1"/>
  <c r="E81" i="7" s="1"/>
  <c r="E46" i="7" a="1"/>
  <c r="E46" i="7" s="1"/>
  <c r="E93" i="7" a="1"/>
  <c r="E93" i="7" s="1"/>
  <c r="E195" i="7" a="1"/>
  <c r="E195" i="7" s="1"/>
  <c r="E166" i="7" a="1"/>
  <c r="E166" i="7" s="1"/>
  <c r="E107" i="7" a="1"/>
  <c r="E107" i="7" s="1"/>
  <c r="E83" i="7" a="1"/>
  <c r="E83" i="7" s="1"/>
  <c r="E174" i="7" a="1"/>
  <c r="E174" i="7" s="1"/>
  <c r="E105" i="7" a="1"/>
  <c r="E105" i="7" s="1"/>
  <c r="E7" i="7" a="1"/>
  <c r="E7" i="7" s="1"/>
  <c r="E89" i="7" a="1"/>
  <c r="E89" i="7" s="1"/>
  <c r="E127" i="7" a="1"/>
  <c r="E127" i="7" s="1"/>
  <c r="E52" i="7" a="1"/>
  <c r="E52" i="7" s="1"/>
  <c r="E72" i="7" a="1"/>
  <c r="E72" i="7" s="1"/>
  <c r="E148" i="7" a="1"/>
  <c r="E148" i="7" s="1"/>
  <c r="E80" i="7" a="1"/>
  <c r="E80" i="7" s="1"/>
  <c r="E22" i="7" a="1"/>
  <c r="E22" i="7" s="1"/>
  <c r="E15" i="7" a="1"/>
  <c r="E15" i="7" s="1"/>
  <c r="E23" i="7" a="1"/>
  <c r="E23" i="7" s="1"/>
  <c r="E150" i="7" a="1"/>
  <c r="E150" i="7" s="1"/>
  <c r="E155" i="7" a="1"/>
  <c r="E155" i="7" s="1"/>
  <c r="E48" i="7" a="1"/>
  <c r="E48" i="7" s="1"/>
  <c r="E13" i="7" a="1"/>
  <c r="E13" i="7" s="1"/>
  <c r="E82" i="7" a="1"/>
  <c r="E82" i="7" s="1"/>
  <c r="E109" i="7" a="1"/>
  <c r="E109" i="7" s="1"/>
  <c r="E26" i="7" a="1"/>
  <c r="E26" i="7" s="1"/>
  <c r="E45" i="7" a="1"/>
  <c r="E45" i="7" s="1"/>
  <c r="E96" i="7" a="1"/>
  <c r="E96" i="7" s="1"/>
  <c r="E182" i="7" a="1"/>
  <c r="E182" i="7" s="1"/>
  <c r="E193" i="7" a="1"/>
  <c r="E193" i="7" s="1"/>
  <c r="E135" i="7" a="1"/>
  <c r="E135" i="7" s="1"/>
  <c r="E198" i="7" a="1"/>
  <c r="E198" i="7" s="1"/>
  <c r="E191" i="7" a="1"/>
  <c r="E191" i="7" s="1"/>
  <c r="E69" i="7" a="1"/>
  <c r="E69" i="7" s="1"/>
  <c r="E38" i="7" a="1"/>
  <c r="E38" i="7" s="1"/>
  <c r="E178" i="7" a="1"/>
  <c r="E178" i="7" s="1"/>
  <c r="E140" i="7" a="1"/>
  <c r="E140" i="7" s="1"/>
  <c r="E17" i="7" a="1"/>
  <c r="E17" i="7" s="1"/>
  <c r="E94" i="7" a="1"/>
  <c r="E94" i="7" s="1"/>
  <c r="E73" i="7" a="1"/>
  <c r="E73" i="7" s="1"/>
  <c r="E181" i="7" a="1"/>
  <c r="E181" i="7" s="1"/>
  <c r="E199" i="7" a="1"/>
  <c r="E199" i="7" s="1"/>
  <c r="E164" i="7" a="1"/>
  <c r="E164" i="7" s="1"/>
  <c r="E40" i="7" a="1"/>
  <c r="E40" i="7" s="1"/>
  <c r="E126" i="7" a="1"/>
  <c r="E126" i="7" s="1"/>
  <c r="E120" i="7" a="1"/>
  <c r="E120" i="7" s="1"/>
  <c r="E134" i="7" a="1"/>
  <c r="E134" i="7" s="1"/>
  <c r="E152" i="7" a="1"/>
  <c r="E152" i="7" s="1"/>
  <c r="E177" i="7" a="1"/>
  <c r="E177" i="7" s="1"/>
  <c r="E133" i="7" a="1"/>
  <c r="E133" i="7" s="1"/>
  <c r="E197" i="7" a="1"/>
  <c r="E197" i="7" s="1"/>
  <c r="E192" i="7" a="1"/>
  <c r="E192" i="7" s="1"/>
  <c r="E49" i="7" a="1"/>
  <c r="E49" i="7" s="1"/>
  <c r="E70" i="7" a="1"/>
  <c r="E70" i="7" s="1"/>
  <c r="E24" i="7" a="1"/>
  <c r="E24" i="7" s="1"/>
  <c r="E36" i="7" a="1"/>
  <c r="E36" i="7" s="1"/>
  <c r="E104" i="7" a="1"/>
  <c r="E104" i="7" s="1"/>
  <c r="E103" i="7" a="1"/>
  <c r="E103" i="7" s="1"/>
  <c r="E34" i="7" a="1"/>
  <c r="E34" i="7" s="1"/>
  <c r="E125" i="7" a="1"/>
  <c r="E125" i="7" s="1"/>
  <c r="E77" i="7" a="1"/>
  <c r="E77" i="7" s="1"/>
  <c r="Q126" i="7" a="1"/>
  <c r="Q126" i="7" s="1"/>
  <c r="S36" i="4"/>
  <c r="AZ35" i="13"/>
  <c r="T36" i="4" s="1"/>
  <c r="AB168" i="7" a="1"/>
  <c r="AB168" i="7" s="1"/>
  <c r="AB79" i="7" a="1"/>
  <c r="AB79" i="7" s="1"/>
  <c r="AB31" i="7" a="1"/>
  <c r="AB31" i="7" s="1"/>
  <c r="AB180" i="7" a="1"/>
  <c r="AB180" i="7" s="1"/>
  <c r="AY53" i="13"/>
  <c r="P54" i="4"/>
  <c r="S140" i="4"/>
  <c r="AZ139" i="13"/>
  <c r="T140" i="4" s="1"/>
  <c r="Q159" i="7" a="1"/>
  <c r="Q159" i="7" s="1"/>
  <c r="Q88" i="7" a="1"/>
  <c r="Q88" i="7" s="1"/>
  <c r="Q148" i="7" a="1"/>
  <c r="Q148" i="7" s="1"/>
  <c r="Q96" i="7" a="1"/>
  <c r="Q96" i="7" s="1"/>
  <c r="J92" i="7" a="1"/>
  <c r="J92" i="7" s="1"/>
  <c r="J181" i="7" a="1"/>
  <c r="J181" i="7" s="1"/>
  <c r="J166" i="7" a="1"/>
  <c r="J166" i="7" s="1"/>
  <c r="I163" i="7" a="1"/>
  <c r="I163" i="7" s="1"/>
  <c r="I76" i="7" a="1"/>
  <c r="I76" i="7" s="1"/>
  <c r="I145" i="7" a="1"/>
  <c r="I145" i="7" s="1"/>
  <c r="I181" i="7" a="1"/>
  <c r="I181" i="7" s="1"/>
  <c r="I189" i="7" a="1"/>
  <c r="I189" i="7" s="1"/>
  <c r="I91" i="7" a="1"/>
  <c r="I91" i="7" s="1"/>
  <c r="I7" i="7" a="1"/>
  <c r="I7" i="7" s="1"/>
  <c r="I57" i="7" a="1"/>
  <c r="I57" i="7" s="1"/>
  <c r="I64" i="7" a="1"/>
  <c r="I64" i="7" s="1"/>
  <c r="I98" i="7" a="1"/>
  <c r="I98" i="7" s="1"/>
  <c r="I17" i="7" a="1"/>
  <c r="I17" i="7" s="1"/>
  <c r="I21" i="7" a="1"/>
  <c r="I21" i="7" s="1"/>
  <c r="E168" i="7" a="1"/>
  <c r="E168" i="7" s="1"/>
  <c r="E64" i="7" a="1"/>
  <c r="E64" i="7" s="1"/>
  <c r="E113" i="7" a="1"/>
  <c r="E113" i="7" s="1"/>
  <c r="E162" i="7" a="1"/>
  <c r="E162" i="7" s="1"/>
  <c r="E60" i="7" a="1"/>
  <c r="E60" i="7" s="1"/>
  <c r="E170" i="7" a="1"/>
  <c r="E170" i="7" s="1"/>
  <c r="E29" i="7" a="1"/>
  <c r="E29" i="7" s="1"/>
  <c r="E25" i="7" a="1"/>
  <c r="E25" i="7" s="1"/>
  <c r="E59" i="7" a="1"/>
  <c r="E59" i="7" s="1"/>
  <c r="E142" i="7" a="1"/>
  <c r="E142" i="7" s="1"/>
  <c r="E92" i="7" a="1"/>
  <c r="E92" i="7" s="1"/>
  <c r="E167" i="7" a="1"/>
  <c r="E167" i="7" s="1"/>
  <c r="AY22" i="13"/>
  <c r="P23" i="4"/>
  <c r="AY181" i="13"/>
  <c r="P182" i="4"/>
  <c r="P152" i="4"/>
  <c r="AY151" i="13"/>
  <c r="AY97" i="13"/>
  <c r="P98" i="4"/>
  <c r="AY101" i="13"/>
  <c r="P102" i="4"/>
  <c r="AY17" i="13"/>
  <c r="P18" i="4"/>
  <c r="P157" i="4"/>
  <c r="AY156" i="13"/>
  <c r="BC120" i="13"/>
  <c r="AA121" i="4" s="1"/>
  <c r="BC109" i="13"/>
  <c r="AA110" i="4" s="1"/>
  <c r="BC131" i="13"/>
  <c r="AA132" i="4" s="1"/>
  <c r="S126" i="4"/>
  <c r="AZ125" i="13"/>
  <c r="T126" i="4" s="1"/>
  <c r="AY71" i="13"/>
  <c r="P72" i="4"/>
  <c r="Q124" i="7" a="1"/>
  <c r="Q124" i="7" s="1"/>
  <c r="Q130" i="7" a="1"/>
  <c r="Q130" i="7" s="1"/>
  <c r="Q15" i="7" a="1"/>
  <c r="Q15" i="7" s="1"/>
  <c r="Q173" i="7" a="1"/>
  <c r="Q173" i="7" s="1"/>
  <c r="Q129" i="7" a="1"/>
  <c r="Q129" i="7" s="1"/>
  <c r="Q35" i="7" a="1"/>
  <c r="Q35" i="7" s="1"/>
  <c r="Q146" i="7" a="1"/>
  <c r="Q146" i="7" s="1"/>
  <c r="Q184" i="7" a="1"/>
  <c r="Q184" i="7" s="1"/>
  <c r="Q3" i="7" a="1"/>
  <c r="Q3" i="7" s="1"/>
  <c r="Q118" i="7" a="1"/>
  <c r="Q118" i="7" s="1"/>
  <c r="Q191" i="7" a="1"/>
  <c r="Q191" i="7" s="1"/>
  <c r="Q13" i="7" a="1"/>
  <c r="Q13" i="7" s="1"/>
  <c r="J73" i="7" a="1"/>
  <c r="J73" i="7" s="1"/>
  <c r="J194" i="7" a="1"/>
  <c r="J194" i="7" s="1"/>
  <c r="J9" i="7" a="1"/>
  <c r="J9" i="7" s="1"/>
  <c r="J177" i="7" a="1"/>
  <c r="J177" i="7" s="1"/>
  <c r="J197" i="7" a="1"/>
  <c r="J197" i="7" s="1"/>
  <c r="J40" i="7" a="1"/>
  <c r="J40" i="7" s="1"/>
  <c r="J154" i="7" a="1"/>
  <c r="J154" i="7" s="1"/>
  <c r="J81" i="7" a="1"/>
  <c r="J81" i="7" s="1"/>
  <c r="J199" i="7" a="1"/>
  <c r="J199" i="7" s="1"/>
  <c r="J126" i="7" a="1"/>
  <c r="J126" i="7" s="1"/>
  <c r="J129" i="7" a="1"/>
  <c r="J129" i="7" s="1"/>
  <c r="J8" i="7" a="1"/>
  <c r="J8" i="7" s="1"/>
  <c r="BC148" i="13"/>
  <c r="AA149" i="4" s="1"/>
  <c r="AB61" i="7" a="1"/>
  <c r="AB61" i="7" s="1"/>
  <c r="AB60" i="7" a="1"/>
  <c r="AB60" i="7" s="1"/>
  <c r="AB110" i="7" a="1"/>
  <c r="AB110" i="7" s="1"/>
  <c r="AB137" i="7" a="1"/>
  <c r="AB137" i="7" s="1"/>
  <c r="AB64" i="7" a="1"/>
  <c r="AB64" i="7" s="1"/>
  <c r="AB118" i="7" a="1"/>
  <c r="AB118" i="7" s="1"/>
  <c r="AB67" i="7" a="1"/>
  <c r="AB67" i="7" s="1"/>
  <c r="AB115" i="7" a="1"/>
  <c r="AB115" i="7" s="1"/>
  <c r="AB65" i="7" a="1"/>
  <c r="AB65" i="7" s="1"/>
  <c r="AB55" i="7" a="1"/>
  <c r="AB55" i="7" s="1"/>
  <c r="AB125" i="7" a="1"/>
  <c r="AB125" i="7" s="1"/>
  <c r="AB166" i="7" a="1"/>
  <c r="AB166" i="7" s="1"/>
  <c r="H195" i="7" a="1"/>
  <c r="H195" i="7" s="1"/>
  <c r="H183" i="7" a="1"/>
  <c r="H183" i="7" s="1"/>
  <c r="H175" i="7" a="1"/>
  <c r="H175" i="7" s="1"/>
  <c r="H166" i="7" a="1"/>
  <c r="H166" i="7" s="1"/>
  <c r="H159" i="7" a="1"/>
  <c r="H159" i="7" s="1"/>
  <c r="H149" i="7" a="1"/>
  <c r="H149" i="7" s="1"/>
  <c r="H134" i="7" a="1"/>
  <c r="H134" i="7" s="1"/>
  <c r="H129" i="7" a="1"/>
  <c r="H129" i="7" s="1"/>
  <c r="H142" i="7" a="1"/>
  <c r="H142" i="7" s="1"/>
  <c r="H101" i="7" a="1"/>
  <c r="H101" i="7" s="1"/>
  <c r="H163" i="7" a="1"/>
  <c r="H163" i="7" s="1"/>
  <c r="H128" i="7" a="1"/>
  <c r="H128" i="7" s="1"/>
  <c r="H69" i="7" a="1"/>
  <c r="H69" i="7" s="1"/>
  <c r="H91" i="7" a="1"/>
  <c r="H91" i="7" s="1"/>
  <c r="H124" i="7" a="1"/>
  <c r="H124" i="7" s="1"/>
  <c r="H70" i="7" a="1"/>
  <c r="H70" i="7" s="1"/>
  <c r="H73" i="7" a="1"/>
  <c r="H73" i="7" s="1"/>
  <c r="H55" i="7" a="1"/>
  <c r="H55" i="7" s="1"/>
  <c r="H35" i="7" a="1"/>
  <c r="H35" i="7" s="1"/>
  <c r="H53" i="7" a="1"/>
  <c r="H53" i="7" s="1"/>
  <c r="H17" i="7" a="1"/>
  <c r="H17" i="7" s="1"/>
  <c r="H187" i="7" a="1"/>
  <c r="H187" i="7" s="1"/>
  <c r="H182" i="7" a="1"/>
  <c r="H182" i="7" s="1"/>
  <c r="H174" i="7" a="1"/>
  <c r="H174" i="7" s="1"/>
  <c r="H165" i="7" a="1"/>
  <c r="H165" i="7" s="1"/>
  <c r="H158" i="7" a="1"/>
  <c r="H158" i="7" s="1"/>
  <c r="H148" i="7" a="1"/>
  <c r="H148" i="7" s="1"/>
  <c r="H132" i="7" a="1"/>
  <c r="H132" i="7" s="1"/>
  <c r="H150" i="7" a="1"/>
  <c r="H150" i="7" s="1"/>
  <c r="H143" i="7" a="1"/>
  <c r="H143" i="7" s="1"/>
  <c r="H127" i="7" a="1"/>
  <c r="H127" i="7" s="1"/>
  <c r="H125" i="7" a="1"/>
  <c r="H125" i="7" s="1"/>
  <c r="H113" i="7" a="1"/>
  <c r="H113" i="7" s="1"/>
  <c r="H68" i="7" a="1"/>
  <c r="H68" i="7" s="1"/>
  <c r="H90" i="7" a="1"/>
  <c r="H90" i="7" s="1"/>
  <c r="H95" i="7" a="1"/>
  <c r="H95" i="7" s="1"/>
  <c r="H63" i="7" a="1"/>
  <c r="H63" i="7" s="1"/>
  <c r="H64" i="7" a="1"/>
  <c r="H64" i="7" s="1"/>
  <c r="H52" i="7" a="1"/>
  <c r="H52" i="7" s="1"/>
  <c r="H28" i="7" a="1"/>
  <c r="H28" i="7" s="1"/>
  <c r="H42" i="7" a="1"/>
  <c r="H42" i="7" s="1"/>
  <c r="H10" i="7" a="1"/>
  <c r="H10" i="7" s="1"/>
  <c r="H31" i="7" a="1"/>
  <c r="H31" i="7" s="1"/>
  <c r="H21" i="7" a="1"/>
  <c r="H21" i="7" s="1"/>
  <c r="H29" i="7" a="1"/>
  <c r="H29" i="7" s="1"/>
  <c r="H186" i="7" a="1"/>
  <c r="H186" i="7" s="1"/>
  <c r="H188" i="7" a="1"/>
  <c r="H188" i="7" s="1"/>
  <c r="H180" i="7" a="1"/>
  <c r="H180" i="7" s="1"/>
  <c r="H178" i="7" a="1"/>
  <c r="H178" i="7" s="1"/>
  <c r="H151" i="7" a="1"/>
  <c r="H151" i="7" s="1"/>
  <c r="H154" i="7" a="1"/>
  <c r="H154" i="7" s="1"/>
  <c r="H145" i="7" a="1"/>
  <c r="H145" i="7" s="1"/>
  <c r="H147" i="7" a="1"/>
  <c r="H147" i="7" s="1"/>
  <c r="H126" i="7" a="1"/>
  <c r="H126" i="7" s="1"/>
  <c r="H123" i="7" a="1"/>
  <c r="H123" i="7" s="1"/>
  <c r="H121" i="7" a="1"/>
  <c r="H121" i="7" s="1"/>
  <c r="H93" i="7" a="1"/>
  <c r="H93" i="7" s="1"/>
  <c r="H61" i="7" a="1"/>
  <c r="H61" i="7" s="1"/>
  <c r="H83" i="7" a="1"/>
  <c r="H83" i="7" s="1"/>
  <c r="H94" i="7" a="1"/>
  <c r="H94" i="7" s="1"/>
  <c r="H62" i="7" a="1"/>
  <c r="H62" i="7" s="1"/>
  <c r="H54" i="7" a="1"/>
  <c r="H54" i="7" s="1"/>
  <c r="H48" i="7" a="1"/>
  <c r="H48" i="7" s="1"/>
  <c r="H27" i="7" a="1"/>
  <c r="H27" i="7" s="1"/>
  <c r="H41" i="7" a="1"/>
  <c r="H41" i="7" s="1"/>
  <c r="H9" i="7" a="1"/>
  <c r="H9" i="7" s="1"/>
  <c r="H24" i="7" a="1"/>
  <c r="H24" i="7" s="1"/>
  <c r="H3" i="7" a="1"/>
  <c r="H3" i="7" s="1"/>
  <c r="H4" i="7" a="1"/>
  <c r="H4" i="7" s="1"/>
  <c r="H192" i="7" a="1"/>
  <c r="H192" i="7" s="1"/>
  <c r="H109" i="7" a="1"/>
  <c r="H109" i="7" s="1"/>
  <c r="H111" i="7" a="1"/>
  <c r="H111" i="7" s="1"/>
  <c r="H114" i="7" a="1"/>
  <c r="H114" i="7" s="1"/>
  <c r="H87" i="7" a="1"/>
  <c r="H87" i="7" s="1"/>
  <c r="H96" i="7" a="1"/>
  <c r="H96" i="7" s="1"/>
  <c r="H23" i="7" a="1"/>
  <c r="H23" i="7" s="1"/>
  <c r="H14" i="7" a="1"/>
  <c r="H14" i="7" s="1"/>
  <c r="H179" i="7" a="1"/>
  <c r="H179" i="7" s="1"/>
  <c r="H153" i="7" a="1"/>
  <c r="H153" i="7" s="1"/>
  <c r="H146" i="7" a="1"/>
  <c r="H146" i="7" s="1"/>
  <c r="H139" i="7" a="1"/>
  <c r="H139" i="7" s="1"/>
  <c r="H102" i="7" a="1"/>
  <c r="H102" i="7" s="1"/>
  <c r="H43" i="7" a="1"/>
  <c r="H43" i="7" s="1"/>
  <c r="H26" i="7" a="1"/>
  <c r="H26" i="7" s="1"/>
  <c r="H6" i="7" a="1"/>
  <c r="H6" i="7" s="1"/>
  <c r="H198" i="7" a="1"/>
  <c r="H198" i="7" s="1"/>
  <c r="H189" i="7" a="1"/>
  <c r="H189" i="7" s="1"/>
  <c r="H104" i="7" a="1"/>
  <c r="H104" i="7" s="1"/>
  <c r="H105" i="7" a="1"/>
  <c r="H105" i="7" s="1"/>
  <c r="H86" i="7" a="1"/>
  <c r="H86" i="7" s="1"/>
  <c r="H49" i="7" a="1"/>
  <c r="H49" i="7" s="1"/>
  <c r="H36" i="7" a="1"/>
  <c r="H36" i="7" s="1"/>
  <c r="H16" i="7" a="1"/>
  <c r="H16" i="7" s="1"/>
  <c r="H38" i="7" a="1"/>
  <c r="H38" i="7" s="1"/>
  <c r="H170" i="7" a="1"/>
  <c r="H170" i="7" s="1"/>
  <c r="H144" i="7" a="1"/>
  <c r="H144" i="7" s="1"/>
  <c r="H138" i="7" a="1"/>
  <c r="H138" i="7" s="1"/>
  <c r="H119" i="7" a="1"/>
  <c r="H119" i="7" s="1"/>
  <c r="H103" i="7" a="1"/>
  <c r="H103" i="7" s="1"/>
  <c r="H25" i="7" a="1"/>
  <c r="H25" i="7" s="1"/>
  <c r="H137" i="7" a="1"/>
  <c r="H137" i="7" s="1"/>
  <c r="H196" i="7" a="1"/>
  <c r="H196" i="7" s="1"/>
  <c r="H176" i="7" a="1"/>
  <c r="H176" i="7" s="1"/>
  <c r="H171" i="7" a="1"/>
  <c r="H171" i="7" s="1"/>
  <c r="H136" i="7" a="1"/>
  <c r="H136" i="7" s="1"/>
  <c r="H78" i="7" a="1"/>
  <c r="H78" i="7" s="1"/>
  <c r="H89" i="7" a="1"/>
  <c r="H89" i="7" s="1"/>
  <c r="H19" i="7" a="1"/>
  <c r="H19" i="7" s="1"/>
  <c r="H106" i="7" a="1"/>
  <c r="H106" i="7" s="1"/>
  <c r="H8" i="7" a="1"/>
  <c r="H8" i="7" s="1"/>
  <c r="H22" i="7" a="1"/>
  <c r="H22" i="7" s="1"/>
  <c r="H130" i="7" a="1"/>
  <c r="H130" i="7" s="1"/>
  <c r="H115" i="7" a="1"/>
  <c r="H115" i="7" s="1"/>
  <c r="H85" i="7" a="1"/>
  <c r="H85" i="7" s="1"/>
  <c r="H82" i="7" a="1"/>
  <c r="H82" i="7" s="1"/>
  <c r="H71" i="7" a="1"/>
  <c r="H71" i="7" s="1"/>
  <c r="H7" i="7" a="1"/>
  <c r="H7" i="7" s="1"/>
  <c r="H191" i="7" a="1"/>
  <c r="H191" i="7" s="1"/>
  <c r="H173" i="7" a="1"/>
  <c r="H173" i="7" s="1"/>
  <c r="H164" i="7" a="1"/>
  <c r="H164" i="7" s="1"/>
  <c r="H141" i="7" a="1"/>
  <c r="H141" i="7" s="1"/>
  <c r="H169" i="7" a="1"/>
  <c r="H169" i="7" s="1"/>
  <c r="H80" i="7" a="1"/>
  <c r="H80" i="7" s="1"/>
  <c r="H12" i="7" a="1"/>
  <c r="H12" i="7" s="1"/>
  <c r="H100" i="7" a="1"/>
  <c r="H100" i="7" s="1"/>
  <c r="H30" i="7" a="1"/>
  <c r="H30" i="7" s="1"/>
  <c r="H13" i="7" a="1"/>
  <c r="H13" i="7" s="1"/>
  <c r="H194" i="7" a="1"/>
  <c r="H194" i="7" s="1"/>
  <c r="H190" i="7" a="1"/>
  <c r="H190" i="7" s="1"/>
  <c r="H108" i="7" a="1"/>
  <c r="H108" i="7" s="1"/>
  <c r="H84" i="7" a="1"/>
  <c r="H84" i="7" s="1"/>
  <c r="H75" i="7" a="1"/>
  <c r="H75" i="7" s="1"/>
  <c r="H81" i="7" a="1"/>
  <c r="H81" i="7" s="1"/>
  <c r="H58" i="7" a="1"/>
  <c r="H58" i="7" s="1"/>
  <c r="H133" i="7" a="1"/>
  <c r="H133" i="7" s="1"/>
  <c r="H110" i="7" a="1"/>
  <c r="H110" i="7" s="1"/>
  <c r="H112" i="7" a="1"/>
  <c r="H112" i="7" s="1"/>
  <c r="H60" i="7" a="1"/>
  <c r="H60" i="7" s="1"/>
  <c r="H66" i="7" a="1"/>
  <c r="H66" i="7" s="1"/>
  <c r="H32" i="7" a="1"/>
  <c r="H32" i="7" s="1"/>
  <c r="H37" i="7" a="1"/>
  <c r="H37" i="7" s="1"/>
  <c r="H161" i="7" a="1"/>
  <c r="H161" i="7" s="1"/>
  <c r="H99" i="7" a="1"/>
  <c r="H99" i="7" s="1"/>
  <c r="H40" i="7" a="1"/>
  <c r="H40" i="7" s="1"/>
  <c r="H200" i="7" a="1"/>
  <c r="H200" i="7" s="1"/>
  <c r="H98" i="7" a="1"/>
  <c r="H98" i="7" s="1"/>
  <c r="H65" i="7" a="1"/>
  <c r="H65" i="7" s="1"/>
  <c r="H39" i="7" a="1"/>
  <c r="H39" i="7" s="1"/>
  <c r="H199" i="7" a="1"/>
  <c r="H199" i="7" s="1"/>
  <c r="H157" i="7" a="1"/>
  <c r="H157" i="7" s="1"/>
  <c r="H185" i="7" a="1"/>
  <c r="H185" i="7" s="1"/>
  <c r="H156" i="7" a="1"/>
  <c r="H156" i="7" s="1"/>
  <c r="H116" i="7" a="1"/>
  <c r="H116" i="7" s="1"/>
  <c r="H74" i="7" a="1"/>
  <c r="H74" i="7" s="1"/>
  <c r="H57" i="7" a="1"/>
  <c r="H57" i="7" s="1"/>
  <c r="H15" i="7" a="1"/>
  <c r="H15" i="7" s="1"/>
  <c r="H140" i="7" a="1"/>
  <c r="H140" i="7" s="1"/>
  <c r="H117" i="7" a="1"/>
  <c r="H117" i="7" s="1"/>
  <c r="H197" i="7" a="1"/>
  <c r="H197" i="7" s="1"/>
  <c r="H79" i="7" a="1"/>
  <c r="H79" i="7" s="1"/>
  <c r="H11" i="7" a="1"/>
  <c r="H11" i="7" s="1"/>
  <c r="H46" i="7" a="1"/>
  <c r="H46" i="7" s="1"/>
  <c r="H184" i="7" a="1"/>
  <c r="H184" i="7" s="1"/>
  <c r="H135" i="7" a="1"/>
  <c r="H135" i="7" s="1"/>
  <c r="H59" i="7" a="1"/>
  <c r="H59" i="7" s="1"/>
  <c r="H152" i="7" a="1"/>
  <c r="H152" i="7" s="1"/>
  <c r="H18" i="7" a="1"/>
  <c r="H18" i="7" s="1"/>
  <c r="H167" i="7" a="1"/>
  <c r="H167" i="7" s="1"/>
  <c r="H162" i="7" a="1"/>
  <c r="H162" i="7" s="1"/>
  <c r="H47" i="7" a="1"/>
  <c r="H47" i="7" s="1"/>
  <c r="H92" i="7" a="1"/>
  <c r="H92" i="7" s="1"/>
  <c r="H160" i="7" a="1"/>
  <c r="H160" i="7" s="1"/>
  <c r="H131" i="7" a="1"/>
  <c r="H131" i="7" s="1"/>
  <c r="H67" i="7" a="1"/>
  <c r="H67" i="7" s="1"/>
  <c r="H5" i="7" a="1"/>
  <c r="H5" i="7" s="1"/>
  <c r="H155" i="7" a="1"/>
  <c r="H155" i="7" s="1"/>
  <c r="H72" i="7" a="1"/>
  <c r="H72" i="7" s="1"/>
  <c r="H56" i="7" a="1"/>
  <c r="H56" i="7" s="1"/>
  <c r="H107" i="7" a="1"/>
  <c r="H107" i="7" s="1"/>
  <c r="H88" i="7" a="1"/>
  <c r="H88" i="7" s="1"/>
  <c r="H193" i="7" a="1"/>
  <c r="H193" i="7" s="1"/>
  <c r="H122" i="7" a="1"/>
  <c r="H122" i="7" s="1"/>
  <c r="H177" i="7" a="1"/>
  <c r="H177" i="7" s="1"/>
  <c r="H44" i="7" a="1"/>
  <c r="H44" i="7" s="1"/>
  <c r="H76" i="7" a="1"/>
  <c r="H76" i="7" s="1"/>
  <c r="H51" i="7" a="1"/>
  <c r="H51" i="7" s="1"/>
  <c r="H45" i="7" a="1"/>
  <c r="H45" i="7" s="1"/>
  <c r="H120" i="7" a="1"/>
  <c r="H120" i="7" s="1"/>
  <c r="H20" i="7" a="1"/>
  <c r="H20" i="7" s="1"/>
  <c r="H77" i="7" a="1"/>
  <c r="H77" i="7" s="1"/>
  <c r="H33" i="7" a="1"/>
  <c r="H33" i="7" s="1"/>
  <c r="H181" i="7" a="1"/>
  <c r="H181" i="7" s="1"/>
  <c r="H118" i="7" a="1"/>
  <c r="H118" i="7" s="1"/>
  <c r="H50" i="7" a="1"/>
  <c r="H50" i="7" s="1"/>
  <c r="H97" i="7" a="1"/>
  <c r="H97" i="7" s="1"/>
  <c r="H168" i="7" a="1"/>
  <c r="H168" i="7" s="1"/>
  <c r="H172" i="7" a="1"/>
  <c r="H172" i="7" s="1"/>
  <c r="H34" i="7" a="1"/>
  <c r="H34" i="7" s="1"/>
  <c r="S141" i="4"/>
  <c r="AZ140" i="13"/>
  <c r="T141" i="4" s="1"/>
  <c r="AZ61" i="13"/>
  <c r="T62" i="4" s="1"/>
  <c r="S62" i="4"/>
  <c r="BC133" i="13"/>
  <c r="AA134" i="4" s="1"/>
  <c r="AZ142" i="13"/>
  <c r="T143" i="4" s="1"/>
  <c r="S143" i="4"/>
  <c r="S148" i="4"/>
  <c r="AZ147" i="13"/>
  <c r="T148" i="4" s="1"/>
  <c r="S21" i="4"/>
  <c r="AZ20" i="13"/>
  <c r="T21" i="4" s="1"/>
  <c r="BC147" i="13"/>
  <c r="AA148" i="4" s="1"/>
  <c r="AY119" i="13"/>
  <c r="P120" i="4"/>
  <c r="S100" i="4"/>
  <c r="AZ99" i="13"/>
  <c r="T100" i="4" s="1"/>
  <c r="S167" i="4"/>
  <c r="AZ166" i="13"/>
  <c r="T167" i="4" s="1"/>
  <c r="S56" i="4"/>
  <c r="AZ55" i="13"/>
  <c r="T56" i="4" s="1"/>
  <c r="P137" i="4"/>
  <c r="AY136" i="13"/>
  <c r="BC51" i="13"/>
  <c r="AA52" i="4" s="1"/>
  <c r="S78" i="4"/>
  <c r="AZ77" i="13"/>
  <c r="T78" i="4" s="1"/>
  <c r="BC180" i="13"/>
  <c r="AA181" i="4" s="1"/>
  <c r="AY85" i="13"/>
  <c r="P86" i="4"/>
  <c r="S125" i="4"/>
  <c r="AZ124" i="13"/>
  <c r="T125" i="4" s="1"/>
  <c r="Q8" i="7" a="1"/>
  <c r="Q8" i="7" s="1"/>
  <c r="Q187" i="7" a="1"/>
  <c r="Q187" i="7" s="1"/>
  <c r="Q186" i="7" a="1"/>
  <c r="Q186" i="7" s="1"/>
  <c r="Q172" i="7" a="1"/>
  <c r="Q172" i="7" s="1"/>
  <c r="Q123" i="7" a="1"/>
  <c r="Q123" i="7" s="1"/>
  <c r="Q106" i="7" a="1"/>
  <c r="Q106" i="7" s="1"/>
  <c r="Q48" i="7" a="1"/>
  <c r="Q48" i="7" s="1"/>
  <c r="Q199" i="7" a="1"/>
  <c r="Q199" i="7" s="1"/>
  <c r="Q141" i="7" a="1"/>
  <c r="Q141" i="7" s="1"/>
  <c r="Q133" i="7" a="1"/>
  <c r="Q133" i="7" s="1"/>
  <c r="Q156" i="7" a="1"/>
  <c r="Q156" i="7" s="1"/>
  <c r="Q62" i="7" a="1"/>
  <c r="Q62" i="7" s="1"/>
  <c r="J141" i="7" a="1"/>
  <c r="J141" i="7" s="1"/>
  <c r="J119" i="7" a="1"/>
  <c r="J119" i="7" s="1"/>
  <c r="J161" i="7" a="1"/>
  <c r="J161" i="7" s="1"/>
  <c r="J183" i="7" a="1"/>
  <c r="J183" i="7" s="1"/>
  <c r="J58" i="7" a="1"/>
  <c r="J58" i="7" s="1"/>
  <c r="J188" i="7" a="1"/>
  <c r="J188" i="7" s="1"/>
  <c r="J59" i="7" a="1"/>
  <c r="J59" i="7" s="1"/>
  <c r="J137" i="7" a="1"/>
  <c r="J137" i="7" s="1"/>
  <c r="J124" i="7" a="1"/>
  <c r="J124" i="7" s="1"/>
  <c r="J158" i="7" a="1"/>
  <c r="J158" i="7" s="1"/>
  <c r="J99" i="7" a="1"/>
  <c r="J99" i="7" s="1"/>
  <c r="J105" i="7" a="1"/>
  <c r="J105" i="7" s="1"/>
  <c r="AY94" i="13"/>
  <c r="P95" i="4"/>
  <c r="AY54" i="13"/>
  <c r="P55" i="4"/>
  <c r="AB127" i="7" a="1"/>
  <c r="AB127" i="7" s="1"/>
  <c r="AB167" i="7" a="1"/>
  <c r="AB167" i="7" s="1"/>
  <c r="AB143" i="7" a="1"/>
  <c r="AB143" i="7" s="1"/>
  <c r="AB50" i="7" a="1"/>
  <c r="AB50" i="7" s="1"/>
  <c r="AB14" i="7" a="1"/>
  <c r="AB14" i="7" s="1"/>
  <c r="AB54" i="7" a="1"/>
  <c r="AB54" i="7" s="1"/>
  <c r="AB17" i="7" a="1"/>
  <c r="AB17" i="7" s="1"/>
  <c r="AB144" i="7" a="1"/>
  <c r="AB144" i="7" s="1"/>
  <c r="AB84" i="7" a="1"/>
  <c r="AB84" i="7" s="1"/>
  <c r="AB120" i="7" a="1"/>
  <c r="AB120" i="7" s="1"/>
  <c r="AB169" i="7" a="1"/>
  <c r="AB169" i="7" s="1"/>
  <c r="AB196" i="7" a="1"/>
  <c r="AB196" i="7" s="1"/>
  <c r="S87" i="4"/>
  <c r="AZ86" i="13"/>
  <c r="T87" i="4" s="1"/>
  <c r="AY88" i="13"/>
  <c r="P89" i="4"/>
  <c r="AB10" i="7" a="1"/>
  <c r="AB10" i="7" s="1"/>
  <c r="AB155" i="7" a="1"/>
  <c r="AB155" i="7" s="1"/>
  <c r="AB164" i="7" a="1"/>
  <c r="AB164" i="7" s="1"/>
  <c r="AB153" i="7" a="1"/>
  <c r="AB153" i="7" s="1"/>
  <c r="AB96" i="7" a="1"/>
  <c r="AB96" i="7" s="1"/>
  <c r="AY172" i="13"/>
  <c r="P173" i="4"/>
  <c r="AZ4" i="13"/>
  <c r="T5" i="4" s="1"/>
  <c r="S5" i="4"/>
  <c r="AB160" i="7" a="1"/>
  <c r="AB160" i="7" s="1"/>
  <c r="AB86" i="7" a="1"/>
  <c r="AB86" i="7" s="1"/>
  <c r="AB119" i="7" a="1"/>
  <c r="AB119" i="7" s="1"/>
  <c r="AB128" i="7" a="1"/>
  <c r="AB128" i="7" s="1"/>
  <c r="AB20" i="7" a="1"/>
  <c r="AB20" i="7" s="1"/>
  <c r="AB126" i="7" a="1"/>
  <c r="AB126" i="7" s="1"/>
  <c r="AB152" i="7" a="1"/>
  <c r="AB152" i="7" s="1"/>
  <c r="AB178" i="7" a="1"/>
  <c r="AB178" i="7" s="1"/>
  <c r="AB24" i="7" a="1"/>
  <c r="AB24" i="7" s="1"/>
  <c r="AB85" i="7" a="1"/>
  <c r="AB85" i="7" s="1"/>
  <c r="AB22" i="7" a="1"/>
  <c r="AB22" i="7" s="1"/>
  <c r="AB176" i="7" a="1"/>
  <c r="AB176" i="7" s="1"/>
  <c r="S169" i="4"/>
  <c r="AZ168" i="13"/>
  <c r="T169" i="4" s="1"/>
  <c r="S52" i="4"/>
  <c r="AZ51" i="13"/>
  <c r="T52" i="4" s="1"/>
  <c r="AB132" i="7" a="1"/>
  <c r="AB132" i="7" s="1"/>
  <c r="AB139" i="7" a="1"/>
  <c r="AB139" i="7" s="1"/>
  <c r="BC119" i="13"/>
  <c r="AA120" i="4" s="1"/>
  <c r="BC21" i="13"/>
  <c r="AA22" i="4" s="1"/>
  <c r="AY179" i="13"/>
  <c r="P180" i="4"/>
  <c r="AY118" i="13"/>
  <c r="P119" i="4"/>
  <c r="S142" i="4"/>
  <c r="AZ141" i="13"/>
  <c r="T142" i="4" s="1"/>
  <c r="BC115" i="13"/>
  <c r="AA116" i="4" s="1"/>
  <c r="P135" i="4"/>
  <c r="AY134" i="13"/>
  <c r="Q137" i="7" a="1"/>
  <c r="Q137" i="7" s="1"/>
  <c r="Q105" i="7" a="1"/>
  <c r="Q105" i="7" s="1"/>
  <c r="Q149" i="7" a="1"/>
  <c r="Q149" i="7" s="1"/>
  <c r="Q49" i="7" a="1"/>
  <c r="Q49" i="7" s="1"/>
  <c r="Q56" i="7" a="1"/>
  <c r="Q56" i="7" s="1"/>
  <c r="J104" i="7" a="1"/>
  <c r="J104" i="7" s="1"/>
  <c r="J156" i="7" a="1"/>
  <c r="J156" i="7" s="1"/>
  <c r="J20" i="7" a="1"/>
  <c r="J20" i="7" s="1"/>
  <c r="J3" i="7" a="1"/>
  <c r="J3" i="7" s="1"/>
  <c r="AB131" i="7" a="1"/>
  <c r="AB131" i="7" s="1"/>
  <c r="AB40" i="7" a="1"/>
  <c r="AB40" i="7" s="1"/>
  <c r="AB3" i="7" a="1"/>
  <c r="AB3" i="7" s="1"/>
  <c r="AB66" i="7" a="1"/>
  <c r="AB66" i="7" s="1"/>
  <c r="AB165" i="7" a="1"/>
  <c r="AB165" i="7" s="1"/>
  <c r="BC143" i="13"/>
  <c r="AA144" i="4" s="1"/>
  <c r="I99" i="7" a="1"/>
  <c r="I99" i="7" s="1"/>
  <c r="I114" i="7" a="1"/>
  <c r="I114" i="7" s="1"/>
  <c r="I45" i="7" a="1"/>
  <c r="I45" i="7" s="1"/>
  <c r="I152" i="7" a="1"/>
  <c r="I152" i="7" s="1"/>
  <c r="I24" i="7" a="1"/>
  <c r="I24" i="7" s="1"/>
  <c r="I187" i="7" a="1"/>
  <c r="I187" i="7" s="1"/>
  <c r="E200" i="7" a="1"/>
  <c r="E200" i="7" s="1"/>
  <c r="BC30" i="13"/>
  <c r="AA31" i="4" s="1"/>
  <c r="S117" i="4"/>
  <c r="AZ116" i="13"/>
  <c r="T117" i="4" s="1"/>
  <c r="BC26" i="13"/>
  <c r="AA27" i="4" s="1"/>
  <c r="P136" i="4"/>
  <c r="AY135" i="13"/>
  <c r="S116" i="4"/>
  <c r="AZ115" i="13"/>
  <c r="T116" i="4" s="1"/>
  <c r="S158" i="4"/>
  <c r="AZ157" i="13"/>
  <c r="T158" i="4" s="1"/>
  <c r="BC29" i="13"/>
  <c r="AA30" i="4" s="1"/>
  <c r="Q23" i="7" a="1"/>
  <c r="Q23" i="7" s="1"/>
  <c r="Q44" i="7" a="1"/>
  <c r="Q44" i="7" s="1"/>
  <c r="Q93" i="7" a="1"/>
  <c r="Q93" i="7" s="1"/>
  <c r="Q67" i="7" a="1"/>
  <c r="Q67" i="7" s="1"/>
  <c r="Q12" i="7" a="1"/>
  <c r="Q12" i="7" s="1"/>
  <c r="Q61" i="7" a="1"/>
  <c r="Q61" i="7" s="1"/>
  <c r="Q41" i="7" a="1"/>
  <c r="Q41" i="7" s="1"/>
  <c r="Q47" i="7" a="1"/>
  <c r="Q47" i="7" s="1"/>
  <c r="Q38" i="7" a="1"/>
  <c r="Q38" i="7" s="1"/>
  <c r="Q36" i="7" a="1"/>
  <c r="Q36" i="7" s="1"/>
  <c r="Q91" i="7" a="1"/>
  <c r="Q91" i="7" s="1"/>
  <c r="Q7" i="7" a="1"/>
  <c r="Q7" i="7" s="1"/>
  <c r="Q37" i="7" a="1"/>
  <c r="Q37" i="7" s="1"/>
  <c r="J56" i="7" a="1"/>
  <c r="J56" i="7" s="1"/>
  <c r="J130" i="7" a="1"/>
  <c r="J130" i="7" s="1"/>
  <c r="J169" i="7" a="1"/>
  <c r="J169" i="7" s="1"/>
  <c r="J150" i="7" a="1"/>
  <c r="J150" i="7" s="1"/>
  <c r="J132" i="7" a="1"/>
  <c r="J132" i="7" s="1"/>
  <c r="J83" i="7" a="1"/>
  <c r="J83" i="7" s="1"/>
  <c r="J112" i="7" a="1"/>
  <c r="J112" i="7" s="1"/>
  <c r="J23" i="7" a="1"/>
  <c r="J23" i="7" s="1"/>
  <c r="J162" i="7" a="1"/>
  <c r="J162" i="7" s="1"/>
  <c r="J193" i="7" a="1"/>
  <c r="J193" i="7" s="1"/>
  <c r="J191" i="7" a="1"/>
  <c r="J191" i="7" s="1"/>
  <c r="J164" i="7" a="1"/>
  <c r="J164" i="7" s="1"/>
  <c r="BC129" i="13"/>
  <c r="AA130" i="4" s="1"/>
  <c r="AB133" i="7" a="1"/>
  <c r="AB133" i="7" s="1"/>
  <c r="AB149" i="7" a="1"/>
  <c r="AB149" i="7" s="1"/>
  <c r="AB172" i="7" a="1"/>
  <c r="AB172" i="7" s="1"/>
  <c r="AB7" i="7" a="1"/>
  <c r="AB7" i="7" s="1"/>
  <c r="AB141" i="7" a="1"/>
  <c r="AB141" i="7" s="1"/>
  <c r="AB21" i="7" a="1"/>
  <c r="AB21" i="7" s="1"/>
  <c r="AB103" i="7" a="1"/>
  <c r="AB103" i="7" s="1"/>
  <c r="AB89" i="7" a="1"/>
  <c r="AB89" i="7" s="1"/>
  <c r="AB182" i="7" a="1"/>
  <c r="AB182" i="7" s="1"/>
  <c r="AB71" i="7" a="1"/>
  <c r="AB71" i="7" s="1"/>
  <c r="AB41" i="7" a="1"/>
  <c r="AB41" i="7" s="1"/>
  <c r="AB185" i="7" a="1"/>
  <c r="AB185" i="7" s="1"/>
  <c r="AB76" i="7" a="1"/>
  <c r="AB76" i="7" s="1"/>
  <c r="S4" i="4"/>
  <c r="AZ3" i="13"/>
  <c r="T4" i="4" s="1"/>
  <c r="S43" i="4"/>
  <c r="AZ42" i="13"/>
  <c r="T43" i="4" s="1"/>
  <c r="AY6" i="13"/>
  <c r="P7" i="4"/>
  <c r="P162" i="4"/>
  <c r="AY161" i="13"/>
  <c r="AY83" i="13"/>
  <c r="P84" i="4"/>
  <c r="AY92" i="13"/>
  <c r="P93" i="4"/>
  <c r="AY143" i="13"/>
  <c r="P144" i="4"/>
  <c r="AB197" i="7" a="1"/>
  <c r="AB197" i="7" s="1"/>
  <c r="S172" i="4"/>
  <c r="AZ171" i="13"/>
  <c r="T172" i="4" s="1"/>
  <c r="AZ74" i="13"/>
  <c r="T75" i="4" s="1"/>
  <c r="S75" i="4"/>
  <c r="P155" i="4"/>
  <c r="AY154" i="13"/>
  <c r="AY113" i="13"/>
  <c r="P114" i="4"/>
  <c r="P128" i="4"/>
  <c r="AY127" i="13"/>
  <c r="Q119" i="7" a="1"/>
  <c r="Q119" i="7" s="1"/>
  <c r="Q69" i="7" a="1"/>
  <c r="Q69" i="7" s="1"/>
  <c r="Q89" i="7" a="1"/>
  <c r="Q89" i="7" s="1"/>
  <c r="Q82" i="7" a="1"/>
  <c r="Q82" i="7" s="1"/>
  <c r="Q4" i="7" a="1"/>
  <c r="Q4" i="7" s="1"/>
  <c r="J11" i="7" a="1"/>
  <c r="J11" i="7" s="1"/>
  <c r="J89" i="7" a="1"/>
  <c r="J89" i="7" s="1"/>
  <c r="J189" i="7" a="1"/>
  <c r="J189" i="7" s="1"/>
  <c r="J26" i="7" a="1"/>
  <c r="J26" i="7" s="1"/>
  <c r="AB151" i="7" a="1"/>
  <c r="AB151" i="7" s="1"/>
  <c r="AB68" i="7" a="1"/>
  <c r="AB68" i="7" s="1"/>
  <c r="AB129" i="7" a="1"/>
  <c r="AB129" i="7" s="1"/>
  <c r="AB83" i="7" a="1"/>
  <c r="AB83" i="7" s="1"/>
  <c r="AY72" i="13"/>
  <c r="P73" i="4"/>
  <c r="I51" i="7" a="1"/>
  <c r="I51" i="7" s="1"/>
  <c r="I56" i="7" a="1"/>
  <c r="I56" i="7" s="1"/>
  <c r="I121" i="7" a="1"/>
  <c r="I121" i="7" s="1"/>
  <c r="I10" i="7" a="1"/>
  <c r="I10" i="7" s="1"/>
  <c r="I38" i="7" a="1"/>
  <c r="I38" i="7" s="1"/>
  <c r="I42" i="7" a="1"/>
  <c r="I42" i="7" s="1"/>
  <c r="I5" i="7" a="1"/>
  <c r="I5" i="7" s="1"/>
  <c r="BC158" i="13"/>
  <c r="AA159" i="4" s="1"/>
  <c r="I139" i="7" a="1"/>
  <c r="I139" i="7" s="1"/>
  <c r="I170" i="7" a="1"/>
  <c r="I170" i="7" s="1"/>
  <c r="I80" i="7" a="1"/>
  <c r="I80" i="7" s="1"/>
  <c r="I28" i="7" a="1"/>
  <c r="I28" i="7" s="1"/>
  <c r="I193" i="7" a="1"/>
  <c r="I193" i="7" s="1"/>
  <c r="I88" i="7" a="1"/>
  <c r="I88" i="7" s="1"/>
  <c r="I68" i="7" a="1"/>
  <c r="I68" i="7" s="1"/>
  <c r="I54" i="7" a="1"/>
  <c r="I54" i="7" s="1"/>
  <c r="I190" i="7" a="1"/>
  <c r="I190" i="7" s="1"/>
  <c r="I161" i="7" a="1"/>
  <c r="I161" i="7" s="1"/>
  <c r="I25" i="7" a="1"/>
  <c r="I25" i="7" s="1"/>
  <c r="I153" i="7" a="1"/>
  <c r="I153" i="7" s="1"/>
  <c r="E111" i="7" a="1"/>
  <c r="E111" i="7" s="1"/>
  <c r="E108" i="7" a="1"/>
  <c r="E108" i="7" s="1"/>
  <c r="E159" i="7" a="1"/>
  <c r="E159" i="7" s="1"/>
  <c r="E41" i="7" a="1"/>
  <c r="E41" i="7" s="1"/>
  <c r="E123" i="7" a="1"/>
  <c r="E123" i="7" s="1"/>
  <c r="E31" i="7" a="1"/>
  <c r="E31" i="7" s="1"/>
  <c r="E14" i="7" a="1"/>
  <c r="E14" i="7" s="1"/>
  <c r="E188" i="7" a="1"/>
  <c r="E188" i="7" s="1"/>
  <c r="E58" i="7" a="1"/>
  <c r="E58" i="7" s="1"/>
  <c r="E184" i="7" a="1"/>
  <c r="E184" i="7" s="1"/>
  <c r="E169" i="7" a="1"/>
  <c r="E169" i="7" s="1"/>
  <c r="E67" i="7" a="1"/>
  <c r="E67" i="7" s="1"/>
  <c r="E154" i="7" a="1"/>
  <c r="E154" i="7" s="1"/>
  <c r="BC106" i="13"/>
  <c r="AA107" i="4" s="1"/>
  <c r="AY30" i="13"/>
  <c r="P31" i="4"/>
  <c r="BC163" i="13"/>
  <c r="AA164" i="4" s="1"/>
  <c r="P121" i="4"/>
  <c r="AY120" i="13"/>
  <c r="S183" i="4"/>
  <c r="AZ182" i="13"/>
  <c r="T183" i="4" s="1"/>
  <c r="BC58" i="13"/>
  <c r="AA59" i="4" s="1"/>
  <c r="Q63" i="7" a="1"/>
  <c r="Q63" i="7" s="1"/>
  <c r="Q115" i="7" a="1"/>
  <c r="Q115" i="7" s="1"/>
  <c r="Q64" i="7" a="1"/>
  <c r="Q64" i="7" s="1"/>
  <c r="Q39" i="7" a="1"/>
  <c r="Q39" i="7" s="1"/>
  <c r="Q161" i="7" a="1"/>
  <c r="Q161" i="7" s="1"/>
  <c r="Q34" i="7" a="1"/>
  <c r="Q34" i="7" s="1"/>
  <c r="Q104" i="7" a="1"/>
  <c r="Q104" i="7" s="1"/>
  <c r="Q101" i="7" a="1"/>
  <c r="Q101" i="7" s="1"/>
  <c r="Q185" i="7" a="1"/>
  <c r="Q185" i="7" s="1"/>
  <c r="Q109" i="7" a="1"/>
  <c r="Q109" i="7" s="1"/>
  <c r="Q145" i="7" a="1"/>
  <c r="Q145" i="7" s="1"/>
  <c r="Q171" i="7" a="1"/>
  <c r="Q171" i="7" s="1"/>
  <c r="Q90" i="7" a="1"/>
  <c r="Q90" i="7" s="1"/>
  <c r="J178" i="7" a="1"/>
  <c r="J178" i="7" s="1"/>
  <c r="J60" i="7" a="1"/>
  <c r="J60" i="7" s="1"/>
  <c r="J168" i="7" a="1"/>
  <c r="J168" i="7" s="1"/>
  <c r="J113" i="7" a="1"/>
  <c r="J113" i="7" s="1"/>
  <c r="J48" i="7" a="1"/>
  <c r="J48" i="7" s="1"/>
  <c r="J123" i="7" a="1"/>
  <c r="J123" i="7" s="1"/>
  <c r="J50" i="7" a="1"/>
  <c r="J50" i="7" s="1"/>
  <c r="J37" i="7" a="1"/>
  <c r="J37" i="7" s="1"/>
  <c r="J44" i="7" a="1"/>
  <c r="J44" i="7" s="1"/>
  <c r="J176" i="7" a="1"/>
  <c r="J176" i="7" s="1"/>
  <c r="J145" i="7" a="1"/>
  <c r="J145" i="7" s="1"/>
  <c r="J111" i="7" a="1"/>
  <c r="J111" i="7" s="1"/>
  <c r="AB175" i="7" a="1"/>
  <c r="AB175" i="7" s="1"/>
  <c r="AB111" i="7" a="1"/>
  <c r="AB111" i="7" s="1"/>
  <c r="AB18" i="7" a="1"/>
  <c r="AB18" i="7" s="1"/>
  <c r="AB198" i="7" a="1"/>
  <c r="AB198" i="7" s="1"/>
  <c r="AB94" i="7" a="1"/>
  <c r="AB94" i="7" s="1"/>
  <c r="AB186" i="7" a="1"/>
  <c r="AB186" i="7" s="1"/>
  <c r="AB148" i="7" a="1"/>
  <c r="AB148" i="7" s="1"/>
  <c r="AB16" i="7" a="1"/>
  <c r="AB16" i="7" s="1"/>
  <c r="AB11" i="7" a="1"/>
  <c r="AB11" i="7" s="1"/>
  <c r="AB157" i="7" a="1"/>
  <c r="AB157" i="7" s="1"/>
  <c r="AB102" i="7" a="1"/>
  <c r="AB102" i="7" s="1"/>
  <c r="AB30" i="7" a="1"/>
  <c r="AB30" i="7" s="1"/>
  <c r="AB156" i="7" a="1"/>
  <c r="AB156" i="7" s="1"/>
  <c r="AY37" i="13"/>
  <c r="P38" i="4"/>
  <c r="Q177" i="7" a="1"/>
  <c r="Q177" i="7" s="1"/>
  <c r="Q122" i="7" a="1"/>
  <c r="Q122" i="7" s="1"/>
  <c r="Q80" i="7" a="1"/>
  <c r="Q80" i="7" s="1"/>
  <c r="J79" i="7" a="1"/>
  <c r="J79" i="7" s="1"/>
  <c r="J49" i="7" a="1"/>
  <c r="J49" i="7" s="1"/>
  <c r="J36" i="7" a="1"/>
  <c r="J36" i="7" s="1"/>
  <c r="J57" i="7" a="1"/>
  <c r="J57" i="7" s="1"/>
  <c r="AB123" i="7" a="1"/>
  <c r="AB123" i="7" s="1"/>
  <c r="AB138" i="7" a="1"/>
  <c r="AB138" i="7" s="1"/>
  <c r="AB77" i="7" a="1"/>
  <c r="AB77" i="7" s="1"/>
  <c r="AB142" i="7" a="1"/>
  <c r="AB142" i="7" s="1"/>
  <c r="S190" i="4"/>
  <c r="AZ189" i="13"/>
  <c r="T190" i="4" s="1"/>
  <c r="S27" i="4"/>
  <c r="AZ26" i="13"/>
  <c r="T27" i="4" s="1"/>
  <c r="I184" i="7" a="1"/>
  <c r="I184" i="7" s="1"/>
  <c r="I13" i="7" a="1"/>
  <c r="I13" i="7" s="1"/>
  <c r="I60" i="7" a="1"/>
  <c r="I60" i="7" s="1"/>
  <c r="I141" i="7" a="1"/>
  <c r="I141" i="7" s="1"/>
  <c r="I112" i="7" a="1"/>
  <c r="I112" i="7" s="1"/>
  <c r="I75" i="7" a="1"/>
  <c r="I75" i="7" s="1"/>
  <c r="I164" i="7" a="1"/>
  <c r="I164" i="7" s="1"/>
  <c r="I62" i="7" a="1"/>
  <c r="I62" i="7" s="1"/>
  <c r="I169" i="7" a="1"/>
  <c r="I169" i="7" s="1"/>
  <c r="I128" i="7" a="1"/>
  <c r="I128" i="7" s="1"/>
  <c r="I35" i="7" a="1"/>
  <c r="I35" i="7" s="1"/>
  <c r="I107" i="7" a="1"/>
  <c r="I107" i="7" s="1"/>
  <c r="E37" i="7" a="1"/>
  <c r="E37" i="7" s="1"/>
  <c r="E47" i="7" a="1"/>
  <c r="E47" i="7" s="1"/>
  <c r="E30" i="7" a="1"/>
  <c r="E30" i="7" s="1"/>
  <c r="E131" i="7" a="1"/>
  <c r="E131" i="7" s="1"/>
  <c r="E63" i="7" a="1"/>
  <c r="E63" i="7" s="1"/>
  <c r="E171" i="7" a="1"/>
  <c r="E171" i="7" s="1"/>
  <c r="E115" i="7" a="1"/>
  <c r="E115" i="7" s="1"/>
  <c r="E99" i="7" a="1"/>
  <c r="E99" i="7" s="1"/>
  <c r="E186" i="7" a="1"/>
  <c r="E186" i="7" s="1"/>
  <c r="E85" i="7" a="1"/>
  <c r="E85" i="7" s="1"/>
  <c r="E119" i="7" a="1"/>
  <c r="E119" i="7" s="1"/>
  <c r="E55" i="7" a="1"/>
  <c r="E55" i="7" s="1"/>
  <c r="E144" i="7" a="1"/>
  <c r="E144" i="7" s="1"/>
  <c r="AY163" i="13"/>
  <c r="P164" i="4"/>
  <c r="BC164" i="13"/>
  <c r="AA165" i="4" s="1"/>
  <c r="BC77" i="13"/>
  <c r="AA78" i="4" s="1"/>
  <c r="S111" i="4"/>
  <c r="AZ110" i="13"/>
  <c r="T111" i="4" s="1"/>
  <c r="S192" i="4"/>
  <c r="AZ191" i="13"/>
  <c r="T192" i="4" s="1"/>
  <c r="BC135" i="13"/>
  <c r="AA136" i="4" s="1"/>
  <c r="AY49" i="13"/>
  <c r="P50" i="4"/>
  <c r="S47" i="4"/>
  <c r="AZ46" i="13"/>
  <c r="T47" i="4" s="1"/>
  <c r="AY63" i="13"/>
  <c r="P64" i="4"/>
  <c r="BC76" i="13"/>
  <c r="AA77" i="4" s="1"/>
  <c r="S6" i="4"/>
  <c r="AZ5" i="13"/>
  <c r="T6" i="4" s="1"/>
  <c r="BC116" i="13"/>
  <c r="AA117" i="4" s="1"/>
  <c r="S181" i="4"/>
  <c r="AZ180" i="13"/>
  <c r="T181" i="4" s="1"/>
  <c r="S124" i="4"/>
  <c r="AZ123" i="13"/>
  <c r="T124" i="4" s="1"/>
  <c r="Q182" i="7" a="1"/>
  <c r="Q182" i="7" s="1"/>
  <c r="Q75" i="7" a="1"/>
  <c r="Q75" i="7" s="1"/>
  <c r="Q139" i="7" a="1"/>
  <c r="Q139" i="7" s="1"/>
  <c r="Q52" i="7" a="1"/>
  <c r="Q52" i="7" s="1"/>
  <c r="Q99" i="7" a="1"/>
  <c r="Q99" i="7" s="1"/>
  <c r="Q163" i="7" a="1"/>
  <c r="Q163" i="7" s="1"/>
  <c r="Q165" i="7" a="1"/>
  <c r="Q165" i="7" s="1"/>
  <c r="Q169" i="7" a="1"/>
  <c r="Q169" i="7" s="1"/>
  <c r="Q120" i="7" a="1"/>
  <c r="Q120" i="7" s="1"/>
  <c r="Q180" i="7" a="1"/>
  <c r="Q180" i="7" s="1"/>
  <c r="Q45" i="7" a="1"/>
  <c r="Q45" i="7" s="1"/>
  <c r="Q136" i="7" a="1"/>
  <c r="Q136" i="7" s="1"/>
  <c r="Q40" i="7" a="1"/>
  <c r="Q40" i="7" s="1"/>
  <c r="J76" i="7" a="1"/>
  <c r="J76" i="7" s="1"/>
  <c r="J149" i="7" a="1"/>
  <c r="J149" i="7" s="1"/>
  <c r="J6" i="7" a="1"/>
  <c r="J6" i="7" s="1"/>
  <c r="J41" i="7" a="1"/>
  <c r="J41" i="7" s="1"/>
  <c r="J43" i="7" a="1"/>
  <c r="J43" i="7" s="1"/>
  <c r="J82" i="7" a="1"/>
  <c r="J82" i="7" s="1"/>
  <c r="J100" i="7" a="1"/>
  <c r="J100" i="7" s="1"/>
  <c r="J15" i="7" a="1"/>
  <c r="J15" i="7" s="1"/>
  <c r="J146" i="7" a="1"/>
  <c r="J146" i="7" s="1"/>
  <c r="J78" i="7" a="1"/>
  <c r="J78" i="7" s="1"/>
  <c r="J110" i="7" a="1"/>
  <c r="J110" i="7" s="1"/>
  <c r="J29" i="7" a="1"/>
  <c r="J29" i="7" s="1"/>
  <c r="BC124" i="13"/>
  <c r="AA125" i="4" s="1"/>
  <c r="P160" i="4"/>
  <c r="AY159" i="13"/>
  <c r="AB48" i="7" a="1"/>
  <c r="AB48" i="7" s="1"/>
  <c r="AB136" i="7" a="1"/>
  <c r="AB136" i="7" s="1"/>
  <c r="AB8" i="7" a="1"/>
  <c r="AB8" i="7" s="1"/>
  <c r="AB72" i="7" a="1"/>
  <c r="AB72" i="7" s="1"/>
  <c r="AB106" i="7" a="1"/>
  <c r="AB106" i="7" s="1"/>
  <c r="AB32" i="7" a="1"/>
  <c r="AB32" i="7" s="1"/>
  <c r="AB188" i="7" a="1"/>
  <c r="AB188" i="7" s="1"/>
  <c r="AB97" i="7" a="1"/>
  <c r="AB97" i="7" s="1"/>
  <c r="AB140" i="7" a="1"/>
  <c r="AB140" i="7" s="1"/>
  <c r="AB47" i="7" a="1"/>
  <c r="AB47" i="7" s="1"/>
  <c r="AB187" i="7" a="1"/>
  <c r="AB187" i="7" s="1"/>
  <c r="AB74" i="7" a="1"/>
  <c r="AB74" i="7" s="1"/>
  <c r="AB28" i="7" a="1"/>
  <c r="AB28" i="7" s="1"/>
  <c r="S61" i="4"/>
  <c r="AZ60" i="13"/>
  <c r="T61" i="4" s="1"/>
  <c r="S107" i="4"/>
  <c r="AZ106" i="13"/>
  <c r="T107" i="4" s="1"/>
  <c r="AB104" i="7" a="1"/>
  <c r="AB104" i="7" s="1"/>
  <c r="AB34" i="7" a="1"/>
  <c r="AB34" i="7" s="1"/>
  <c r="AB93" i="7" a="1"/>
  <c r="AB93" i="7" s="1"/>
  <c r="AB173" i="7" a="1"/>
  <c r="AB173" i="7" s="1"/>
  <c r="AB69" i="7" a="1"/>
  <c r="AB69" i="7" s="1"/>
  <c r="AB161" i="7" a="1"/>
  <c r="AB161" i="7" s="1"/>
  <c r="AB181" i="7" a="1"/>
  <c r="AB181" i="7" s="1"/>
  <c r="AB99" i="7" a="1"/>
  <c r="AB99" i="7" s="1"/>
  <c r="AB134" i="7" a="1"/>
  <c r="AB134" i="7" s="1"/>
  <c r="AB163" i="7" a="1"/>
  <c r="AB163" i="7" s="1"/>
  <c r="AB154" i="7" a="1"/>
  <c r="AB154" i="7" s="1"/>
  <c r="AB37" i="7" a="1"/>
  <c r="AB37" i="7" s="1"/>
  <c r="AB108" i="7" a="1"/>
  <c r="AB108" i="7" s="1"/>
  <c r="AY117" i="13"/>
  <c r="P118" i="4"/>
  <c r="Q168" i="7" a="1"/>
  <c r="Q168" i="7" s="1"/>
  <c r="Q108" i="7" a="1"/>
  <c r="Q108" i="7" s="1"/>
  <c r="Q114" i="7" a="1"/>
  <c r="Q114" i="7" s="1"/>
  <c r="Q51" i="7" a="1"/>
  <c r="Q51" i="7" s="1"/>
  <c r="Q59" i="7" a="1"/>
  <c r="Q59" i="7" s="1"/>
  <c r="Q86" i="7" a="1"/>
  <c r="Q86" i="7" s="1"/>
  <c r="Q170" i="7" a="1"/>
  <c r="Q170" i="7" s="1"/>
  <c r="Q162" i="7" a="1"/>
  <c r="Q162" i="7" s="1"/>
  <c r="Q50" i="7" a="1"/>
  <c r="Q50" i="7" s="1"/>
  <c r="Q70" i="7" a="1"/>
  <c r="Q70" i="7" s="1"/>
  <c r="Q143" i="7" a="1"/>
  <c r="Q143" i="7" s="1"/>
  <c r="Q125" i="7" a="1"/>
  <c r="Q125" i="7" s="1"/>
  <c r="J4" i="7" a="1"/>
  <c r="J4" i="7" s="1"/>
  <c r="J35" i="7" a="1"/>
  <c r="J35" i="7" s="1"/>
  <c r="J5" i="7" a="1"/>
  <c r="J5" i="7" s="1"/>
  <c r="J108" i="7" a="1"/>
  <c r="J108" i="7" s="1"/>
  <c r="J153" i="7" a="1"/>
  <c r="J153" i="7" s="1"/>
  <c r="J87" i="7" a="1"/>
  <c r="J87" i="7" s="1"/>
  <c r="J24" i="7" a="1"/>
  <c r="J24" i="7" s="1"/>
  <c r="J52" i="7" a="1"/>
  <c r="J52" i="7" s="1"/>
  <c r="J152" i="7" a="1"/>
  <c r="J152" i="7" s="1"/>
  <c r="J138" i="7" a="1"/>
  <c r="J138" i="7" s="1"/>
  <c r="J74" i="7" a="1"/>
  <c r="J74" i="7" s="1"/>
  <c r="J69" i="7" a="1"/>
  <c r="J69" i="7" s="1"/>
  <c r="J171" i="7" a="1"/>
  <c r="J171" i="7" s="1"/>
  <c r="AY138" i="13"/>
  <c r="P139" i="4"/>
  <c r="AY102" i="13"/>
  <c r="P103" i="4"/>
  <c r="I180" i="7" a="1"/>
  <c r="I180" i="7" s="1"/>
  <c r="I43" i="7" a="1"/>
  <c r="I43" i="7" s="1"/>
  <c r="I131" i="7" a="1"/>
  <c r="I131" i="7" s="1"/>
  <c r="I195" i="7" a="1"/>
  <c r="I195" i="7" s="1"/>
  <c r="I129" i="7" a="1"/>
  <c r="I129" i="7" s="1"/>
  <c r="I167" i="7" a="1"/>
  <c r="I167" i="7" s="1"/>
  <c r="I117" i="7" a="1"/>
  <c r="I117" i="7" s="1"/>
  <c r="I135" i="7" a="1"/>
  <c r="I135" i="7" s="1"/>
  <c r="I58" i="7" a="1"/>
  <c r="I58" i="7" s="1"/>
  <c r="I105" i="7" a="1"/>
  <c r="I105" i="7" s="1"/>
  <c r="I66" i="7" a="1"/>
  <c r="I66" i="7" s="1"/>
  <c r="I53" i="7" a="1"/>
  <c r="I53" i="7" s="1"/>
  <c r="E160" i="7" a="1"/>
  <c r="E160" i="7" s="1"/>
  <c r="E139" i="7" a="1"/>
  <c r="E139" i="7" s="1"/>
  <c r="E66" i="7" a="1"/>
  <c r="E66" i="7" s="1"/>
  <c r="E146" i="7" a="1"/>
  <c r="E146" i="7" s="1"/>
  <c r="E18" i="7" a="1"/>
  <c r="E18" i="7" s="1"/>
  <c r="E172" i="7" a="1"/>
  <c r="E172" i="7" s="1"/>
  <c r="E129" i="7" a="1"/>
  <c r="E129" i="7" s="1"/>
  <c r="E175" i="7" a="1"/>
  <c r="E175" i="7" s="1"/>
  <c r="E4" i="7" a="1"/>
  <c r="E4" i="7" s="1"/>
  <c r="E62" i="7" a="1"/>
  <c r="E62" i="7" s="1"/>
  <c r="E28" i="7" a="1"/>
  <c r="E28" i="7" s="1"/>
  <c r="E190" i="7" a="1"/>
  <c r="E190" i="7" s="1"/>
  <c r="E98" i="7" a="1"/>
  <c r="E98" i="7" s="1"/>
  <c r="AY15" i="13"/>
  <c r="P16" i="4"/>
  <c r="S59" i="4"/>
  <c r="AZ58" i="13"/>
  <c r="T59" i="4" s="1"/>
  <c r="R146" i="7" a="1"/>
  <c r="R146" i="7" s="1"/>
  <c r="R154" i="7" a="1"/>
  <c r="R154" i="7" s="1"/>
  <c r="R189" i="7" a="1"/>
  <c r="R189" i="7" s="1"/>
  <c r="R7" i="7" a="1"/>
  <c r="R7" i="7" s="1"/>
  <c r="R172" i="7" a="1"/>
  <c r="R172" i="7" s="1"/>
  <c r="R153" i="7" a="1"/>
  <c r="R153" i="7" s="1"/>
  <c r="R88" i="7" a="1"/>
  <c r="R88" i="7" s="1"/>
  <c r="R106" i="7" a="1"/>
  <c r="R106" i="7" s="1"/>
  <c r="R135" i="7" a="1"/>
  <c r="R135" i="7" s="1"/>
  <c r="R122" i="7" a="1"/>
  <c r="R122" i="7" s="1"/>
  <c r="R18" i="7" a="1"/>
  <c r="R18" i="7" s="1"/>
  <c r="R70" i="7" a="1"/>
  <c r="R70" i="7" s="1"/>
  <c r="R36" i="7" a="1"/>
  <c r="R36" i="7" s="1"/>
  <c r="R60" i="7" a="1"/>
  <c r="R60" i="7" s="1"/>
  <c r="R176" i="7" a="1"/>
  <c r="R176" i="7" s="1"/>
  <c r="R162" i="7" a="1"/>
  <c r="R162" i="7" s="1"/>
  <c r="R92" i="7" a="1"/>
  <c r="R92" i="7" s="1"/>
  <c r="R156" i="7" a="1"/>
  <c r="R156" i="7" s="1"/>
  <c r="R93" i="7" a="1"/>
  <c r="R93" i="7" s="1"/>
  <c r="R101" i="7" a="1"/>
  <c r="R101" i="7" s="1"/>
  <c r="R83" i="7" a="1"/>
  <c r="R83" i="7" s="1"/>
  <c r="R47" i="7" a="1"/>
  <c r="R47" i="7" s="1"/>
  <c r="R134" i="7" a="1"/>
  <c r="R134" i="7" s="1"/>
  <c r="R180" i="7" a="1"/>
  <c r="R180" i="7" s="1"/>
  <c r="R167" i="7" a="1"/>
  <c r="R167" i="7" s="1"/>
  <c r="R90" i="7" a="1"/>
  <c r="R90" i="7" s="1"/>
  <c r="R12" i="7" a="1"/>
  <c r="R12" i="7" s="1"/>
  <c r="R49" i="7" a="1"/>
  <c r="R49" i="7" s="1"/>
  <c r="R77" i="7" a="1"/>
  <c r="R77" i="7" s="1"/>
  <c r="R132" i="7" a="1"/>
  <c r="R132" i="7" s="1"/>
  <c r="R30" i="7" a="1"/>
  <c r="R30" i="7" s="1"/>
  <c r="R169" i="7" a="1"/>
  <c r="R169" i="7" s="1"/>
  <c r="R152" i="7" a="1"/>
  <c r="R152" i="7" s="1"/>
  <c r="R113" i="7" a="1"/>
  <c r="R113" i="7" s="1"/>
  <c r="R193" i="7" a="1"/>
  <c r="R193" i="7" s="1"/>
  <c r="R68" i="7" a="1"/>
  <c r="R68" i="7" s="1"/>
  <c r="BC69" i="13"/>
  <c r="AA70" i="4" s="1"/>
  <c r="AY8" i="13"/>
  <c r="P9" i="4"/>
  <c r="AY129" i="13"/>
  <c r="P130" i="4"/>
  <c r="BC60" i="13"/>
  <c r="AA61" i="4" s="1"/>
  <c r="AZ91" i="13"/>
  <c r="T92" i="4" s="1"/>
  <c r="AY31" i="13"/>
  <c r="P32" i="4"/>
  <c r="S40" i="4"/>
  <c r="AZ39" i="13"/>
  <c r="T40" i="4" s="1"/>
  <c r="BC117" i="13"/>
  <c r="AA118" i="4" s="1"/>
  <c r="Q194" i="7" a="1"/>
  <c r="Q194" i="7" s="1"/>
  <c r="Q200" i="7" a="1"/>
  <c r="Q200" i="7" s="1"/>
  <c r="Q174" i="7" a="1"/>
  <c r="Q174" i="7" s="1"/>
  <c r="Q154" i="7" a="1"/>
  <c r="Q154" i="7" s="1"/>
  <c r="Q10" i="7" a="1"/>
  <c r="Q10" i="7" s="1"/>
  <c r="Q198" i="7" a="1"/>
  <c r="Q198" i="7" s="1"/>
  <c r="Q179" i="7" a="1"/>
  <c r="Q179" i="7" s="1"/>
  <c r="Q128" i="7" a="1"/>
  <c r="Q128" i="7" s="1"/>
  <c r="Q158" i="7" a="1"/>
  <c r="Q158" i="7" s="1"/>
  <c r="Q30" i="7" a="1"/>
  <c r="Q30" i="7" s="1"/>
  <c r="Q83" i="7" a="1"/>
  <c r="Q83" i="7" s="1"/>
  <c r="Q76" i="7" a="1"/>
  <c r="Q76" i="7" s="1"/>
  <c r="J64" i="7" a="1"/>
  <c r="J64" i="7" s="1"/>
  <c r="J143" i="7" a="1"/>
  <c r="J143" i="7" s="1"/>
  <c r="J38" i="7" a="1"/>
  <c r="J38" i="7" s="1"/>
  <c r="J157" i="7" a="1"/>
  <c r="J157" i="7" s="1"/>
  <c r="J14" i="7" a="1"/>
  <c r="J14" i="7" s="1"/>
  <c r="J17" i="7" a="1"/>
  <c r="J17" i="7" s="1"/>
  <c r="J170" i="7" a="1"/>
  <c r="J170" i="7" s="1"/>
  <c r="J7" i="7" a="1"/>
  <c r="J7" i="7" s="1"/>
  <c r="J65" i="7" a="1"/>
  <c r="J65" i="7" s="1"/>
  <c r="J101" i="7" a="1"/>
  <c r="J101" i="7" s="1"/>
  <c r="J103" i="7" a="1"/>
  <c r="J103" i="7" s="1"/>
  <c r="J67" i="7" a="1"/>
  <c r="J67" i="7" s="1"/>
  <c r="J121" i="7" a="1"/>
  <c r="J121" i="7" s="1"/>
  <c r="AB46" i="7" a="1"/>
  <c r="AB46" i="7" s="1"/>
  <c r="AB189" i="7" a="1"/>
  <c r="AB189" i="7" s="1"/>
  <c r="AB15" i="7" a="1"/>
  <c r="AB15" i="7" s="1"/>
  <c r="AB62" i="7" a="1"/>
  <c r="AB62" i="7" s="1"/>
  <c r="AB12" i="7" a="1"/>
  <c r="AB12" i="7" s="1"/>
  <c r="AB39" i="7" a="1"/>
  <c r="AB39" i="7" s="1"/>
  <c r="AB75" i="7" a="1"/>
  <c r="AB75" i="7" s="1"/>
  <c r="AB100" i="7" a="1"/>
  <c r="AB100" i="7" s="1"/>
  <c r="AB179" i="7" a="1"/>
  <c r="AB179" i="7" s="1"/>
  <c r="AB112" i="7" a="1"/>
  <c r="AB112" i="7" s="1"/>
  <c r="AB36" i="7" a="1"/>
  <c r="AB36" i="7" s="1"/>
  <c r="AB95" i="7" a="1"/>
  <c r="AB95" i="7" s="1"/>
  <c r="S20" i="4"/>
  <c r="AZ19" i="13"/>
  <c r="T20" i="4" s="1"/>
  <c r="AZ67" i="13"/>
  <c r="T68" i="4" s="1"/>
  <c r="S68" i="4"/>
  <c r="S110" i="4"/>
  <c r="AZ109" i="13"/>
  <c r="T110" i="4" s="1"/>
  <c r="AY104" i="13"/>
  <c r="P105" i="4"/>
  <c r="AY188" i="13"/>
  <c r="P189" i="4"/>
  <c r="AY90" i="13"/>
  <c r="P91" i="4"/>
  <c r="BC79" i="13"/>
  <c r="AA80" i="4" s="1"/>
  <c r="BC5" i="13"/>
  <c r="AA6" i="4" s="1"/>
  <c r="P150" i="4"/>
  <c r="AY149" i="13"/>
  <c r="BC134" i="13"/>
  <c r="AA135" i="4" s="1"/>
  <c r="S185" i="4"/>
  <c r="AZ184" i="13"/>
  <c r="T185" i="4" s="1"/>
  <c r="S85" i="4"/>
  <c r="AZ84" i="13"/>
  <c r="T85" i="4" s="1"/>
  <c r="Q5" i="7" a="1"/>
  <c r="Q5" i="7" s="1"/>
  <c r="Q176" i="7" a="1"/>
  <c r="Q176" i="7" s="1"/>
  <c r="Q111" i="7" a="1"/>
  <c r="Q111" i="7" s="1"/>
  <c r="Q140" i="7" a="1"/>
  <c r="Q140" i="7" s="1"/>
  <c r="Q16" i="7" a="1"/>
  <c r="Q16" i="7" s="1"/>
  <c r="Q102" i="7" a="1"/>
  <c r="Q102" i="7" s="1"/>
  <c r="Q127" i="7" a="1"/>
  <c r="Q127" i="7" s="1"/>
  <c r="Q53" i="7" a="1"/>
  <c r="Q53" i="7" s="1"/>
  <c r="Q46" i="7" a="1"/>
  <c r="Q46" i="7" s="1"/>
  <c r="Q121" i="7" a="1"/>
  <c r="Q121" i="7" s="1"/>
  <c r="Q11" i="7" a="1"/>
  <c r="Q11" i="7" s="1"/>
  <c r="Q9" i="7" a="1"/>
  <c r="Q9" i="7" s="1"/>
  <c r="J90" i="7" a="1"/>
  <c r="J90" i="7" s="1"/>
  <c r="J184" i="7" a="1"/>
  <c r="J184" i="7" s="1"/>
  <c r="J180" i="7" a="1"/>
  <c r="J180" i="7" s="1"/>
  <c r="J117" i="7" a="1"/>
  <c r="J117" i="7" s="1"/>
  <c r="J160" i="7" a="1"/>
  <c r="J160" i="7" s="1"/>
  <c r="J27" i="7" a="1"/>
  <c r="J27" i="7" s="1"/>
  <c r="J135" i="7" a="1"/>
  <c r="J135" i="7" s="1"/>
  <c r="J200" i="7" a="1"/>
  <c r="J200" i="7" s="1"/>
  <c r="J70" i="7" a="1"/>
  <c r="J70" i="7" s="1"/>
  <c r="J173" i="7" a="1"/>
  <c r="J173" i="7" s="1"/>
  <c r="J85" i="7" a="1"/>
  <c r="J85" i="7" s="1"/>
  <c r="J34" i="7" a="1"/>
  <c r="J34" i="7" s="1"/>
  <c r="J97" i="7" a="1"/>
  <c r="J97" i="7" s="1"/>
  <c r="AB58" i="7" a="1"/>
  <c r="AB58" i="7" s="1"/>
  <c r="AB82" i="7" a="1"/>
  <c r="AB82" i="7" s="1"/>
  <c r="AB184" i="7" a="1"/>
  <c r="AB184" i="7" s="1"/>
  <c r="AB117" i="7" a="1"/>
  <c r="AB117" i="7" s="1"/>
  <c r="AB81" i="7" a="1"/>
  <c r="AB81" i="7" s="1"/>
  <c r="AB158" i="7" a="1"/>
  <c r="AB158" i="7" s="1"/>
  <c r="AB53" i="7" a="1"/>
  <c r="AB53" i="7" s="1"/>
  <c r="AB59" i="7" a="1"/>
  <c r="AB59" i="7" s="1"/>
  <c r="AB43" i="7" a="1"/>
  <c r="AB43" i="7" s="1"/>
  <c r="AB114" i="7" a="1"/>
  <c r="AB114" i="7" s="1"/>
  <c r="AB57" i="7" a="1"/>
  <c r="AB57" i="7" s="1"/>
  <c r="AB145" i="7" a="1"/>
  <c r="AB145" i="7" s="1"/>
  <c r="I97" i="7" a="1"/>
  <c r="I97" i="7" s="1"/>
  <c r="I162" i="7" a="1"/>
  <c r="I162" i="7" s="1"/>
  <c r="I16" i="7" a="1"/>
  <c r="I16" i="7" s="1"/>
  <c r="I200" i="7" a="1"/>
  <c r="I200" i="7" s="1"/>
  <c r="I15" i="7" a="1"/>
  <c r="I15" i="7" s="1"/>
  <c r="I22" i="7" a="1"/>
  <c r="I22" i="7" s="1"/>
  <c r="I175" i="7" a="1"/>
  <c r="I175" i="7" s="1"/>
  <c r="I133" i="7" a="1"/>
  <c r="I133" i="7" s="1"/>
  <c r="AY40" i="13"/>
  <c r="P41" i="4"/>
  <c r="S63" i="4"/>
  <c r="AZ62" i="13"/>
  <c r="T63" i="4" s="1"/>
  <c r="AZ108" i="13"/>
  <c r="T109" i="4" s="1"/>
  <c r="S109" i="4"/>
  <c r="AZ36" i="13"/>
  <c r="T37" i="4" s="1"/>
  <c r="S37" i="4"/>
  <c r="BC12" i="13"/>
  <c r="AA13" i="4" s="1"/>
  <c r="BC63" i="13"/>
  <c r="AA64" i="4" s="1"/>
  <c r="S53" i="4"/>
  <c r="AZ52" i="13"/>
  <c r="T53" i="4" s="1"/>
  <c r="BC101" i="13"/>
  <c r="AA102" i="4" s="1"/>
  <c r="AZ45" i="13"/>
  <c r="T46" i="4" s="1"/>
  <c r="S46" i="4"/>
  <c r="S151" i="4"/>
  <c r="AZ150" i="13"/>
  <c r="T151" i="4" s="1"/>
  <c r="AY56" i="13"/>
  <c r="P57" i="4"/>
  <c r="Q19" i="7" a="1"/>
  <c r="Q19" i="7" s="1"/>
  <c r="Q189" i="7" a="1"/>
  <c r="Q189" i="7" s="1"/>
  <c r="Q31" i="7" a="1"/>
  <c r="Q31" i="7" s="1"/>
  <c r="Q20" i="7" a="1"/>
  <c r="Q20" i="7" s="1"/>
  <c r="Q98" i="7" a="1"/>
  <c r="Q98" i="7" s="1"/>
  <c r="Q43" i="7" a="1"/>
  <c r="Q43" i="7" s="1"/>
  <c r="Q138" i="7" a="1"/>
  <c r="Q138" i="7" s="1"/>
  <c r="Q190" i="7" a="1"/>
  <c r="Q190" i="7" s="1"/>
  <c r="Q151" i="7" a="1"/>
  <c r="Q151" i="7" s="1"/>
  <c r="Q153" i="7" a="1"/>
  <c r="Q153" i="7" s="1"/>
  <c r="Q155" i="7" a="1"/>
  <c r="Q155" i="7" s="1"/>
  <c r="Q27" i="7" a="1"/>
  <c r="Q27" i="7" s="1"/>
  <c r="J86" i="7" a="1"/>
  <c r="J86" i="7" s="1"/>
  <c r="J127" i="7" a="1"/>
  <c r="J127" i="7" s="1"/>
  <c r="J75" i="7" a="1"/>
  <c r="J75" i="7" s="1"/>
  <c r="J96" i="7" a="1"/>
  <c r="J96" i="7" s="1"/>
  <c r="J116" i="7" a="1"/>
  <c r="J116" i="7" s="1"/>
  <c r="J172" i="7" a="1"/>
  <c r="J172" i="7" s="1"/>
  <c r="J122" i="7" a="1"/>
  <c r="J122" i="7" s="1"/>
  <c r="J77" i="7" a="1"/>
  <c r="J77" i="7" s="1"/>
  <c r="J21" i="7" a="1"/>
  <c r="J21" i="7" s="1"/>
  <c r="J63" i="7" a="1"/>
  <c r="J63" i="7" s="1"/>
  <c r="J51" i="7" a="1"/>
  <c r="J51" i="7" s="1"/>
  <c r="J125" i="7" a="1"/>
  <c r="J125" i="7" s="1"/>
  <c r="J39" i="7" a="1"/>
  <c r="J39" i="7" s="1"/>
  <c r="S15" i="4"/>
  <c r="AZ14" i="13"/>
  <c r="T15" i="4" s="1"/>
  <c r="AY145" i="13"/>
  <c r="P146" i="4"/>
  <c r="AB49" i="7" a="1"/>
  <c r="AB49" i="7" s="1"/>
  <c r="AB107" i="7" a="1"/>
  <c r="AB107" i="7" s="1"/>
  <c r="AB183" i="7" a="1"/>
  <c r="AB183" i="7" s="1"/>
  <c r="AB44" i="7" a="1"/>
  <c r="AB44" i="7" s="1"/>
  <c r="AB191" i="7" a="1"/>
  <c r="AB191" i="7" s="1"/>
  <c r="AB170" i="7" a="1"/>
  <c r="AB170" i="7" s="1"/>
  <c r="AB150" i="7" a="1"/>
  <c r="AB150" i="7" s="1"/>
  <c r="AB101" i="7" a="1"/>
  <c r="AB101" i="7" s="1"/>
  <c r="AB192" i="7" a="1"/>
  <c r="AB192" i="7" s="1"/>
  <c r="AB78" i="7" a="1"/>
  <c r="AB78" i="7" s="1"/>
  <c r="AB171" i="7" a="1"/>
  <c r="AB171" i="7" s="1"/>
  <c r="AB19" i="7" a="1"/>
  <c r="AB19" i="7" s="1"/>
  <c r="S77" i="4"/>
  <c r="AZ76" i="13"/>
  <c r="T77" i="4" s="1"/>
  <c r="S45" i="4"/>
  <c r="AZ44" i="13"/>
  <c r="T45" i="4" s="1"/>
  <c r="AB146" i="7" a="1"/>
  <c r="AB146" i="7" s="1"/>
  <c r="AB199" i="7" a="1"/>
  <c r="AB199" i="7" s="1"/>
  <c r="AB13" i="7" a="1"/>
  <c r="AB13" i="7" s="1"/>
  <c r="AB92" i="7" a="1"/>
  <c r="AB92" i="7" s="1"/>
  <c r="AB56" i="7" a="1"/>
  <c r="AB56" i="7" s="1"/>
  <c r="BC6" i="13"/>
  <c r="AA7" i="4" s="1"/>
  <c r="S174" i="4"/>
  <c r="AZ173" i="13"/>
  <c r="T174" i="4" s="1"/>
  <c r="AB195" i="7" a="1"/>
  <c r="AB195" i="7" s="1"/>
  <c r="AB135" i="7" a="1"/>
  <c r="AB135" i="7" s="1"/>
  <c r="AY158" i="13"/>
  <c r="P159" i="4"/>
  <c r="S13" i="4"/>
  <c r="AZ12" i="13"/>
  <c r="T13" i="4" s="1"/>
  <c r="AY78" i="13"/>
  <c r="P79" i="4"/>
  <c r="AY38" i="13"/>
  <c r="P39" i="4"/>
  <c r="F198" i="7" a="1"/>
  <c r="F198" i="7" s="1"/>
  <c r="F142" i="7" a="1"/>
  <c r="F142" i="7" s="1"/>
  <c r="F109" i="7" a="1"/>
  <c r="F109" i="7" s="1"/>
  <c r="F90" i="7" a="1"/>
  <c r="F90" i="7" s="1"/>
  <c r="F58" i="7" a="1"/>
  <c r="F58" i="7" s="1"/>
  <c r="F80" i="7" a="1"/>
  <c r="F80" i="7" s="1"/>
  <c r="F92" i="7" a="1"/>
  <c r="F92" i="7" s="1"/>
  <c r="F60" i="7" a="1"/>
  <c r="F60" i="7" s="1"/>
  <c r="F22" i="7" a="1"/>
  <c r="F22" i="7" s="1"/>
  <c r="F145" i="7" a="1"/>
  <c r="F145" i="7" s="1"/>
  <c r="F150" i="7" a="1"/>
  <c r="F150" i="7" s="1"/>
  <c r="F102" i="7" a="1"/>
  <c r="F102" i="7" s="1"/>
  <c r="F104" i="7" a="1"/>
  <c r="F104" i="7" s="1"/>
  <c r="F77" i="7" a="1"/>
  <c r="F77" i="7" s="1"/>
  <c r="F79" i="7" a="1"/>
  <c r="F79" i="7" s="1"/>
  <c r="F170" i="7" a="1"/>
  <c r="F170" i="7" s="1"/>
  <c r="F62" i="7" a="1"/>
  <c r="F62" i="7" s="1"/>
  <c r="F33" i="7" a="1"/>
  <c r="F33" i="7" s="1"/>
  <c r="F15" i="7" a="1"/>
  <c r="F15" i="7" s="1"/>
  <c r="F43" i="7" a="1"/>
  <c r="F43" i="7" s="1"/>
  <c r="F191" i="7" a="1"/>
  <c r="F191" i="7" s="1"/>
  <c r="F182" i="7" a="1"/>
  <c r="F182" i="7" s="1"/>
  <c r="F53" i="7" a="1"/>
  <c r="F53" i="7" s="1"/>
  <c r="F186" i="7" a="1"/>
  <c r="F186" i="7" s="1"/>
  <c r="F147" i="7" a="1"/>
  <c r="F147" i="7" s="1"/>
  <c r="F162" i="7" a="1"/>
  <c r="F162" i="7" s="1"/>
  <c r="F107" i="7" a="1"/>
  <c r="F107" i="7" s="1"/>
  <c r="F103" i="7" a="1"/>
  <c r="F103" i="7" s="1"/>
  <c r="F89" i="7" a="1"/>
  <c r="F89" i="7" s="1"/>
  <c r="F167" i="7" a="1"/>
  <c r="F167" i="7" s="1"/>
  <c r="F101" i="7" a="1"/>
  <c r="F101" i="7" s="1"/>
  <c r="F95" i="7" a="1"/>
  <c r="F95" i="7" s="1"/>
  <c r="F32" i="7" a="1"/>
  <c r="F32" i="7" s="1"/>
  <c r="F14" i="7" a="1"/>
  <c r="F14" i="7" s="1"/>
  <c r="F192" i="7" a="1"/>
  <c r="F192" i="7" s="1"/>
  <c r="F176" i="7" a="1"/>
  <c r="F176" i="7" s="1"/>
  <c r="F61" i="7" a="1"/>
  <c r="F61" i="7" s="1"/>
  <c r="F130" i="7" a="1"/>
  <c r="F130" i="7" s="1"/>
  <c r="F123" i="7" a="1"/>
  <c r="F123" i="7" s="1"/>
  <c r="F66" i="7" a="1"/>
  <c r="F66" i="7" s="1"/>
  <c r="F93" i="7" a="1"/>
  <c r="F93" i="7" s="1"/>
  <c r="F48" i="7" a="1"/>
  <c r="F48" i="7" s="1"/>
  <c r="F31" i="7" a="1"/>
  <c r="F31" i="7" s="1"/>
  <c r="F105" i="7" a="1"/>
  <c r="F105" i="7" s="1"/>
  <c r="F94" i="7" a="1"/>
  <c r="F94" i="7" s="1"/>
  <c r="F42" i="7" a="1"/>
  <c r="F42" i="7" s="1"/>
  <c r="F37" i="7" a="1"/>
  <c r="F37" i="7" s="1"/>
  <c r="F3" i="7" a="1"/>
  <c r="F3" i="7" s="1"/>
  <c r="F189" i="7" a="1"/>
  <c r="F189" i="7" s="1"/>
  <c r="F172" i="7" a="1"/>
  <c r="F172" i="7" s="1"/>
  <c r="F41" i="7" a="1"/>
  <c r="F41" i="7" s="1"/>
  <c r="F151" i="7" a="1"/>
  <c r="F151" i="7" s="1"/>
  <c r="F144" i="7" a="1"/>
  <c r="F144" i="7" s="1"/>
  <c r="F108" i="7" a="1"/>
  <c r="F108" i="7" s="1"/>
  <c r="F49" i="7" a="1"/>
  <c r="F49" i="7" s="1"/>
  <c r="F23" i="7" a="1"/>
  <c r="F23" i="7" s="1"/>
  <c r="F196" i="7" a="1"/>
  <c r="F196" i="7" s="1"/>
  <c r="F161" i="7" a="1"/>
  <c r="F161" i="7" s="1"/>
  <c r="F25" i="7" a="1"/>
  <c r="F25" i="7" s="1"/>
  <c r="F16" i="7" a="1"/>
  <c r="F16" i="7" s="1"/>
  <c r="F6" i="7" a="1"/>
  <c r="F6" i="7" s="1"/>
  <c r="F157" i="7" a="1"/>
  <c r="F157" i="7" s="1"/>
  <c r="F136" i="7" a="1"/>
  <c r="F136" i="7" s="1"/>
  <c r="F73" i="7" a="1"/>
  <c r="F73" i="7" s="1"/>
  <c r="F111" i="7" a="1"/>
  <c r="F111" i="7" s="1"/>
  <c r="F11" i="7" a="1"/>
  <c r="F11" i="7" s="1"/>
  <c r="F185" i="7" a="1"/>
  <c r="F185" i="7" s="1"/>
  <c r="F181" i="7" a="1"/>
  <c r="F181" i="7" s="1"/>
  <c r="F156" i="7" a="1"/>
  <c r="F156" i="7" s="1"/>
  <c r="F98" i="7" a="1"/>
  <c r="F98" i="7" s="1"/>
  <c r="F45" i="7" a="1"/>
  <c r="F45" i="7" s="1"/>
  <c r="F110" i="7" a="1"/>
  <c r="F110" i="7" s="1"/>
  <c r="F76" i="7" a="1"/>
  <c r="F76" i="7" s="1"/>
  <c r="F10" i="7" a="1"/>
  <c r="F10" i="7" s="1"/>
  <c r="F121" i="7" a="1"/>
  <c r="F121" i="7" s="1"/>
  <c r="F117" i="7" a="1"/>
  <c r="F117" i="7" s="1"/>
  <c r="F81" i="7" a="1"/>
  <c r="F81" i="7" s="1"/>
  <c r="F120" i="7" a="1"/>
  <c r="F120" i="7" s="1"/>
  <c r="F159" i="7" a="1"/>
  <c r="F159" i="7" s="1"/>
  <c r="F9" i="7" a="1"/>
  <c r="F9" i="7" s="1"/>
  <c r="F126" i="7" a="1"/>
  <c r="F126" i="7" s="1"/>
  <c r="F171" i="7" a="1"/>
  <c r="F171" i="7" s="1"/>
  <c r="F57" i="7" a="1"/>
  <c r="F57" i="7" s="1"/>
  <c r="F129" i="7" a="1"/>
  <c r="F129" i="7" s="1"/>
  <c r="F59" i="7" a="1"/>
  <c r="F59" i="7" s="1"/>
  <c r="S24" i="4"/>
  <c r="AZ23" i="13"/>
  <c r="T24" i="4" s="1"/>
  <c r="S30" i="4"/>
  <c r="AZ29" i="13"/>
  <c r="T30" i="4" s="1"/>
  <c r="AY122" i="13"/>
  <c r="P123" i="4"/>
  <c r="Q58" i="7" a="1"/>
  <c r="Q58" i="7" s="1"/>
  <c r="Q188" i="7" a="1"/>
  <c r="Q188" i="7" s="1"/>
  <c r="Q100" i="7" a="1"/>
  <c r="Q100" i="7" s="1"/>
  <c r="Q77" i="7" a="1"/>
  <c r="Q77" i="7" s="1"/>
  <c r="J95" i="7" a="1"/>
  <c r="J95" i="7" s="1"/>
  <c r="J131" i="7" a="1"/>
  <c r="J131" i="7" s="1"/>
  <c r="J187" i="7" a="1"/>
  <c r="J187" i="7" s="1"/>
  <c r="J66" i="7" a="1"/>
  <c r="J66" i="7" s="1"/>
  <c r="J102" i="7" a="1"/>
  <c r="J102" i="7" s="1"/>
  <c r="AB105" i="7" a="1"/>
  <c r="AB105" i="7" s="1"/>
  <c r="AB113" i="7" a="1"/>
  <c r="AB113" i="7" s="1"/>
  <c r="AB5" i="7" a="1"/>
  <c r="AB5" i="7" s="1"/>
  <c r="BC53" i="13"/>
  <c r="AA54" i="4" s="1"/>
  <c r="AY111" i="13"/>
  <c r="P112" i="4"/>
  <c r="I41" i="7" a="1"/>
  <c r="I41" i="7" s="1"/>
  <c r="I143" i="7" a="1"/>
  <c r="I143" i="7" s="1"/>
  <c r="I96" i="7" a="1"/>
  <c r="I96" i="7" s="1"/>
  <c r="I124" i="7" a="1"/>
  <c r="I124" i="7" s="1"/>
  <c r="I71" i="7" a="1"/>
  <c r="I71" i="7" s="1"/>
  <c r="I8" i="7" a="1"/>
  <c r="I8" i="7" s="1"/>
  <c r="I34" i="7" a="1"/>
  <c r="I34" i="7" s="1"/>
  <c r="I148" i="7" a="1"/>
  <c r="I148" i="7" s="1"/>
  <c r="I50" i="7" a="1"/>
  <c r="I50" i="7" s="1"/>
  <c r="I144" i="7" a="1"/>
  <c r="I144" i="7" s="1"/>
  <c r="I79" i="7" a="1"/>
  <c r="I79" i="7" s="1"/>
  <c r="I72" i="7" a="1"/>
  <c r="I72" i="7" s="1"/>
  <c r="E165" i="7" a="1"/>
  <c r="E165" i="7" s="1"/>
  <c r="E176" i="7" a="1"/>
  <c r="E176" i="7" s="1"/>
  <c r="E68" i="7" a="1"/>
  <c r="E68" i="7" s="1"/>
  <c r="E132" i="7" a="1"/>
  <c r="E132" i="7" s="1"/>
  <c r="E196" i="7" a="1"/>
  <c r="E196" i="7" s="1"/>
  <c r="E75" i="7" a="1"/>
  <c r="E75" i="7" s="1"/>
  <c r="E16" i="7" a="1"/>
  <c r="E16" i="7" s="1"/>
  <c r="E90" i="7" a="1"/>
  <c r="E90" i="7" s="1"/>
  <c r="E185" i="7" a="1"/>
  <c r="E185" i="7" s="1"/>
  <c r="E91" i="7" a="1"/>
  <c r="E91" i="7" s="1"/>
  <c r="E158" i="7" a="1"/>
  <c r="E158" i="7" s="1"/>
  <c r="E44" i="7" a="1"/>
  <c r="E44" i="7" s="1"/>
  <c r="BC181" i="13"/>
  <c r="AA182" i="4" s="1"/>
  <c r="S76" i="4"/>
  <c r="AZ75" i="13"/>
  <c r="T76" i="4" s="1"/>
  <c r="AY95" i="13"/>
  <c r="P96" i="4"/>
  <c r="AZ13" i="13"/>
  <c r="T14" i="4" s="1"/>
  <c r="S14" i="4"/>
  <c r="BC132" i="13"/>
  <c r="AA133" i="4" s="1"/>
  <c r="AY65" i="13"/>
  <c r="P66" i="4"/>
  <c r="BC177" i="13"/>
  <c r="AA178" i="4" s="1"/>
  <c r="AY81" i="13"/>
  <c r="P82" i="4"/>
  <c r="BC108" i="13"/>
  <c r="AA109" i="4" s="1"/>
  <c r="AY131" i="13"/>
  <c r="P132" i="4"/>
  <c r="BC145" i="13"/>
  <c r="AA146" i="4" s="1"/>
  <c r="BC71" i="13"/>
  <c r="AA72" i="4" s="1"/>
  <c r="Q147" i="7" a="1"/>
  <c r="Q147" i="7" s="1"/>
  <c r="Q92" i="7" a="1"/>
  <c r="Q92" i="7" s="1"/>
  <c r="Q84" i="7" a="1"/>
  <c r="Q84" i="7" s="1"/>
  <c r="Q103" i="7" a="1"/>
  <c r="Q103" i="7" s="1"/>
  <c r="Q178" i="7" a="1"/>
  <c r="Q178" i="7" s="1"/>
  <c r="Q195" i="7" a="1"/>
  <c r="Q195" i="7" s="1"/>
  <c r="Q33" i="7" a="1"/>
  <c r="Q33" i="7" s="1"/>
  <c r="Q87" i="7" a="1"/>
  <c r="Q87" i="7" s="1"/>
  <c r="Q68" i="7" a="1"/>
  <c r="Q68" i="7" s="1"/>
  <c r="Q6" i="7" a="1"/>
  <c r="Q6" i="7" s="1"/>
  <c r="Q22" i="7" a="1"/>
  <c r="Q22" i="7" s="1"/>
  <c r="Q135" i="7" a="1"/>
  <c r="Q135" i="7" s="1"/>
  <c r="J114" i="7" a="1"/>
  <c r="J114" i="7" s="1"/>
  <c r="J196" i="7" a="1"/>
  <c r="J196" i="7" s="1"/>
  <c r="J185" i="7" a="1"/>
  <c r="J185" i="7" s="1"/>
  <c r="J190" i="7" a="1"/>
  <c r="J190" i="7" s="1"/>
  <c r="J159" i="7" a="1"/>
  <c r="J159" i="7" s="1"/>
  <c r="J107" i="7" a="1"/>
  <c r="J107" i="7" s="1"/>
  <c r="J22" i="7" a="1"/>
  <c r="J22" i="7" s="1"/>
  <c r="J54" i="7" a="1"/>
  <c r="J54" i="7" s="1"/>
  <c r="J32" i="7" a="1"/>
  <c r="J32" i="7" s="1"/>
  <c r="J192" i="7" a="1"/>
  <c r="J192" i="7" s="1"/>
  <c r="J140" i="7" a="1"/>
  <c r="J140" i="7" s="1"/>
  <c r="J136" i="7" a="1"/>
  <c r="J136" i="7" s="1"/>
  <c r="J13" i="7" a="1"/>
  <c r="J13" i="7" s="1"/>
  <c r="AZ59" i="13"/>
  <c r="T60" i="4" s="1"/>
  <c r="S60" i="4"/>
  <c r="AB45" i="7" a="1"/>
  <c r="AB45" i="7" s="1"/>
  <c r="AB193" i="7" a="1"/>
  <c r="AB193" i="7" s="1"/>
  <c r="AB33" i="7" a="1"/>
  <c r="AB33" i="7" s="1"/>
  <c r="AB177" i="7" a="1"/>
  <c r="AB177" i="7" s="1"/>
  <c r="AB35" i="7" a="1"/>
  <c r="AB35" i="7" s="1"/>
  <c r="AB159" i="7" a="1"/>
  <c r="AB159" i="7" s="1"/>
  <c r="AB9" i="7" a="1"/>
  <c r="AB9" i="7" s="1"/>
  <c r="AB174" i="7" a="1"/>
  <c r="AB174" i="7" s="1"/>
  <c r="AB73" i="7" a="1"/>
  <c r="AB73" i="7" s="1"/>
  <c r="AB23" i="7" a="1"/>
  <c r="AB23" i="7" s="1"/>
  <c r="AB194" i="7" a="1"/>
  <c r="AB194" i="7" s="1"/>
  <c r="AB98" i="7" a="1"/>
  <c r="AB98" i="7" s="1"/>
  <c r="S101" i="4"/>
  <c r="AZ100" i="13"/>
  <c r="T101" i="4" s="1"/>
  <c r="AY70" i="13"/>
  <c r="P71" i="4"/>
  <c r="S149" i="4"/>
  <c r="AZ148" i="13"/>
  <c r="T149" i="4" s="1"/>
  <c r="S176" i="4"/>
  <c r="AZ175" i="13"/>
  <c r="T176" i="4" s="1"/>
  <c r="P166" i="4"/>
  <c r="AY165" i="13"/>
  <c r="P127" i="4"/>
  <c r="AY126" i="13"/>
  <c r="S178" i="4"/>
  <c r="AZ177" i="13"/>
  <c r="T178" i="4" s="1"/>
  <c r="Q94" i="7" a="1"/>
  <c r="Q94" i="7" s="1"/>
  <c r="Q14" i="7" a="1"/>
  <c r="Q14" i="7" s="1"/>
  <c r="Q131" i="7" a="1"/>
  <c r="Q131" i="7" s="1"/>
  <c r="Q66" i="7" a="1"/>
  <c r="Q66" i="7" s="1"/>
  <c r="J109" i="7" a="1"/>
  <c r="J109" i="7" s="1"/>
  <c r="J84" i="7" a="1"/>
  <c r="J84" i="7" s="1"/>
  <c r="J80" i="7" a="1"/>
  <c r="J80" i="7" s="1"/>
  <c r="J12" i="7" a="1"/>
  <c r="J12" i="7" s="1"/>
  <c r="J28" i="7" a="1"/>
  <c r="J28" i="7" s="1"/>
  <c r="S156" i="4"/>
  <c r="AZ155" i="13"/>
  <c r="T156" i="4" s="1"/>
  <c r="AB90" i="7" a="1"/>
  <c r="AB90" i="7" s="1"/>
  <c r="AB200" i="7" a="1"/>
  <c r="AB200" i="7" s="1"/>
  <c r="AB4" i="7" a="1"/>
  <c r="AB4" i="7" s="1"/>
  <c r="AB162" i="7" a="1"/>
  <c r="AB162" i="7" s="1"/>
  <c r="AY186" i="13"/>
  <c r="P187" i="4"/>
  <c r="I20" i="7" a="1"/>
  <c r="I20" i="7" s="1"/>
  <c r="I82" i="7" a="1"/>
  <c r="I82" i="7" s="1"/>
  <c r="I111" i="7" a="1"/>
  <c r="I111" i="7" s="1"/>
  <c r="I136" i="7" a="1"/>
  <c r="I136" i="7" s="1"/>
  <c r="I95" i="7" a="1"/>
  <c r="I95" i="7" s="1"/>
  <c r="I150" i="7" a="1"/>
  <c r="I150" i="7" s="1"/>
  <c r="I156" i="7" a="1"/>
  <c r="I156" i="7" s="1"/>
  <c r="I74" i="7" a="1"/>
  <c r="I74" i="7" s="1"/>
  <c r="I168" i="7" a="1"/>
  <c r="I168" i="7" s="1"/>
  <c r="I197" i="7" a="1"/>
  <c r="I197" i="7" s="1"/>
  <c r="I157" i="7" a="1"/>
  <c r="I157" i="7" s="1"/>
  <c r="E88" i="7" a="1"/>
  <c r="E88" i="7" s="1"/>
  <c r="E112" i="7" a="1"/>
  <c r="E112" i="7" s="1"/>
  <c r="E149" i="7" a="1"/>
  <c r="E149" i="7" s="1"/>
  <c r="E11" i="7" a="1"/>
  <c r="E11" i="7" s="1"/>
  <c r="E183" i="7" a="1"/>
  <c r="E183" i="7" s="1"/>
  <c r="E32" i="7" a="1"/>
  <c r="E32" i="7" s="1"/>
  <c r="E130" i="7" a="1"/>
  <c r="E130" i="7" s="1"/>
  <c r="E194" i="7" a="1"/>
  <c r="E194" i="7" s="1"/>
  <c r="E143" i="7" a="1"/>
  <c r="E143" i="7" s="1"/>
  <c r="E6" i="7" a="1"/>
  <c r="E6" i="7" s="1"/>
  <c r="E151" i="7" a="1"/>
  <c r="E151" i="7" s="1"/>
  <c r="E8" i="7" a="1"/>
  <c r="E8" i="7" s="1"/>
  <c r="BC42" i="13"/>
  <c r="AA43" i="4" s="1"/>
  <c r="S35" i="4"/>
  <c r="AZ34" i="13"/>
  <c r="T35" i="4" s="1"/>
  <c r="BC75" i="13"/>
  <c r="AA76" i="4" s="1"/>
  <c r="BC165" i="13"/>
  <c r="AA166" i="4" s="1"/>
  <c r="BC95" i="13"/>
  <c r="AA96" i="4" s="1"/>
  <c r="AY24" i="13"/>
  <c r="P25" i="4"/>
  <c r="BC149" i="13"/>
  <c r="AA150" i="4" s="1"/>
  <c r="S104" i="4"/>
  <c r="AZ103" i="13"/>
  <c r="T104" i="4" s="1"/>
  <c r="BC156" i="13"/>
  <c r="AA157" i="4" s="1"/>
  <c r="S133" i="4"/>
  <c r="AZ132" i="13"/>
  <c r="T133" i="4" s="1"/>
  <c r="P171" i="4"/>
  <c r="AY170" i="13"/>
  <c r="BC65" i="13"/>
  <c r="AA66" i="4" s="1"/>
  <c r="P153" i="4"/>
  <c r="AY152" i="13"/>
  <c r="BC122" i="13"/>
  <c r="AA123" i="4" s="1"/>
  <c r="AY33" i="13"/>
  <c r="P34" i="4"/>
  <c r="Q193" i="7" a="1"/>
  <c r="Q193" i="7" s="1"/>
  <c r="Q134" i="7" a="1"/>
  <c r="Q134" i="7" s="1"/>
  <c r="Q132" i="7" a="1"/>
  <c r="Q132" i="7" s="1"/>
  <c r="Q110" i="7" a="1"/>
  <c r="Q110" i="7" s="1"/>
  <c r="Q57" i="7" a="1"/>
  <c r="Q57" i="7" s="1"/>
  <c r="Q157" i="7" a="1"/>
  <c r="Q157" i="7" s="1"/>
  <c r="Q197" i="7" a="1"/>
  <c r="Q197" i="7" s="1"/>
  <c r="Q17" i="7" a="1"/>
  <c r="Q17" i="7" s="1"/>
  <c r="Q117" i="7" a="1"/>
  <c r="Q117" i="7" s="1"/>
  <c r="Q175" i="7" a="1"/>
  <c r="Q175" i="7" s="1"/>
  <c r="Q112" i="7" a="1"/>
  <c r="Q112" i="7" s="1"/>
  <c r="J148" i="7" a="1"/>
  <c r="J148" i="7" s="1"/>
  <c r="J19" i="7" a="1"/>
  <c r="J19" i="7" s="1"/>
  <c r="J18" i="7" a="1"/>
  <c r="J18" i="7" s="1"/>
  <c r="J118" i="7" a="1"/>
  <c r="J118" i="7" s="1"/>
  <c r="J45" i="7" a="1"/>
  <c r="J45" i="7" s="1"/>
  <c r="J167" i="7" a="1"/>
  <c r="J167" i="7" s="1"/>
  <c r="J47" i="7" a="1"/>
  <c r="J47" i="7" s="1"/>
  <c r="J182" i="7" a="1"/>
  <c r="J182" i="7" s="1"/>
  <c r="J151" i="7" a="1"/>
  <c r="J151" i="7" s="1"/>
  <c r="J133" i="7" a="1"/>
  <c r="J133" i="7" s="1"/>
  <c r="J30" i="7" a="1"/>
  <c r="J30" i="7" s="1"/>
  <c r="BC157" i="13"/>
  <c r="AA158" i="4" s="1"/>
  <c r="S8" i="4"/>
  <c r="AZ7" i="13"/>
  <c r="T8" i="4" s="1"/>
  <c r="AB116" i="7" a="1"/>
  <c r="AB116" i="7" s="1"/>
  <c r="AB91" i="7" a="1"/>
  <c r="AB91" i="7" s="1"/>
  <c r="AB124" i="7" a="1"/>
  <c r="AB124" i="7" s="1"/>
  <c r="AB190" i="7" a="1"/>
  <c r="AB190" i="7" s="1"/>
  <c r="AB121" i="7" a="1"/>
  <c r="AB121" i="7" s="1"/>
  <c r="AB122" i="7" a="1"/>
  <c r="AB122" i="7" s="1"/>
  <c r="AB38" i="7" a="1"/>
  <c r="AB38" i="7" s="1"/>
  <c r="AB52" i="7" a="1"/>
  <c r="AB52" i="7" s="1"/>
  <c r="AB6" i="7" a="1"/>
  <c r="AB6" i="7" s="1"/>
  <c r="AB42" i="7" a="1"/>
  <c r="AB42" i="7" s="1"/>
  <c r="AB88" i="7" a="1"/>
  <c r="AB88" i="7" s="1"/>
  <c r="AZ10" i="13"/>
  <c r="T11" i="4" s="1"/>
  <c r="S11" i="4"/>
  <c r="AA89" i="7" l="1" a="1"/>
  <c r="AA89" i="7" s="1"/>
  <c r="S198" i="4"/>
  <c r="AZ197" i="13"/>
  <c r="T198" i="4" s="1"/>
  <c r="S168" i="4"/>
  <c r="AZ167" i="13"/>
  <c r="T168" i="4" s="1"/>
  <c r="AZ11" i="13"/>
  <c r="T12" i="4" s="1"/>
  <c r="S12" i="4"/>
  <c r="AA186" i="7" a="1"/>
  <c r="AA186" i="7" s="1"/>
  <c r="AA36" i="7" a="1"/>
  <c r="AA36" i="7" s="1"/>
  <c r="AA136" i="7" a="1"/>
  <c r="AA136" i="7" s="1"/>
  <c r="P175" i="7" a="1"/>
  <c r="P175" i="7" s="1"/>
  <c r="AA43" i="7" a="1"/>
  <c r="AA43" i="7" s="1"/>
  <c r="P67" i="7" a="1"/>
  <c r="P67" i="7" s="1"/>
  <c r="P149" i="7" a="1"/>
  <c r="P149" i="7" s="1"/>
  <c r="P194" i="7" a="1"/>
  <c r="P194" i="7" s="1"/>
  <c r="AA91" i="7" a="1"/>
  <c r="AA91" i="7" s="1"/>
  <c r="AA167" i="7" a="1"/>
  <c r="AA167" i="7" s="1"/>
  <c r="AA170" i="7" a="1"/>
  <c r="AA170" i="7" s="1"/>
  <c r="P39" i="7" a="1"/>
  <c r="P39" i="7" s="1"/>
  <c r="AA160" i="7" a="1"/>
  <c r="AA160" i="7" s="1"/>
  <c r="AA31" i="7" a="1"/>
  <c r="AA31" i="7" s="1"/>
  <c r="AA198" i="7" a="1"/>
  <c r="AA198" i="7" s="1"/>
  <c r="P14" i="7" a="1"/>
  <c r="P14" i="7" s="1"/>
  <c r="AA152" i="7" a="1"/>
  <c r="AA152" i="7" s="1"/>
  <c r="AA71" i="7" a="1"/>
  <c r="AA71" i="7" s="1"/>
  <c r="AA175" i="7" a="1"/>
  <c r="AA175" i="7" s="1"/>
  <c r="AA191" i="7" a="1"/>
  <c r="AA191" i="7" s="1"/>
  <c r="R173" i="7" a="1"/>
  <c r="R173" i="7" s="1"/>
  <c r="R52" i="7" a="1"/>
  <c r="R52" i="7" s="1"/>
  <c r="P151" i="7" a="1"/>
  <c r="P151" i="7" s="1"/>
  <c r="AA99" i="7" a="1"/>
  <c r="AA99" i="7" s="1"/>
  <c r="AA174" i="7" a="1"/>
  <c r="AA174" i="7" s="1"/>
  <c r="S105" i="4"/>
  <c r="AZ104" i="13"/>
  <c r="T105" i="4" s="1"/>
  <c r="P76" i="7" a="1"/>
  <c r="P76" i="7" s="1"/>
  <c r="P12" i="7" a="1"/>
  <c r="P12" i="7" s="1"/>
  <c r="P16" i="7" a="1"/>
  <c r="P16" i="7" s="1"/>
  <c r="AA148" i="7" a="1"/>
  <c r="AA148" i="7" s="1"/>
  <c r="S71" i="4"/>
  <c r="AZ70" i="13"/>
  <c r="T71" i="4" s="1"/>
  <c r="S132" i="4"/>
  <c r="AZ131" i="13"/>
  <c r="T132" i="4" s="1"/>
  <c r="AA83" i="7" a="1"/>
  <c r="AA83" i="7" s="1"/>
  <c r="F5" i="7" a="1"/>
  <c r="F5" i="7" s="1"/>
  <c r="F69" i="7" a="1"/>
  <c r="F69" i="7" s="1"/>
  <c r="F153" i="7" a="1"/>
  <c r="F153" i="7" s="1"/>
  <c r="F70" i="7" a="1"/>
  <c r="F70" i="7" s="1"/>
  <c r="F118" i="7" a="1"/>
  <c r="F118" i="7" s="1"/>
  <c r="F135" i="7" a="1"/>
  <c r="F135" i="7" s="1"/>
  <c r="F13" i="7" a="1"/>
  <c r="F13" i="7" s="1"/>
  <c r="F146" i="7" a="1"/>
  <c r="F146" i="7" s="1"/>
  <c r="F68" i="7" a="1"/>
  <c r="F68" i="7" s="1"/>
  <c r="F155" i="7" a="1"/>
  <c r="F155" i="7" s="1"/>
  <c r="F78" i="7" a="1"/>
  <c r="F78" i="7" s="1"/>
  <c r="F86" i="7" a="1"/>
  <c r="F86" i="7" s="1"/>
  <c r="F184" i="7" a="1"/>
  <c r="F184" i="7" s="1"/>
  <c r="AA188" i="7" a="1"/>
  <c r="AA188" i="7" s="1"/>
  <c r="AA157" i="7" a="1"/>
  <c r="AA157" i="7" s="1"/>
  <c r="R85" i="7" a="1"/>
  <c r="R85" i="7" s="1"/>
  <c r="R3" i="7" a="1"/>
  <c r="R3" i="7" s="1"/>
  <c r="R76" i="7" a="1"/>
  <c r="R76" i="7" s="1"/>
  <c r="R170" i="7" a="1"/>
  <c r="R170" i="7" s="1"/>
  <c r="R140" i="7" a="1"/>
  <c r="R140" i="7" s="1"/>
  <c r="R79" i="7" a="1"/>
  <c r="R79" i="7" s="1"/>
  <c r="R185" i="7" a="1"/>
  <c r="R185" i="7" s="1"/>
  <c r="R200" i="7" a="1"/>
  <c r="R200" i="7" s="1"/>
  <c r="R115" i="7" a="1"/>
  <c r="R115" i="7" s="1"/>
  <c r="R117" i="7" a="1"/>
  <c r="R117" i="7" s="1"/>
  <c r="R69" i="7" a="1"/>
  <c r="R69" i="7" s="1"/>
  <c r="R163" i="7" a="1"/>
  <c r="R163" i="7" s="1"/>
  <c r="AA92" i="7" a="1"/>
  <c r="AA92" i="7" s="1"/>
  <c r="AA8" i="7" a="1"/>
  <c r="AA8" i="7" s="1"/>
  <c r="AA50" i="7" a="1"/>
  <c r="AA50" i="7" s="1"/>
  <c r="AA123" i="7" a="1"/>
  <c r="AA123" i="7" s="1"/>
  <c r="P4" i="7" a="1"/>
  <c r="P4" i="7" s="1"/>
  <c r="P185" i="7" a="1"/>
  <c r="P185" i="7" s="1"/>
  <c r="P162" i="7" a="1"/>
  <c r="P162" i="7" s="1"/>
  <c r="P46" i="7" a="1"/>
  <c r="P46" i="7" s="1"/>
  <c r="P156" i="7" a="1"/>
  <c r="P156" i="7" s="1"/>
  <c r="P125" i="7" a="1"/>
  <c r="P125" i="7" s="1"/>
  <c r="P49" i="7" a="1"/>
  <c r="P49" i="7" s="1"/>
  <c r="P127" i="7" a="1"/>
  <c r="P127" i="7" s="1"/>
  <c r="P24" i="7" a="1"/>
  <c r="P24" i="7" s="1"/>
  <c r="P75" i="7" a="1"/>
  <c r="P75" i="7" s="1"/>
  <c r="P176" i="7" a="1"/>
  <c r="P176" i="7" s="1"/>
  <c r="P77" i="7" a="1"/>
  <c r="P77" i="7" s="1"/>
  <c r="AA16" i="7" a="1"/>
  <c r="AA16" i="7" s="1"/>
  <c r="AA53" i="7" a="1"/>
  <c r="AA53" i="7" s="1"/>
  <c r="AA63" i="7" a="1"/>
  <c r="AA63" i="7" s="1"/>
  <c r="S80" i="4"/>
  <c r="AZ79" i="13"/>
  <c r="T80" i="4" s="1"/>
  <c r="AA45" i="7" a="1"/>
  <c r="AA45" i="7" s="1"/>
  <c r="AA158" i="7" a="1"/>
  <c r="AA158" i="7" s="1"/>
  <c r="AZ72" i="13"/>
  <c r="T73" i="4" s="1"/>
  <c r="S73" i="4"/>
  <c r="P188" i="7" a="1"/>
  <c r="P188" i="7" s="1"/>
  <c r="P181" i="7" a="1"/>
  <c r="P181" i="7" s="1"/>
  <c r="P115" i="7" a="1"/>
  <c r="P115" i="7" s="1"/>
  <c r="P92" i="7" a="1"/>
  <c r="P92" i="7" s="1"/>
  <c r="P90" i="7" a="1"/>
  <c r="P90" i="7" s="1"/>
  <c r="P61" i="7" a="1"/>
  <c r="P61" i="7" s="1"/>
  <c r="P15" i="7" a="1"/>
  <c r="P15" i="7" s="1"/>
  <c r="P88" i="7" a="1"/>
  <c r="P88" i="7" s="1"/>
  <c r="P155" i="7" a="1"/>
  <c r="P155" i="7" s="1"/>
  <c r="P32" i="7" a="1"/>
  <c r="P32" i="7" s="1"/>
  <c r="P104" i="7" a="1"/>
  <c r="P104" i="7" s="1"/>
  <c r="P193" i="7" a="1"/>
  <c r="P193" i="7" s="1"/>
  <c r="AA66" i="7" a="1"/>
  <c r="AA66" i="7" s="1"/>
  <c r="AA55" i="7" a="1"/>
  <c r="AA55" i="7" s="1"/>
  <c r="S72" i="4"/>
  <c r="AZ71" i="13"/>
  <c r="T72" i="4" s="1"/>
  <c r="AA120" i="7" a="1"/>
  <c r="AA120" i="7" s="1"/>
  <c r="P17" i="7" a="1"/>
  <c r="P17" i="7" s="1"/>
  <c r="AZ40" i="13"/>
  <c r="T41" i="4" s="1"/>
  <c r="S41" i="4"/>
  <c r="AA121" i="7" a="1"/>
  <c r="AA121" i="7" s="1"/>
  <c r="P133" i="7" a="1"/>
  <c r="P133" i="7" s="1"/>
  <c r="P171" i="7" a="1"/>
  <c r="P171" i="7" s="1"/>
  <c r="R124" i="7" a="1"/>
  <c r="R124" i="7" s="1"/>
  <c r="S118" i="4"/>
  <c r="AZ117" i="13"/>
  <c r="T118" i="4" s="1"/>
  <c r="P35" i="7" a="1"/>
  <c r="P35" i="7" s="1"/>
  <c r="R24" i="7" a="1"/>
  <c r="R24" i="7" s="1"/>
  <c r="R9" i="7" a="1"/>
  <c r="R9" i="7" s="1"/>
  <c r="AA87" i="7" a="1"/>
  <c r="AA87" i="7" s="1"/>
  <c r="P158" i="7" a="1"/>
  <c r="P158" i="7" s="1"/>
  <c r="AA107" i="7" a="1"/>
  <c r="AA107" i="7" s="1"/>
  <c r="R161" i="7" a="1"/>
  <c r="R161" i="7" s="1"/>
  <c r="R160" i="7" a="1"/>
  <c r="R160" i="7" s="1"/>
  <c r="R141" i="7" a="1"/>
  <c r="R141" i="7" s="1"/>
  <c r="AA3" i="7" a="1"/>
  <c r="AA3" i="7" s="1"/>
  <c r="P21" i="7" a="1"/>
  <c r="P21" i="7" s="1"/>
  <c r="P165" i="7" a="1"/>
  <c r="P165" i="7" s="1"/>
  <c r="P122" i="7" a="1"/>
  <c r="P122" i="7" s="1"/>
  <c r="AA173" i="7" a="1"/>
  <c r="AA173" i="7" s="1"/>
  <c r="S135" i="4"/>
  <c r="AZ134" i="13"/>
  <c r="T135" i="4" s="1"/>
  <c r="AA109" i="7" a="1"/>
  <c r="AA109" i="7" s="1"/>
  <c r="S25" i="4"/>
  <c r="AZ24" i="13"/>
  <c r="T25" i="4" s="1"/>
  <c r="S127" i="4"/>
  <c r="AZ126" i="13"/>
  <c r="T127" i="4" s="1"/>
  <c r="S96" i="4"/>
  <c r="AZ95" i="13"/>
  <c r="T96" i="4" s="1"/>
  <c r="AA128" i="7" a="1"/>
  <c r="AA128" i="7" s="1"/>
  <c r="F83" i="7" a="1"/>
  <c r="F83" i="7" s="1"/>
  <c r="F179" i="7" a="1"/>
  <c r="F179" i="7" s="1"/>
  <c r="F139" i="7" a="1"/>
  <c r="F139" i="7" s="1"/>
  <c r="F112" i="7" a="1"/>
  <c r="F112" i="7" s="1"/>
  <c r="F169" i="7" a="1"/>
  <c r="F169" i="7" s="1"/>
  <c r="F72" i="7" a="1"/>
  <c r="F72" i="7" s="1"/>
  <c r="F160" i="7" a="1"/>
  <c r="F160" i="7" s="1"/>
  <c r="F67" i="7" a="1"/>
  <c r="F67" i="7" s="1"/>
  <c r="F199" i="7" a="1"/>
  <c r="F199" i="7" s="1"/>
  <c r="F65" i="7" a="1"/>
  <c r="F65" i="7" s="1"/>
  <c r="F164" i="7" a="1"/>
  <c r="F164" i="7" s="1"/>
  <c r="F114" i="7" a="1"/>
  <c r="F114" i="7" s="1"/>
  <c r="S146" i="4"/>
  <c r="AZ145" i="13"/>
  <c r="T146" i="4" s="1"/>
  <c r="AA46" i="7" a="1"/>
  <c r="AA46" i="7" s="1"/>
  <c r="AA86" i="7" a="1"/>
  <c r="AA86" i="7" s="1"/>
  <c r="AA74" i="7" a="1"/>
  <c r="AA74" i="7" s="1"/>
  <c r="AA125" i="7" a="1"/>
  <c r="AA125" i="7" s="1"/>
  <c r="AA193" i="7" a="1"/>
  <c r="AA193" i="7" s="1"/>
  <c r="AA187" i="7" a="1"/>
  <c r="AA187" i="7" s="1"/>
  <c r="AA78" i="7" a="1"/>
  <c r="AA78" i="7" s="1"/>
  <c r="AA140" i="7" a="1"/>
  <c r="AA140" i="7" s="1"/>
  <c r="AA111" i="7" a="1"/>
  <c r="AA111" i="7" s="1"/>
  <c r="AA72" i="7" a="1"/>
  <c r="AA72" i="7" s="1"/>
  <c r="AA189" i="7" a="1"/>
  <c r="AA189" i="7" s="1"/>
  <c r="AA100" i="7" a="1"/>
  <c r="AA100" i="7" s="1"/>
  <c r="AA93" i="7" a="1"/>
  <c r="AA93" i="7" s="1"/>
  <c r="AA75" i="7" a="1"/>
  <c r="AA75" i="7" s="1"/>
  <c r="AA118" i="7" a="1"/>
  <c r="AA118" i="7" s="1"/>
  <c r="AA17" i="7" a="1"/>
  <c r="AA17" i="7" s="1"/>
  <c r="AA62" i="7" a="1"/>
  <c r="AA62" i="7" s="1"/>
  <c r="AA10" i="7" a="1"/>
  <c r="AA10" i="7" s="1"/>
  <c r="AA25" i="7" a="1"/>
  <c r="AA25" i="7" s="1"/>
  <c r="AA27" i="7" a="1"/>
  <c r="AA27" i="7" s="1"/>
  <c r="AA106" i="7" a="1"/>
  <c r="AA106" i="7" s="1"/>
  <c r="AA38" i="7" a="1"/>
  <c r="AA38" i="7" s="1"/>
  <c r="AA110" i="7" a="1"/>
  <c r="AA110" i="7" s="1"/>
  <c r="AA51" i="7" a="1"/>
  <c r="AA51" i="7" s="1"/>
  <c r="AA80" i="7" a="1"/>
  <c r="AA80" i="7" s="1"/>
  <c r="AA98" i="7" a="1"/>
  <c r="AA98" i="7" s="1"/>
  <c r="AA154" i="7" a="1"/>
  <c r="AA154" i="7" s="1"/>
  <c r="AA183" i="7" a="1"/>
  <c r="AA183" i="7" s="1"/>
  <c r="AA124" i="7" a="1"/>
  <c r="AA124" i="7" s="1"/>
  <c r="AA190" i="7" a="1"/>
  <c r="AA190" i="7" s="1"/>
  <c r="AA138" i="7" a="1"/>
  <c r="AA138" i="7" s="1"/>
  <c r="AA47" i="7" a="1"/>
  <c r="AA47" i="7" s="1"/>
  <c r="AA163" i="7" a="1"/>
  <c r="AA163" i="7" s="1"/>
  <c r="AA13" i="7" a="1"/>
  <c r="AA13" i="7" s="1"/>
  <c r="AA122" i="7" a="1"/>
  <c r="AA122" i="7" s="1"/>
  <c r="AA29" i="7" a="1"/>
  <c r="AA29" i="7" s="1"/>
  <c r="AA192" i="7" a="1"/>
  <c r="AA192" i="7" s="1"/>
  <c r="S91" i="4"/>
  <c r="AZ90" i="13"/>
  <c r="T91" i="4" s="1"/>
  <c r="R29" i="7" a="1"/>
  <c r="R29" i="7" s="1"/>
  <c r="R159" i="7" a="1"/>
  <c r="R159" i="7" s="1"/>
  <c r="R16" i="7" a="1"/>
  <c r="R16" i="7" s="1"/>
  <c r="R151" i="7" a="1"/>
  <c r="R151" i="7" s="1"/>
  <c r="R11" i="7" a="1"/>
  <c r="R11" i="7" s="1"/>
  <c r="R104" i="7" a="1"/>
  <c r="R104" i="7" s="1"/>
  <c r="R42" i="7" a="1"/>
  <c r="R42" i="7" s="1"/>
  <c r="R109" i="7" a="1"/>
  <c r="R109" i="7" s="1"/>
  <c r="R87" i="7" a="1"/>
  <c r="R87" i="7" s="1"/>
  <c r="R184" i="7" a="1"/>
  <c r="R184" i="7" s="1"/>
  <c r="R102" i="7" a="1"/>
  <c r="R102" i="7" s="1"/>
  <c r="R41" i="7" a="1"/>
  <c r="R41" i="7" s="1"/>
  <c r="R64" i="7" a="1"/>
  <c r="R64" i="7" s="1"/>
  <c r="AA144" i="7" a="1"/>
  <c r="AA144" i="7" s="1"/>
  <c r="S103" i="4"/>
  <c r="AZ102" i="13"/>
  <c r="T103" i="4" s="1"/>
  <c r="AA164" i="7" a="1"/>
  <c r="AA164" i="7" s="1"/>
  <c r="AA81" i="7" a="1"/>
  <c r="AA81" i="7" s="1"/>
  <c r="AA77" i="7" a="1"/>
  <c r="AA77" i="7" s="1"/>
  <c r="P18" i="7" a="1"/>
  <c r="P18" i="7" s="1"/>
  <c r="P144" i="7" a="1"/>
  <c r="P144" i="7" s="1"/>
  <c r="P109" i="7" a="1"/>
  <c r="P109" i="7" s="1"/>
  <c r="P163" i="7" a="1"/>
  <c r="P163" i="7" s="1"/>
  <c r="P117" i="7" a="1"/>
  <c r="P117" i="7" s="1"/>
  <c r="P66" i="7" a="1"/>
  <c r="P66" i="7" s="1"/>
  <c r="P103" i="7" a="1"/>
  <c r="P103" i="7" s="1"/>
  <c r="P89" i="7" a="1"/>
  <c r="P89" i="7" s="1"/>
  <c r="P124" i="7" a="1"/>
  <c r="P124" i="7" s="1"/>
  <c r="P180" i="7" a="1"/>
  <c r="P180" i="7" s="1"/>
  <c r="P111" i="7" a="1"/>
  <c r="P111" i="7" s="1"/>
  <c r="P132" i="7" a="1"/>
  <c r="P132" i="7" s="1"/>
  <c r="P51" i="7" a="1"/>
  <c r="P51" i="7" s="1"/>
  <c r="S93" i="4"/>
  <c r="AZ92" i="13"/>
  <c r="T93" i="4" s="1"/>
  <c r="AA5" i="7" a="1"/>
  <c r="AA5" i="7" s="1"/>
  <c r="AA116" i="7" a="1"/>
  <c r="AA116" i="7" s="1"/>
  <c r="S134" i="4"/>
  <c r="AZ133" i="13"/>
  <c r="T134" i="4" s="1"/>
  <c r="S123" i="4"/>
  <c r="AZ122" i="13"/>
  <c r="T123" i="4" s="1"/>
  <c r="P152" i="7" a="1"/>
  <c r="P152" i="7" s="1"/>
  <c r="AA23" i="7" a="1"/>
  <c r="AA23" i="7" s="1"/>
  <c r="AZ56" i="13"/>
  <c r="T57" i="4" s="1"/>
  <c r="S57" i="4"/>
  <c r="R149" i="7" a="1"/>
  <c r="R149" i="7" s="1"/>
  <c r="R91" i="7" a="1"/>
  <c r="R91" i="7" s="1"/>
  <c r="P41" i="7" a="1"/>
  <c r="P41" i="7" s="1"/>
  <c r="P187" i="7" a="1"/>
  <c r="P187" i="7" s="1"/>
  <c r="S79" i="4"/>
  <c r="AZ78" i="13"/>
  <c r="T79" i="4" s="1"/>
  <c r="AA9" i="7" a="1"/>
  <c r="AA9" i="7" s="1"/>
  <c r="R147" i="7" a="1"/>
  <c r="R147" i="7" s="1"/>
  <c r="P81" i="7" a="1"/>
  <c r="P81" i="7" s="1"/>
  <c r="R15" i="7" a="1"/>
  <c r="R15" i="7" s="1"/>
  <c r="R99" i="7" a="1"/>
  <c r="R99" i="7" s="1"/>
  <c r="R142" i="7" a="1"/>
  <c r="R142" i="7" s="1"/>
  <c r="P192" i="7" a="1"/>
  <c r="P192" i="7" s="1"/>
  <c r="P143" i="7" a="1"/>
  <c r="P143" i="7" s="1"/>
  <c r="P179" i="7" a="1"/>
  <c r="P179" i="7" s="1"/>
  <c r="S128" i="4"/>
  <c r="AZ127" i="13"/>
  <c r="T128" i="4" s="1"/>
  <c r="AA147" i="7" a="1"/>
  <c r="AA147" i="7" s="1"/>
  <c r="AA143" i="7" a="1"/>
  <c r="AA143" i="7" s="1"/>
  <c r="F115" i="7" a="1"/>
  <c r="F115" i="7" s="1"/>
  <c r="F200" i="7" a="1"/>
  <c r="F200" i="7" s="1"/>
  <c r="F141" i="7" a="1"/>
  <c r="F141" i="7" s="1"/>
  <c r="F125" i="7" a="1"/>
  <c r="F125" i="7" s="1"/>
  <c r="F183" i="7" a="1"/>
  <c r="F183" i="7" s="1"/>
  <c r="F166" i="7" a="1"/>
  <c r="F166" i="7" s="1"/>
  <c r="F163" i="7" a="1"/>
  <c r="F163" i="7" s="1"/>
  <c r="F127" i="7" a="1"/>
  <c r="F127" i="7" s="1"/>
  <c r="F44" i="7" a="1"/>
  <c r="F44" i="7" s="1"/>
  <c r="F82" i="7" a="1"/>
  <c r="F82" i="7" s="1"/>
  <c r="F187" i="7" a="1"/>
  <c r="F187" i="7" s="1"/>
  <c r="F116" i="7" a="1"/>
  <c r="F116" i="7" s="1"/>
  <c r="AA68" i="7" a="1"/>
  <c r="AA68" i="7" s="1"/>
  <c r="AA33" i="7" a="1"/>
  <c r="AA33" i="7" s="1"/>
  <c r="R187" i="7" a="1"/>
  <c r="R187" i="7" s="1"/>
  <c r="R74" i="7" a="1"/>
  <c r="R74" i="7" s="1"/>
  <c r="R57" i="7" a="1"/>
  <c r="R57" i="7" s="1"/>
  <c r="R66" i="7" a="1"/>
  <c r="R66" i="7" s="1"/>
  <c r="R14" i="7" a="1"/>
  <c r="R14" i="7" s="1"/>
  <c r="R84" i="7" a="1"/>
  <c r="R84" i="7" s="1"/>
  <c r="R56" i="7" a="1"/>
  <c r="R56" i="7" s="1"/>
  <c r="R65" i="7" a="1"/>
  <c r="R65" i="7" s="1"/>
  <c r="R43" i="7" a="1"/>
  <c r="R43" i="7" s="1"/>
  <c r="R23" i="7" a="1"/>
  <c r="R23" i="7" s="1"/>
  <c r="R144" i="7" a="1"/>
  <c r="R144" i="7" s="1"/>
  <c r="R75" i="7" a="1"/>
  <c r="R75" i="7" s="1"/>
  <c r="R31" i="7" a="1"/>
  <c r="R31" i="7" s="1"/>
  <c r="AA142" i="7" a="1"/>
  <c r="AA142" i="7" s="1"/>
  <c r="AA101" i="7" a="1"/>
  <c r="AA101" i="7" s="1"/>
  <c r="AA131" i="7" a="1"/>
  <c r="AA131" i="7" s="1"/>
  <c r="P86" i="7" a="1"/>
  <c r="P86" i="7" s="1"/>
  <c r="P139" i="7" a="1"/>
  <c r="P139" i="7" s="1"/>
  <c r="P147" i="7" a="1"/>
  <c r="P147" i="7" s="1"/>
  <c r="P60" i="7" a="1"/>
  <c r="P60" i="7" s="1"/>
  <c r="P114" i="7" a="1"/>
  <c r="P114" i="7" s="1"/>
  <c r="P30" i="7" a="1"/>
  <c r="P30" i="7" s="1"/>
  <c r="P36" i="7" a="1"/>
  <c r="P36" i="7" s="1"/>
  <c r="P23" i="7" a="1"/>
  <c r="P23" i="7" s="1"/>
  <c r="P59" i="7" a="1"/>
  <c r="P59" i="7" s="1"/>
  <c r="P150" i="7" a="1"/>
  <c r="P150" i="7" s="1"/>
  <c r="P97" i="7" a="1"/>
  <c r="P97" i="7" s="1"/>
  <c r="P108" i="7" a="1"/>
  <c r="P108" i="7" s="1"/>
  <c r="P200" i="7" a="1"/>
  <c r="P200" i="7" s="1"/>
  <c r="AA179" i="7" a="1"/>
  <c r="AA179" i="7" s="1"/>
  <c r="S157" i="4"/>
  <c r="AZ156" i="13"/>
  <c r="T157" i="4" s="1"/>
  <c r="AA156" i="7" a="1"/>
  <c r="AA156" i="7" s="1"/>
  <c r="S54" i="4"/>
  <c r="AZ53" i="13"/>
  <c r="T54" i="4" s="1"/>
  <c r="AA49" i="7" a="1"/>
  <c r="AA49" i="7" s="1"/>
  <c r="AA182" i="7" a="1"/>
  <c r="AA182" i="7" s="1"/>
  <c r="P82" i="7" a="1"/>
  <c r="P82" i="7" s="1"/>
  <c r="S89" i="4"/>
  <c r="AZ88" i="13"/>
  <c r="T89" i="4" s="1"/>
  <c r="S23" i="4"/>
  <c r="AZ22" i="13"/>
  <c r="T23" i="4" s="1"/>
  <c r="AA113" i="7" a="1"/>
  <c r="AA113" i="7" s="1"/>
  <c r="S82" i="4"/>
  <c r="AZ81" i="13"/>
  <c r="T82" i="4" s="1"/>
  <c r="P95" i="7" a="1"/>
  <c r="P95" i="7" s="1"/>
  <c r="AA95" i="7" a="1"/>
  <c r="AA95" i="7" s="1"/>
  <c r="S112" i="4"/>
  <c r="AZ111" i="13"/>
  <c r="T112" i="4" s="1"/>
  <c r="AZ8" i="13"/>
  <c r="T9" i="4" s="1"/>
  <c r="S9" i="4"/>
  <c r="R100" i="7" a="1"/>
  <c r="R100" i="7" s="1"/>
  <c r="P157" i="7" a="1"/>
  <c r="P157" i="7" s="1"/>
  <c r="P99" i="7" a="1"/>
  <c r="P99" i="7" s="1"/>
  <c r="AA69" i="7" a="1"/>
  <c r="AA69" i="7" s="1"/>
  <c r="R45" i="7" a="1"/>
  <c r="R45" i="7" s="1"/>
  <c r="AA57" i="7" a="1"/>
  <c r="AA57" i="7" s="1"/>
  <c r="P69" i="7" a="1"/>
  <c r="P69" i="7" s="1"/>
  <c r="P93" i="7" a="1"/>
  <c r="P93" i="7" s="1"/>
  <c r="R72" i="7" a="1"/>
  <c r="R72" i="7" s="1"/>
  <c r="R98" i="7" a="1"/>
  <c r="R98" i="7" s="1"/>
  <c r="R25" i="7" a="1"/>
  <c r="R25" i="7" s="1"/>
  <c r="AA104" i="7" a="1"/>
  <c r="AA104" i="7" s="1"/>
  <c r="P72" i="7" a="1"/>
  <c r="P72" i="7" s="1"/>
  <c r="P168" i="7" a="1"/>
  <c r="P168" i="7" s="1"/>
  <c r="P172" i="7" a="1"/>
  <c r="P172" i="7" s="1"/>
  <c r="AA64" i="7" a="1"/>
  <c r="AA64" i="7" s="1"/>
  <c r="AZ33" i="13"/>
  <c r="T34" i="4" s="1"/>
  <c r="S34" i="4"/>
  <c r="AA130" i="7" a="1"/>
  <c r="AA130" i="7" s="1"/>
  <c r="S166" i="4"/>
  <c r="AZ165" i="13"/>
  <c r="T166" i="4" s="1"/>
  <c r="AA59" i="7" a="1"/>
  <c r="AA59" i="7" s="1"/>
  <c r="F143" i="7" a="1"/>
  <c r="F143" i="7" s="1"/>
  <c r="F34" i="7" a="1"/>
  <c r="F34" i="7" s="1"/>
  <c r="F46" i="7" a="1"/>
  <c r="F46" i="7" s="1"/>
  <c r="F137" i="7" a="1"/>
  <c r="F137" i="7" s="1"/>
  <c r="F19" i="7" a="1"/>
  <c r="F19" i="7" s="1"/>
  <c r="F27" i="7" a="1"/>
  <c r="F27" i="7" s="1"/>
  <c r="F173" i="7" a="1"/>
  <c r="F173" i="7" s="1"/>
  <c r="F152" i="7" a="1"/>
  <c r="F152" i="7" s="1"/>
  <c r="F8" i="7" a="1"/>
  <c r="F8" i="7" s="1"/>
  <c r="F113" i="7" a="1"/>
  <c r="F113" i="7" s="1"/>
  <c r="F12" i="7" a="1"/>
  <c r="F12" i="7" s="1"/>
  <c r="F140" i="7" a="1"/>
  <c r="F140" i="7" s="1"/>
  <c r="AA61" i="7" a="1"/>
  <c r="AA61" i="7" s="1"/>
  <c r="AA44" i="7" a="1"/>
  <c r="AA44" i="7" s="1"/>
  <c r="AA7" i="7" a="1"/>
  <c r="AA7" i="7" s="1"/>
  <c r="S189" i="4"/>
  <c r="AZ188" i="13"/>
  <c r="T189" i="4" s="1"/>
  <c r="R116" i="7" a="1"/>
  <c r="R116" i="7" s="1"/>
  <c r="R71" i="7" a="1"/>
  <c r="R71" i="7" s="1"/>
  <c r="R111" i="7" a="1"/>
  <c r="R111" i="7" s="1"/>
  <c r="R67" i="7" a="1"/>
  <c r="R67" i="7" s="1"/>
  <c r="R150" i="7" a="1"/>
  <c r="R150" i="7" s="1"/>
  <c r="R155" i="7" a="1"/>
  <c r="R155" i="7" s="1"/>
  <c r="R40" i="7" a="1"/>
  <c r="R40" i="7" s="1"/>
  <c r="R96" i="7" a="1"/>
  <c r="R96" i="7" s="1"/>
  <c r="R168" i="7" a="1"/>
  <c r="R168" i="7" s="1"/>
  <c r="R53" i="7" a="1"/>
  <c r="R53" i="7" s="1"/>
  <c r="R119" i="7" a="1"/>
  <c r="R119" i="7" s="1"/>
  <c r="R181" i="7" a="1"/>
  <c r="R181" i="7" s="1"/>
  <c r="R138" i="7" a="1"/>
  <c r="R138" i="7" s="1"/>
  <c r="S139" i="4"/>
  <c r="AZ138" i="13"/>
  <c r="T139" i="4" s="1"/>
  <c r="AA103" i="7" a="1"/>
  <c r="AA103" i="7" s="1"/>
  <c r="AA88" i="7" a="1"/>
  <c r="AA88" i="7" s="1"/>
  <c r="P74" i="7" a="1"/>
  <c r="P74" i="7" s="1"/>
  <c r="P38" i="7" a="1"/>
  <c r="P38" i="7" s="1"/>
  <c r="P184" i="7" a="1"/>
  <c r="P184" i="7" s="1"/>
  <c r="P42" i="7" a="1"/>
  <c r="P42" i="7" s="1"/>
  <c r="P189" i="7" a="1"/>
  <c r="P189" i="7" s="1"/>
  <c r="P64" i="7" a="1"/>
  <c r="P64" i="7" s="1"/>
  <c r="P101" i="7" a="1"/>
  <c r="P101" i="7" s="1"/>
  <c r="P34" i="7" a="1"/>
  <c r="P34" i="7" s="1"/>
  <c r="P25" i="7" a="1"/>
  <c r="P25" i="7" s="1"/>
  <c r="P121" i="7" a="1"/>
  <c r="P121" i="7" s="1"/>
  <c r="P13" i="7" a="1"/>
  <c r="P13" i="7" s="1"/>
  <c r="P106" i="7" a="1"/>
  <c r="P106" i="7" s="1"/>
  <c r="S114" i="4"/>
  <c r="AZ113" i="13"/>
  <c r="T114" i="4" s="1"/>
  <c r="S84" i="4"/>
  <c r="AZ83" i="13"/>
  <c r="T84" i="4" s="1"/>
  <c r="AA119" i="7" a="1"/>
  <c r="AA119" i="7" s="1"/>
  <c r="S120" i="4"/>
  <c r="AZ119" i="13"/>
  <c r="T120" i="4" s="1"/>
  <c r="AA84" i="7" a="1"/>
  <c r="AA84" i="7" s="1"/>
  <c r="AA67" i="7" a="1"/>
  <c r="AA67" i="7" s="1"/>
  <c r="S29" i="4"/>
  <c r="AZ28" i="13"/>
  <c r="T29" i="4" s="1"/>
  <c r="AA185" i="7" a="1"/>
  <c r="AA185" i="7" s="1"/>
  <c r="S187" i="4"/>
  <c r="AZ186" i="13"/>
  <c r="T187" i="4" s="1"/>
  <c r="P118" i="7" a="1"/>
  <c r="P118" i="7" s="1"/>
  <c r="P65" i="7" a="1"/>
  <c r="P65" i="7" s="1"/>
  <c r="AA12" i="7" a="1"/>
  <c r="AA12" i="7" s="1"/>
  <c r="AZ54" i="13"/>
  <c r="T55" i="4" s="1"/>
  <c r="S55" i="4"/>
  <c r="P91" i="7" a="1"/>
  <c r="P91" i="7" s="1"/>
  <c r="AA150" i="7" a="1"/>
  <c r="AA150" i="7" s="1"/>
  <c r="R34" i="7" a="1"/>
  <c r="R34" i="7" s="1"/>
  <c r="P197" i="7" a="1"/>
  <c r="P197" i="7" s="1"/>
  <c r="AA18" i="7" a="1"/>
  <c r="AA18" i="7" s="1"/>
  <c r="AA137" i="7" a="1"/>
  <c r="AA137" i="7" s="1"/>
  <c r="S150" i="4"/>
  <c r="AZ149" i="13"/>
  <c r="T150" i="4" s="1"/>
  <c r="R179" i="7" a="1"/>
  <c r="R179" i="7" s="1"/>
  <c r="P26" i="7" a="1"/>
  <c r="P26" i="7" s="1"/>
  <c r="P5" i="7" a="1"/>
  <c r="P5" i="7" s="1"/>
  <c r="AA14" i="7" a="1"/>
  <c r="AA14" i="7" s="1"/>
  <c r="AA184" i="7" a="1"/>
  <c r="AA184" i="7" s="1"/>
  <c r="R123" i="7" a="1"/>
  <c r="R123" i="7" s="1"/>
  <c r="R51" i="7" a="1"/>
  <c r="R51" i="7" s="1"/>
  <c r="R59" i="7" a="1"/>
  <c r="R59" i="7" s="1"/>
  <c r="R20" i="7" a="1"/>
  <c r="R20" i="7" s="1"/>
  <c r="AA82" i="7" a="1"/>
  <c r="AA82" i="7" s="1"/>
  <c r="S160" i="4"/>
  <c r="AZ159" i="13"/>
  <c r="T160" i="4" s="1"/>
  <c r="AA153" i="7" a="1"/>
  <c r="AA153" i="7" s="1"/>
  <c r="P96" i="7" a="1"/>
  <c r="P96" i="7" s="1"/>
  <c r="P146" i="7" a="1"/>
  <c r="P146" i="7" s="1"/>
  <c r="P8" i="7" a="1"/>
  <c r="P8" i="7" s="1"/>
  <c r="P161" i="7" a="1"/>
  <c r="P161" i="7" s="1"/>
  <c r="AA196" i="7" a="1"/>
  <c r="AA196" i="7" s="1"/>
  <c r="AA6" i="7" a="1"/>
  <c r="AA6" i="7" s="1"/>
  <c r="F178" i="7" a="1"/>
  <c r="F178" i="7" s="1"/>
  <c r="F84" i="7" a="1"/>
  <c r="F84" i="7" s="1"/>
  <c r="F54" i="7" a="1"/>
  <c r="F54" i="7" s="1"/>
  <c r="F148" i="7" a="1"/>
  <c r="F148" i="7" s="1"/>
  <c r="F29" i="7" a="1"/>
  <c r="F29" i="7" s="1"/>
  <c r="F40" i="7" a="1"/>
  <c r="F40" i="7" s="1"/>
  <c r="F17" i="7" a="1"/>
  <c r="F17" i="7" s="1"/>
  <c r="F132" i="7" a="1"/>
  <c r="F132" i="7" s="1"/>
  <c r="F26" i="7" a="1"/>
  <c r="F26" i="7" s="1"/>
  <c r="F133" i="7" a="1"/>
  <c r="F133" i="7" s="1"/>
  <c r="F20" i="7" a="1"/>
  <c r="F20" i="7" s="1"/>
  <c r="F131" i="7" a="1"/>
  <c r="F131" i="7" s="1"/>
  <c r="AA155" i="7" a="1"/>
  <c r="AA155" i="7" s="1"/>
  <c r="AA96" i="7" a="1"/>
  <c r="AA96" i="7" s="1"/>
  <c r="R137" i="7" a="1"/>
  <c r="R137" i="7" s="1"/>
  <c r="R175" i="7" a="1"/>
  <c r="R175" i="7" s="1"/>
  <c r="R73" i="7" a="1"/>
  <c r="R73" i="7" s="1"/>
  <c r="R19" i="7" a="1"/>
  <c r="R19" i="7" s="1"/>
  <c r="R82" i="7" a="1"/>
  <c r="R82" i="7" s="1"/>
  <c r="R125" i="7" a="1"/>
  <c r="R125" i="7" s="1"/>
  <c r="R129" i="7" a="1"/>
  <c r="R129" i="7" s="1"/>
  <c r="R164" i="7" a="1"/>
  <c r="R164" i="7" s="1"/>
  <c r="R80" i="7" a="1"/>
  <c r="R80" i="7" s="1"/>
  <c r="R182" i="7" a="1"/>
  <c r="R182" i="7" s="1"/>
  <c r="R158" i="7" a="1"/>
  <c r="R158" i="7" s="1"/>
  <c r="R133" i="7" a="1"/>
  <c r="R133" i="7" s="1"/>
  <c r="R94" i="7" a="1"/>
  <c r="R94" i="7" s="1"/>
  <c r="AA26" i="7" a="1"/>
  <c r="AA26" i="7" s="1"/>
  <c r="AA194" i="7" a="1"/>
  <c r="AA194" i="7" s="1"/>
  <c r="P196" i="7" a="1"/>
  <c r="P196" i="7" s="1"/>
  <c r="P159" i="7" a="1"/>
  <c r="P159" i="7" s="1"/>
  <c r="P137" i="7" a="1"/>
  <c r="P137" i="7" s="1"/>
  <c r="P173" i="7" a="1"/>
  <c r="P173" i="7" s="1"/>
  <c r="P120" i="7" a="1"/>
  <c r="P120" i="7" s="1"/>
  <c r="P141" i="7" a="1"/>
  <c r="P141" i="7" s="1"/>
  <c r="P113" i="7" a="1"/>
  <c r="P113" i="7" s="1"/>
  <c r="P145" i="7" a="1"/>
  <c r="P145" i="7" s="1"/>
  <c r="P154" i="7" a="1"/>
  <c r="P154" i="7" s="1"/>
  <c r="P87" i="7" a="1"/>
  <c r="P87" i="7" s="1"/>
  <c r="P167" i="7" a="1"/>
  <c r="P167" i="7" s="1"/>
  <c r="P58" i="7" a="1"/>
  <c r="P58" i="7" s="1"/>
  <c r="AA42" i="7" a="1"/>
  <c r="AA42" i="7" s="1"/>
  <c r="S162" i="4"/>
  <c r="AZ161" i="13"/>
  <c r="T162" i="4" s="1"/>
  <c r="AA85" i="7" a="1"/>
  <c r="AA85" i="7" s="1"/>
  <c r="S173" i="4"/>
  <c r="AZ172" i="13"/>
  <c r="T173" i="4" s="1"/>
  <c r="AA146" i="7" a="1"/>
  <c r="AA146" i="7" s="1"/>
  <c r="AA21" i="7" a="1"/>
  <c r="AA21" i="7" s="1"/>
  <c r="AA159" i="7" a="1"/>
  <c r="AA159" i="7" s="1"/>
  <c r="AA145" i="7" a="1"/>
  <c r="AA145" i="7" s="1"/>
  <c r="P6" i="7" a="1"/>
  <c r="P6" i="7" s="1"/>
  <c r="AA60" i="7" a="1"/>
  <c r="AA60" i="7" s="1"/>
  <c r="AA65" i="7" a="1"/>
  <c r="AA65" i="7" s="1"/>
  <c r="P31" i="7" a="1"/>
  <c r="P31" i="7" s="1"/>
  <c r="P107" i="7" a="1"/>
  <c r="P107" i="7" s="1"/>
  <c r="AA127" i="7" a="1"/>
  <c r="AA127" i="7" s="1"/>
  <c r="R39" i="7" a="1"/>
  <c r="R39" i="7" s="1"/>
  <c r="R46" i="7" a="1"/>
  <c r="R46" i="7" s="1"/>
  <c r="R32" i="7" a="1"/>
  <c r="R32" i="7" s="1"/>
  <c r="S164" i="4"/>
  <c r="AZ163" i="13"/>
  <c r="T164" i="4" s="1"/>
  <c r="P186" i="7" a="1"/>
  <c r="P186" i="7" s="1"/>
  <c r="AA168" i="7" a="1"/>
  <c r="AA168" i="7" s="1"/>
  <c r="S159" i="4"/>
  <c r="AZ158" i="13"/>
  <c r="T159" i="4" s="1"/>
  <c r="AA115" i="7" a="1"/>
  <c r="AA115" i="7" s="1"/>
  <c r="R121" i="7" a="1"/>
  <c r="R121" i="7" s="1"/>
  <c r="R112" i="7" a="1"/>
  <c r="R112" i="7" s="1"/>
  <c r="P28" i="7" a="1"/>
  <c r="P28" i="7" s="1"/>
  <c r="AA34" i="7" a="1"/>
  <c r="AA34" i="7" s="1"/>
  <c r="AZ17" i="13"/>
  <c r="T18" i="4" s="1"/>
  <c r="S18" i="4"/>
  <c r="AA32" i="7" a="1"/>
  <c r="AA32" i="7" s="1"/>
  <c r="AA35" i="7" a="1"/>
  <c r="AA35" i="7" s="1"/>
  <c r="P166" i="7" a="1"/>
  <c r="P166" i="7" s="1"/>
  <c r="P140" i="7" a="1"/>
  <c r="P140" i="7" s="1"/>
  <c r="AA37" i="7" a="1"/>
  <c r="AA37" i="7" s="1"/>
  <c r="AA76" i="7" a="1"/>
  <c r="AA76" i="7" s="1"/>
  <c r="S130" i="4"/>
  <c r="AZ129" i="13"/>
  <c r="T130" i="4" s="1"/>
  <c r="S39" i="4"/>
  <c r="AZ38" i="13"/>
  <c r="T39" i="4" s="1"/>
  <c r="AA15" i="7" a="1"/>
  <c r="AA15" i="7" s="1"/>
  <c r="P84" i="7" a="1"/>
  <c r="P84" i="7" s="1"/>
  <c r="P71" i="7" a="1"/>
  <c r="P71" i="7" s="1"/>
  <c r="S95" i="4"/>
  <c r="AZ94" i="13"/>
  <c r="T95" i="4" s="1"/>
  <c r="R128" i="7" a="1"/>
  <c r="R128" i="7" s="1"/>
  <c r="P128" i="7" a="1"/>
  <c r="P128" i="7" s="1"/>
  <c r="S137" i="4"/>
  <c r="AZ136" i="13"/>
  <c r="T137" i="4" s="1"/>
  <c r="R118" i="7" a="1"/>
  <c r="R118" i="7" s="1"/>
  <c r="R5" i="7" a="1"/>
  <c r="R5" i="7" s="1"/>
  <c r="AA134" i="7" a="1"/>
  <c r="AA134" i="7" s="1"/>
  <c r="P129" i="7" a="1"/>
  <c r="P129" i="7" s="1"/>
  <c r="AA73" i="7" a="1"/>
  <c r="AA73" i="7" s="1"/>
  <c r="F28" i="7" a="1"/>
  <c r="F28" i="7" s="1"/>
  <c r="F47" i="7" a="1"/>
  <c r="F47" i="7" s="1"/>
  <c r="F24" i="7" a="1"/>
  <c r="F24" i="7" s="1"/>
  <c r="F190" i="7" a="1"/>
  <c r="F190" i="7" s="1"/>
  <c r="F197" i="7" a="1"/>
  <c r="F197" i="7" s="1"/>
  <c r="F71" i="7" a="1"/>
  <c r="F71" i="7" s="1"/>
  <c r="F128" i="7" a="1"/>
  <c r="F128" i="7" s="1"/>
  <c r="F88" i="7" a="1"/>
  <c r="F88" i="7" s="1"/>
  <c r="F188" i="7" a="1"/>
  <c r="F188" i="7" s="1"/>
  <c r="F64" i="7" a="1"/>
  <c r="F64" i="7" s="1"/>
  <c r="F174" i="7" a="1"/>
  <c r="F174" i="7" s="1"/>
  <c r="F7" i="7" a="1"/>
  <c r="F7" i="7" s="1"/>
  <c r="F154" i="7" a="1"/>
  <c r="F154" i="7" s="1"/>
  <c r="AA133" i="7" a="1"/>
  <c r="AA133" i="7" s="1"/>
  <c r="AA58" i="7" a="1"/>
  <c r="AA58" i="7" s="1"/>
  <c r="R186" i="7" a="1"/>
  <c r="R186" i="7" s="1"/>
  <c r="R95" i="7" a="1"/>
  <c r="R95" i="7" s="1"/>
  <c r="R50" i="7" a="1"/>
  <c r="R50" i="7" s="1"/>
  <c r="R81" i="7" a="1"/>
  <c r="R81" i="7" s="1"/>
  <c r="R157" i="7" a="1"/>
  <c r="R157" i="7" s="1"/>
  <c r="R108" i="7" a="1"/>
  <c r="R108" i="7" s="1"/>
  <c r="R131" i="7" a="1"/>
  <c r="R131" i="7" s="1"/>
  <c r="R148" i="7" a="1"/>
  <c r="R148" i="7" s="1"/>
  <c r="R192" i="7" a="1"/>
  <c r="R192" i="7" s="1"/>
  <c r="R97" i="7" a="1"/>
  <c r="R97" i="7" s="1"/>
  <c r="R196" i="7" a="1"/>
  <c r="R196" i="7" s="1"/>
  <c r="R8" i="7" a="1"/>
  <c r="R8" i="7" s="1"/>
  <c r="AA28" i="7" a="1"/>
  <c r="AA28" i="7" s="1"/>
  <c r="S16" i="4"/>
  <c r="AZ15" i="13"/>
  <c r="T16" i="4" s="1"/>
  <c r="AA178" i="7" a="1"/>
  <c r="AA178" i="7" s="1"/>
  <c r="P54" i="7" a="1"/>
  <c r="P54" i="7" s="1"/>
  <c r="P11" i="7" a="1"/>
  <c r="P11" i="7" s="1"/>
  <c r="P130" i="7" a="1"/>
  <c r="P130" i="7" s="1"/>
  <c r="P78" i="7" a="1"/>
  <c r="P78" i="7" s="1"/>
  <c r="P169" i="7" a="1"/>
  <c r="P169" i="7" s="1"/>
  <c r="P178" i="7" a="1"/>
  <c r="P178" i="7" s="1"/>
  <c r="P20" i="7" a="1"/>
  <c r="P20" i="7" s="1"/>
  <c r="P164" i="7" a="1"/>
  <c r="P164" i="7" s="1"/>
  <c r="P47" i="7" a="1"/>
  <c r="P47" i="7" s="1"/>
  <c r="P7" i="7" a="1"/>
  <c r="P7" i="7" s="1"/>
  <c r="P53" i="7" a="1"/>
  <c r="P53" i="7" s="1"/>
  <c r="P112" i="7" a="1"/>
  <c r="P112" i="7" s="1"/>
  <c r="AA161" i="7" a="1"/>
  <c r="AA161" i="7" s="1"/>
  <c r="AA200" i="7" a="1"/>
  <c r="AA200" i="7" s="1"/>
  <c r="S119" i="4"/>
  <c r="AZ118" i="13"/>
  <c r="T119" i="4" s="1"/>
  <c r="AA39" i="7" a="1"/>
  <c r="AA39" i="7" s="1"/>
  <c r="S152" i="4"/>
  <c r="AZ151" i="13"/>
  <c r="T152" i="4" s="1"/>
  <c r="AA129" i="7" a="1"/>
  <c r="AA129" i="7" s="1"/>
  <c r="P40" i="7" a="1"/>
  <c r="P40" i="7" s="1"/>
  <c r="P52" i="7" a="1"/>
  <c r="P52" i="7" s="1"/>
  <c r="AA108" i="7" a="1"/>
  <c r="AA108" i="7" s="1"/>
  <c r="P44" i="7" a="1"/>
  <c r="P44" i="7" s="1"/>
  <c r="AA24" i="7" a="1"/>
  <c r="AA24" i="7" s="1"/>
  <c r="R110" i="7" a="1"/>
  <c r="R110" i="7" s="1"/>
  <c r="R22" i="7" a="1"/>
  <c r="R22" i="7" s="1"/>
  <c r="S38" i="4"/>
  <c r="AZ37" i="13"/>
  <c r="T38" i="4" s="1"/>
  <c r="P126" i="7" a="1"/>
  <c r="P126" i="7" s="1"/>
  <c r="P138" i="7" a="1"/>
  <c r="P138" i="7" s="1"/>
  <c r="R48" i="7" a="1"/>
  <c r="R48" i="7" s="1"/>
  <c r="AA166" i="7" a="1"/>
  <c r="AA166" i="7" s="1"/>
  <c r="AA102" i="7" a="1"/>
  <c r="AA102" i="7" s="1"/>
  <c r="P10" i="7" a="1"/>
  <c r="P10" i="7" s="1"/>
  <c r="P56" i="7" a="1"/>
  <c r="P56" i="7" s="1"/>
  <c r="AA19" i="7" a="1"/>
  <c r="AA19" i="7" s="1"/>
  <c r="R174" i="7" a="1"/>
  <c r="R174" i="7" s="1"/>
  <c r="R178" i="7" a="1"/>
  <c r="R178" i="7" s="1"/>
  <c r="R62" i="7" a="1"/>
  <c r="R62" i="7" s="1"/>
  <c r="R89" i="7" a="1"/>
  <c r="R89" i="7" s="1"/>
  <c r="P70" i="7" a="1"/>
  <c r="P70" i="7" s="1"/>
  <c r="P110" i="7" a="1"/>
  <c r="P110" i="7" s="1"/>
  <c r="P131" i="7" a="1"/>
  <c r="P131" i="7" s="1"/>
  <c r="AA40" i="7" a="1"/>
  <c r="AA40" i="7" s="1"/>
  <c r="F194" i="7" a="1"/>
  <c r="F194" i="7" s="1"/>
  <c r="F97" i="7" a="1"/>
  <c r="F97" i="7" s="1"/>
  <c r="F96" i="7" a="1"/>
  <c r="F96" i="7" s="1"/>
  <c r="F56" i="7" a="1"/>
  <c r="F56" i="7" s="1"/>
  <c r="F63" i="7" a="1"/>
  <c r="F63" i="7" s="1"/>
  <c r="F74" i="7" a="1"/>
  <c r="F74" i="7" s="1"/>
  <c r="F138" i="7" a="1"/>
  <c r="F138" i="7" s="1"/>
  <c r="F99" i="7" a="1"/>
  <c r="F99" i="7" s="1"/>
  <c r="F36" i="7" a="1"/>
  <c r="F36" i="7" s="1"/>
  <c r="F75" i="7" a="1"/>
  <c r="F75" i="7" s="1"/>
  <c r="F195" i="7" a="1"/>
  <c r="F195" i="7" s="1"/>
  <c r="F39" i="7" a="1"/>
  <c r="F39" i="7" s="1"/>
  <c r="F158" i="7" a="1"/>
  <c r="F158" i="7" s="1"/>
  <c r="AA195" i="7" a="1"/>
  <c r="AA195" i="7" s="1"/>
  <c r="AA169" i="7" a="1"/>
  <c r="AA169" i="7" s="1"/>
  <c r="R127" i="7" a="1"/>
  <c r="R127" i="7" s="1"/>
  <c r="R44" i="7" a="1"/>
  <c r="R44" i="7" s="1"/>
  <c r="R114" i="7" a="1"/>
  <c r="R114" i="7" s="1"/>
  <c r="R26" i="7" a="1"/>
  <c r="R26" i="7" s="1"/>
  <c r="R103" i="7" a="1"/>
  <c r="R103" i="7" s="1"/>
  <c r="R145" i="7" a="1"/>
  <c r="R145" i="7" s="1"/>
  <c r="R177" i="7" a="1"/>
  <c r="R177" i="7" s="1"/>
  <c r="R188" i="7" a="1"/>
  <c r="R188" i="7" s="1"/>
  <c r="R120" i="7" a="1"/>
  <c r="R120" i="7" s="1"/>
  <c r="R126" i="7" a="1"/>
  <c r="R126" i="7" s="1"/>
  <c r="R61" i="7" a="1"/>
  <c r="R61" i="7" s="1"/>
  <c r="R171" i="7" a="1"/>
  <c r="R171" i="7" s="1"/>
  <c r="AA22" i="7" a="1"/>
  <c r="AA22" i="7" s="1"/>
  <c r="AA149" i="7" a="1"/>
  <c r="AA149" i="7" s="1"/>
  <c r="P3" i="7" a="1"/>
  <c r="P3" i="7" s="1"/>
  <c r="P195" i="7" a="1"/>
  <c r="P195" i="7" s="1"/>
  <c r="P80" i="7" a="1"/>
  <c r="P80" i="7" s="1"/>
  <c r="P190" i="7" a="1"/>
  <c r="P190" i="7" s="1"/>
  <c r="P50" i="7" a="1"/>
  <c r="P50" i="7" s="1"/>
  <c r="P85" i="7" a="1"/>
  <c r="P85" i="7" s="1"/>
  <c r="P135" i="7" a="1"/>
  <c r="P135" i="7" s="1"/>
  <c r="P63" i="7" a="1"/>
  <c r="P63" i="7" s="1"/>
  <c r="P177" i="7" a="1"/>
  <c r="P177" i="7" s="1"/>
  <c r="P182" i="7" a="1"/>
  <c r="P182" i="7" s="1"/>
  <c r="P160" i="7" a="1"/>
  <c r="P160" i="7" s="1"/>
  <c r="P105" i="7" a="1"/>
  <c r="P105" i="7" s="1"/>
  <c r="S155" i="4"/>
  <c r="AZ154" i="13"/>
  <c r="T155" i="4" s="1"/>
  <c r="AZ6" i="13"/>
  <c r="T7" i="4" s="1"/>
  <c r="S7" i="4"/>
  <c r="AA56" i="7" a="1"/>
  <c r="AA56" i="7" s="1"/>
  <c r="AA162" i="7" a="1"/>
  <c r="AA162" i="7" s="1"/>
  <c r="S102" i="4"/>
  <c r="AZ101" i="13"/>
  <c r="T102" i="4" s="1"/>
  <c r="S48" i="4"/>
  <c r="AZ47" i="13"/>
  <c r="T48" i="4" s="1"/>
  <c r="P100" i="7" a="1"/>
  <c r="P100" i="7" s="1"/>
  <c r="AA97" i="7" a="1"/>
  <c r="AA97" i="7" s="1"/>
  <c r="P9" i="7" a="1"/>
  <c r="P9" i="7" s="1"/>
  <c r="AA79" i="7" a="1"/>
  <c r="AA79" i="7" s="1"/>
  <c r="R183" i="7" a="1"/>
  <c r="R183" i="7" s="1"/>
  <c r="R63" i="7" a="1"/>
  <c r="R63" i="7" s="1"/>
  <c r="P153" i="7" a="1"/>
  <c r="P153" i="7" s="1"/>
  <c r="P27" i="7" a="1"/>
  <c r="P27" i="7" s="1"/>
  <c r="AA176" i="7" a="1"/>
  <c r="AA176" i="7" s="1"/>
  <c r="R166" i="7" a="1"/>
  <c r="R166" i="7" s="1"/>
  <c r="P83" i="7" a="1"/>
  <c r="P83" i="7" s="1"/>
  <c r="P29" i="7" a="1"/>
  <c r="P29" i="7" s="1"/>
  <c r="AA172" i="7" a="1"/>
  <c r="AA172" i="7" s="1"/>
  <c r="S153" i="4"/>
  <c r="AZ152" i="13"/>
  <c r="T153" i="4" s="1"/>
  <c r="AA165" i="7" a="1"/>
  <c r="AA165" i="7" s="1"/>
  <c r="R191" i="7" a="1"/>
  <c r="R191" i="7" s="1"/>
  <c r="R136" i="7" a="1"/>
  <c r="R136" i="7" s="1"/>
  <c r="R130" i="7" a="1"/>
  <c r="R130" i="7" s="1"/>
  <c r="AA171" i="7" a="1"/>
  <c r="AA171" i="7" s="1"/>
  <c r="P102" i="7" a="1"/>
  <c r="P102" i="7" s="1"/>
  <c r="P43" i="7" a="1"/>
  <c r="P43" i="7" s="1"/>
  <c r="AA132" i="7" a="1"/>
  <c r="AA132" i="7" s="1"/>
  <c r="S171" i="4"/>
  <c r="AZ170" i="13"/>
  <c r="T171" i="4" s="1"/>
  <c r="AA141" i="7" a="1"/>
  <c r="AA141" i="7" s="1"/>
  <c r="F87" i="7" a="1"/>
  <c r="F87" i="7" s="1"/>
  <c r="F134" i="7" a="1"/>
  <c r="F134" i="7" s="1"/>
  <c r="F55" i="7" a="1"/>
  <c r="F55" i="7" s="1"/>
  <c r="F91" i="7" a="1"/>
  <c r="F91" i="7" s="1"/>
  <c r="F85" i="7" a="1"/>
  <c r="F85" i="7" s="1"/>
  <c r="F119" i="7" a="1"/>
  <c r="F119" i="7" s="1"/>
  <c r="F177" i="7" a="1"/>
  <c r="F177" i="7" s="1"/>
  <c r="F100" i="7" a="1"/>
  <c r="F100" i="7" s="1"/>
  <c r="F52" i="7" a="1"/>
  <c r="F52" i="7" s="1"/>
  <c r="F106" i="7" a="1"/>
  <c r="F106" i="7" s="1"/>
  <c r="F4" i="7" a="1"/>
  <c r="F4" i="7" s="1"/>
  <c r="F18" i="7" a="1"/>
  <c r="F18" i="7" s="1"/>
  <c r="F165" i="7" a="1"/>
  <c r="F165" i="7" s="1"/>
  <c r="AA30" i="7" a="1"/>
  <c r="AA30" i="7" s="1"/>
  <c r="AA90" i="7" a="1"/>
  <c r="AA90" i="7" s="1"/>
  <c r="S32" i="4"/>
  <c r="AZ31" i="13"/>
  <c r="T32" i="4" s="1"/>
  <c r="R199" i="7" a="1"/>
  <c r="R199" i="7" s="1"/>
  <c r="R194" i="7" a="1"/>
  <c r="R194" i="7" s="1"/>
  <c r="R35" i="7" a="1"/>
  <c r="R35" i="7" s="1"/>
  <c r="R105" i="7" a="1"/>
  <c r="R105" i="7" s="1"/>
  <c r="R27" i="7" a="1"/>
  <c r="R27" i="7" s="1"/>
  <c r="R198" i="7" a="1"/>
  <c r="R198" i="7" s="1"/>
  <c r="R190" i="7" a="1"/>
  <c r="R190" i="7" s="1"/>
  <c r="R10" i="7" a="1"/>
  <c r="R10" i="7" s="1"/>
  <c r="R13" i="7" a="1"/>
  <c r="R13" i="7" s="1"/>
  <c r="R21" i="7" a="1"/>
  <c r="R21" i="7" s="1"/>
  <c r="R86" i="7" a="1"/>
  <c r="R86" i="7" s="1"/>
  <c r="R107" i="7" a="1"/>
  <c r="R107" i="7" s="1"/>
  <c r="AA151" i="7" a="1"/>
  <c r="AA151" i="7" s="1"/>
  <c r="AA11" i="7" a="1"/>
  <c r="AA11" i="7" s="1"/>
  <c r="AA20" i="7" a="1"/>
  <c r="AA20" i="7" s="1"/>
  <c r="S121" i="4"/>
  <c r="AZ120" i="13"/>
  <c r="T121" i="4" s="1"/>
  <c r="S31" i="4"/>
  <c r="AZ30" i="13"/>
  <c r="T31" i="4" s="1"/>
  <c r="P57" i="7" a="1"/>
  <c r="P57" i="7" s="1"/>
  <c r="P174" i="7" a="1"/>
  <c r="P174" i="7" s="1"/>
  <c r="P45" i="7" a="1"/>
  <c r="P45" i="7" s="1"/>
  <c r="P119" i="7" a="1"/>
  <c r="P119" i="7" s="1"/>
  <c r="P19" i="7" a="1"/>
  <c r="P19" i="7" s="1"/>
  <c r="P198" i="7" a="1"/>
  <c r="P198" i="7" s="1"/>
  <c r="P68" i="7" a="1"/>
  <c r="P68" i="7" s="1"/>
  <c r="P183" i="7" a="1"/>
  <c r="P183" i="7" s="1"/>
  <c r="P142" i="7" a="1"/>
  <c r="P142" i="7" s="1"/>
  <c r="P170" i="7" a="1"/>
  <c r="P170" i="7" s="1"/>
  <c r="P94" i="7" a="1"/>
  <c r="P94" i="7" s="1"/>
  <c r="P22" i="7" a="1"/>
  <c r="P22" i="7" s="1"/>
  <c r="S136" i="4"/>
  <c r="AZ135" i="13"/>
  <c r="T136" i="4" s="1"/>
  <c r="AA4" i="7" a="1"/>
  <c r="AA4" i="7" s="1"/>
  <c r="S180" i="4"/>
  <c r="AZ179" i="13"/>
  <c r="T180" i="4" s="1"/>
  <c r="AA48" i="7" a="1"/>
  <c r="AA48" i="7" s="1"/>
  <c r="S22" i="4"/>
  <c r="AZ21" i="13"/>
  <c r="T22" i="4" s="1"/>
  <c r="AA52" i="7" a="1"/>
  <c r="AA52" i="7" s="1"/>
  <c r="AA94" i="7" a="1"/>
  <c r="AA94" i="7" s="1"/>
  <c r="AA177" i="7" a="1"/>
  <c r="AA177" i="7" s="1"/>
  <c r="P134" i="7" a="1"/>
  <c r="P134" i="7" s="1"/>
  <c r="R58" i="7" a="1"/>
  <c r="R58" i="7" s="1"/>
  <c r="AA54" i="7" a="1"/>
  <c r="AA54" i="7" s="1"/>
  <c r="P98" i="7" a="1"/>
  <c r="P98" i="7" s="1"/>
  <c r="R28" i="7" a="1"/>
  <c r="R28" i="7" s="1"/>
  <c r="P48" i="7" a="1"/>
  <c r="P48" i="7" s="1"/>
  <c r="S144" i="4"/>
  <c r="AZ143" i="13"/>
  <c r="T144" i="4" s="1"/>
  <c r="S66" i="4"/>
  <c r="AZ65" i="13"/>
  <c r="T66" i="4" s="1"/>
  <c r="AA199" i="7" a="1"/>
  <c r="AA199" i="7" s="1"/>
  <c r="R6" i="7" a="1"/>
  <c r="R6" i="7" s="1"/>
  <c r="R78" i="7" a="1"/>
  <c r="R78" i="7" s="1"/>
  <c r="S64" i="4"/>
  <c r="AZ63" i="13"/>
  <c r="T64" i="4" s="1"/>
  <c r="P191" i="7" a="1"/>
  <c r="P191" i="7" s="1"/>
  <c r="P79" i="7" a="1"/>
  <c r="P79" i="7" s="1"/>
  <c r="AA197" i="7" a="1"/>
  <c r="AA197" i="7" s="1"/>
  <c r="AA135" i="7" a="1"/>
  <c r="AA135" i="7" s="1"/>
  <c r="AA105" i="7" a="1"/>
  <c r="AA105" i="7" s="1"/>
  <c r="AA70" i="7" a="1"/>
  <c r="AA70" i="7" s="1"/>
  <c r="AA181" i="7" a="1"/>
  <c r="AA181" i="7" s="1"/>
  <c r="F175" i="7" a="1"/>
  <c r="F175" i="7" s="1"/>
  <c r="F21" i="7" a="1"/>
  <c r="F21" i="7" s="1"/>
  <c r="F38" i="7" a="1"/>
  <c r="F38" i="7" s="1"/>
  <c r="F35" i="7" a="1"/>
  <c r="F35" i="7" s="1"/>
  <c r="F122" i="7" a="1"/>
  <c r="F122" i="7" s="1"/>
  <c r="F124" i="7" a="1"/>
  <c r="F124" i="7" s="1"/>
  <c r="F193" i="7" a="1"/>
  <c r="F193" i="7" s="1"/>
  <c r="F149" i="7" a="1"/>
  <c r="F149" i="7" s="1"/>
  <c r="F51" i="7" a="1"/>
  <c r="F51" i="7" s="1"/>
  <c r="F168" i="7" a="1"/>
  <c r="F168" i="7" s="1"/>
  <c r="F30" i="7" a="1"/>
  <c r="F30" i="7" s="1"/>
  <c r="F50" i="7" a="1"/>
  <c r="F50" i="7" s="1"/>
  <c r="AA112" i="7" a="1"/>
  <c r="AA112" i="7" s="1"/>
  <c r="AA139" i="7" a="1"/>
  <c r="AA139" i="7" s="1"/>
  <c r="R17" i="7" a="1"/>
  <c r="R17" i="7" s="1"/>
  <c r="R38" i="7" a="1"/>
  <c r="R38" i="7" s="1"/>
  <c r="R165" i="7" a="1"/>
  <c r="R165" i="7" s="1"/>
  <c r="R197" i="7" a="1"/>
  <c r="R197" i="7" s="1"/>
  <c r="R33" i="7" a="1"/>
  <c r="R33" i="7" s="1"/>
  <c r="R139" i="7" a="1"/>
  <c r="R139" i="7" s="1"/>
  <c r="R143" i="7" a="1"/>
  <c r="R143" i="7" s="1"/>
  <c r="R55" i="7" a="1"/>
  <c r="R55" i="7" s="1"/>
  <c r="R195" i="7" a="1"/>
  <c r="R195" i="7" s="1"/>
  <c r="R37" i="7" a="1"/>
  <c r="R37" i="7" s="1"/>
  <c r="R54" i="7" a="1"/>
  <c r="R54" i="7" s="1"/>
  <c r="AA41" i="7" a="1"/>
  <c r="AA41" i="7" s="1"/>
  <c r="AZ49" i="13"/>
  <c r="T50" i="4" s="1"/>
  <c r="S50" i="4"/>
  <c r="AA117" i="7" a="1"/>
  <c r="AA117" i="7" s="1"/>
  <c r="AA114" i="7" a="1"/>
  <c r="AA114" i="7" s="1"/>
  <c r="P116" i="7" a="1"/>
  <c r="P116" i="7" s="1"/>
  <c r="P55" i="7" a="1"/>
  <c r="P55" i="7" s="1"/>
  <c r="P136" i="7" a="1"/>
  <c r="P136" i="7" s="1"/>
  <c r="P73" i="7" a="1"/>
  <c r="P73" i="7" s="1"/>
  <c r="P33" i="7" a="1"/>
  <c r="P33" i="7" s="1"/>
  <c r="P37" i="7" a="1"/>
  <c r="P37" i="7" s="1"/>
  <c r="P148" i="7" a="1"/>
  <c r="P148" i="7" s="1"/>
  <c r="P62" i="7" a="1"/>
  <c r="P62" i="7" s="1"/>
  <c r="P123" i="7" a="1"/>
  <c r="P123" i="7" s="1"/>
  <c r="P199" i="7" a="1"/>
  <c r="P199" i="7" s="1"/>
  <c r="AA126" i="7" a="1"/>
  <c r="AA126" i="7" s="1"/>
  <c r="S86" i="4"/>
  <c r="AZ85" i="13"/>
  <c r="T86" i="4" s="1"/>
  <c r="AA180" i="7" a="1"/>
  <c r="AA180" i="7" s="1"/>
  <c r="S98" i="4"/>
  <c r="AZ97" i="13"/>
  <c r="T98" i="4" s="1"/>
  <c r="S182" i="4"/>
  <c r="AZ181" i="13"/>
  <c r="T182" i="4" s="1"/>
  <c r="S101" i="7" l="1" a="1"/>
  <c r="S101" i="7" s="1"/>
  <c r="T142" i="7" a="1"/>
  <c r="T142" i="7" s="1"/>
  <c r="S107" i="7" a="1"/>
  <c r="S107" i="7" s="1"/>
  <c r="S9" i="7" a="1"/>
  <c r="S9" i="7" s="1"/>
  <c r="S145" i="7" a="1"/>
  <c r="S145" i="7" s="1"/>
  <c r="T83" i="7" a="1"/>
  <c r="T83" i="7" s="1"/>
  <c r="T147" i="7" a="1"/>
  <c r="T147" i="7" s="1"/>
  <c r="S194" i="7" a="1"/>
  <c r="S194" i="7" s="1"/>
  <c r="S57" i="7" a="1"/>
  <c r="S57" i="7" s="1"/>
  <c r="T27" i="7" a="1"/>
  <c r="T27" i="7" s="1"/>
  <c r="S144" i="7" a="1"/>
  <c r="S144" i="7" s="1"/>
  <c r="T77" i="7" a="1"/>
  <c r="T77" i="7" s="1"/>
  <c r="T154" i="7" a="1"/>
  <c r="T154" i="7" s="1"/>
  <c r="S185" i="7" a="1"/>
  <c r="S185" i="7" s="1"/>
  <c r="S8" i="7" a="1"/>
  <c r="S8" i="7" s="1"/>
  <c r="T76" i="7" a="1"/>
  <c r="T76" i="7" s="1"/>
  <c r="S40" i="7" a="1"/>
  <c r="S40" i="7" s="1"/>
  <c r="T185" i="7" a="1"/>
  <c r="T185" i="7" s="1"/>
  <c r="S4" i="7" a="1"/>
  <c r="S4" i="7" s="1"/>
  <c r="S127" i="7" a="1"/>
  <c r="S127" i="7" s="1"/>
  <c r="S39" i="7" a="1"/>
  <c r="S39" i="7" s="1"/>
  <c r="S81" i="7" a="1"/>
  <c r="S81" i="7" s="1"/>
  <c r="S113" i="7" a="1"/>
  <c r="S113" i="7" s="1"/>
  <c r="S3" i="7" a="1"/>
  <c r="S3" i="7" s="1"/>
  <c r="S100" i="7" a="1"/>
  <c r="S100" i="7" s="1"/>
  <c r="S135" i="7" a="1"/>
  <c r="S135" i="7" s="1"/>
  <c r="S97" i="7" a="1"/>
  <c r="S97" i="7" s="1"/>
  <c r="S71" i="7" a="1"/>
  <c r="S71" i="7" s="1"/>
  <c r="S60" i="7" a="1"/>
  <c r="S60" i="7" s="1"/>
  <c r="S78" i="7" a="1"/>
  <c r="S78" i="7" s="1"/>
  <c r="S146" i="7" a="1"/>
  <c r="S146" i="7" s="1"/>
  <c r="T112" i="7" a="1"/>
  <c r="T112" i="7" s="1"/>
  <c r="T39" i="7" a="1"/>
  <c r="T39" i="7" s="1"/>
  <c r="T148" i="7" a="1"/>
  <c r="T148" i="7" s="1"/>
  <c r="T57" i="7" a="1"/>
  <c r="T57" i="7" s="1"/>
  <c r="T61" i="7" a="1"/>
  <c r="T61" i="7" s="1"/>
  <c r="T93" i="7" a="1"/>
  <c r="T93" i="7" s="1"/>
  <c r="T121" i="7" a="1"/>
  <c r="T121" i="7" s="1"/>
  <c r="T120" i="7" a="1"/>
  <c r="T120" i="7" s="1"/>
  <c r="T49" i="7" a="1"/>
  <c r="T49" i="7" s="1"/>
  <c r="T90" i="7" a="1"/>
  <c r="T90" i="7" s="1"/>
  <c r="T189" i="7" a="1"/>
  <c r="T189" i="7" s="1"/>
  <c r="T15" i="7" a="1"/>
  <c r="T15" i="7" s="1"/>
  <c r="S11" i="7" a="1"/>
  <c r="S11" i="7" s="1"/>
  <c r="S84" i="7" a="1"/>
  <c r="S84" i="7" s="1"/>
  <c r="T140" i="7" a="1"/>
  <c r="T140" i="7" s="1"/>
  <c r="S111" i="7" a="1"/>
  <c r="S111" i="7" s="1"/>
  <c r="T50" i="7" a="1"/>
  <c r="T50" i="7" s="1"/>
  <c r="S141" i="7" a="1"/>
  <c r="S141" i="7" s="1"/>
  <c r="S58" i="7" a="1"/>
  <c r="S58" i="7" s="1"/>
  <c r="T150" i="7" a="1"/>
  <c r="T150" i="7" s="1"/>
  <c r="S132" i="7" a="1"/>
  <c r="S132" i="7" s="1"/>
  <c r="T81" i="7" a="1"/>
  <c r="T81" i="7" s="1"/>
  <c r="T134" i="7" a="1"/>
  <c r="T134" i="7" s="1"/>
  <c r="S10" i="7" a="1"/>
  <c r="S10" i="7" s="1"/>
  <c r="T26" i="7" a="1"/>
  <c r="T26" i="7" s="1"/>
  <c r="T159" i="7" a="1"/>
  <c r="T159" i="7" s="1"/>
  <c r="S128" i="7" a="1"/>
  <c r="S128" i="7" s="1"/>
  <c r="T99" i="7" a="1"/>
  <c r="T99" i="7" s="1"/>
  <c r="T5" i="7" a="1"/>
  <c r="T5" i="7" s="1"/>
  <c r="S161" i="7" a="1"/>
  <c r="S161" i="7" s="1"/>
  <c r="S116" i="7" a="1"/>
  <c r="S116" i="7" s="1"/>
  <c r="S94" i="7" a="1"/>
  <c r="S94" i="7" s="1"/>
  <c r="S115" i="7" a="1"/>
  <c r="S115" i="7" s="1"/>
  <c r="S74" i="7" a="1"/>
  <c r="S74" i="7" s="1"/>
  <c r="S156" i="7" a="1"/>
  <c r="S156" i="7" s="1"/>
  <c r="S140" i="7" a="1"/>
  <c r="S140" i="7" s="1"/>
  <c r="S122" i="7" a="1"/>
  <c r="S122" i="7" s="1"/>
  <c r="S191" i="7" a="1"/>
  <c r="S191" i="7" s="1"/>
  <c r="S19" i="7" a="1"/>
  <c r="S19" i="7" s="1"/>
  <c r="S172" i="7" a="1"/>
  <c r="S172" i="7" s="1"/>
  <c r="S188" i="7" a="1"/>
  <c r="S188" i="7" s="1"/>
  <c r="T88" i="7" a="1"/>
  <c r="T88" i="7" s="1"/>
  <c r="T195" i="7" a="1"/>
  <c r="T195" i="7" s="1"/>
  <c r="T113" i="7" a="1"/>
  <c r="T113" i="7" s="1"/>
  <c r="T60" i="7" a="1"/>
  <c r="T60" i="7" s="1"/>
  <c r="T166" i="7" a="1"/>
  <c r="T166" i="7" s="1"/>
  <c r="T137" i="7" a="1"/>
  <c r="T137" i="7" s="1"/>
  <c r="T177" i="7" a="1"/>
  <c r="T177" i="7" s="1"/>
  <c r="T111" i="7" a="1"/>
  <c r="T111" i="7" s="1"/>
  <c r="T132" i="7" a="1"/>
  <c r="T132" i="7" s="1"/>
  <c r="T92" i="7" a="1"/>
  <c r="T92" i="7" s="1"/>
  <c r="T131" i="7" a="1"/>
  <c r="T131" i="7" s="1"/>
  <c r="T70" i="7" a="1"/>
  <c r="T70" i="7" s="1"/>
  <c r="T172" i="7" a="1"/>
  <c r="T172" i="7" s="1"/>
  <c r="S82" i="7" a="1"/>
  <c r="S82" i="7" s="1"/>
  <c r="S137" i="7" a="1"/>
  <c r="S137" i="7" s="1"/>
  <c r="T128" i="7" a="1"/>
  <c r="T128" i="7" s="1"/>
  <c r="S114" i="7" a="1"/>
  <c r="S114" i="7" s="1"/>
  <c r="S99" i="7" a="1"/>
  <c r="S99" i="7" s="1"/>
  <c r="T73" i="7" a="1"/>
  <c r="T73" i="7" s="1"/>
  <c r="S75" i="7" a="1"/>
  <c r="S75" i="7" s="1"/>
  <c r="T44" i="7" a="1"/>
  <c r="T44" i="7" s="1"/>
  <c r="T54" i="7" a="1"/>
  <c r="T54" i="7" s="1"/>
  <c r="S72" i="7" a="1"/>
  <c r="S72" i="7" s="1"/>
  <c r="S167" i="7" a="1"/>
  <c r="S167" i="7" s="1"/>
  <c r="S70" i="7" a="1"/>
  <c r="S70" i="7" s="1"/>
  <c r="T82" i="7" a="1"/>
  <c r="T82" i="7" s="1"/>
  <c r="S63" i="7" a="1"/>
  <c r="S63" i="7" s="1"/>
  <c r="S184" i="7" a="1"/>
  <c r="S184" i="7" s="1"/>
  <c r="S157" i="7" a="1"/>
  <c r="S157" i="7" s="1"/>
  <c r="S103" i="7" a="1"/>
  <c r="S103" i="7" s="1"/>
  <c r="S33" i="7" a="1"/>
  <c r="S33" i="7" s="1"/>
  <c r="S95" i="7" a="1"/>
  <c r="S95" i="7" s="1"/>
  <c r="S66" i="7" a="1"/>
  <c r="S66" i="7" s="1"/>
  <c r="S79" i="7" a="1"/>
  <c r="S79" i="7" s="1"/>
  <c r="S104" i="7" a="1"/>
  <c r="S104" i="7" s="1"/>
  <c r="S69" i="7" a="1"/>
  <c r="S69" i="7" s="1"/>
  <c r="S21" i="7" a="1"/>
  <c r="S21" i="7" s="1"/>
  <c r="S34" i="7" a="1"/>
  <c r="S34" i="7" s="1"/>
  <c r="T164" i="7" a="1"/>
  <c r="T164" i="7" s="1"/>
  <c r="T162" i="7" a="1"/>
  <c r="T162" i="7" s="1"/>
  <c r="T124" i="7" a="1"/>
  <c r="T124" i="7" s="1"/>
  <c r="T152" i="7" a="1"/>
  <c r="T152" i="7" s="1"/>
  <c r="T117" i="7" a="1"/>
  <c r="T117" i="7" s="1"/>
  <c r="T21" i="7" a="1"/>
  <c r="T21" i="7" s="1"/>
  <c r="T109" i="7" a="1"/>
  <c r="T109" i="7" s="1"/>
  <c r="T144" i="7" a="1"/>
  <c r="T144" i="7" s="1"/>
  <c r="T135" i="7" a="1"/>
  <c r="T135" i="7" s="1"/>
  <c r="T115" i="7" a="1"/>
  <c r="T115" i="7" s="1"/>
  <c r="T95" i="7" a="1"/>
  <c r="T95" i="7" s="1"/>
  <c r="T179" i="7" a="1"/>
  <c r="T179" i="7" s="1"/>
  <c r="S64" i="7" a="1"/>
  <c r="S64" i="7" s="1"/>
  <c r="T138" i="7" a="1"/>
  <c r="T138" i="7" s="1"/>
  <c r="S189" i="7" a="1"/>
  <c r="S189" i="7" s="1"/>
  <c r="S23" i="7" a="1"/>
  <c r="S23" i="7" s="1"/>
  <c r="T79" i="7" a="1"/>
  <c r="T79" i="7" s="1"/>
  <c r="S181" i="7" a="1"/>
  <c r="S181" i="7" s="1"/>
  <c r="T19" i="7" a="1"/>
  <c r="T19" i="7" s="1"/>
  <c r="T190" i="7" a="1"/>
  <c r="T190" i="7" s="1"/>
  <c r="S174" i="7" a="1"/>
  <c r="S174" i="7" s="1"/>
  <c r="T98" i="7" a="1"/>
  <c r="T98" i="7" s="1"/>
  <c r="S56" i="7" a="1"/>
  <c r="S56" i="7" s="1"/>
  <c r="T175" i="7" a="1"/>
  <c r="T175" i="7" s="1"/>
  <c r="T30" i="7" a="1"/>
  <c r="T30" i="7" s="1"/>
  <c r="S133" i="7" a="1"/>
  <c r="S133" i="7" s="1"/>
  <c r="S199" i="7" a="1"/>
  <c r="S199" i="7" s="1"/>
  <c r="T176" i="7" a="1"/>
  <c r="T176" i="7" s="1"/>
  <c r="S76" i="7" a="1"/>
  <c r="S76" i="7" s="1"/>
  <c r="S53" i="7" a="1"/>
  <c r="S53" i="7" s="1"/>
  <c r="S91" i="7" a="1"/>
  <c r="S91" i="7" s="1"/>
  <c r="S48" i="7" a="1"/>
  <c r="S48" i="7" s="1"/>
  <c r="S109" i="7" a="1"/>
  <c r="S109" i="7" s="1"/>
  <c r="S55" i="7" a="1"/>
  <c r="S55" i="7" s="1"/>
  <c r="S83" i="7" a="1"/>
  <c r="S83" i="7" s="1"/>
  <c r="S139" i="7" a="1"/>
  <c r="S139" i="7" s="1"/>
  <c r="S68" i="7" a="1"/>
  <c r="S68" i="7" s="1"/>
  <c r="S50" i="7" a="1"/>
  <c r="S50" i="7" s="1"/>
  <c r="S12" i="7" a="1"/>
  <c r="S12" i="7" s="1"/>
  <c r="S150" i="7" a="1"/>
  <c r="S150" i="7" s="1"/>
  <c r="T178" i="7" a="1"/>
  <c r="T178" i="7" s="1"/>
  <c r="T127" i="7" a="1"/>
  <c r="T127" i="7" s="1"/>
  <c r="T6" i="7" a="1"/>
  <c r="T6" i="7" s="1"/>
  <c r="T37" i="7" a="1"/>
  <c r="T37" i="7" s="1"/>
  <c r="T56" i="7" a="1"/>
  <c r="T56" i="7" s="1"/>
  <c r="T89" i="7" a="1"/>
  <c r="T89" i="7" s="1"/>
  <c r="T125" i="7" a="1"/>
  <c r="T125" i="7" s="1"/>
  <c r="T67" i="7" a="1"/>
  <c r="T67" i="7" s="1"/>
  <c r="T52" i="7" a="1"/>
  <c r="T52" i="7" s="1"/>
  <c r="T32" i="7" a="1"/>
  <c r="T32" i="7" s="1"/>
  <c r="T158" i="7" a="1"/>
  <c r="T158" i="7" s="1"/>
  <c r="T14" i="7" a="1"/>
  <c r="T14" i="7" s="1"/>
  <c r="S126" i="7" a="1"/>
  <c r="S126" i="7" s="1"/>
  <c r="T146" i="7" a="1"/>
  <c r="T146" i="7" s="1"/>
  <c r="S37" i="7" a="1"/>
  <c r="S37" i="7" s="1"/>
  <c r="T157" i="7" a="1"/>
  <c r="T157" i="7" s="1"/>
  <c r="S173" i="7" a="1"/>
  <c r="S173" i="7" s="1"/>
  <c r="T171" i="7" a="1"/>
  <c r="T171" i="7" s="1"/>
  <c r="S77" i="7" a="1"/>
  <c r="S77" i="7" s="1"/>
  <c r="T3" i="7" a="1"/>
  <c r="T3" i="7" s="1"/>
  <c r="T80" i="7" a="1"/>
  <c r="T80" i="7" s="1"/>
  <c r="S166" i="7" a="1"/>
  <c r="S166" i="7" s="1"/>
  <c r="T36" i="7" a="1"/>
  <c r="T36" i="7" s="1"/>
  <c r="T20" i="7" a="1"/>
  <c r="T20" i="7" s="1"/>
  <c r="S170" i="7" a="1"/>
  <c r="S170" i="7" s="1"/>
  <c r="S13" i="7" a="1"/>
  <c r="S13" i="7" s="1"/>
  <c r="S152" i="7" a="1"/>
  <c r="S152" i="7" s="1"/>
  <c r="S120" i="7" a="1"/>
  <c r="S120" i="7" s="1"/>
  <c r="S41" i="7" a="1"/>
  <c r="S41" i="7" s="1"/>
  <c r="S16" i="7" a="1"/>
  <c r="S16" i="7" s="1"/>
  <c r="S20" i="7" a="1"/>
  <c r="S20" i="7" s="1"/>
  <c r="S164" i="7" a="1"/>
  <c r="S164" i="7" s="1"/>
  <c r="S186" i="7" a="1"/>
  <c r="S186" i="7" s="1"/>
  <c r="S180" i="7" a="1"/>
  <c r="S180" i="7" s="1"/>
  <c r="S108" i="7" a="1"/>
  <c r="S108" i="7" s="1"/>
  <c r="S26" i="7" a="1"/>
  <c r="S26" i="7" s="1"/>
  <c r="T8" i="7" a="1"/>
  <c r="T8" i="7" s="1"/>
  <c r="T38" i="7" a="1"/>
  <c r="T38" i="7" s="1"/>
  <c r="T184" i="7" a="1"/>
  <c r="T184" i="7" s="1"/>
  <c r="T139" i="7" a="1"/>
  <c r="T139" i="7" s="1"/>
  <c r="T43" i="7" a="1"/>
  <c r="T43" i="7" s="1"/>
  <c r="T196" i="7" a="1"/>
  <c r="T196" i="7" s="1"/>
  <c r="T153" i="7" a="1"/>
  <c r="T153" i="7" s="1"/>
  <c r="T161" i="7" a="1"/>
  <c r="T161" i="7" s="1"/>
  <c r="T58" i="7" a="1"/>
  <c r="T58" i="7" s="1"/>
  <c r="T130" i="7" a="1"/>
  <c r="T130" i="7" s="1"/>
  <c r="T25" i="7" a="1"/>
  <c r="T25" i="7" s="1"/>
  <c r="T64" i="7" a="1"/>
  <c r="T64" i="7" s="1"/>
  <c r="S162" i="7" a="1"/>
  <c r="S162" i="7" s="1"/>
  <c r="T13" i="7" a="1"/>
  <c r="T13" i="7" s="1"/>
  <c r="T145" i="7" a="1"/>
  <c r="T145" i="7" s="1"/>
  <c r="S196" i="7" a="1"/>
  <c r="S196" i="7" s="1"/>
  <c r="S96" i="7" a="1"/>
  <c r="S96" i="7" s="1"/>
  <c r="T170" i="7" a="1"/>
  <c r="T170" i="7" s="1"/>
  <c r="S92" i="7" a="1"/>
  <c r="S92" i="7" s="1"/>
  <c r="S171" i="7" a="1"/>
  <c r="S171" i="7" s="1"/>
  <c r="T122" i="7" a="1"/>
  <c r="T122" i="7" s="1"/>
  <c r="S47" i="7" a="1"/>
  <c r="S47" i="7" s="1"/>
  <c r="S61" i="7" a="1"/>
  <c r="S61" i="7" s="1"/>
  <c r="T75" i="7" a="1"/>
  <c r="T75" i="7" s="1"/>
  <c r="S158" i="7" a="1"/>
  <c r="S158" i="7" s="1"/>
  <c r="S15" i="7" a="1"/>
  <c r="S15" i="7" s="1"/>
  <c r="T28" i="7" a="1"/>
  <c r="T28" i="7" s="1"/>
  <c r="S27" i="7" a="1"/>
  <c r="S27" i="7" s="1"/>
  <c r="T46" i="7" a="1"/>
  <c r="T46" i="7" s="1"/>
  <c r="T183" i="7" a="1"/>
  <c r="T183" i="7" s="1"/>
  <c r="S121" i="7" a="1"/>
  <c r="S121" i="7" s="1"/>
  <c r="S118" i="7" a="1"/>
  <c r="S118" i="7" s="1"/>
  <c r="S123" i="7" a="1"/>
  <c r="S123" i="7" s="1"/>
  <c r="S43" i="7" a="1"/>
  <c r="S43" i="7" s="1"/>
  <c r="S51" i="7" a="1"/>
  <c r="S51" i="7" s="1"/>
  <c r="S7" i="7" a="1"/>
  <c r="S7" i="7" s="1"/>
  <c r="S6" i="7" a="1"/>
  <c r="S6" i="7" s="1"/>
  <c r="S28" i="7" a="1"/>
  <c r="S28" i="7" s="1"/>
  <c r="S130" i="7" a="1"/>
  <c r="S130" i="7" s="1"/>
  <c r="S160" i="7" a="1"/>
  <c r="S160" i="7" s="1"/>
  <c r="S117" i="7" a="1"/>
  <c r="S117" i="7" s="1"/>
  <c r="S110" i="7" a="1"/>
  <c r="S110" i="7" s="1"/>
  <c r="T136" i="7" a="1"/>
  <c r="T136" i="7" s="1"/>
  <c r="T107" i="7" a="1"/>
  <c r="T107" i="7" s="1"/>
  <c r="T74" i="7" a="1"/>
  <c r="T74" i="7" s="1"/>
  <c r="T181" i="7" a="1"/>
  <c r="T181" i="7" s="1"/>
  <c r="T55" i="7" a="1"/>
  <c r="T55" i="7" s="1"/>
  <c r="T198" i="7" a="1"/>
  <c r="T198" i="7" s="1"/>
  <c r="T45" i="7" a="1"/>
  <c r="T45" i="7" s="1"/>
  <c r="T84" i="7" a="1"/>
  <c r="T84" i="7" s="1"/>
  <c r="T65" i="7" a="1"/>
  <c r="T65" i="7" s="1"/>
  <c r="T182" i="7" a="1"/>
  <c r="T182" i="7" s="1"/>
  <c r="T187" i="7" a="1"/>
  <c r="T187" i="7" s="1"/>
  <c r="T47" i="7" a="1"/>
  <c r="T47" i="7" s="1"/>
  <c r="S129" i="7" a="1"/>
  <c r="S129" i="7" s="1"/>
  <c r="T71" i="7" a="1"/>
  <c r="T71" i="7" s="1"/>
  <c r="S52" i="7" a="1"/>
  <c r="S52" i="7" s="1"/>
  <c r="T16" i="7" a="1"/>
  <c r="T16" i="7" s="1"/>
  <c r="T104" i="7" a="1"/>
  <c r="T104" i="7" s="1"/>
  <c r="S80" i="7" a="1"/>
  <c r="S80" i="7" s="1"/>
  <c r="T191" i="7" a="1"/>
  <c r="T191" i="7" s="1"/>
  <c r="S193" i="7" a="1"/>
  <c r="S193" i="7" s="1"/>
  <c r="T200" i="7" a="1"/>
  <c r="T200" i="7" s="1"/>
  <c r="T97" i="7" a="1"/>
  <c r="T97" i="7" s="1"/>
  <c r="S134" i="7" a="1"/>
  <c r="S134" i="7" s="1"/>
  <c r="T9" i="7" a="1"/>
  <c r="T9" i="7" s="1"/>
  <c r="S154" i="7" a="1"/>
  <c r="S154" i="7" s="1"/>
  <c r="S89" i="7" a="1"/>
  <c r="S89" i="7" s="1"/>
  <c r="T11" i="7" a="1"/>
  <c r="T11" i="7" s="1"/>
  <c r="S119" i="7" a="1"/>
  <c r="S119" i="7" s="1"/>
  <c r="S176" i="7" a="1"/>
  <c r="S176" i="7" s="1"/>
  <c r="S29" i="7" a="1"/>
  <c r="S29" i="7" s="1"/>
  <c r="S65" i="7" a="1"/>
  <c r="S65" i="7" s="1"/>
  <c r="S163" i="7" a="1"/>
  <c r="S163" i="7" s="1"/>
  <c r="S125" i="7" a="1"/>
  <c r="S125" i="7" s="1"/>
  <c r="S143" i="7" a="1"/>
  <c r="S143" i="7" s="1"/>
  <c r="S17" i="7" a="1"/>
  <c r="S17" i="7" s="1"/>
  <c r="S159" i="7" a="1"/>
  <c r="S159" i="7" s="1"/>
  <c r="S45" i="7" a="1"/>
  <c r="S45" i="7" s="1"/>
  <c r="S177" i="7" a="1"/>
  <c r="S177" i="7" s="1"/>
  <c r="S183" i="7" a="1"/>
  <c r="S183" i="7" s="1"/>
  <c r="T22" i="7" a="1"/>
  <c r="T22" i="7" s="1"/>
  <c r="T31" i="7" a="1"/>
  <c r="T31" i="7" s="1"/>
  <c r="T106" i="7" a="1"/>
  <c r="T106" i="7" s="1"/>
  <c r="T7" i="7" a="1"/>
  <c r="T7" i="7" s="1"/>
  <c r="T168" i="7" a="1"/>
  <c r="T168" i="7" s="1"/>
  <c r="T24" i="7" a="1"/>
  <c r="T24" i="7" s="1"/>
  <c r="T118" i="7" a="1"/>
  <c r="T118" i="7" s="1"/>
  <c r="T33" i="7" a="1"/>
  <c r="T33" i="7" s="1"/>
  <c r="T199" i="7" a="1"/>
  <c r="T199" i="7" s="1"/>
  <c r="T62" i="7" a="1"/>
  <c r="T62" i="7" s="1"/>
  <c r="T126" i="7" a="1"/>
  <c r="T126" i="7" s="1"/>
  <c r="T193" i="7" a="1"/>
  <c r="T193" i="7" s="1"/>
  <c r="S197" i="7" a="1"/>
  <c r="S197" i="7" s="1"/>
  <c r="S88" i="7" a="1"/>
  <c r="S88" i="7" s="1"/>
  <c r="T78" i="7" a="1"/>
  <c r="T78" i="7" s="1"/>
  <c r="S90" i="7" a="1"/>
  <c r="S90" i="7" s="1"/>
  <c r="T100" i="7" a="1"/>
  <c r="T100" i="7" s="1"/>
  <c r="T29" i="7" a="1"/>
  <c r="T29" i="7" s="1"/>
  <c r="S73" i="7" a="1"/>
  <c r="S73" i="7" s="1"/>
  <c r="S31" i="7" a="1"/>
  <c r="S31" i="7" s="1"/>
  <c r="S200" i="7" a="1"/>
  <c r="S200" i="7" s="1"/>
  <c r="T96" i="7" a="1"/>
  <c r="T96" i="7" s="1"/>
  <c r="S148" i="7" a="1"/>
  <c r="S148" i="7" s="1"/>
  <c r="S87" i="7" a="1"/>
  <c r="S87" i="7" s="1"/>
  <c r="T192" i="7" a="1"/>
  <c r="T192" i="7" s="1"/>
  <c r="S112" i="7" a="1"/>
  <c r="S112" i="7" s="1"/>
  <c r="T87" i="7" a="1"/>
  <c r="T87" i="7" s="1"/>
  <c r="T143" i="7" a="1"/>
  <c r="T143" i="7" s="1"/>
  <c r="S46" i="7" a="1"/>
  <c r="S46" i="7" s="1"/>
  <c r="S198" i="7" a="1"/>
  <c r="S198" i="7" s="1"/>
  <c r="S138" i="7" a="1"/>
  <c r="S138" i="7" s="1"/>
  <c r="S102" i="7" a="1"/>
  <c r="S102" i="7" s="1"/>
  <c r="S136" i="7" a="1"/>
  <c r="S136" i="7" s="1"/>
  <c r="S155" i="7" a="1"/>
  <c r="S155" i="7" s="1"/>
  <c r="S179" i="7" a="1"/>
  <c r="S179" i="7" s="1"/>
  <c r="S169" i="7" a="1"/>
  <c r="S169" i="7" s="1"/>
  <c r="S192" i="7" a="1"/>
  <c r="S192" i="7" s="1"/>
  <c r="S178" i="7" a="1"/>
  <c r="S178" i="7" s="1"/>
  <c r="S105" i="7" a="1"/>
  <c r="S105" i="7" s="1"/>
  <c r="S38" i="7" a="1"/>
  <c r="S38" i="7" s="1"/>
  <c r="T173" i="7" a="1"/>
  <c r="T173" i="7" s="1"/>
  <c r="T35" i="7" a="1"/>
  <c r="T35" i="7" s="1"/>
  <c r="T197" i="7" a="1"/>
  <c r="T197" i="7" s="1"/>
  <c r="T114" i="7" a="1"/>
  <c r="T114" i="7" s="1"/>
  <c r="T85" i="7" a="1"/>
  <c r="T85" i="7" s="1"/>
  <c r="T42" i="7" a="1"/>
  <c r="T42" i="7" s="1"/>
  <c r="T68" i="7" a="1"/>
  <c r="T68" i="7" s="1"/>
  <c r="T10" i="7" a="1"/>
  <c r="T10" i="7" s="1"/>
  <c r="T194" i="7" a="1"/>
  <c r="T194" i="7" s="1"/>
  <c r="T129" i="7" a="1"/>
  <c r="T129" i="7" s="1"/>
  <c r="T23" i="7" a="1"/>
  <c r="T23" i="7" s="1"/>
  <c r="T165" i="7" a="1"/>
  <c r="T165" i="7" s="1"/>
  <c r="S22" i="7" a="1"/>
  <c r="S22" i="7" s="1"/>
  <c r="T108" i="7" a="1"/>
  <c r="T108" i="7" s="1"/>
  <c r="S168" i="7" a="1"/>
  <c r="S168" i="7" s="1"/>
  <c r="T156" i="7" a="1"/>
  <c r="T156" i="7" s="1"/>
  <c r="T18" i="7" a="1"/>
  <c r="T18" i="7" s="1"/>
  <c r="S190" i="7" a="1"/>
  <c r="S190" i="7" s="1"/>
  <c r="T188" i="7" a="1"/>
  <c r="T188" i="7" s="1"/>
  <c r="T72" i="7" a="1"/>
  <c r="T72" i="7" s="1"/>
  <c r="S59" i="7" a="1"/>
  <c r="S59" i="7" s="1"/>
  <c r="T169" i="7" a="1"/>
  <c r="T169" i="7" s="1"/>
  <c r="S195" i="7" a="1"/>
  <c r="S195" i="7" s="1"/>
  <c r="S86" i="7" a="1"/>
  <c r="S86" i="7" s="1"/>
  <c r="T163" i="7" a="1"/>
  <c r="T163" i="7" s="1"/>
  <c r="S151" i="7" a="1"/>
  <c r="S151" i="7" s="1"/>
  <c r="T51" i="7" a="1"/>
  <c r="T51" i="7" s="1"/>
  <c r="S54" i="7" a="1"/>
  <c r="S54" i="7" s="1"/>
  <c r="S142" i="7" a="1"/>
  <c r="S142" i="7" s="1"/>
  <c r="S165" i="7" a="1"/>
  <c r="S165" i="7" s="1"/>
  <c r="S35" i="7" a="1"/>
  <c r="S35" i="7" s="1"/>
  <c r="S153" i="7" a="1"/>
  <c r="S153" i="7" s="1"/>
  <c r="S149" i="7" a="1"/>
  <c r="S149" i="7" s="1"/>
  <c r="S24" i="7" a="1"/>
  <c r="S24" i="7" s="1"/>
  <c r="S18" i="7" a="1"/>
  <c r="S18" i="7" s="1"/>
  <c r="S5" i="7" a="1"/>
  <c r="S5" i="7" s="1"/>
  <c r="S49" i="7" a="1"/>
  <c r="S49" i="7" s="1"/>
  <c r="S67" i="7" a="1"/>
  <c r="S67" i="7" s="1"/>
  <c r="S182" i="7" a="1"/>
  <c r="S182" i="7" s="1"/>
  <c r="T48" i="7" a="1"/>
  <c r="T48" i="7" s="1"/>
  <c r="T180" i="7" a="1"/>
  <c r="T180" i="7" s="1"/>
  <c r="T102" i="7" a="1"/>
  <c r="T102" i="7" s="1"/>
  <c r="T17" i="7" a="1"/>
  <c r="T17" i="7" s="1"/>
  <c r="T103" i="7" a="1"/>
  <c r="T103" i="7" s="1"/>
  <c r="T59" i="7" a="1"/>
  <c r="T59" i="7" s="1"/>
  <c r="T91" i="7" a="1"/>
  <c r="T91" i="7" s="1"/>
  <c r="T53" i="7" a="1"/>
  <c r="T53" i="7" s="1"/>
  <c r="T123" i="7" a="1"/>
  <c r="T123" i="7" s="1"/>
  <c r="T66" i="7" a="1"/>
  <c r="T66" i="7" s="1"/>
  <c r="T63" i="7" a="1"/>
  <c r="T63" i="7" s="1"/>
  <c r="T12" i="7" a="1"/>
  <c r="T12" i="7" s="1"/>
  <c r="S147" i="7" a="1"/>
  <c r="S147" i="7" s="1"/>
  <c r="T34" i="7" a="1"/>
  <c r="T34" i="7" s="1"/>
  <c r="T105" i="7" a="1"/>
  <c r="T105" i="7" s="1"/>
  <c r="S187" i="7" a="1"/>
  <c r="S187" i="7" s="1"/>
  <c r="T155" i="7" a="1"/>
  <c r="T155" i="7" s="1"/>
  <c r="T94" i="7" a="1"/>
  <c r="T94" i="7" s="1"/>
  <c r="S131" i="7" a="1"/>
  <c r="S131" i="7" s="1"/>
  <c r="T174" i="7" a="1"/>
  <c r="T174" i="7" s="1"/>
  <c r="T116" i="7" a="1"/>
  <c r="T116" i="7" s="1"/>
  <c r="S44" i="7" a="1"/>
  <c r="S44" i="7" s="1"/>
  <c r="S98" i="7" a="1"/>
  <c r="S98" i="7" s="1"/>
  <c r="T151" i="7" a="1"/>
  <c r="T151" i="7" s="1"/>
  <c r="S62" i="7" a="1"/>
  <c r="S62" i="7" s="1"/>
  <c r="T110" i="7" a="1"/>
  <c r="T110" i="7" s="1"/>
  <c r="T160" i="7" a="1"/>
  <c r="T160" i="7" s="1"/>
  <c r="T119" i="7" a="1"/>
  <c r="T119" i="7" s="1"/>
  <c r="S124" i="7" a="1"/>
  <c r="S124" i="7" s="1"/>
  <c r="S32" i="7" a="1"/>
  <c r="S32" i="7" s="1"/>
  <c r="S85" i="7" a="1"/>
  <c r="S85" i="7" s="1"/>
  <c r="S93" i="7" a="1"/>
  <c r="S93" i="7" s="1"/>
  <c r="S175" i="7" a="1"/>
  <c r="S175" i="7" s="1"/>
  <c r="S25" i="7" a="1"/>
  <c r="S25" i="7" s="1"/>
  <c r="S106" i="7" a="1"/>
  <c r="S106" i="7" s="1"/>
  <c r="S30" i="7" a="1"/>
  <c r="S30" i="7" s="1"/>
  <c r="S14" i="7" a="1"/>
  <c r="S14" i="7" s="1"/>
  <c r="S42" i="7" a="1"/>
  <c r="S42" i="7" s="1"/>
  <c r="S36" i="7" a="1"/>
  <c r="S36" i="7" s="1"/>
  <c r="T167" i="7" a="1"/>
  <c r="T167" i="7" s="1"/>
  <c r="T86" i="7" a="1"/>
  <c r="T86" i="7" s="1"/>
  <c r="T133" i="7" a="1"/>
  <c r="T133" i="7" s="1"/>
  <c r="T69" i="7" a="1"/>
  <c r="T69" i="7" s="1"/>
  <c r="T149" i="7" a="1"/>
  <c r="T149" i="7" s="1"/>
  <c r="T101" i="7" a="1"/>
  <c r="T101" i="7" s="1"/>
  <c r="T141" i="7" a="1"/>
  <c r="T141" i="7" s="1"/>
  <c r="T186" i="7" a="1"/>
  <c r="T186" i="7" s="1"/>
  <c r="T4" i="7" a="1"/>
  <c r="T4" i="7" s="1"/>
  <c r="T40" i="7" a="1"/>
  <c r="T40" i="7" s="1"/>
  <c r="T41" i="7" a="1"/>
  <c r="T41" i="7" s="1"/>
</calcChain>
</file>

<file path=xl/sharedStrings.xml><?xml version="1.0" encoding="utf-8"?>
<sst xmlns="http://schemas.openxmlformats.org/spreadsheetml/2006/main" count="436" uniqueCount="165">
  <si>
    <t>Fecha fin</t>
  </si>
  <si>
    <t>Consumo Activa</t>
  </si>
  <si>
    <t>Promedio Activa</t>
  </si>
  <si>
    <t>Consumo Reactiva</t>
  </si>
  <si>
    <t>Promedio Reactiva</t>
  </si>
  <si>
    <t>Valores</t>
  </si>
  <si>
    <t>Suma de Consumo Activa</t>
  </si>
  <si>
    <t>Suma de Consumo Reactiva</t>
  </si>
  <si>
    <t>Año</t>
  </si>
  <si>
    <t>Máx de Fecha fin</t>
  </si>
  <si>
    <t>Mín de Fecha inicio</t>
  </si>
  <si>
    <t>Suma de Promedio Activa</t>
  </si>
  <si>
    <t>Contrato</t>
  </si>
  <si>
    <t>Secuencial factura</t>
  </si>
  <si>
    <t>Fecha Inicio</t>
  </si>
  <si>
    <t>Activa</t>
  </si>
  <si>
    <t>Reactiva</t>
  </si>
  <si>
    <t>Cargo abono total</t>
  </si>
  <si>
    <t>Consumo perdidas totales</t>
  </si>
  <si>
    <t>Maxímetro</t>
  </si>
  <si>
    <t>Maximetro</t>
  </si>
  <si>
    <t>Pérdidas Total</t>
  </si>
  <si>
    <t>Lectura</t>
  </si>
  <si>
    <t>Fuente</t>
  </si>
  <si>
    <t>Máx de Maxímetro</t>
  </si>
  <si>
    <t>AÑO</t>
  </si>
  <si>
    <t>Días</t>
  </si>
  <si>
    <t>Periodos facturados</t>
  </si>
  <si>
    <t>Mes</t>
  </si>
  <si>
    <t>Maxímetro redondeo</t>
  </si>
  <si>
    <t>Total general</t>
  </si>
  <si>
    <t>Energía Total Reconstruida</t>
  </si>
  <si>
    <t>Consumo de E. Activa por meses y años</t>
  </si>
  <si>
    <t>E. Activa reconstruida tras refacturación</t>
  </si>
  <si>
    <t>DIAS CICLO</t>
  </si>
  <si>
    <t>Consumo promedio ciclo</t>
  </si>
  <si>
    <t>Suma de Días</t>
  </si>
  <si>
    <t>Observaciones:</t>
  </si>
  <si>
    <t>Promedio de E. Activa por meses y años</t>
  </si>
  <si>
    <t>(Todas)</t>
  </si>
  <si>
    <t>Suma de Maxímetro</t>
  </si>
  <si>
    <t>Promedio ER</t>
  </si>
  <si>
    <t>Etiquetas de fila</t>
  </si>
  <si>
    <t>Etiquetas de columna</t>
  </si>
  <si>
    <t>Suma de Promedio Reactiva</t>
  </si>
  <si>
    <t>enero</t>
  </si>
  <si>
    <t>Suma de Promedio consumo por día</t>
  </si>
  <si>
    <t xml:space="preserve">Dirección: </t>
  </si>
  <si>
    <t>Póliza ATR nº</t>
  </si>
  <si>
    <t>Inicio</t>
  </si>
  <si>
    <t>Fin</t>
  </si>
  <si>
    <t>PC</t>
  </si>
  <si>
    <t>HU</t>
  </si>
  <si>
    <t>DIAS</t>
  </si>
  <si>
    <t>Enofa</t>
  </si>
  <si>
    <t>Periodo anomalía:</t>
  </si>
  <si>
    <t>Sec.</t>
  </si>
  <si>
    <t>Fecha de</t>
  </si>
  <si>
    <t>Fecha hasta</t>
  </si>
  <si>
    <t>Dias</t>
  </si>
  <si>
    <t>Seleccionar</t>
  </si>
  <si>
    <t>P1</t>
  </si>
  <si>
    <t>P2</t>
  </si>
  <si>
    <t>P3</t>
  </si>
  <si>
    <t>P4</t>
  </si>
  <si>
    <t>P5</t>
  </si>
  <si>
    <t>P6</t>
  </si>
  <si>
    <t>C/A P1</t>
  </si>
  <si>
    <t>C/A P2</t>
  </si>
  <si>
    <t>C/A P3</t>
  </si>
  <si>
    <t>C/A P4</t>
  </si>
  <si>
    <t>C/A P5</t>
  </si>
  <si>
    <t>C/A P6</t>
  </si>
  <si>
    <t>EF</t>
  </si>
  <si>
    <t>Tipo V</t>
  </si>
  <si>
    <t>Consumo</t>
  </si>
  <si>
    <t>Prom. Dia</t>
  </si>
  <si>
    <t>Días:</t>
  </si>
  <si>
    <t>Periodo de referencia:</t>
  </si>
  <si>
    <t>Consumo React. Total:</t>
  </si>
  <si>
    <t>a</t>
  </si>
  <si>
    <t>kWh.</t>
  </si>
  <si>
    <t>kVARh.</t>
  </si>
  <si>
    <t>CMD</t>
  </si>
  <si>
    <t>Consumo:</t>
  </si>
  <si>
    <t>FR</t>
  </si>
  <si>
    <t>Valoración por:</t>
  </si>
  <si>
    <t>Se valora por DA en funcion a la potencia contratada (PC) o debida de contratar por "X" horas de utilizacion y por "XXX" días, correspondientes al periodo de anomalia SIN restarle la energía facturada por ciclo.</t>
  </si>
  <si>
    <t>PC:</t>
  </si>
  <si>
    <t>E. Total (EF + Enofa)</t>
  </si>
  <si>
    <t>I.A:</t>
  </si>
  <si>
    <t>Días periodo:</t>
  </si>
  <si>
    <t>días</t>
  </si>
  <si>
    <t>Consumo a recuperar (Enofa):</t>
  </si>
  <si>
    <t>Fecha Fin</t>
  </si>
  <si>
    <t>CTE.</t>
  </si>
  <si>
    <t>Se valora por FR en función a la potencia contratada (PC) o debida de contratar por "X" horas de utilizacion y por "XXX" días, correspondientes al periodo de anomalia, a cuya energía resultante se le resta la energía facturada por ciclo.</t>
  </si>
  <si>
    <t>Tipo</t>
  </si>
  <si>
    <t>TV DH</t>
  </si>
  <si>
    <t>Tipo IV</t>
  </si>
  <si>
    <t>Expte. Tipo</t>
  </si>
  <si>
    <t>A + B</t>
  </si>
  <si>
    <t>Prom. Act.</t>
  </si>
  <si>
    <t>Prom. A + B</t>
  </si>
  <si>
    <t>A + C</t>
  </si>
  <si>
    <t>Prom. A + C</t>
  </si>
  <si>
    <t>AB - A</t>
  </si>
  <si>
    <t>AC - A</t>
  </si>
  <si>
    <t>AB - C</t>
  </si>
  <si>
    <t>A + B + C</t>
  </si>
  <si>
    <t>Suma de A + B + C</t>
  </si>
  <si>
    <t>Suma de AB - A</t>
  </si>
  <si>
    <t>Suma de AB - C</t>
  </si>
  <si>
    <t>% Error:</t>
  </si>
  <si>
    <t>Número Fiscal de Factura</t>
  </si>
  <si>
    <t>Código de Empresa Distribuidora</t>
  </si>
  <si>
    <t>Código de contrato externo</t>
  </si>
  <si>
    <t>Secuencial de factura</t>
  </si>
  <si>
    <t>Tipo de factura</t>
  </si>
  <si>
    <t>Estado de la factura</t>
  </si>
  <si>
    <t>Fecha desde</t>
  </si>
  <si>
    <t>Importe Factura</t>
  </si>
  <si>
    <t>Fuente de la factura</t>
  </si>
  <si>
    <t>Tipo de Fuente</t>
  </si>
  <si>
    <t>Descripción Tipo de fuente</t>
  </si>
  <si>
    <t>Tipo de Fuente Anterior</t>
  </si>
  <si>
    <t>Descripción Tipo de fuente Anterior</t>
  </si>
  <si>
    <t>Tipo de punto de medida</t>
  </si>
  <si>
    <t>Consumo P1/punta</t>
  </si>
  <si>
    <t>Consumo P2/llano</t>
  </si>
  <si>
    <t>Consumo P3/valle</t>
  </si>
  <si>
    <t>Consumo P4/supervalle</t>
  </si>
  <si>
    <t>Consumo P5</t>
  </si>
  <si>
    <t>Consumo P6</t>
  </si>
  <si>
    <t>Consumo Reactiva1</t>
  </si>
  <si>
    <t>Consumo Reactiva2</t>
  </si>
  <si>
    <t>Consumo Reactiva3</t>
  </si>
  <si>
    <t>Consumo Reactiva4</t>
  </si>
  <si>
    <t>Consumo Reactiva5</t>
  </si>
  <si>
    <t>Consumo Reactiva6</t>
  </si>
  <si>
    <t>Consumo cargo-abono P1/punta</t>
  </si>
  <si>
    <t>Consumo cargo-abono P2/llano</t>
  </si>
  <si>
    <t>Consumo cargo-abono P3/valle</t>
  </si>
  <si>
    <t>Consumo cargo/abono P4</t>
  </si>
  <si>
    <t>Consumo cargo/abono P5</t>
  </si>
  <si>
    <t>Consumo cargo/abono P6</t>
  </si>
  <si>
    <t>Consumo pérdidas P1/punta</t>
  </si>
  <si>
    <t>Consumo pérdidas P2/llano</t>
  </si>
  <si>
    <t>Consumo pérdidas P3/valle</t>
  </si>
  <si>
    <t>Consumo pérdidas P4</t>
  </si>
  <si>
    <t>Consumo pérdidas P5</t>
  </si>
  <si>
    <t>Consumo pérdidas P6</t>
  </si>
  <si>
    <t>Maxímetro P1/Punta</t>
  </si>
  <si>
    <t>Maxímetro P2/Llano</t>
  </si>
  <si>
    <t>Maxímetro P3/Valle</t>
  </si>
  <si>
    <t>Maxímetro P4</t>
  </si>
  <si>
    <t>Maxímetro P5</t>
  </si>
  <si>
    <t>Maxímetro P6</t>
  </si>
  <si>
    <t xml:space="preserve">Aclaración: </t>
  </si>
  <si>
    <t>Se valora periodo anomalía por constante (CTE) resultante de la verificación y se le resta la energía facturada por ciclo.</t>
  </si>
  <si>
    <t>Se valora periodo anomalía por consumo medio diario (CMD) calculado sobre el periodo de referencia y al cual se le resta la energía facturada por ciclo.</t>
  </si>
  <si>
    <t>Consumo antes fraude</t>
  </si>
  <si>
    <t>Consumo fraudulento</t>
  </si>
  <si>
    <t>Consumo tras normalizar</t>
  </si>
  <si>
    <t xml:space="preserve">Cte. Historico: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</si>
</sst>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theme="0" tint="-0.499984740745262"/>
        <bgColor theme="6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theme="6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 style="medium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7" applyNumberFormat="0" applyFill="0" applyAlignment="0" applyProtection="0"/>
    <xf numFmtId="0" fontId="5" fillId="0" borderId="8" applyNumberFormat="0" applyFill="0" applyAlignment="0" applyProtection="0"/>
    <xf numFmtId="0" fontId="6" fillId="0" borderId="9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10" applyNumberFormat="0" applyAlignment="0" applyProtection="0"/>
    <xf numFmtId="0" fontId="11" fillId="7" borderId="11" applyNumberFormat="0" applyAlignment="0" applyProtection="0"/>
    <xf numFmtId="0" fontId="12" fillId="7" borderId="10" applyNumberFormat="0" applyAlignment="0" applyProtection="0"/>
    <xf numFmtId="0" fontId="13" fillId="0" borderId="12" applyNumberFormat="0" applyFill="0" applyAlignment="0" applyProtection="0"/>
    <xf numFmtId="0" fontId="1" fillId="8" borderId="13" applyNumberFormat="0" applyAlignment="0" applyProtection="0"/>
    <xf numFmtId="0" fontId="14" fillId="0" borderId="0" applyNumberFormat="0" applyFill="0" applyBorder="0" applyAlignment="0" applyProtection="0"/>
    <xf numFmtId="0" fontId="2" fillId="9" borderId="14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15" applyNumberFormat="0" applyFill="0" applyAlignment="0" applyProtection="0"/>
    <xf numFmtId="0" fontId="17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7" fillId="33" borderId="0" applyNumberFormat="0" applyBorder="0" applyAlignment="0" applyProtection="0"/>
  </cellStyleXfs>
  <cellXfs count="13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 wrapText="1"/>
    </xf>
    <xf numFmtId="14" fontId="1" fillId="2" borderId="2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14" fontId="1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16" fillId="0" borderId="0" xfId="0" applyFont="1"/>
    <xf numFmtId="14" fontId="0" fillId="0" borderId="0" xfId="0" applyNumberFormat="1"/>
    <xf numFmtId="14" fontId="0" fillId="0" borderId="0" xfId="0" applyNumberFormat="1" applyAlignment="1">
      <alignment horizontal="center" wrapText="1"/>
    </xf>
    <xf numFmtId="1" fontId="16" fillId="0" borderId="0" xfId="0" applyNumberFormat="1" applyFont="1" applyAlignment="1">
      <alignment horizontal="center" wrapText="1"/>
    </xf>
    <xf numFmtId="1" fontId="0" fillId="0" borderId="0" xfId="0" applyNumberFormat="1" applyAlignment="1">
      <alignment horizontal="center" wrapText="1"/>
    </xf>
    <xf numFmtId="1" fontId="0" fillId="0" borderId="4" xfId="0" applyNumberFormat="1" applyBorder="1" applyAlignment="1">
      <alignment horizontal="center"/>
    </xf>
    <xf numFmtId="1" fontId="16" fillId="0" borderId="0" xfId="0" applyNumberFormat="1" applyFont="1"/>
    <xf numFmtId="1" fontId="0" fillId="0" borderId="0" xfId="0" applyNumberFormat="1"/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wrapText="1"/>
    </xf>
    <xf numFmtId="0" fontId="19" fillId="0" borderId="0" xfId="0" applyFont="1"/>
    <xf numFmtId="0" fontId="16" fillId="0" borderId="0" xfId="0" applyFont="1" applyAlignment="1">
      <alignment horizontal="center"/>
    </xf>
    <xf numFmtId="0" fontId="16" fillId="0" borderId="4" xfId="0" applyFont="1" applyBorder="1" applyAlignment="1">
      <alignment horizontal="center"/>
    </xf>
    <xf numFmtId="1" fontId="16" fillId="0" borderId="4" xfId="0" applyNumberFormat="1" applyFont="1" applyBorder="1" applyAlignment="1">
      <alignment horizontal="center"/>
    </xf>
    <xf numFmtId="2" fontId="16" fillId="0" borderId="0" xfId="0" applyNumberFormat="1" applyFont="1" applyAlignment="1">
      <alignment horizontal="center"/>
    </xf>
    <xf numFmtId="2" fontId="16" fillId="0" borderId="0" xfId="0" applyNumberFormat="1" applyFont="1"/>
    <xf numFmtId="0" fontId="0" fillId="0" borderId="0" xfId="0" applyAlignment="1">
      <alignment vertical="center"/>
    </xf>
    <xf numFmtId="0" fontId="0" fillId="0" borderId="0" xfId="0" pivotButton="1"/>
    <xf numFmtId="0" fontId="0" fillId="0" borderId="0" xfId="0" pivotButton="1" applyAlignment="1">
      <alignment horizontal="center" wrapText="1"/>
    </xf>
    <xf numFmtId="0" fontId="0" fillId="0" borderId="0" xfId="0" pivotButton="1" applyAlignment="1">
      <alignment wrapText="1"/>
    </xf>
    <xf numFmtId="0" fontId="0" fillId="0" borderId="0" xfId="0" applyAlignment="1">
      <alignment wrapText="1" shrinkToFit="1"/>
    </xf>
    <xf numFmtId="14" fontId="0" fillId="0" borderId="0" xfId="0" applyNumberFormat="1" applyAlignment="1">
      <alignment horizontal="center" wrapText="1" shrinkToFit="1"/>
    </xf>
    <xf numFmtId="0" fontId="0" fillId="0" borderId="0" xfId="0" applyAlignment="1">
      <alignment horizontal="center" wrapText="1" shrinkToFit="1"/>
    </xf>
    <xf numFmtId="0" fontId="0" fillId="0" borderId="0" xfId="0" applyAlignment="1">
      <alignment horizontal="left"/>
    </xf>
    <xf numFmtId="17" fontId="0" fillId="0" borderId="0" xfId="0" applyNumberFormat="1"/>
    <xf numFmtId="0" fontId="20" fillId="0" borderId="0" xfId="0" applyFont="1"/>
    <xf numFmtId="0" fontId="22" fillId="0" borderId="0" xfId="0" applyFont="1"/>
    <xf numFmtId="0" fontId="22" fillId="0" borderId="0" xfId="0" applyFont="1" applyAlignment="1">
      <alignment horizontal="center" wrapText="1"/>
    </xf>
    <xf numFmtId="14" fontId="22" fillId="0" borderId="0" xfId="0" applyNumberFormat="1" applyFont="1" applyAlignment="1">
      <alignment horizontal="center" wrapText="1"/>
    </xf>
    <xf numFmtId="1" fontId="22" fillId="0" borderId="0" xfId="0" applyNumberFormat="1" applyFont="1" applyAlignment="1">
      <alignment horizontal="center" wrapText="1" shrinkToFit="1"/>
    </xf>
    <xf numFmtId="0" fontId="22" fillId="0" borderId="0" xfId="0" applyFont="1" applyAlignment="1">
      <alignment horizontal="center" wrapText="1" shrinkToFit="1"/>
    </xf>
    <xf numFmtId="1" fontId="22" fillId="0" borderId="0" xfId="0" applyNumberFormat="1" applyFont="1" applyAlignment="1">
      <alignment horizontal="center" wrapText="1"/>
    </xf>
    <xf numFmtId="0" fontId="22" fillId="0" borderId="0" xfId="0" applyFont="1" applyAlignment="1">
      <alignment wrapText="1" shrinkToFit="1"/>
    </xf>
    <xf numFmtId="0" fontId="1" fillId="37" borderId="1" xfId="0" applyFont="1" applyFill="1" applyBorder="1" applyAlignment="1">
      <alignment horizontal="center" vertical="center" wrapText="1"/>
    </xf>
    <xf numFmtId="14" fontId="1" fillId="37" borderId="1" xfId="0" applyNumberFormat="1" applyFont="1" applyFill="1" applyBorder="1" applyAlignment="1">
      <alignment horizontal="center" vertical="center" wrapText="1"/>
    </xf>
    <xf numFmtId="2" fontId="1" fillId="37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0" fontId="0" fillId="0" borderId="19" xfId="0" applyBorder="1" applyAlignment="1">
      <alignment horizontal="center"/>
    </xf>
    <xf numFmtId="0" fontId="24" fillId="36" borderId="17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2" fillId="0" borderId="0" xfId="0" pivotButton="1" applyFont="1"/>
    <xf numFmtId="0" fontId="22" fillId="38" borderId="0" xfId="0" applyFont="1" applyFill="1" applyAlignment="1">
      <alignment horizontal="center" vertical="center" wrapText="1"/>
    </xf>
    <xf numFmtId="0" fontId="0" fillId="0" borderId="4" xfId="0" applyBorder="1"/>
    <xf numFmtId="0" fontId="17" fillId="43" borderId="0" xfId="0" applyFont="1" applyFill="1" applyAlignment="1">
      <alignment horizontal="left"/>
    </xf>
    <xf numFmtId="0" fontId="17" fillId="43" borderId="0" xfId="0" applyFont="1" applyFill="1"/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right"/>
    </xf>
    <xf numFmtId="2" fontId="17" fillId="43" borderId="0" xfId="0" applyNumberFormat="1" applyFont="1" applyFill="1"/>
    <xf numFmtId="0" fontId="1" fillId="34" borderId="0" xfId="0" applyFont="1" applyFill="1" applyAlignment="1">
      <alignment horizontal="center" vertical="center" wrapText="1"/>
    </xf>
    <xf numFmtId="0" fontId="29" fillId="0" borderId="0" xfId="0" applyFont="1" applyAlignment="1">
      <alignment horizontal="center"/>
    </xf>
    <xf numFmtId="14" fontId="27" fillId="43" borderId="4" xfId="0" applyNumberFormat="1" applyFont="1" applyFill="1" applyBorder="1" applyAlignment="1">
      <alignment horizontal="center"/>
    </xf>
    <xf numFmtId="0" fontId="27" fillId="39" borderId="4" xfId="0" applyFont="1" applyFill="1" applyBorder="1" applyAlignment="1">
      <alignment horizontal="center"/>
    </xf>
    <xf numFmtId="14" fontId="27" fillId="43" borderId="4" xfId="0" applyNumberFormat="1" applyFont="1" applyFill="1" applyBorder="1" applyAlignment="1">
      <alignment horizontal="center" vertical="center"/>
    </xf>
    <xf numFmtId="0" fontId="27" fillId="39" borderId="4" xfId="0" applyFont="1" applyFill="1" applyBorder="1" applyAlignment="1">
      <alignment horizontal="center" vertical="center"/>
    </xf>
    <xf numFmtId="2" fontId="27" fillId="39" borderId="4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horizontal="center"/>
    </xf>
    <xf numFmtId="14" fontId="30" fillId="0" borderId="0" xfId="0" applyNumberFormat="1" applyFont="1" applyAlignment="1">
      <alignment horizontal="center"/>
    </xf>
    <xf numFmtId="1" fontId="30" fillId="41" borderId="0" xfId="0" applyNumberFormat="1" applyFont="1" applyFill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0" fontId="0" fillId="40" borderId="22" xfId="0" applyFill="1" applyBorder="1" applyAlignment="1">
      <alignment vertical="center"/>
    </xf>
    <xf numFmtId="0" fontId="0" fillId="40" borderId="0" xfId="0" applyFill="1" applyAlignment="1">
      <alignment vertical="center"/>
    </xf>
    <xf numFmtId="0" fontId="0" fillId="45" borderId="0" xfId="0" applyFill="1" applyAlignment="1">
      <alignment horizontal="center" vertical="center" wrapText="1"/>
    </xf>
    <xf numFmtId="14" fontId="0" fillId="45" borderId="0" xfId="0" applyNumberFormat="1" applyFill="1" applyAlignment="1">
      <alignment horizontal="center" vertical="center" wrapText="1"/>
    </xf>
    <xf numFmtId="0" fontId="30" fillId="45" borderId="0" xfId="0" applyFont="1" applyFill="1" applyAlignment="1">
      <alignment horizontal="center" vertical="center" wrapText="1"/>
    </xf>
    <xf numFmtId="0" fontId="28" fillId="42" borderId="25" xfId="0" applyFont="1" applyFill="1" applyBorder="1" applyAlignment="1">
      <alignment vertical="center" wrapText="1"/>
    </xf>
    <xf numFmtId="0" fontId="26" fillId="42" borderId="26" xfId="0" applyFont="1" applyFill="1" applyBorder="1" applyAlignment="1">
      <alignment horizontal="center" vertical="center" wrapText="1"/>
    </xf>
    <xf numFmtId="0" fontId="28" fillId="42" borderId="23" xfId="0" applyFont="1" applyFill="1" applyBorder="1" applyAlignment="1">
      <alignment vertical="center" wrapText="1"/>
    </xf>
    <xf numFmtId="0" fontId="26" fillId="42" borderId="2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right"/>
    </xf>
    <xf numFmtId="2" fontId="0" fillId="0" borderId="4" xfId="0" applyNumberFormat="1" applyBorder="1" applyAlignment="1">
      <alignment horizontal="right"/>
    </xf>
    <xf numFmtId="0" fontId="27" fillId="42" borderId="28" xfId="0" applyFont="1" applyFill="1" applyBorder="1" applyAlignment="1">
      <alignment vertical="center" wrapText="1"/>
    </xf>
    <xf numFmtId="0" fontId="31" fillId="42" borderId="24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" fontId="25" fillId="0" borderId="0" xfId="0" applyNumberFormat="1" applyFont="1" applyAlignment="1">
      <alignment horizontal="center"/>
    </xf>
    <xf numFmtId="0" fontId="0" fillId="35" borderId="0" xfId="0" applyFill="1" applyAlignment="1">
      <alignment wrapText="1" shrinkToFit="1"/>
    </xf>
    <xf numFmtId="0" fontId="16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 shrinkToFit="1"/>
    </xf>
    <xf numFmtId="14" fontId="22" fillId="0" borderId="0" xfId="0" applyNumberFormat="1" applyFont="1" applyAlignment="1">
      <alignment horizontal="center" vertical="center" wrapText="1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21" fontId="0" fillId="0" borderId="0" xfId="0" applyNumberFormat="1" applyAlignment="1">
      <alignment horizontal="left"/>
    </xf>
    <xf numFmtId="21" fontId="0" fillId="0" borderId="0" xfId="0" applyNumberFormat="1" applyAlignment="1">
      <alignment horizontal="center" wrapText="1"/>
    </xf>
    <xf numFmtId="1" fontId="22" fillId="0" borderId="0" xfId="0" applyNumberFormat="1" applyFont="1"/>
    <xf numFmtId="0" fontId="23" fillId="0" borderId="0" xfId="0" applyFont="1"/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7" fillId="44" borderId="4" xfId="0" applyFont="1" applyFill="1" applyBorder="1" applyAlignment="1">
      <alignment horizontal="center"/>
    </xf>
    <xf numFmtId="0" fontId="1" fillId="44" borderId="20" xfId="0" applyFont="1" applyFill="1" applyBorder="1" applyAlignment="1">
      <alignment horizontal="center"/>
    </xf>
    <xf numFmtId="0" fontId="1" fillId="44" borderId="21" xfId="0" applyFont="1" applyFill="1" applyBorder="1" applyAlignment="1">
      <alignment horizontal="center"/>
    </xf>
    <xf numFmtId="0" fontId="24" fillId="36" borderId="16" xfId="0" applyFont="1" applyFill="1" applyBorder="1" applyAlignment="1">
      <alignment horizontal="right"/>
    </xf>
    <xf numFmtId="0" fontId="24" fillId="36" borderId="17" xfId="0" applyFont="1" applyFill="1" applyBorder="1" applyAlignment="1">
      <alignment horizontal="right"/>
    </xf>
    <xf numFmtId="1" fontId="24" fillId="36" borderId="17" xfId="0" applyNumberFormat="1" applyFont="1" applyFill="1" applyBorder="1" applyAlignment="1">
      <alignment horizontal="center"/>
    </xf>
    <xf numFmtId="1" fontId="24" fillId="36" borderId="18" xfId="0" applyNumberFormat="1" applyFont="1" applyFill="1" applyBorder="1" applyAlignment="1">
      <alignment horizontal="center"/>
    </xf>
    <xf numFmtId="14" fontId="27" fillId="43" borderId="29" xfId="0" applyNumberFormat="1" applyFont="1" applyFill="1" applyBorder="1" applyAlignment="1">
      <alignment horizontal="center"/>
    </xf>
    <xf numFmtId="14" fontId="27" fillId="43" borderId="30" xfId="0" applyNumberFormat="1" applyFont="1" applyFill="1" applyBorder="1" applyAlignment="1">
      <alignment horizontal="center"/>
    </xf>
    <xf numFmtId="0" fontId="27" fillId="42" borderId="23" xfId="0" applyFont="1" applyFill="1" applyBorder="1" applyAlignment="1">
      <alignment horizontal="center" vertical="center" wrapText="1"/>
    </xf>
    <xf numFmtId="0" fontId="27" fillId="42" borderId="24" xfId="0" applyFont="1" applyFill="1" applyBorder="1" applyAlignment="1">
      <alignment horizontal="center" vertical="center" wrapText="1"/>
    </xf>
    <xf numFmtId="0" fontId="27" fillId="39" borderId="20" xfId="0" applyFont="1" applyFill="1" applyBorder="1" applyAlignment="1">
      <alignment horizontal="center"/>
    </xf>
    <xf numFmtId="0" fontId="27" fillId="39" borderId="21" xfId="0" applyFont="1" applyFill="1" applyBorder="1" applyAlignment="1">
      <alignment horizontal="center"/>
    </xf>
    <xf numFmtId="1" fontId="27" fillId="39" borderId="20" xfId="0" applyNumberFormat="1" applyFont="1" applyFill="1" applyBorder="1" applyAlignment="1">
      <alignment horizontal="center" vertical="center"/>
    </xf>
    <xf numFmtId="1" fontId="27" fillId="39" borderId="21" xfId="0" applyNumberFormat="1" applyFont="1" applyFill="1" applyBorder="1" applyAlignment="1">
      <alignment horizontal="center" vertical="center"/>
    </xf>
    <xf numFmtId="0" fontId="27" fillId="39" borderId="20" xfId="0" applyFont="1" applyFill="1" applyBorder="1" applyAlignment="1">
      <alignment horizontal="center" vertical="center"/>
    </xf>
    <xf numFmtId="0" fontId="27" fillId="39" borderId="21" xfId="0" applyFont="1" applyFill="1" applyBorder="1" applyAlignment="1">
      <alignment horizontal="center" vertical="center"/>
    </xf>
    <xf numFmtId="0" fontId="27" fillId="39" borderId="27" xfId="0" applyFont="1" applyFill="1" applyBorder="1" applyAlignment="1">
      <alignment horizontal="center"/>
    </xf>
    <xf numFmtId="1" fontId="27" fillId="39" borderId="27" xfId="0" applyNumberFormat="1" applyFont="1" applyFill="1" applyBorder="1" applyAlignment="1">
      <alignment horizontal="center" vertic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215">
    <dxf>
      <font>
        <b/>
        <i/>
        <color rgb="FFC00000"/>
      </font>
    </dxf>
    <dxf>
      <fill>
        <patternFill patternType="gray125">
          <bgColor theme="7" tint="0.79998168889431442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0061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 patternType="gray125">
          <bgColor theme="5" tint="0.79998168889431442"/>
        </patternFill>
      </fill>
    </dxf>
    <dxf>
      <font>
        <condense val="0"/>
        <extend val="0"/>
        <color rgb="FF9C0006"/>
      </font>
      <fill>
        <patternFill patternType="gray125">
          <bgColor theme="5" tint="0.79998168889431442"/>
        </patternFill>
      </fill>
    </dxf>
    <dxf>
      <font>
        <b/>
        <i val="0"/>
        <color rgb="FF9C0006"/>
      </font>
    </dxf>
    <dxf>
      <font>
        <color rgb="FF9C6500"/>
      </font>
      <fill>
        <patternFill>
          <bgColor rgb="FF92D05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alignment vertical="center" readingOrder="0"/>
    </dxf>
    <dxf>
      <alignment vertical="center" readingOrder="0"/>
    </dxf>
    <dxf>
      <alignment vertical="bottom" readingOrder="0"/>
    </dxf>
    <dxf>
      <font>
        <color theme="1" tint="0.34998626667073579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theme="1"/>
      </font>
    </dxf>
    <dxf>
      <font>
        <color auto="1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center" readingOrder="0"/>
    </dxf>
    <dxf>
      <alignment vertical="center" readingOrder="0"/>
    </dxf>
    <dxf>
      <alignment wrapText="1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alignment vertical="center" readingOrder="0"/>
    </dxf>
    <dxf>
      <font>
        <color theme="1" tint="0.499984740745262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1" tint="0.34998626667073579"/>
      </font>
    </dxf>
    <dxf>
      <font>
        <color theme="1" tint="0.34998626667073579"/>
      </font>
    </dxf>
    <dxf>
      <alignment vertical="center" readingOrder="0"/>
    </dxf>
    <dxf>
      <font>
        <color theme="0" tint="-4.9989318521683403E-2"/>
      </font>
    </dxf>
    <dxf>
      <alignment vertical="center" readingOrder="0"/>
    </dxf>
    <dxf>
      <fill>
        <patternFill>
          <bgColor auto="1"/>
        </patternFill>
      </fill>
    </dxf>
    <dxf>
      <font>
        <color theme="0" tint="-4.9989318521683403E-2"/>
      </font>
    </dxf>
    <dxf>
      <alignment vertical="center" readingOrder="0"/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alignment vertical="center" readingOrder="0"/>
    </dxf>
    <dxf>
      <alignment vertical="center" readingOrder="0"/>
    </dxf>
    <dxf>
      <font>
        <color theme="0"/>
      </font>
    </dxf>
    <dxf>
      <fill>
        <patternFill patternType="solid">
          <bgColor theme="0" tint="-0.14999847407452621"/>
        </patternFill>
      </fill>
    </dxf>
    <dxf>
      <font>
        <color theme="0" tint="-0.14999847407452621"/>
      </font>
    </dxf>
    <dxf>
      <font>
        <b/>
      </font>
    </dxf>
    <dxf>
      <numFmt numFmtId="1" formatCode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" formatCode="0"/>
    </dxf>
    <dxf>
      <numFmt numFmtId="164" formatCode="0.0"/>
    </dxf>
    <dxf>
      <alignment wrapText="1" readingOrder="0"/>
    </dxf>
    <dxf>
      <alignment horizontal="center" readingOrder="0"/>
    </dxf>
    <dxf>
      <numFmt numFmtId="165" formatCode="dd/mm/yyyy"/>
    </dxf>
    <dxf>
      <font>
        <color theme="1" tint="0.499984740745262"/>
      </font>
    </dxf>
    <dxf>
      <alignment horizontal="center" readingOrder="0"/>
    </dxf>
    <dxf>
      <font>
        <color theme="0" tint="-4.9989318521683403E-2"/>
      </font>
    </dxf>
    <dxf>
      <font>
        <b/>
      </font>
    </dxf>
    <dxf>
      <numFmt numFmtId="1" formatCode="0"/>
    </dxf>
    <dxf>
      <font>
        <color theme="1" tint="0.499984740745262"/>
      </font>
    </dxf>
    <dxf>
      <font>
        <b/>
      </font>
    </dxf>
    <dxf>
      <numFmt numFmtId="1" formatCode="0"/>
    </dxf>
    <dxf>
      <alignment horizontal="left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numFmt numFmtId="164" formatCode="0.0"/>
    </dxf>
    <dxf>
      <numFmt numFmtId="2" formatCode="0.00"/>
    </dxf>
    <dxf>
      <numFmt numFmtId="166" formatCode="0.000"/>
    </dxf>
    <dxf>
      <numFmt numFmtId="167" formatCode="0.0000"/>
    </dxf>
    <dxf>
      <numFmt numFmtId="168" formatCode="0.00000"/>
    </dxf>
    <dxf>
      <numFmt numFmtId="169" formatCode="0.000000"/>
    </dxf>
    <dxf>
      <font>
        <color theme="1" tint="0.499984740745262"/>
      </font>
    </dxf>
    <dxf>
      <alignment horizontal="left" readingOrder="0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1" tint="0.499984740745262"/>
      </font>
    </dxf>
    <dxf>
      <font>
        <b/>
      </font>
    </dxf>
    <dxf>
      <fill>
        <patternFill>
          <bgColor auto="1"/>
        </patternFill>
      </fill>
    </dxf>
    <dxf>
      <alignment horizontal="left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numFmt numFmtId="165" formatCode="dd/mm/yyyy"/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alignment vertical="center" readingOrder="0"/>
    </dxf>
    <dxf>
      <fill>
        <patternFill patternType="none">
          <bgColor auto="1"/>
        </patternFill>
      </fill>
    </dxf>
    <dxf>
      <alignment vertical="center" readingOrder="0"/>
    </dxf>
    <dxf>
      <alignment vertical="center" readingOrder="0"/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center" readingOrder="0"/>
    </dxf>
    <dxf>
      <fill>
        <patternFill patternType="none">
          <bgColor auto="1"/>
        </patternFill>
      </fill>
    </dxf>
    <dxf>
      <alignment vertical="center" readingOrder="0"/>
    </dxf>
    <dxf>
      <alignment vertic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 readingOrder="0"/>
    </dxf>
    <dxf>
      <fill>
        <patternFill patternType="none">
          <bgColor auto="1"/>
        </patternFill>
      </fill>
    </dxf>
    <dxf>
      <alignment vertical="center" readingOrder="0"/>
    </dxf>
    <dxf>
      <fill>
        <patternFill patternType="none">
          <bgColor auto="1"/>
        </patternFill>
      </fill>
    </dxf>
    <dxf>
      <font>
        <color theme="0" tint="-0.499984740745262"/>
      </font>
    </dxf>
    <dxf>
      <fill>
        <patternFill patternType="solid">
          <bgColor theme="0" tint="-4.9989318521683403E-2"/>
        </patternFill>
      </fill>
    </dxf>
    <dxf>
      <alignment vertical="center" readingOrder="0"/>
    </dxf>
    <dxf>
      <font>
        <color theme="0" tint="-4.9989318521683403E-2"/>
      </font>
    </dxf>
    <dxf>
      <fill>
        <patternFill patternType="none">
          <bgColor auto="1"/>
        </patternFill>
      </fill>
    </dxf>
    <dxf>
      <fill>
        <patternFill patternType="solid">
          <bgColor theme="1" tint="0.49998474074526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numFmt numFmtId="1" formatCode="0"/>
    </dxf>
    <dxf>
      <alignment shrinkToFit="1" readingOrder="0"/>
    </dxf>
    <dxf>
      <alignment shrinkToFit="1" readingOrder="0"/>
    </dxf>
    <dxf>
      <alignment vertical="center" readingOrder="0"/>
    </dxf>
    <dxf>
      <alignment vertical="center" readingOrder="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b val="0"/>
      </font>
    </dxf>
    <dxf>
      <fill>
        <patternFill>
          <bgColor theme="0" tint="-0.149998474074526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" formatCode="0"/>
    </dxf>
    <dxf>
      <numFmt numFmtId="164" formatCode="0.0"/>
    </dxf>
    <dxf>
      <alignment wrapText="1" readingOrder="0"/>
    </dxf>
    <dxf>
      <alignment horizontal="center" readingOrder="0"/>
    </dxf>
    <dxf>
      <numFmt numFmtId="165" formatCode="dd/mm/yyyy"/>
    </dxf>
    <dxf>
      <numFmt numFmtId="0" formatCode="General"/>
    </dxf>
    <dxf>
      <fill>
        <patternFill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numFmt numFmtId="2" formatCode="0.0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shrinkToFit="1" readingOrder="0"/>
    </dxf>
    <dxf>
      <alignment wrapText="1" shrinkToFit="1" readingOrder="0"/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alignment wrapText="1" readingOrder="0"/>
    </dxf>
  </dxfs>
  <tableStyles count="0" defaultTableStyle="TableStyleMedium9" defaultPivotStyle="PivotStyleLight16"/>
  <colors>
    <mruColors>
      <color rgb="FFFFCC66"/>
      <color rgb="FFEFF4C4"/>
      <color rgb="FFFF6699"/>
      <color rgb="FF8B34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9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8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pivotCacheDefinition" Target="pivotCache/pivotCacheDefinition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fmtId val="-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3417120"/>
        <c:axId val="243416728"/>
      </c:barChart>
      <c:valAx>
        <c:axId val="243416728"/>
        <c:scaling>
          <c:orientation val="minMax"/>
        </c:scaling>
        <c:delete val="0"/>
        <c:axPos val="r"/>
        <c:numFmt formatCode="m/d/yy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3417120"/>
        <c:crosses val="max"/>
        <c:crossBetween val="between"/>
      </c:valAx>
      <c:catAx>
        <c:axId val="24341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3416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[Análisis de Expedientes.xlsm]Vista por años!Tabla dinámica2</c:name>
    <c:fmtId val="62"/>
  </c:pivotSource>
  <c:chart>
    <c:autoTitleDeleted val="0"/>
    <c:pivotFmts>
      <c:pivotFmt>
        <c:idx val="0"/>
        <c:spPr>
          <a:noFill/>
          <a:ln w="25400" cap="flat" cmpd="sng" algn="ctr">
            <a:solidFill>
              <a:srgbClr val="0070C0"/>
            </a:solidFill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25400" cap="flat" cmpd="sng" algn="ctr">
            <a:solidFill>
              <a:srgbClr val="0070C0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25400" cap="flat" cmpd="sng" algn="ctr">
            <a:solidFill>
              <a:srgbClr val="C00000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12700" cap="rnd">
            <a:solidFill>
              <a:schemeClr val="accent1"/>
            </a:solidFill>
            <a:round/>
          </a:ln>
          <a:effectLst/>
        </c:spPr>
        <c:marker>
          <c:symbol val="square"/>
          <c:size val="2"/>
          <c:spPr>
            <a:solidFill>
              <a:srgbClr val="92D050">
                <a:alpha val="50000"/>
              </a:srgbClr>
            </a:solidFill>
            <a:ln w="19050" cap="rnd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'Vista por años'!$B$54:$B$55</c:f>
              <c:strCache>
                <c:ptCount val="1"/>
                <c:pt idx="0">
                  <c:v>Suma de Promedio Activa</c:v>
                </c:pt>
              </c:strCache>
            </c:strRef>
          </c:tx>
          <c:spPr>
            <a:noFill/>
            <a:ln w="25400" cap="flat" cmpd="sng" algn="ctr">
              <a:solidFill>
                <a:srgbClr val="0070C0"/>
              </a:solidFill>
              <a:miter lim="800000"/>
            </a:ln>
            <a:effectLst/>
          </c:spPr>
          <c:invertIfNegative val="0"/>
          <c:trendline>
            <c:spPr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cat>
            <c:strRef>
              <c:f>'Vista por años'!$A$56</c:f>
              <c:strCache>
                <c:ptCount val="1"/>
                <c:pt idx="0">
                  <c:v>12:00:00 a. m.</c:v>
                </c:pt>
              </c:strCache>
            </c:strRef>
          </c:cat>
          <c:val>
            <c:numRef>
              <c:f>'Vista por años'!$B$56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A4-4BE1-9E17-FDD5FBEFB776}"/>
            </c:ext>
          </c:extLst>
        </c:ser>
        <c:ser>
          <c:idx val="1"/>
          <c:order val="1"/>
          <c:tx>
            <c:strRef>
              <c:f>'Vista por años'!$C$54:$C$55</c:f>
              <c:strCache>
                <c:ptCount val="1"/>
                <c:pt idx="0">
                  <c:v>Suma de Promedio Reactiva</c:v>
                </c:pt>
              </c:strCache>
            </c:strRef>
          </c:tx>
          <c:spPr>
            <a:noFill/>
            <a:ln w="25400" cap="flat" cmpd="sng" algn="ctr">
              <a:solidFill>
                <a:schemeClr val="accent2"/>
              </a:solidFill>
              <a:miter lim="800000"/>
            </a:ln>
            <a:effectLst/>
          </c:spPr>
          <c:invertIfNegative val="0"/>
          <c:cat>
            <c:strRef>
              <c:f>'Vista por años'!$A$56</c:f>
              <c:strCache>
                <c:ptCount val="1"/>
                <c:pt idx="0">
                  <c:v>12:00:00 a. m.</c:v>
                </c:pt>
              </c:strCache>
            </c:strRef>
          </c:cat>
          <c:val>
            <c:numRef>
              <c:f>'Vista por años'!$C$56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A4-4BE1-9E17-FDD5FBEFB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242456192"/>
        <c:axId val="243417904"/>
      </c:barChart>
      <c:lineChart>
        <c:grouping val="standard"/>
        <c:varyColors val="0"/>
        <c:ser>
          <c:idx val="2"/>
          <c:order val="2"/>
          <c:tx>
            <c:strRef>
              <c:f>'Vista por años'!$D$54:$D$55</c:f>
              <c:strCache>
                <c:ptCount val="1"/>
                <c:pt idx="0">
                  <c:v>Suma de Maxímetro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92D050">
                  <a:alpha val="50000"/>
                </a:srgbClr>
              </a:solidFill>
              <a:ln w="19050" cap="rnd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'Vista por años'!$A$56</c:f>
              <c:strCache>
                <c:ptCount val="1"/>
                <c:pt idx="0">
                  <c:v>12:00:00 a. m.</c:v>
                </c:pt>
              </c:strCache>
            </c:strRef>
          </c:cat>
          <c:val>
            <c:numRef>
              <c:f>'Vista por años'!$D$56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A4-4BE1-9E17-FDD5FBEFB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418688"/>
        <c:axId val="243418296"/>
      </c:lineChart>
      <c:catAx>
        <c:axId val="24245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3417904"/>
        <c:crosses val="autoZero"/>
        <c:auto val="1"/>
        <c:lblAlgn val="ctr"/>
        <c:lblOffset val="100"/>
        <c:noMultiLvlLbl val="0"/>
      </c:catAx>
      <c:valAx>
        <c:axId val="243417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2456192"/>
        <c:crosses val="autoZero"/>
        <c:crossBetween val="between"/>
      </c:valAx>
      <c:valAx>
        <c:axId val="2434182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3418688"/>
        <c:crosses val="max"/>
        <c:crossBetween val="between"/>
      </c:valAx>
      <c:catAx>
        <c:axId val="243418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3418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[Análisis de Expedientes.xlsm]Vista por años!Tabla dinámica2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Análisis de consumos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  <c:spPr>
          <a:gradFill flip="none" rotWithShape="1">
            <a:gsLst>
              <a:gs pos="25000">
                <a:schemeClr val="tx2">
                  <a:lumMod val="99000"/>
                  <a:lumOff val="1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  <a:ln w="38100">
            <a:gradFill flip="none" rotWithShape="1">
              <a:gsLst>
                <a:gs pos="0">
                  <a:schemeClr val="accent1">
                    <a:lumMod val="40000"/>
                    <a:lumOff val="60000"/>
                  </a:schemeClr>
                </a:gs>
                <a:gs pos="46000">
                  <a:schemeClr val="accent1">
                    <a:lumMod val="95000"/>
                    <a:lumOff val="5000"/>
                  </a:schemeClr>
                </a:gs>
                <a:gs pos="100000">
                  <a:schemeClr val="accent1">
                    <a:lumMod val="60000"/>
                  </a:schemeClr>
                </a:gs>
              </a:gsLst>
              <a:path path="circle">
                <a:fillToRect l="50000" t="130000" r="50000" b="-30000"/>
              </a:path>
              <a:tileRect/>
            </a:gra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flip="none" rotWithShape="1">
            <a:gsLst>
              <a:gs pos="5000">
                <a:srgbClr val="C00000"/>
              </a:gs>
              <a:gs pos="23000">
                <a:schemeClr val="accent2">
                  <a:lumMod val="89000"/>
                </a:schemeClr>
              </a:gs>
              <a:gs pos="69000">
                <a:schemeClr val="accent2">
                  <a:lumMod val="75000"/>
                </a:schemeClr>
              </a:gs>
              <a:gs pos="97000">
                <a:schemeClr val="accent2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8100">
            <a:gradFill flip="none" rotWithShape="1">
              <a:gsLst>
                <a:gs pos="0">
                  <a:schemeClr val="accent2">
                    <a:lumMod val="89000"/>
                  </a:schemeClr>
                </a:gs>
                <a:gs pos="23000">
                  <a:schemeClr val="accent2">
                    <a:lumMod val="89000"/>
                  </a:schemeClr>
                </a:gs>
                <a:gs pos="69000">
                  <a:schemeClr val="accent2">
                    <a:lumMod val="75000"/>
                  </a:schemeClr>
                </a:gs>
                <a:gs pos="97000">
                  <a:schemeClr val="accent2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 w="12700">
            <a:solidFill>
              <a:srgbClr val="92D050">
                <a:alpha val="50000"/>
              </a:srgbClr>
            </a:solidFill>
          </a:ln>
          <a:effectLst/>
        </c:spPr>
        <c:marker>
          <c:symbol val="square"/>
          <c:size val="2"/>
          <c:spPr>
            <a:gradFill>
              <a:gsLst>
                <a:gs pos="0">
                  <a:schemeClr val="accent3">
                    <a:lumMod val="0"/>
                    <a:lumOff val="100000"/>
                  </a:schemeClr>
                </a:gs>
                <a:gs pos="35000">
                  <a:schemeClr val="accent3">
                    <a:lumMod val="0"/>
                    <a:lumOff val="100000"/>
                  </a:schemeClr>
                </a:gs>
                <a:gs pos="100000">
                  <a:schemeClr val="accent3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 w="25400">
              <a:solidFill>
                <a:srgbClr val="92D050"/>
              </a:solidFill>
            </a:ln>
            <a:effectLst/>
          </c:spPr>
        </c:marker>
      </c:pivotFmt>
      <c:pivotFmt>
        <c:idx val="75"/>
      </c:pivotFmt>
      <c:pivotFmt>
        <c:idx val="76"/>
        <c:spPr>
          <a:gradFill>
            <a:gsLst>
              <a:gs pos="5000">
                <a:srgbClr val="C00000"/>
              </a:gs>
              <a:gs pos="100000">
                <a:srgbClr val="C00000"/>
              </a:gs>
            </a:gsLst>
            <a:lin ang="0" scaled="0"/>
          </a:gradFill>
          <a:ln w="38100">
            <a:gradFill>
              <a:gsLst>
                <a:gs pos="0">
                  <a:srgbClr val="C00000">
                    <a:lumMod val="87000"/>
                  </a:srgbClr>
                </a:gs>
                <a:gs pos="100000">
                  <a:srgbClr val="8B3431"/>
                </a:gs>
              </a:gsLst>
              <a:lin ang="5400000" scaled="1"/>
            </a:gra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19050" cap="rnd">
            <a:solidFill>
              <a:srgbClr val="92D050">
                <a:alpha val="50000"/>
              </a:srgbClr>
            </a:solidFill>
            <a:round/>
          </a:ln>
          <a:effectLst/>
        </c:spPr>
        <c:marker>
          <c:symbol val="square"/>
          <c:size val="4"/>
          <c:spPr>
            <a:gradFill flip="none" rotWithShape="1">
              <a:gsLst>
                <a:gs pos="15000">
                  <a:srgbClr val="92D050"/>
                </a:gs>
                <a:gs pos="100000">
                  <a:srgbClr val="00B050"/>
                </a:gs>
              </a:gsLst>
              <a:path path="circle">
                <a:fillToRect l="100000" t="100000"/>
              </a:path>
              <a:tileRect r="-100000" b="-100000"/>
            </a:gra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'Vista por años'!$B$54:$B$55</c:f>
              <c:strCache>
                <c:ptCount val="1"/>
                <c:pt idx="0">
                  <c:v>Suma de Promedio Activa</c:v>
                </c:pt>
              </c:strCache>
            </c:strRef>
          </c:tx>
          <c:spPr>
            <a:gradFill flip="none" rotWithShape="1">
              <a:gsLst>
                <a:gs pos="25000">
                  <a:schemeClr val="tx2">
                    <a:lumMod val="99000"/>
                    <a:lumOff val="1000"/>
                  </a:schemeClr>
                </a:gs>
                <a:gs pos="46000">
                  <a:schemeClr val="accent1">
                    <a:lumMod val="95000"/>
                    <a:lumOff val="5000"/>
                  </a:schemeClr>
                </a:gs>
                <a:gs pos="100000">
                  <a:schemeClr val="accent1">
                    <a:lumMod val="60000"/>
                  </a:schemeClr>
                </a:gs>
              </a:gsLst>
              <a:path path="circle">
                <a:fillToRect l="50000" t="130000" r="50000" b="-30000"/>
              </a:path>
              <a:tileRect/>
            </a:gradFill>
            <a:ln w="38100">
              <a:gradFill flip="none" rotWithShape="1">
                <a:gsLst>
                  <a:gs pos="0">
                    <a:schemeClr val="accent1">
                      <a:lumMod val="40000"/>
                      <a:lumOff val="60000"/>
                    </a:schemeClr>
                  </a:gs>
                  <a:gs pos="46000">
                    <a:schemeClr val="accent1">
                      <a:lumMod val="95000"/>
                      <a:lumOff val="5000"/>
                    </a:schemeClr>
                  </a:gs>
                  <a:gs pos="100000">
                    <a:schemeClr val="accent1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</a:ln>
            <a:effectLst/>
          </c:spPr>
          <c:invertIfNegative val="0"/>
          <c:trendline>
            <c:spPr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forward val="2"/>
            <c:dispRSqr val="0"/>
            <c:dispEq val="0"/>
          </c:trendline>
          <c:cat>
            <c:strRef>
              <c:f>'Vista por años'!$A$56</c:f>
              <c:strCache>
                <c:ptCount val="1"/>
                <c:pt idx="0">
                  <c:v>12:00:00 a. m.</c:v>
                </c:pt>
              </c:strCache>
            </c:strRef>
          </c:cat>
          <c:val>
            <c:numRef>
              <c:f>'Vista por años'!$B$56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F1D-9AE6-749BF39AF58E}"/>
            </c:ext>
          </c:extLst>
        </c:ser>
        <c:ser>
          <c:idx val="1"/>
          <c:order val="1"/>
          <c:tx>
            <c:strRef>
              <c:f>'Vista por años'!$C$54:$C$55</c:f>
              <c:strCache>
                <c:ptCount val="1"/>
                <c:pt idx="0">
                  <c:v>Suma de Promedio Reactiva</c:v>
                </c:pt>
              </c:strCache>
            </c:strRef>
          </c:tx>
          <c:spPr>
            <a:gradFill>
              <a:gsLst>
                <a:gs pos="5000">
                  <a:srgbClr val="C00000"/>
                </a:gs>
                <a:gs pos="100000">
                  <a:srgbClr val="C00000"/>
                </a:gs>
              </a:gsLst>
              <a:lin ang="0" scaled="0"/>
            </a:gradFill>
            <a:ln w="38100">
              <a:gradFill>
                <a:gsLst>
                  <a:gs pos="0">
                    <a:srgbClr val="C00000">
                      <a:lumMod val="87000"/>
                    </a:srgbClr>
                  </a:gs>
                  <a:gs pos="100000">
                    <a:srgbClr val="8B3431"/>
                  </a:gs>
                </a:gsLst>
                <a:lin ang="5400000" scaled="1"/>
              </a:gradFill>
            </a:ln>
            <a:effectLst/>
          </c:spPr>
          <c:invertIfNegative val="0"/>
          <c:cat>
            <c:strRef>
              <c:f>'Vista por años'!$A$56</c:f>
              <c:strCache>
                <c:ptCount val="1"/>
                <c:pt idx="0">
                  <c:v>12:00:00 a. m.</c:v>
                </c:pt>
              </c:strCache>
            </c:strRef>
          </c:cat>
          <c:val>
            <c:numRef>
              <c:f>'Vista por años'!$C$56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8-4F3C-AA27-2A615C8F1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87575792"/>
        <c:axId val="487576184"/>
      </c:barChart>
      <c:lineChart>
        <c:grouping val="standard"/>
        <c:varyColors val="0"/>
        <c:ser>
          <c:idx val="2"/>
          <c:order val="2"/>
          <c:tx>
            <c:strRef>
              <c:f>'Vista por años'!$D$54:$D$55</c:f>
              <c:strCache>
                <c:ptCount val="1"/>
                <c:pt idx="0">
                  <c:v>Suma de Maxímetro</c:v>
                </c:pt>
              </c:strCache>
            </c:strRef>
          </c:tx>
          <c:spPr>
            <a:ln w="19050" cap="rnd">
              <a:solidFill>
                <a:srgbClr val="92D050">
                  <a:alpha val="50000"/>
                </a:srgbClr>
              </a:solidFill>
              <a:round/>
            </a:ln>
            <a:effectLst/>
          </c:spPr>
          <c:marker>
            <c:symbol val="square"/>
            <c:size val="4"/>
            <c:spPr>
              <a:gradFill flip="none" rotWithShape="1">
                <a:gsLst>
                  <a:gs pos="15000">
                    <a:srgbClr val="92D050"/>
                  </a:gs>
                  <a:gs pos="100000">
                    <a:srgbClr val="00B050"/>
                  </a:gs>
                </a:gsLst>
                <a:path path="circle">
                  <a:fillToRect l="100000" t="100000"/>
                </a:path>
                <a:tileRect r="-100000" b="-100000"/>
              </a:gra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'Vista por años'!$A$56</c:f>
              <c:strCache>
                <c:ptCount val="1"/>
                <c:pt idx="0">
                  <c:v>12:00:00 a. m.</c:v>
                </c:pt>
              </c:strCache>
            </c:strRef>
          </c:cat>
          <c:val>
            <c:numRef>
              <c:f>'Vista por años'!$D$56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B8-4F3C-AA27-2A615C8F1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76968"/>
        <c:axId val="487576576"/>
      </c:lineChart>
      <c:catAx>
        <c:axId val="4875757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7576184"/>
        <c:crosses val="autoZero"/>
        <c:auto val="1"/>
        <c:lblAlgn val="ctr"/>
        <c:lblOffset val="100"/>
        <c:noMultiLvlLbl val="0"/>
      </c:catAx>
      <c:valAx>
        <c:axId val="487576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7575792"/>
        <c:crosses val="autoZero"/>
        <c:crossBetween val="between"/>
      </c:valAx>
      <c:valAx>
        <c:axId val="487576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7576968"/>
        <c:crosses val="max"/>
        <c:crossBetween val="between"/>
      </c:valAx>
      <c:catAx>
        <c:axId val="487576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7576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userShapes r:id="rId3"/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[Análisis de Expedientes.xlsm]Vista por años!Tabla dinámica3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Energía Reconstruida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gradFill>
            <a:gsLst>
              <a:gs pos="0">
                <a:schemeClr val="tx2">
                  <a:alpha val="50000"/>
                  <a:lumMod val="21000"/>
                  <a:lumOff val="79000"/>
                </a:schemeClr>
              </a:gs>
              <a:gs pos="0">
                <a:schemeClr val="tx2">
                  <a:lumMod val="40000"/>
                  <a:lumOff val="60000"/>
                </a:schemeClr>
              </a:gs>
              <a:gs pos="100000">
                <a:schemeClr val="tx2"/>
              </a:gs>
            </a:gsLst>
            <a:path path="circle">
              <a:fillToRect l="50000" t="130000" r="50000" b="-30000"/>
            </a:path>
          </a:gradFill>
          <a:ln w="254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>
              <a:alpha val="66000"/>
            </a:srgbClr>
          </a:solidFill>
          <a:ln w="31750">
            <a:solidFill>
              <a:srgbClr val="C00000"/>
            </a:solidFill>
          </a:ln>
          <a:effectLst/>
        </c:spPr>
        <c:marker>
          <c:symbol val="none"/>
        </c:marker>
      </c:pivotFmt>
      <c:pivotFmt>
        <c:idx val="6"/>
        <c:spPr>
          <a:gradFill>
            <a:gsLst>
              <a:gs pos="0">
                <a:srgbClr val="FF6699"/>
              </a:gs>
              <a:gs pos="0">
                <a:srgbClr val="FF6699"/>
              </a:gs>
              <a:gs pos="100000">
                <a:srgbClr val="C00000"/>
              </a:gs>
            </a:gsLst>
            <a:path path="circle">
              <a:fillToRect l="50000" t="130000" r="50000" b="-30000"/>
            </a:path>
          </a:gradFill>
          <a:ln w="25400">
            <a:solidFill>
              <a:srgbClr val="C00000">
                <a:alpha val="80000"/>
              </a:srgbClr>
            </a:solidFill>
          </a:ln>
          <a:effectLst/>
        </c:spPr>
        <c:marker>
          <c:symbol val="none"/>
        </c:marker>
      </c:pivotFmt>
      <c:pivotFmt>
        <c:idx val="7"/>
        <c:spPr>
          <a:gradFill>
            <a:gsLst>
              <a:gs pos="50000">
                <a:srgbClr val="C00000"/>
              </a:gs>
              <a:gs pos="0">
                <a:srgbClr val="FF6699"/>
              </a:gs>
              <a:gs pos="0">
                <a:srgbClr val="FF0000"/>
              </a:gs>
              <a:gs pos="100000">
                <a:srgbClr val="C00000">
                  <a:alpha val="50000"/>
                </a:srgbClr>
              </a:gs>
            </a:gsLst>
            <a:path path="circle">
              <a:fillToRect l="50000" t="130000" r="50000" b="-30000"/>
            </a:path>
          </a:gradFill>
          <a:ln w="25400"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52000">
                <a:srgbClr val="FFCC66">
                  <a:alpha val="50000"/>
                </a:srgbClr>
              </a:gs>
              <a:gs pos="0">
                <a:srgbClr val="FF6699"/>
              </a:gs>
              <a:gs pos="0">
                <a:srgbClr val="EFF4C4"/>
              </a:gs>
              <a:gs pos="100000">
                <a:srgbClr val="FFC000"/>
              </a:gs>
            </a:gsLst>
            <a:path path="circle">
              <a:fillToRect l="50000" t="130000" r="50000" b="-30000"/>
            </a:path>
          </a:gradFill>
          <a:ln w="25400">
            <a:solidFill>
              <a:srgbClr val="FFC000">
                <a:alpha val="50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</c:pivotFmts>
    <c:plotArea>
      <c:layout>
        <c:manualLayout>
          <c:layoutTarget val="inner"/>
          <c:xMode val="edge"/>
          <c:yMode val="edge"/>
          <c:x val="4.7917227426742613E-2"/>
          <c:y val="0.11685961924660244"/>
          <c:w val="0.94874002693495119"/>
          <c:h val="0.7727956737916811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'Vista por años'!$F$54:$F$55</c:f>
              <c:strCache>
                <c:ptCount val="1"/>
                <c:pt idx="0">
                  <c:v>Suma de Promedio Activa</c:v>
                </c:pt>
              </c:strCache>
            </c:strRef>
          </c:tx>
          <c:spPr>
            <a:gradFill>
              <a:gsLst>
                <a:gs pos="0">
                  <a:schemeClr val="tx2">
                    <a:alpha val="50000"/>
                    <a:lumMod val="21000"/>
                    <a:lumOff val="79000"/>
                  </a:schemeClr>
                </a:gs>
                <a:gs pos="0">
                  <a:schemeClr val="tx2">
                    <a:lumMod val="40000"/>
                    <a:lumOff val="60000"/>
                  </a:schemeClr>
                </a:gs>
                <a:gs pos="100000">
                  <a:schemeClr val="tx2"/>
                </a:gs>
              </a:gsLst>
              <a:path path="circle">
                <a:fillToRect l="50000" t="130000" r="50000" b="-30000"/>
              </a:path>
            </a:gradFill>
            <a:ln w="25400">
              <a:solidFill>
                <a:schemeClr val="tx2"/>
              </a:solidFill>
            </a:ln>
            <a:effectLst/>
          </c:spPr>
          <c:invertIfNegative val="0"/>
          <c:cat>
            <c:strRef>
              <c:f>'Vista por años'!$E$56</c:f>
              <c:strCache>
                <c:ptCount val="1"/>
                <c:pt idx="0">
                  <c:v>12:00:00 a. m.</c:v>
                </c:pt>
              </c:strCache>
            </c:strRef>
          </c:cat>
          <c:val>
            <c:numRef>
              <c:f>'Vista por años'!$F$56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88-4318-B239-BC30A709BA6E}"/>
            </c:ext>
          </c:extLst>
        </c:ser>
        <c:ser>
          <c:idx val="1"/>
          <c:order val="1"/>
          <c:tx>
            <c:strRef>
              <c:f>'Vista por años'!$G$54:$G$55</c:f>
              <c:strCache>
                <c:ptCount val="1"/>
                <c:pt idx="0">
                  <c:v>Suma de AB - A</c:v>
                </c:pt>
              </c:strCache>
            </c:strRef>
          </c:tx>
          <c:spPr>
            <a:gradFill>
              <a:gsLst>
                <a:gs pos="50000">
                  <a:srgbClr val="C00000"/>
                </a:gs>
                <a:gs pos="0">
                  <a:srgbClr val="FF6699"/>
                </a:gs>
                <a:gs pos="0">
                  <a:srgbClr val="FF0000"/>
                </a:gs>
                <a:gs pos="100000">
                  <a:srgbClr val="C00000">
                    <a:alpha val="50000"/>
                  </a:srgbClr>
                </a:gs>
              </a:gsLst>
              <a:path path="circle">
                <a:fillToRect l="50000" t="130000" r="50000" b="-30000"/>
              </a:path>
            </a:gradFill>
            <a:ln w="25400">
              <a:solidFill>
                <a:srgbClr val="C00000"/>
              </a:solidFill>
            </a:ln>
            <a:effectLst/>
          </c:spPr>
          <c:invertIfNegative val="0"/>
          <c:cat>
            <c:strRef>
              <c:f>'Vista por años'!$E$56</c:f>
              <c:strCache>
                <c:ptCount val="1"/>
                <c:pt idx="0">
                  <c:v>12:00:00 a. m.</c:v>
                </c:pt>
              </c:strCache>
            </c:strRef>
          </c:cat>
          <c:val>
            <c:numRef>
              <c:f>'Vista por años'!$G$56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97-4A89-888A-6C134697D1BC}"/>
            </c:ext>
          </c:extLst>
        </c:ser>
        <c:ser>
          <c:idx val="2"/>
          <c:order val="2"/>
          <c:tx>
            <c:strRef>
              <c:f>'Vista por años'!$H$54:$H$55</c:f>
              <c:strCache>
                <c:ptCount val="1"/>
                <c:pt idx="0">
                  <c:v>Suma de AB - C</c:v>
                </c:pt>
              </c:strCache>
            </c:strRef>
          </c:tx>
          <c:spPr>
            <a:gradFill>
              <a:gsLst>
                <a:gs pos="52000">
                  <a:srgbClr val="FFCC66">
                    <a:alpha val="50000"/>
                  </a:srgbClr>
                </a:gs>
                <a:gs pos="0">
                  <a:srgbClr val="FF6699"/>
                </a:gs>
                <a:gs pos="0">
                  <a:srgbClr val="EFF4C4"/>
                </a:gs>
                <a:gs pos="100000">
                  <a:srgbClr val="FFC000"/>
                </a:gs>
              </a:gsLst>
              <a:path path="circle">
                <a:fillToRect l="50000" t="130000" r="50000" b="-30000"/>
              </a:path>
            </a:gradFill>
            <a:ln w="25400">
              <a:solidFill>
                <a:srgbClr val="FFC000">
                  <a:alpha val="50000"/>
                </a:srgbClr>
              </a:solidFill>
            </a:ln>
            <a:effectLst/>
          </c:spPr>
          <c:invertIfNegative val="0"/>
          <c:cat>
            <c:strRef>
              <c:f>'Vista por años'!$E$56</c:f>
              <c:strCache>
                <c:ptCount val="1"/>
                <c:pt idx="0">
                  <c:v>12:00:00 a. m.</c:v>
                </c:pt>
              </c:strCache>
            </c:strRef>
          </c:cat>
          <c:val>
            <c:numRef>
              <c:f>'Vista por años'!$H$56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97-4A89-888A-6C134697D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487931512"/>
        <c:axId val="487931904"/>
      </c:barChart>
      <c:catAx>
        <c:axId val="4879315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7931904"/>
        <c:crosses val="autoZero"/>
        <c:auto val="1"/>
        <c:lblAlgn val="ctr"/>
        <c:lblOffset val="100"/>
        <c:noMultiLvlLbl val="0"/>
      </c:catAx>
      <c:valAx>
        <c:axId val="48793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793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userShapes r:id="rId3"/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[Análisis de Expedientes.xlsm]Vista por años!Tabla dinámica2</c:name>
    <c:fmtId val="12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</c:pivotFmt>
      <c:pivotFmt>
        <c:idx val="58"/>
        <c:spPr>
          <a:noFill/>
          <a:ln w="25400" cap="flat" cmpd="sng" algn="ctr">
            <a:solidFill>
              <a:schemeClr val="accent2"/>
            </a:solidFill>
            <a:miter lim="800000"/>
          </a:ln>
          <a:effectLst/>
        </c:spPr>
        <c:marker>
          <c:symbol val="none"/>
        </c:marker>
      </c:pivotFmt>
      <c:pivotFmt>
        <c:idx val="59"/>
        <c:spPr>
          <a:noFill/>
          <a:ln w="25400" cap="flat" cmpd="sng" algn="ctr">
            <a:solidFill>
              <a:schemeClr val="accent3"/>
            </a:solidFill>
            <a:miter lim="800000"/>
          </a:ln>
          <a:effectLst/>
        </c:spPr>
        <c:marker>
          <c:symbol val="none"/>
        </c:marker>
      </c:pivotFmt>
      <c:pivotFmt>
        <c:idx val="6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</c:pivotFmt>
      <c:pivotFmt>
        <c:idx val="61"/>
        <c:spPr>
          <a:noFill/>
          <a:ln w="25400" cap="flat" cmpd="sng" algn="ctr">
            <a:solidFill>
              <a:schemeClr val="accent2"/>
            </a:solidFill>
            <a:miter lim="800000"/>
          </a:ln>
          <a:effectLst/>
        </c:spPr>
        <c:marker>
          <c:symbol val="none"/>
        </c:marker>
      </c:pivotFmt>
      <c:pivotFmt>
        <c:idx val="62"/>
        <c:spPr>
          <a:noFill/>
          <a:ln w="25400" cap="flat" cmpd="sng" algn="ctr">
            <a:solidFill>
              <a:schemeClr val="accent3"/>
            </a:solidFill>
            <a:miter lim="800000"/>
          </a:ln>
          <a:effectLst/>
        </c:spPr>
        <c:marker>
          <c:symbol val="none"/>
        </c:marker>
      </c:pivotFmt>
      <c:pivotFmt>
        <c:idx val="6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</c:pivotFmt>
      <c:pivotFmt>
        <c:idx val="64"/>
        <c:spPr>
          <a:noFill/>
          <a:ln w="25400" cap="flat" cmpd="sng" algn="ctr">
            <a:solidFill>
              <a:schemeClr val="accent2"/>
            </a:solidFill>
            <a:miter lim="800000"/>
          </a:ln>
          <a:effectLst/>
        </c:spPr>
        <c:marker>
          <c:symbol val="none"/>
        </c:marker>
      </c:pivotFmt>
      <c:pivotFmt>
        <c:idx val="65"/>
        <c:spPr>
          <a:noFill/>
          <a:ln w="25400" cap="flat" cmpd="sng" algn="ctr">
            <a:solidFill>
              <a:schemeClr val="accent3"/>
            </a:solidFill>
            <a:miter lim="800000"/>
          </a:ln>
          <a:effectLst/>
        </c:spPr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spPr>
          <a:solidFill>
            <a:srgbClr val="4F81BD"/>
          </a:solidFill>
          <a:ln w="38100" cmpd="sng">
            <a:solidFill>
              <a:srgbClr val="1F497D">
                <a:lumMod val="75000"/>
              </a:srgbClr>
            </a:solidFill>
          </a:ln>
          <a:scene3d>
            <a:camera prst="orthographicFront"/>
            <a:lightRig rig="threePt" dir="t"/>
          </a:scene3d>
          <a:sp3d prstMaterial="matte"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38100" cmpd="sng">
            <a:solidFill>
              <a:srgbClr val="C00000"/>
            </a:solidFill>
          </a:ln>
        </c:spPr>
        <c:marker>
          <c:symbol val="none"/>
        </c:marker>
      </c:pivotFmt>
      <c:pivotFmt>
        <c:idx val="70"/>
        <c:spPr>
          <a:ln w="19050" cap="rnd" cmpd="sng">
            <a:solidFill>
              <a:srgbClr val="92D050">
                <a:alpha val="73000"/>
              </a:srgbClr>
            </a:solidFill>
          </a:ln>
        </c:spPr>
        <c:marker>
          <c:symbol val="square"/>
          <c:size val="4"/>
        </c:marker>
      </c:pivotFmt>
      <c:pivotFmt>
        <c:idx val="71"/>
      </c:pivotFmt>
      <c:pivotFmt>
        <c:idx val="72"/>
      </c:pivotFmt>
      <c:pivotFmt>
        <c:idx val="73"/>
      </c:pivotFmt>
      <c:pivotFmt>
        <c:idx val="7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'Vista por años'!$B$54:$B$55</c:f>
              <c:strCache>
                <c:ptCount val="1"/>
                <c:pt idx="0">
                  <c:v>Suma de Promedio Activa</c:v>
                </c:pt>
              </c:strCache>
            </c:strRef>
          </c:tx>
          <c:spPr>
            <a:solidFill>
              <a:srgbClr val="4F81BD"/>
            </a:solidFill>
            <a:ln w="38100" cmpd="sng">
              <a:solidFill>
                <a:srgbClr val="1F497D">
                  <a:lumMod val="75000"/>
                </a:srgbClr>
              </a:solidFill>
            </a:ln>
            <a:scene3d>
              <a:camera prst="orthographicFront"/>
              <a:lightRig rig="threePt" dir="t"/>
            </a:scene3d>
            <a:sp3d prstMaterial="matte"/>
          </c:spPr>
          <c:invertIfNegative val="0"/>
          <c:cat>
            <c:strRef>
              <c:f>'Vista por años'!$A$56</c:f>
              <c:strCache>
                <c:ptCount val="1"/>
                <c:pt idx="0">
                  <c:v>12:00:00 a. m.</c:v>
                </c:pt>
              </c:strCache>
            </c:strRef>
          </c:cat>
          <c:val>
            <c:numRef>
              <c:f>'Vista por años'!$B$56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1-4458-9978-79B4857BAF41}"/>
            </c:ext>
          </c:extLst>
        </c:ser>
        <c:ser>
          <c:idx val="1"/>
          <c:order val="1"/>
          <c:tx>
            <c:strRef>
              <c:f>'Vista por años'!$C$54:$C$55</c:f>
              <c:strCache>
                <c:ptCount val="1"/>
                <c:pt idx="0">
                  <c:v>Suma de Promedio Reactiva</c:v>
                </c:pt>
              </c:strCache>
            </c:strRef>
          </c:tx>
          <c:invertIfNegative val="0"/>
          <c:cat>
            <c:strRef>
              <c:f>'Vista por años'!$A$56</c:f>
              <c:strCache>
                <c:ptCount val="1"/>
                <c:pt idx="0">
                  <c:v>12:00:00 a. m.</c:v>
                </c:pt>
              </c:strCache>
            </c:strRef>
          </c:cat>
          <c:val>
            <c:numRef>
              <c:f>'Vista por años'!$C$56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61-4458-9978-79B4857BA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931120"/>
        <c:axId val="487930728"/>
      </c:barChart>
      <c:lineChart>
        <c:grouping val="standard"/>
        <c:varyColors val="0"/>
        <c:ser>
          <c:idx val="2"/>
          <c:order val="2"/>
          <c:tx>
            <c:strRef>
              <c:f>'Vista por años'!$D$54:$D$55</c:f>
              <c:strCache>
                <c:ptCount val="1"/>
                <c:pt idx="0">
                  <c:v>Suma de Maxímetro</c:v>
                </c:pt>
              </c:strCache>
            </c:strRef>
          </c:tx>
          <c:marker>
            <c:symbol val="none"/>
          </c:marker>
          <c:cat>
            <c:strRef>
              <c:f>'Vista por años'!$A$56</c:f>
              <c:strCache>
                <c:ptCount val="1"/>
                <c:pt idx="0">
                  <c:v>12:00:00 a. m.</c:v>
                </c:pt>
              </c:strCache>
            </c:strRef>
          </c:cat>
          <c:val>
            <c:numRef>
              <c:f>'Vista por años'!$D$56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61-4458-9978-79B4857BA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29944"/>
        <c:axId val="487930336"/>
      </c:lineChart>
      <c:catAx>
        <c:axId val="487931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7930728"/>
        <c:crosses val="autoZero"/>
        <c:auto val="1"/>
        <c:lblAlgn val="ctr"/>
        <c:lblOffset val="100"/>
        <c:noMultiLvlLbl val="0"/>
      </c:catAx>
      <c:valAx>
        <c:axId val="487930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7931120"/>
        <c:crosses val="autoZero"/>
        <c:crossBetween val="between"/>
      </c:valAx>
      <c:valAx>
        <c:axId val="487930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87929944"/>
        <c:crosses val="max"/>
        <c:crossBetween val="between"/>
      </c:valAx>
      <c:catAx>
        <c:axId val="487929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7930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355" l="0.70000000000000062" r="0.70000000000000062" t="0.75000000000000355" header="0.30000000000000032" footer="0.30000000000000032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áfico1">
    <tabColor rgb="FFC00000"/>
  </sheetPr>
  <sheetViews>
    <sheetView zoomScale="71" workbookViewId="0" zoomToFit="1"/>
  </sheetViews>
  <pageMargins left="0.7" right="0.7" top="0.75" bottom="0.75" header="0.3" footer="0.3"/>
  <pageSetup paperSize="9" orientation="landscape" r:id="rId1"/>
  <headerFooter>
    <oddHeader>&amp;C&amp;"Arial"&amp;8&amp;K000000INTERNAL&amp;1#</oddHeader>
  </headerFooter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áfico9">
    <tabColor rgb="FFFF0000"/>
  </sheetPr>
  <sheetViews>
    <sheetView zoomScale="68" workbookViewId="0" zoomToFit="1"/>
  </sheetViews>
  <pageMargins left="0.7" right="0.7" top="0.75" bottom="0.75" header="0.3" footer="0.3"/>
  <pageSetup orientation="landscape" r:id="rId1"/>
  <headerFooter>
    <oddHeader>&amp;C&amp;"Arial"&amp;8&amp;K000000INTERNAL&amp;1#</oddHeader>
  </headerFooter>
  <drawing r:id="rId2"/>
</chartsheet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76199</xdr:rowOff>
    </xdr:from>
    <xdr:to>
      <xdr:col>4</xdr:col>
      <xdr:colOff>2924175</xdr:colOff>
      <xdr:row>18</xdr:row>
      <xdr:rowOff>38099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14300" y="276224"/>
          <a:ext cx="5857875" cy="3362325"/>
        </a:xfrm>
        <a:prstGeom prst="roundRect">
          <a:avLst/>
        </a:prstGeom>
        <a:ln>
          <a:solidFill>
            <a:schemeClr val="accent3">
              <a:lumMod val="60000"/>
              <a:lumOff val="40000"/>
            </a:schemeClr>
          </a:solidFill>
        </a:ln>
        <a:effectLst>
          <a:glow rad="139700">
            <a:schemeClr val="accent3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 b="1" baseline="0">
              <a:ln>
                <a:noFill/>
              </a:ln>
            </a:rPr>
            <a:t>* Sobre la base de datos importada de SCE pulsar Ctrl + t  automaticamente abre éste libro, copia datos, los pega, elimina  fact. sust. y actualiza datos)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1100" b="1" baseline="0">
            <a:ln>
              <a:noFill/>
            </a:ln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 b="1" baseline="0">
              <a:ln>
                <a:noFill/>
              </a:ln>
            </a:rPr>
            <a:t>* Otra opción es la de copiar la tabla  entera del archivo importado del SCE y pegar en A1.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1100" b="1" baseline="0">
            <a:ln>
              <a:noFill/>
            </a:ln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 b="1" baseline="0">
              <a:ln>
                <a:noFill/>
              </a:ln>
            </a:rPr>
            <a:t>* En raras ocasiones puede aparecer la tabla en blanco y el motivo es que puede haber una refacturación en la fila 3 y ésta haberse borrado. La casilla B3 sirve como condicionante para una fórmula por lo que no se puede borrar. Si éstos sucede se debe escribir un 1 en la casilla B3 y  actualizar para que aparezcan los datos correctamete.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1100" b="1" baseline="0">
            <a:ln>
              <a:noFill/>
            </a:ln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 b="1" baseline="0">
              <a:ln>
                <a:noFill/>
              </a:ln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 En todos los casos se deberán comprobar las refacturaciones, facturas de fraude, periodos solapados y si hay datos incongruentes en la tabla como C/A, vueltas del integrador, etc., eliminarlos o modificarlos </a:t>
          </a:r>
          <a:r>
            <a:rPr lang="es-ES" sz="1100" b="1" baseline="0">
              <a:ln>
                <a:noFill/>
              </a:ln>
            </a:rPr>
            <a:t>y cada vez que se modifique  algo se debe Actualizar.</a:t>
          </a:r>
        </a:p>
        <a:p>
          <a:pPr algn="ctr"/>
          <a:endParaRPr lang="es-ES" sz="1100" b="1" u="sng" baseline="0">
            <a:ln>
              <a:noFill/>
            </a:ln>
          </a:endParaRPr>
        </a:p>
        <a:p>
          <a:pPr algn="ctr"/>
          <a:r>
            <a:rPr lang="es-ES" sz="1100" b="1" u="sng" baseline="0">
              <a:ln>
                <a:noFill/>
              </a:ln>
            </a:rPr>
            <a:t>Datos-Actualizar todo </a:t>
          </a:r>
          <a:r>
            <a:rPr lang="es-ES" sz="1100" b="1" baseline="0">
              <a:ln>
                <a:noFill/>
              </a:ln>
            </a:rPr>
            <a:t>o </a:t>
          </a:r>
          <a:r>
            <a:rPr lang="es-ES" sz="1100" b="1" u="sng" baseline="0">
              <a:ln>
                <a:noFill/>
              </a:ln>
            </a:rPr>
            <a:t>Ctrl+Alt+F5</a:t>
          </a:r>
        </a:p>
        <a:p>
          <a:pPr algn="ctr"/>
          <a:endParaRPr lang="es-ES" sz="1100" b="1" u="sng" baseline="0">
            <a:ln>
              <a:noFill/>
            </a:ln>
          </a:endParaRPr>
        </a:p>
        <a:p>
          <a:pPr algn="ctr"/>
          <a:r>
            <a:rPr lang="es-ES" sz="1100" b="1" u="none" baseline="0">
              <a:ln>
                <a:noFill/>
              </a:ln>
            </a:rPr>
            <a:t>A través de los botones podemos desplazarnos por las distintas hojas.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179925</xdr:colOff>
      <xdr:row>0</xdr:row>
      <xdr:rowOff>257175</xdr:rowOff>
    </xdr:from>
    <xdr:to>
      <xdr:col>16</xdr:col>
      <xdr:colOff>19725</xdr:colOff>
      <xdr:row>2</xdr:row>
      <xdr:rowOff>24675</xdr:rowOff>
    </xdr:to>
    <xdr:sp macro="[0]!MetodoCerrarLibrosinGuardarCambios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8161875" y="257175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Salir sin 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cambios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16</xdr:col>
      <xdr:colOff>94200</xdr:colOff>
      <xdr:row>0</xdr:row>
      <xdr:rowOff>257175</xdr:rowOff>
    </xdr:from>
    <xdr:to>
      <xdr:col>21</xdr:col>
      <xdr:colOff>675</xdr:colOff>
      <xdr:row>2</xdr:row>
      <xdr:rowOff>24675</xdr:rowOff>
    </xdr:to>
    <xdr:sp macro="[0]!Guardar_Libro_Como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9676350" y="257175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como...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0</xdr:col>
      <xdr:colOff>495296</xdr:colOff>
      <xdr:row>14</xdr:row>
      <xdr:rowOff>123825</xdr:rowOff>
    </xdr:from>
    <xdr:to>
      <xdr:col>7</xdr:col>
      <xdr:colOff>713996</xdr:colOff>
      <xdr:row>20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296" y="3362325"/>
              <a:ext cx="6305175" cy="1066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3</xdr:row>
          <xdr:rowOff>114300</xdr:rowOff>
        </xdr:from>
        <xdr:to>
          <xdr:col>19</xdr:col>
          <xdr:colOff>274320</xdr:colOff>
          <xdr:row>5</xdr:row>
          <xdr:rowOff>99060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Fecha inicio periodo en Diciembre Tipo III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2</xdr:row>
          <xdr:rowOff>83820</xdr:rowOff>
        </xdr:from>
        <xdr:to>
          <xdr:col>19</xdr:col>
          <xdr:colOff>312420</xdr:colOff>
          <xdr:row>4</xdr:row>
          <xdr:rowOff>68580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Fecha inicio peiodo en Enero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28575</xdr:colOff>
      <xdr:row>7</xdr:row>
      <xdr:rowOff>47625</xdr:rowOff>
    </xdr:from>
    <xdr:to>
      <xdr:col>22</xdr:col>
      <xdr:colOff>228601</xdr:colOff>
      <xdr:row>19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123825</xdr:colOff>
      <xdr:row>5</xdr:row>
      <xdr:rowOff>104776</xdr:rowOff>
    </xdr:from>
    <xdr:to>
      <xdr:col>24</xdr:col>
      <xdr:colOff>247650</xdr:colOff>
      <xdr:row>20</xdr:row>
      <xdr:rowOff>47632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331650</xdr:colOff>
      <xdr:row>6</xdr:row>
      <xdr:rowOff>76200</xdr:rowOff>
    </xdr:from>
    <xdr:to>
      <xdr:col>14</xdr:col>
      <xdr:colOff>200025</xdr:colOff>
      <xdr:row>10</xdr:row>
      <xdr:rowOff>34200</xdr:rowOff>
    </xdr:to>
    <xdr:sp macro="[0]!Guardar_Libro_Como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456600" y="1219200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como...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12</xdr:col>
      <xdr:colOff>341175</xdr:colOff>
      <xdr:row>1</xdr:row>
      <xdr:rowOff>161925</xdr:rowOff>
    </xdr:from>
    <xdr:to>
      <xdr:col>14</xdr:col>
      <xdr:colOff>209550</xdr:colOff>
      <xdr:row>5</xdr:row>
      <xdr:rowOff>119925</xdr:rowOff>
    </xdr:to>
    <xdr:sp macro="[0]!MetodoCerrarLibrosinGuardarCambios" textlink="">
      <xdr:nvSpPr>
        <xdr:cNvPr id="18" name="Rectángulo redondead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9466125" y="352425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Salir sin 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cambios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109536</xdr:colOff>
      <xdr:row>2</xdr:row>
      <xdr:rowOff>66675</xdr:rowOff>
    </xdr:from>
    <xdr:to>
      <xdr:col>29</xdr:col>
      <xdr:colOff>600075</xdr:colOff>
      <xdr:row>6</xdr:row>
      <xdr:rowOff>24675</xdr:rowOff>
    </xdr:to>
    <xdr:sp macro="[0]!ImprimirListado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958386" y="533400"/>
          <a:ext cx="833439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Imprimir Listado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6937" cy="606380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0.80502</cdr:x>
      <cdr:y>0.01074</cdr:y>
    </cdr:from>
    <cdr:to>
      <cdr:x>0.92968</cdr:x>
      <cdr:y>0.0966</cdr:y>
    </cdr:to>
    <cdr:sp macro="[0]!MetodoCerrarLibrosinGuardarCambios" textlink="">
      <cdr:nvSpPr>
        <cdr:cNvPr id="2" name="Rectángulo redondeado 1"/>
        <cdr:cNvSpPr/>
      </cdr:nvSpPr>
      <cdr:spPr>
        <a:xfrm xmlns:a="http://schemas.openxmlformats.org/drawingml/2006/main">
          <a:off x="6974561" y="67545"/>
          <a:ext cx="1080034" cy="539983"/>
        </a:xfrm>
        <a:prstGeom xmlns:a="http://schemas.openxmlformats.org/drawingml/2006/main" prst="roundRect">
          <a:avLst/>
        </a:prstGeom>
        <a:solidFill xmlns:a="http://schemas.openxmlformats.org/drawingml/2006/main">
          <a:schemeClr val="bg1">
            <a:lumMod val="50000"/>
          </a:schemeClr>
        </a:solidFill>
        <a:ln xmlns:a="http://schemas.openxmlformats.org/drawingml/2006/main">
          <a:solidFill>
            <a:schemeClr val="bg1">
              <a:lumMod val="65000"/>
            </a:schemeClr>
          </a:solidFill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Salir sin 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0.14597</cdr:x>
      <cdr:y>0.02941</cdr:y>
    </cdr:from>
    <cdr:to>
      <cdr:x>0.34699</cdr:x>
      <cdr:y>0.07647</cdr:y>
    </cdr:to>
    <cdr:sp macro="" textlink="">
      <cdr:nvSpPr>
        <cdr:cNvPr id="3" name="Rectángulo redondeado 2"/>
        <cdr:cNvSpPr/>
      </cdr:nvSpPr>
      <cdr:spPr>
        <a:xfrm xmlns:a="http://schemas.openxmlformats.org/drawingml/2006/main">
          <a:off x="1357312" y="178594"/>
          <a:ext cx="1869282" cy="285750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s-ES"/>
            <a:t>Promedio de consumo diario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84559" cy="6303309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0.80352</cdr:x>
      <cdr:y>0.01319</cdr:y>
    </cdr:from>
    <cdr:to>
      <cdr:x>0.92817</cdr:x>
      <cdr:y>0.09905</cdr:y>
    </cdr:to>
    <cdr:sp macro="[0]!MetodoCerrarLibrosinGuardarCambios" textlink="">
      <cdr:nvSpPr>
        <cdr:cNvPr id="4" name="Rectángulo redondeado 3"/>
        <cdr:cNvSpPr/>
      </cdr:nvSpPr>
      <cdr:spPr>
        <a:xfrm xmlns:a="http://schemas.openxmlformats.org/drawingml/2006/main">
          <a:off x="6962275" y="82929"/>
          <a:ext cx="1080052" cy="539935"/>
        </a:xfrm>
        <a:prstGeom xmlns:a="http://schemas.openxmlformats.org/drawingml/2006/main" prst="roundRect">
          <a:avLst/>
        </a:prstGeom>
        <a:solidFill xmlns:a="http://schemas.openxmlformats.org/drawingml/2006/main">
          <a:schemeClr val="bg1">
            <a:lumMod val="50000"/>
          </a:schemeClr>
        </a:solidFill>
        <a:ln xmlns:a="http://schemas.openxmlformats.org/drawingml/2006/main">
          <a:solidFill>
            <a:schemeClr val="bg1">
              <a:lumMod val="65000"/>
            </a:schemeClr>
          </a:solidFill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Salir sin 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152401" y="4391025"/>
    <xdr:ext cx="9248774" cy="6419849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12</xdr:col>
      <xdr:colOff>356325</xdr:colOff>
      <xdr:row>3</xdr:row>
      <xdr:rowOff>152401</xdr:rowOff>
    </xdr:from>
    <xdr:to>
      <xdr:col>14</xdr:col>
      <xdr:colOff>272325</xdr:colOff>
      <xdr:row>4</xdr:row>
      <xdr:rowOff>110401</xdr:rowOff>
    </xdr:to>
    <xdr:sp macro="[0]!Guardar_PDF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938475" y="1181101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Abre PDF y lo guarda en AD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Expedientes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12</xdr:col>
      <xdr:colOff>356325</xdr:colOff>
      <xdr:row>5</xdr:row>
      <xdr:rowOff>168276</xdr:rowOff>
    </xdr:from>
    <xdr:to>
      <xdr:col>14</xdr:col>
      <xdr:colOff>272325</xdr:colOff>
      <xdr:row>9</xdr:row>
      <xdr:rowOff>126276</xdr:rowOff>
    </xdr:to>
    <xdr:sp macro="[0]!Imprimir_Resumen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938475" y="2149476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Imprimir resumen</a:t>
          </a:r>
        </a:p>
      </xdr:txBody>
    </xdr:sp>
    <xdr:clientData/>
  </xdr:twoCellAnchor>
  <xdr:twoCellAnchor>
    <xdr:from>
      <xdr:col>12</xdr:col>
      <xdr:colOff>356325</xdr:colOff>
      <xdr:row>0</xdr:row>
      <xdr:rowOff>279401</xdr:rowOff>
    </xdr:from>
    <xdr:to>
      <xdr:col>14</xdr:col>
      <xdr:colOff>272325</xdr:colOff>
      <xdr:row>2</xdr:row>
      <xdr:rowOff>161201</xdr:rowOff>
    </xdr:to>
    <xdr:sp macro="[0]!MetodoCerrarLibrosinGuardarCambios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9938475" y="279401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Salir sin 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cambios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12</xdr:col>
      <xdr:colOff>356325</xdr:colOff>
      <xdr:row>11</xdr:row>
      <xdr:rowOff>28575</xdr:rowOff>
    </xdr:from>
    <xdr:to>
      <xdr:col>14</xdr:col>
      <xdr:colOff>272325</xdr:colOff>
      <xdr:row>14</xdr:row>
      <xdr:rowOff>177075</xdr:rowOff>
    </xdr:to>
    <xdr:sp macro="[0]!Guardar_Libro_Como" textlink="">
      <xdr:nvSpPr>
        <xdr:cNvPr id="14" name="Rectángulo redondeado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9938475" y="3152775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como...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160020</xdr:colOff>
          <xdr:row>0</xdr:row>
          <xdr:rowOff>175260</xdr:rowOff>
        </xdr:from>
        <xdr:to>
          <xdr:col>11</xdr:col>
          <xdr:colOff>579120</xdr:colOff>
          <xdr:row>1</xdr:row>
          <xdr:rowOff>274320</xdr:rowOff>
        </xdr:to>
        <xdr:sp macro="" textlink="">
          <xdr:nvSpPr>
            <xdr:cNvPr id="7176" name="Option 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8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262626">
                <a:alpha val="52156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 Incluir en campaña Proactiva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142876</xdr:colOff>
      <xdr:row>0</xdr:row>
      <xdr:rowOff>238125</xdr:rowOff>
    </xdr:from>
    <xdr:to>
      <xdr:col>1</xdr:col>
      <xdr:colOff>561976</xdr:colOff>
      <xdr:row>1</xdr:row>
      <xdr:rowOff>295275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42876" y="238125"/>
          <a:ext cx="1028700" cy="39052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800"/>
            <a:t>Pegar</a:t>
          </a:r>
          <a:r>
            <a:rPr lang="es-ES" sz="800" baseline="0"/>
            <a:t> nombre archivo aquí (D2)...</a:t>
          </a:r>
          <a:endParaRPr lang="es-ES" sz="800"/>
        </a:p>
      </xdr:txBody>
    </xdr:sp>
    <xdr:clientData/>
  </xdr:twoCellAnchor>
  <xdr:twoCellAnchor>
    <xdr:from>
      <xdr:col>1</xdr:col>
      <xdr:colOff>561975</xdr:colOff>
      <xdr:row>1</xdr:row>
      <xdr:rowOff>123825</xdr:rowOff>
    </xdr:from>
    <xdr:to>
      <xdr:col>3</xdr:col>
      <xdr:colOff>123825</xdr:colOff>
      <xdr:row>1</xdr:row>
      <xdr:rowOff>161925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CxnSpPr/>
      </xdr:nvCxnSpPr>
      <xdr:spPr>
        <a:xfrm>
          <a:off x="1171575" y="457200"/>
          <a:ext cx="1257300" cy="38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704850</xdr:colOff>
      <xdr:row>1</xdr:row>
      <xdr:rowOff>209550</xdr:rowOff>
    </xdr:from>
    <xdr:ext cx="184731" cy="264560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1314450" y="552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83820</xdr:colOff>
          <xdr:row>1</xdr:row>
          <xdr:rowOff>121920</xdr:rowOff>
        </xdr:from>
        <xdr:to>
          <xdr:col>15</xdr:col>
          <xdr:colOff>518160</xdr:colOff>
          <xdr:row>1</xdr:row>
          <xdr:rowOff>266700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83820</xdr:colOff>
          <xdr:row>0</xdr:row>
          <xdr:rowOff>99060</xdr:rowOff>
        </xdr:from>
        <xdr:to>
          <xdr:col>15</xdr:col>
          <xdr:colOff>518160</xdr:colOff>
          <xdr:row>1</xdr:row>
          <xdr:rowOff>45720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0</xdr:row>
          <xdr:rowOff>99060</xdr:rowOff>
        </xdr:from>
        <xdr:to>
          <xdr:col>16</xdr:col>
          <xdr:colOff>502920</xdr:colOff>
          <xdr:row>1</xdr:row>
          <xdr:rowOff>45720</xdr:rowOff>
        </xdr:to>
        <xdr:sp macro="" textlink="">
          <xdr:nvSpPr>
            <xdr:cNvPr id="8196" name="Option 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CMD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632460</xdr:colOff>
          <xdr:row>0</xdr:row>
          <xdr:rowOff>45720</xdr:rowOff>
        </xdr:from>
        <xdr:to>
          <xdr:col>19</xdr:col>
          <xdr:colOff>0</xdr:colOff>
          <xdr:row>1</xdr:row>
          <xdr:rowOff>312420</xdr:rowOff>
        </xdr:to>
        <xdr:sp macro="" textlink="">
          <xdr:nvSpPr>
            <xdr:cNvPr id="8206" name="Option 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9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</xdr:row>
          <xdr:rowOff>121920</xdr:rowOff>
        </xdr:from>
        <xdr:to>
          <xdr:col>16</xdr:col>
          <xdr:colOff>502920</xdr:colOff>
          <xdr:row>1</xdr:row>
          <xdr:rowOff>266700</xdr:rowOff>
        </xdr:to>
        <xdr:sp macro="" textlink="">
          <xdr:nvSpPr>
            <xdr:cNvPr id="8195" name="Option 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7620</xdr:rowOff>
        </xdr:from>
        <xdr:to>
          <xdr:col>0</xdr:col>
          <xdr:colOff>617220</xdr:colOff>
          <xdr:row>0</xdr:row>
          <xdr:rowOff>175260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9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Tipo 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182880</xdr:rowOff>
        </xdr:from>
        <xdr:to>
          <xdr:col>0</xdr:col>
          <xdr:colOff>617220</xdr:colOff>
          <xdr:row>2</xdr:row>
          <xdr:rowOff>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9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Tipo IV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0</xdr:rowOff>
        </xdr:from>
        <xdr:to>
          <xdr:col>0</xdr:col>
          <xdr:colOff>617220</xdr:colOff>
          <xdr:row>1</xdr:row>
          <xdr:rowOff>160020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9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TV DH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640080</xdr:colOff>
          <xdr:row>0</xdr:row>
          <xdr:rowOff>7620</xdr:rowOff>
        </xdr:from>
        <xdr:to>
          <xdr:col>1</xdr:col>
          <xdr:colOff>518160</xdr:colOff>
          <xdr:row>1</xdr:row>
          <xdr:rowOff>350520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9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Validar periodo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38100</xdr:colOff>
      <xdr:row>5</xdr:row>
      <xdr:rowOff>28575</xdr:rowOff>
    </xdr:from>
    <xdr:to>
      <xdr:col>20</xdr:col>
      <xdr:colOff>716100</xdr:colOff>
      <xdr:row>8</xdr:row>
      <xdr:rowOff>114300</xdr:rowOff>
    </xdr:to>
    <xdr:sp macro="[0]!Sumar_P2" textlink="">
      <xdr:nvSpPr>
        <xdr:cNvPr id="5" name="Rectángulo redondeado 2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1144250" y="1285875"/>
          <a:ext cx="1440000" cy="65722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Sumar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todo en P2 para valorar tipo V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7</xdr:row>
      <xdr:rowOff>104775</xdr:rowOff>
    </xdr:from>
    <xdr:to>
      <xdr:col>10</xdr:col>
      <xdr:colOff>697050</xdr:colOff>
      <xdr:row>11</xdr:row>
      <xdr:rowOff>62775</xdr:rowOff>
    </xdr:to>
    <xdr:sp macro="[0]!MetodoCerrarLibrosinGuardarCambi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115175" y="1628775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Salir sin 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cambios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9</xdr:col>
      <xdr:colOff>28575</xdr:colOff>
      <xdr:row>12</xdr:row>
      <xdr:rowOff>104775</xdr:rowOff>
    </xdr:from>
    <xdr:to>
      <xdr:col>10</xdr:col>
      <xdr:colOff>706575</xdr:colOff>
      <xdr:row>16</xdr:row>
      <xdr:rowOff>0</xdr:rowOff>
    </xdr:to>
    <xdr:sp macro="[0]!CopiarComentari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7124700" y="2581275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Copiar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comentario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rres Sintes, Jose-Luis" refreshedDate="45309.812931712964" createdVersion="5" refreshedVersion="8" minRefreshableVersion="3" recordCount="198" xr:uid="{00000000-000A-0000-FFFF-FFFF9F000000}">
  <cacheSource type="worksheet">
    <worksheetSource ref="A2:AB200" sheet="Listado"/>
  </cacheSource>
  <cacheFields count="28">
    <cacheField name="Contrato" numFmtId="0">
      <sharedItems containsSemiMixedTypes="0" containsString="0" containsNumber="1" containsInteger="1" minValue="0" maxValue="0"/>
    </cacheField>
    <cacheField name="Secuencial factura" numFmtId="0">
      <sharedItems containsSemiMixedTypes="0" containsString="0" containsNumber="1" containsInteger="1" minValue="0" maxValue="0"/>
    </cacheField>
    <cacheField name="Fecha Inicio" numFmtId="14">
      <sharedItems containsSemiMixedTypes="0" containsNonDate="0" containsDate="1" containsString="0" minDate="1899-12-30T00:00:00" maxDate="1899-12-31T00:00:00"/>
    </cacheField>
    <cacheField name="Fecha fin" numFmtId="14">
      <sharedItems containsNonDate="0" containsDate="1" containsMixedTypes="1" minDate="1899-12-30T00:00:00" maxDate="2024-02-27T00:00:00" count="793">
        <d v="1899-12-30T00:00:00"/>
        <d v="2011-06-10T00:00:00" u="1"/>
        <d v="2011-07-12T00:00:00" u="1"/>
        <d v="2011-08-10T00:00:00" u="1"/>
        <d v="2011-09-08T00:00:00" u="1"/>
        <d v="2011-10-11T00:00:00" u="1"/>
        <d v="2011-11-10T00:00:00" u="1"/>
        <d v="2011-12-12T00:00:00" u="1"/>
        <d v="2012-01-16T00:00:00" u="1"/>
        <d v="2012-02-10T00:00:00" u="1"/>
        <d v="2012-03-12T00:00:00" u="1"/>
        <d v="2012-04-14T00:00:00" u="1"/>
        <d v="2012-05-09T00:00:00" u="1"/>
        <d v="2012-06-12T00:00:00" u="1"/>
        <d v="2012-07-08T00:00:00" u="1"/>
        <d v="2012-08-05T00:00:00" u="1"/>
        <d v="2012-09-09T00:00:00" u="1"/>
        <d v="2012-11-10T00:00:00" u="1"/>
        <d v="2013-01-11T00:00:00" u="1"/>
        <d v="2013-03-12T00:00:00" u="1"/>
        <d v="2013-05-10T00:00:00" u="1"/>
        <d v="2013-07-09T00:00:00" u="1"/>
        <d v="2013-08-14T00:00:00" u="1"/>
        <d v="2013-09-06T00:00:00" u="1"/>
        <d v="2013-11-12T00:00:00" u="1"/>
        <d v="2014-01-13T00:00:00" u="1"/>
        <d v="2014-03-12T00:00:00" u="1"/>
        <d v="2014-04-10T00:00:00" u="1"/>
        <d v="2014-05-13T00:00:00" u="1"/>
        <d v="2014-06-04T00:00:00" u="1"/>
        <d v="2014-06-11T00:00:00" u="1"/>
        <d v="2014-07-10T00:00:00" u="1"/>
        <d v="2014-08-12T00:00:00" u="1"/>
        <d v="2014-09-05T00:00:00" u="1"/>
        <d v="2014-10-07T00:00:00" u="1"/>
        <d v="2014-11-07T00:00:00" u="1"/>
        <d v="2014-12-09T00:00:00" u="1"/>
        <d v="2015-01-09T00:00:00" u="1"/>
        <d v="2015-02-06T00:00:00" u="1"/>
        <d v="2015-03-05T00:00:00" u="1"/>
        <d v="2015-04-10T00:00:00" u="1"/>
        <d v="2015-05-07T00:00:00" u="1"/>
        <d v="2015-06-04T00:00:00" u="1"/>
        <d v="2015-07-06T00:00:00" u="1"/>
        <d v="2015-08-06T00:00:00" u="1"/>
        <d v="2015-09-06T00:00:00" u="1"/>
        <d v="2015-10-06T00:00:00" u="1"/>
        <d v="2015-11-08T00:00:00" u="1"/>
        <d v="2015-12-08T00:00:00" u="1"/>
        <d v="2016-01-10T00:00:00" u="1"/>
        <d v="2016-02-04T00:00:00" u="1"/>
        <d v="2016-03-08T00:00:00" u="1"/>
        <d v="2016-04-06T00:00:00" u="1"/>
        <d v="2016-05-05T00:00:00" u="1"/>
        <d v="2016-06-06T00:00:00" u="1"/>
        <d v="2016-07-02T00:00:00" u="1"/>
        <d v="2016-08-04T00:00:00" u="1"/>
        <d v="2016-09-06T00:00:00" u="1"/>
        <d v="2016-10-10T00:00:00" u="1"/>
        <d v="2016-11-07T00:00:00" u="1"/>
        <d v="2016-12-08T00:00:00" u="1"/>
        <d v="2017-01-08T00:00:00" u="1"/>
        <d v="2017-02-06T00:00:00" u="1"/>
        <d v="2017-03-02T00:00:00" u="1"/>
        <d v="2017-04-05T00:00:00" u="1"/>
        <d v="2017-05-04T00:00:00" u="1"/>
        <d v="2017-06-04T00:00:00" u="1"/>
        <d v="2017-07-05T00:00:00" u="1"/>
        <d v="2017-08-06T00:00:00" u="1"/>
        <d v="2017-09-05T00:00:00" u="1"/>
        <d v="2017-10-05T00:00:00" u="1"/>
        <d v="2017-11-07T00:00:00" u="1"/>
        <d v="2017-12-10T00:00:00" u="1"/>
        <d v="2018-01-08T00:00:00" u="1"/>
        <d v="2018-02-07T00:00:00" u="1"/>
        <d v="2018-03-06T00:00:00" u="1"/>
        <d v="2018-04-08T00:00:00" u="1"/>
        <d v="2018-05-06T00:00:00" u="1"/>
        <d v="2018-06-06T00:00:00" u="1"/>
        <d v="2018-07-04T00:00:00" u="1"/>
        <d v="2018-08-04T00:00:00" u="1"/>
        <d v="2018-08-06T00:00:00" u="1"/>
        <d v="2018-09-05T00:00:00" u="1"/>
        <d v="2018-10-01T00:00:00" u="1"/>
        <d v="2018-11-01T00:00:00" u="1"/>
        <d v="2018-12-01T00:00:00" u="1"/>
        <d v="2018-12-31T00:00:00" u="1"/>
        <d v="2019-01-30T00:00:00" u="1"/>
        <d v="2019-03-02T00:00:00" u="1"/>
        <d v="2019-03-30T00:00:00" u="1"/>
        <d v="2019-04-30T00:00:00" u="1"/>
        <d v="2019-06-01T00:00:00" u="1"/>
        <d v="2019-06-30T00:00:00" u="1"/>
        <d v="2019-07-30T00:00:00" u="1"/>
        <d v="2019-08-31T00:00:00" u="1"/>
        <d v="2019-09-29T00:00:00" u="1"/>
        <d v="2019-11-03T00:00:00" u="1"/>
        <d v="2019-11-30T00:00:00" u="1"/>
        <d v="2020-01-01T00:00:00" u="1"/>
        <d v="2020-02-01T00:00:00" u="1"/>
        <d v="2020-02-29T00:00:00" u="1"/>
        <d v="2020-03-31T00:00:00" u="1"/>
        <d v="2020-05-02T00:00:00" u="1"/>
        <d v="2020-05-31T00:00:00" u="1"/>
        <d v="2020-06-30T00:00:00" u="1"/>
        <d v="2020-08-02T00:00:00" u="1"/>
        <d v="2020-08-31T00:00:00" u="1"/>
        <d v="2020-09-29T00:00:00" u="1"/>
        <d v="2020-10-31T00:00:00" u="1"/>
        <d v="2020-11-29T00:00:00" u="1"/>
        <d v="2021-01-03T00:00:00" u="1"/>
        <d v="2021-01-31T00:00:00" u="1"/>
        <d v="2021-03-01T00:00:00" u="1"/>
        <d v="2021-04-05T00:00:00" u="1"/>
        <d v="2021-05-02T00:00:00" u="1"/>
        <d v="2021-05-31T00:00:00" u="1"/>
        <d v="2021-06-30T00:00:00" u="1"/>
        <d v="2021-08-01T00:00:00" u="1"/>
        <d v="2021-08-31T00:00:00" u="1"/>
        <d v="2021-09-29T00:00:00" u="1"/>
        <d v="2021-10-31T00:00:00" u="1"/>
        <d v="2021-11-30T00:00:00" u="1"/>
        <d v="2022-01-01T00:00:00" u="1"/>
        <d v="2022-01-30T00:00:00" u="1"/>
        <d v="2022-02-28T00:00:00" u="1"/>
        <d v="2022-03-31T00:00:00" u="1"/>
        <d v="2022-05-30T00:00:00" u="1"/>
        <d v="2022-06-29T00:00:00" u="1"/>
        <d v="2022-07-31T00:00:00" u="1"/>
        <d v="2022-08-30T00:00:00" u="1"/>
        <d v="2022-10-02T00:00:00" u="1"/>
        <d v="2022-10-31T00:00:00" u="1"/>
        <d v="2022-11-29T00:00:00" u="1"/>
        <d v="2022-12-31T00:00:00" u="1"/>
        <d v="2023-01-30T00:00:00" u="1"/>
        <d v="2023-02-28T00:00:00" u="1"/>
        <d v="2023-04-01T00:00:00" u="1"/>
        <d v="2023-04-29T00:00:00" u="1"/>
        <d v="2023-05-30T00:00:00" u="1"/>
        <d v="2023-07-02T00:00:00" u="1"/>
        <d v="2023-07-30T00:00:00" u="1"/>
        <d v="2023-08-30T00:00:00" u="1"/>
        <d v="2023-09-29T00:00:00" u="1"/>
        <d v="2023-11-01T00:00:00" u="1"/>
        <d v="2023-11-26T00:00:00" u="1"/>
        <d v="2023-12-26T00:00:00" u="1"/>
        <d v="2024-01-26T00:00:00" u="1"/>
        <d v="2024-02-26T00:00:00" u="1"/>
        <s v="" u="1"/>
        <d v="2020-04-30T00:00:00" u="1"/>
        <d v="2020-07-31T00:00:00" u="1"/>
        <d v="2020-09-30T00:00:00" u="1"/>
        <d v="2020-11-30T00:00:00" u="1"/>
        <d v="2020-12-31T00:00:00" u="1"/>
        <d v="2021-02-28T00:00:00" u="1"/>
        <d v="2021-03-31T00:00:00" u="1"/>
        <d v="2021-04-30T00:00:00" u="1"/>
        <d v="2021-07-31T00:00:00" u="1"/>
        <d v="2021-09-30T00:00:00" u="1"/>
        <d v="2021-12-31T00:00:00" u="1"/>
        <d v="2022-01-31T00:00:00" u="1"/>
        <d v="2022-04-30T00:00:00" u="1"/>
        <d v="2022-05-31T00:00:00" u="1"/>
        <d v="2022-06-30T00:00:00" u="1"/>
        <d v="2022-08-31T00:00:00" u="1"/>
        <d v="2022-09-30T00:00:00" u="1"/>
        <d v="2022-11-30T00:00:00" u="1"/>
        <d v="2023-01-19T00:00:00" u="1"/>
        <d v="2023-01-31T00:00:00" u="1"/>
        <d v="2023-03-31T00:00:00" u="1"/>
        <d v="2023-04-30T00:00:00" u="1"/>
        <d v="2023-05-31T00:00:00" u="1"/>
        <d v="2023-06-30T00:00:00" u="1"/>
        <d v="2023-07-31T00:00:00" u="1"/>
        <d v="2023-08-31T00:00:00" u="1"/>
        <d v="2023-09-30T00:00:00" u="1"/>
        <d v="2023-10-31T00:00:00" u="1"/>
        <d v="2023-11-30T00:00:00" u="1"/>
        <d v="2023-12-31T00:00:00" u="1"/>
        <d v="2024-01-31T00:00:00" u="1"/>
        <d v="2012-10-25T00:00:00" u="1"/>
        <d v="2016-11-21T00:00:00" u="1"/>
        <d v="2018-12-17T00:00:00" u="1"/>
        <d v="2010-10-27T00:00:00" u="1"/>
        <d v="2011-10-27T00:00:00" u="1"/>
        <d v="2011-11-23T00:00:00" u="1"/>
        <d v="2011-12-19T00:00:00" u="1"/>
        <d v="2016-10-27T00:00:00" u="1"/>
        <d v="2015-11-23T00:00:00" u="1"/>
        <d v="2017-10-27T00:00:00" u="1"/>
        <d v="2017-11-23T00:00:00" u="1"/>
        <d v="2013-10-29T00:00:00" u="1"/>
        <d v="2016-12-21T00:00:00" u="1"/>
        <d v="2018-01-02T00:00:00" u="1"/>
        <d v="2019-01-02T00:00:00" u="1"/>
        <d v="2020-01-02T00:00:00" u="1"/>
        <d v="2023-01-02T00:00:00" u="1"/>
        <d v="2012-11-27T00:00:00" u="1"/>
        <d v="2013-11-27T00:00:00" u="1"/>
        <d v="2016-11-27T00:00:00" u="1"/>
        <d v="2019-12-23T00:00:00" u="1"/>
        <d v="2010-01-04T00:00:00" u="1"/>
        <d v="2016-01-04T00:00:00" u="1"/>
        <d v="2018-01-04T00:00:00" u="1"/>
        <d v="2011-12-25T00:00:00" u="1"/>
        <d v="2017-11-29T00:00:00" u="1"/>
        <d v="2018-12-25T00:00:00" u="1"/>
        <d v="2016-01-06T00:00:00" u="1"/>
        <d v="2016-02-02T00:00:00" u="1"/>
        <d v="2017-02-02T00:00:00" u="1"/>
        <d v="2023-02-02T00:00:00" u="1"/>
        <d v="2011-12-27T00:00:00" u="1"/>
        <d v="2017-12-27T00:00:00" u="1"/>
        <d v="2015-02-04T00:00:00" u="1"/>
        <d v="2017-12-29T00:00:00" u="1"/>
        <d v="2020-01-10T00:00:00" u="1"/>
        <d v="2021-03-02T00:00:00" u="1"/>
        <d v="2023-03-02T00:00:00" u="1"/>
        <d v="2019-12-31T00:00:00" u="1"/>
        <d v="2016-01-12T00:00:00" u="1"/>
        <d v="2013-03-04T00:00:00" u="1"/>
        <d v="2017-01-12T00:00:00" u="1"/>
        <d v="2016-02-08T00:00:00" u="1"/>
        <d v="2016-03-04T00:00:00" u="1"/>
        <d v="2018-03-04T00:00:00" u="1"/>
        <d v="2019-03-04T00:00:00" u="1"/>
        <d v="2015-01-14T00:00:00" u="1"/>
        <d v="2016-01-14T00:00:00" u="1"/>
        <d v="2013-03-06T00:00:00" u="1"/>
        <d v="2015-03-06T00:00:00" u="1"/>
        <d v="2019-02-10T00:00:00" u="1"/>
        <d v="2017-02-12T00:00:00" u="1"/>
        <d v="2018-02-12T00:00:00" u="1"/>
        <d v="2016-04-04T00:00:00" u="1"/>
        <d v="2019-04-04T00:00:00" u="1"/>
        <d v="2011-01-18T00:00:00" u="1"/>
        <d v="2013-01-18T00:00:00" u="1"/>
        <d v="2014-01-18T00:00:00" u="1"/>
        <d v="2013-05-02T00:00:00" u="1"/>
        <d v="2015-04-06T00:00:00" u="1"/>
        <d v="2017-04-06T00:00:00" u="1"/>
        <d v="2018-05-02T00:00:00" u="1"/>
        <d v="2019-05-02T00:00:00" u="1"/>
        <d v="2021-04-06T00:00:00" u="1"/>
        <d v="2010-02-16T00:00:00" u="1"/>
        <d v="2016-01-20T00:00:00" u="1"/>
        <d v="2011-05-04T00:00:00" u="1"/>
        <d v="2019-02-16T00:00:00" u="1"/>
        <d v="2022-01-20T00:00:00" u="1"/>
        <d v="2015-05-04T00:00:00" u="1"/>
        <d v="2022-02-16T00:00:00" u="1"/>
        <d v="2022-05-04T00:00:00" u="1"/>
        <d v="2011-02-18T00:00:00" u="1"/>
        <d v="2014-01-22T00:00:00" u="1"/>
        <d v="2015-01-22T00:00:00" u="1"/>
        <d v="2014-02-18T00:00:00" u="1"/>
        <d v="2015-06-02T00:00:00" u="1"/>
        <d v="2016-06-02T00:00:00" u="1"/>
        <d v="2019-05-06T00:00:00" u="1"/>
        <d v="2019-06-02T00:00:00" u="1"/>
        <d v="2018-01-24T00:00:00" u="1"/>
        <d v="2011-05-08T00:00:00" u="1"/>
        <d v="2016-03-16T00:00:00" u="1"/>
        <d v="2014-05-08T00:00:00" u="1"/>
        <d v="2018-06-04T00:00:00" u="1"/>
        <d v="2019-06-04T00:00:00" u="1"/>
        <d v="2011-02-22T00:00:00" u="1"/>
        <d v="2011-03-18T00:00:00" u="1"/>
        <d v="2017-01-26T00:00:00" u="1"/>
        <d v="2014-03-18T00:00:00" u="1"/>
        <d v="2018-01-26T00:00:00" u="1"/>
        <d v="2015-03-18T00:00:00" u="1"/>
        <d v="2012-06-06T00:00:00" u="1"/>
        <d v="2019-03-18T00:00:00" u="1"/>
        <d v="2013-07-02T00:00:00" u="1"/>
        <d v="2014-07-02T00:00:00" u="1"/>
        <d v="2018-05-10T00:00:00" u="1"/>
        <d v="2015-07-02T00:00:00" u="1"/>
        <d v="2017-06-06T00:00:00" u="1"/>
        <d v="2017-07-02T00:00:00" u="1"/>
        <d v="2018-07-02T00:00:00" u="1"/>
        <d v="2013-01-28T00:00:00" u="1"/>
        <d v="2012-02-24T00:00:00" u="1"/>
        <d v="2014-01-28T00:00:00" u="1"/>
        <d v="2012-03-20T00:00:00" u="1"/>
        <d v="2014-03-20T00:00:00" u="1"/>
        <d v="2017-02-24T00:00:00" u="1"/>
        <d v="2017-03-20T00:00:00" u="1"/>
        <d v="2019-02-24T00:00:00" u="1"/>
        <d v="2018-04-16T00:00:00" u="1"/>
        <d v="2016-07-04T00:00:00" u="1"/>
        <d v="2017-07-04T00:00:00" u="1"/>
        <d v="2022-07-04T00:00:00" u="1"/>
        <d v="2010-02-26T00:00:00" u="1"/>
        <d v="2012-01-30T00:00:00" u="1"/>
        <d v="2013-02-26T00:00:00" u="1"/>
        <d v="2012-04-18T00:00:00" u="1"/>
        <d v="2013-04-18T00:00:00" u="1"/>
        <d v="2017-02-26T00:00:00" u="1"/>
        <d v="2018-03-22T00:00:00" u="1"/>
        <d v="2015-05-14T00:00:00" u="1"/>
        <d v="2011-08-02T00:00:00" u="1"/>
        <d v="2013-08-02T00:00:00" u="1"/>
        <d v="2015-08-02T00:00:00" u="1"/>
        <d v="2016-08-02T00:00:00" u="1"/>
        <d v="2017-08-02T00:00:00" u="1"/>
        <d v="2022-08-02T00:00:00" u="1"/>
        <d v="2005-04-20T00:00:00" u="1"/>
        <d v="2011-02-28T00:00:00" u="1"/>
        <d v="2011-03-24T00:00:00" u="1"/>
        <d v="2012-04-20T00:00:00" u="1"/>
        <d v="2013-05-16T00:00:00" u="1"/>
        <d v="2016-04-20T00:00:00" u="1"/>
        <d v="2018-03-24T00:00:00" u="1"/>
        <d v="2017-04-20T00:00:00" u="1"/>
        <d v="2016-05-16T00:00:00" u="1"/>
        <d v="2018-05-16T00:00:00" u="1"/>
        <d v="2015-08-04T00:00:00" u="1"/>
        <d v="2018-07-08T00:00:00" u="1"/>
        <d v="2013-03-26T00:00:00" u="1"/>
        <d v="2010-05-18T00:00:00" u="1"/>
        <d v="2014-03-26T00:00:00" u="1"/>
        <d v="2011-05-18T00:00:00" u="1"/>
        <d v="2012-05-18T00:00:00" u="1"/>
        <d v="2014-04-22T00:00:00" u="1"/>
        <d v="2010-09-02T00:00:00" u="1"/>
        <d v="2011-09-02T00:00:00" u="1"/>
        <d v="2019-05-18T00:00:00" u="1"/>
        <d v="2012-09-02T00:00:00" u="1"/>
        <d v="2013-09-02T00:00:00" u="1"/>
        <d v="2014-09-02T00:00:00" u="1"/>
        <d v="2015-09-02T00:00:00" u="1"/>
        <d v="2018-09-02T00:00:00" u="1"/>
        <d v="2019-09-02T00:00:00" u="1"/>
        <d v="2010-06-16T00:00:00" u="1"/>
        <d v="2014-05-20T00:00:00" u="1"/>
        <d v="2019-03-28T00:00:00" u="1"/>
        <d v="2018-04-24T00:00:00" u="1"/>
        <d v="2015-06-16T00:00:00" u="1"/>
        <d v="2019-04-24T00:00:00" u="1"/>
        <d v="2012-09-04T00:00:00" u="1"/>
        <d v="2016-07-12T00:00:00" u="1"/>
        <d v="2022-04-24T00:00:00" u="1"/>
        <d v="2016-08-08T00:00:00" u="1"/>
        <d v="2018-07-12T00:00:00" u="1"/>
        <d v="2016-09-04T00:00:00" u="1"/>
        <d v="2017-09-04T00:00:00" u="1"/>
        <d v="2019-09-04T00:00:00" u="1"/>
        <d v="2022-09-04T00:00:00" u="1"/>
        <d v="2011-04-26T00:00:00" u="1"/>
        <d v="2012-04-26T00:00:00" u="1"/>
        <d v="2018-03-30T00:00:00" u="1"/>
        <d v="2013-06-18T00:00:00" u="1"/>
        <d v="2017-04-26T00:00:00" u="1"/>
        <d v="2014-06-18T00:00:00" u="1"/>
        <d v="2015-06-18T00:00:00" u="1"/>
        <d v="2014-07-14T00:00:00" u="1"/>
        <d v="2012-10-02T00:00:00" u="1"/>
        <d v="2013-10-02T00:00:00" u="1"/>
        <d v="2017-08-10T00:00:00" u="1"/>
        <d v="2018-09-06T00:00:00" u="1"/>
        <d v="2017-10-02T00:00:00" u="1"/>
        <d v="2018-10-02T00:00:00" u="1"/>
        <d v="2019-10-02T00:00:00" u="1"/>
        <d v="2005-06-20T00:00:00" u="1"/>
        <d v="2010-05-24T00:00:00" u="1"/>
        <d v="2011-05-24T00:00:00" u="1"/>
        <d v="2016-04-28T00:00:00" u="1"/>
        <d v="2019-04-28T00:00:00" u="1"/>
        <d v="2014-07-16T00:00:00" u="1"/>
        <d v="2018-05-24T00:00:00" u="1"/>
        <d v="2015-07-16T00:00:00" u="1"/>
        <d v="2017-06-20T00:00:00" u="1"/>
        <d v="2011-10-04T00:00:00" u="1"/>
        <d v="2015-10-04T00:00:00" u="1"/>
        <d v="2016-10-04T00:00:00" u="1"/>
        <d v="2017-10-04T00:00:00" u="1"/>
        <d v="2010-04-30T00:00:00" u="1"/>
        <d v="2011-05-26T00:00:00" u="1"/>
        <d v="2009-08-14T00:00:00" u="1"/>
        <d v="2011-07-18T00:00:00" u="1"/>
        <d v="2015-05-26T00:00:00" u="1"/>
        <d v="2013-07-18T00:00:00" u="1"/>
        <d v="2017-05-26T00:00:00" u="1"/>
        <d v="2015-07-18T00:00:00" u="1"/>
        <d v="2017-06-22T00:00:00" u="1"/>
        <d v="2019-05-26T00:00:00" u="1"/>
        <d v="2018-08-14T00:00:00" u="1"/>
        <d v="2017-09-10T00:00:00" u="1"/>
        <d v="2014-11-02T00:00:00" u="1"/>
        <d v="2016-11-02T00:00:00" u="1"/>
        <d v="2017-11-02T00:00:00" u="1"/>
        <d v="2022-11-02T00:00:00" u="1"/>
        <d v="2011-06-24T00:00:00" u="1"/>
        <d v="2013-05-28T00:00:00" u="1"/>
        <d v="2010-07-20T00:00:00" u="1"/>
        <d v="2014-05-28T00:00:00" u="1"/>
        <d v="2018-06-24T00:00:00" u="1"/>
        <d v="2016-08-16T00:00:00" u="1"/>
        <d v="2012-11-04T00:00:00" u="1"/>
        <d v="2016-09-12T00:00:00" u="1"/>
        <d v="2014-11-04T00:00:00" u="1"/>
        <d v="2015-11-04T00:00:00" u="1"/>
        <d v="2018-10-08T00:00:00" u="1"/>
        <d v="2018-11-04T00:00:00" u="1"/>
        <d v="2019-11-04T00:00:00" u="1"/>
        <d v="2012-06-26T00:00:00" u="1"/>
        <d v="2011-08-18T00:00:00" u="1"/>
        <d v="2016-06-26T00:00:00" u="1"/>
        <d v="2013-08-18T00:00:00" u="1"/>
        <d v="2020-05-30T00:00:00" u="1"/>
        <d v="2015-08-18T00:00:00" u="1"/>
        <d v="2013-11-06T00:00:00" u="1"/>
        <d v="2014-12-02T00:00:00" u="1"/>
        <d v="2015-12-02T00:00:00" u="1"/>
        <d v="2016-12-02T00:00:00" u="1"/>
        <d v="2018-12-02T00:00:00" u="1"/>
        <d v="2022-12-02T00:00:00" u="1"/>
        <d v="2010-06-28T00:00:00" u="1"/>
        <d v="2011-06-28T00:00:00" u="1"/>
        <d v="2010-09-16T00:00:00" u="1"/>
        <d v="2012-08-20T00:00:00" u="1"/>
        <d v="2014-08-20T00:00:00" u="1"/>
        <d v="2015-08-20T00:00:00" u="1"/>
        <d v="2017-07-24T00:00:00" u="1"/>
        <d v="2015-09-16T00:00:00" u="1"/>
        <d v="2019-07-24T00:00:00" u="1"/>
        <d v="2017-09-16T00:00:00" u="1"/>
        <d v="2018-09-16T00:00:00" u="1"/>
        <d v="2016-12-04T00:00:00" u="1"/>
        <d v="2018-11-08T00:00:00" u="1"/>
        <d v="2018-12-04T00:00:00" u="1"/>
        <d v="2019-12-04T00:00:00" u="1"/>
        <d v="2009-06-30T00:00:00" u="1"/>
        <d v="2011-07-26T00:00:00" u="1"/>
        <d v="2012-07-26T00:00:00" u="1"/>
        <d v="2014-06-30T00:00:00" u="1"/>
        <d v="2015-06-30T00:00:00" u="1"/>
        <d v="2016-06-30T00:00:00" u="1"/>
        <d v="2012-09-18T00:00:00" u="1"/>
        <d v="2014-08-22T00:00:00" u="1"/>
        <d v="2018-08-22T00:00:00" u="1"/>
        <d v="2017-11-10T00:00:00" u="1"/>
        <d v="2009-10-16T00:00:00" u="1"/>
        <d v="2011-09-20T00:00:00" u="1"/>
        <d v="2012-09-20T00:00:00" u="1"/>
        <d v="2018-07-28T00:00:00" u="1"/>
        <d v="2014-11-12T00:00:00" u="1"/>
        <d v="2015-11-12T00:00:00" u="1"/>
        <d v="2010-08-26T00:00:00" u="1"/>
        <d v="2012-10-18T00:00:00" u="1"/>
        <d v="2013-10-18T00:00:00" u="1"/>
        <d v="2016-09-22T00:00:00" u="1"/>
        <d v="2016-10-18T00:00:00" u="1"/>
        <d v="2018-11-14T00:00:00" u="1"/>
        <d v="2013-09-24T00:00:00" u="1"/>
        <d v="2015-09-24T00:00:00" u="1"/>
        <d v="2018-09-24T00:00:00" u="1"/>
        <d v="2011-09-26T00:00:00" u="1"/>
        <d v="2013-08-30T00:00:00" u="1"/>
        <d v="2012-09-26T00:00:00" u="1"/>
        <d v="2010-11-18T00:00:00" u="1"/>
        <d v="2011-11-18T00:00:00" u="1"/>
        <d v="2017-08-30T00:00:00" u="1"/>
        <d v="2016-09-26T00:00:00" u="1"/>
        <d v="2012-12-14T00:00:00" u="1"/>
        <d v="2014-11-18T00:00:00" u="1"/>
        <d v="2018-10-22T00:00:00" u="1"/>
        <d v="2016-12-14T00:00:00" u="1"/>
        <d v="2012-09-28T00:00:00" u="1"/>
        <d v="2012-11-20T00:00:00" u="1"/>
        <d v="2011-12-16T00:00:00" u="1"/>
        <d v="2016-10-24T00:00:00" u="1"/>
        <d v="2017-10-24T00:00:00" u="1"/>
        <d v="2015-12-16T00:00:00" u="1"/>
        <d v="2018-11-20T00:00:00" u="1"/>
        <d v="2011-10-26T00:00:00" u="1"/>
        <d v="2009-12-18T00:00:00" u="1"/>
        <d v="2015-09-30T00:00:00" u="1"/>
        <d v="2013-11-22T00:00:00" u="1"/>
        <d v="2012-12-18T00:00:00" u="1"/>
        <d v="2018-09-30T00:00:00" u="1"/>
        <d v="2013-12-18T00:00:00" u="1"/>
        <d v="2014-12-18T00:00:00" u="1"/>
        <d v="2010-12-20T00:00:00" u="1"/>
        <d v="2017-12-20T00:00:00" u="1"/>
        <d v="2020-11-24T00:00:00" u="1"/>
        <d v="2020-12-20T00:00:00" u="1"/>
        <d v="2017-01-01T00:00:00" u="1"/>
        <d v="2019-01-01T00:00:00" u="1"/>
        <d v="2010-11-26T00:00:00" u="1"/>
        <d v="2012-10-30T00:00:00" u="1"/>
        <d v="2014-11-26T00:00:00" u="1"/>
        <d v="2013-12-22T00:00:00" u="1"/>
        <d v="2015-11-26T00:00:00" u="1"/>
        <d v="2014-12-22T00:00:00" u="1"/>
        <d v="2015-12-22T00:00:00" u="1"/>
        <d v="2019-11-26T00:00:00" u="1"/>
        <d v="2012-01-03T00:00:00" u="1"/>
        <d v="2013-01-03T00:00:00" u="1"/>
        <d v="2014-01-03T00:00:00" u="1"/>
        <d v="2017-01-03T00:00:00" u="1"/>
        <d v="2018-01-03T00:00:00" u="1"/>
        <d v="2011-11-28T00:00:00" u="1"/>
        <d v="2021-02-01T00:00:00" u="1"/>
        <d v="2022-02-01T00:00:00" u="1"/>
        <d v="2011-11-30T00:00:00" u="1"/>
        <d v="2012-12-26T00:00:00" u="1"/>
        <d v="2017-11-30T00:00:00" u="1"/>
        <d v="2014-01-07T00:00:00" u="1"/>
        <d v="2015-01-07T00:00:00" u="1"/>
        <d v="2019-01-07T00:00:00" u="1"/>
        <d v="2020-01-07T00:00:00" u="1"/>
        <d v="2019-02-03T00:00:00" u="1"/>
        <d v="2020-02-03T00:00:00" u="1"/>
        <d v="2010-12-28T00:00:00" u="1"/>
        <d v="2012-02-05T00:00:00" u="1"/>
        <d v="2014-01-09T00:00:00" u="1"/>
        <d v="2012-03-01T00:00:00" u="1"/>
        <d v="2019-01-09T00:00:00" u="1"/>
        <d v="2016-03-01T00:00:00" u="1"/>
        <d v="2018-02-05T00:00:00" u="1"/>
        <d v="2020-01-09T00:00:00" u="1"/>
        <d v="2022-03-01T00:00:00" u="1"/>
        <d v="2010-12-30T00:00:00" u="1"/>
        <d v="2011-12-30T00:00:00" u="1"/>
        <d v="2016-12-30T00:00:00" u="1"/>
        <d v="2005-02-07T00:00:00" u="1"/>
        <d v="2014-03-03T00:00:00" u="1"/>
        <d v="2018-01-11T00:00:00" u="1"/>
        <d v="2015-03-03T00:00:00" u="1"/>
        <d v="2016-03-03T00:00:00" u="1"/>
        <d v="2020-03-03T00:00:00" u="1"/>
        <d v="2012-03-05T00:00:00" u="1"/>
        <d v="2015-02-09T00:00:00" u="1"/>
        <d v="2012-04-01T00:00:00" u="1"/>
        <d v="2018-03-05T00:00:00" u="1"/>
        <d v="2019-03-05T00:00:00" u="1"/>
        <d v="2020-04-01T00:00:00" u="1"/>
        <d v="2014-02-11T00:00:00" u="1"/>
        <d v="2013-04-03T00:00:00" u="1"/>
        <d v="2019-01-15T00:00:00" u="1"/>
        <d v="2017-04-03T00:00:00" u="1"/>
        <d v="2018-04-03T00:00:00" u="1"/>
        <d v="2005-03-09T00:00:00" u="1"/>
        <d v="2013-01-17T00:00:00" u="1"/>
        <d v="2018-01-17T00:00:00" u="1"/>
        <d v="2012-05-01T00:00:00" u="1"/>
        <d v="2018-05-01T00:00:00" u="1"/>
        <d v="2013-02-15T00:00:00" u="1"/>
        <d v="2016-02-15T00:00:00" u="1"/>
        <d v="2017-02-15T00:00:00" u="1"/>
        <d v="2012-05-03T00:00:00" u="1"/>
        <d v="2014-04-07T00:00:00" u="1"/>
        <d v="2018-02-15T00:00:00" u="1"/>
        <d v="2016-05-03T00:00:00" u="1"/>
        <d v="2017-05-03T00:00:00" u="1"/>
        <d v="2018-05-03T00:00:00" u="1"/>
        <d v="2020-05-03T00:00:00" u="1"/>
        <d v="2010-01-21T00:00:00" u="1"/>
        <d v="2012-02-17T00:00:00" u="1"/>
        <d v="2016-01-21T00:00:00" u="1"/>
        <d v="2015-02-17T00:00:00" u="1"/>
        <d v="2010-05-05T00:00:00" u="1"/>
        <d v="2016-02-17T00:00:00" u="1"/>
        <d v="2015-03-13T00:00:00" u="1"/>
        <d v="2010-06-01T00:00:00" u="1"/>
        <d v="2017-03-13T00:00:00" u="1"/>
        <d v="2014-05-05T00:00:00" u="1"/>
        <d v="2018-03-13T00:00:00" u="1"/>
        <d v="2015-05-05T00:00:00" u="1"/>
        <d v="2015-06-01T00:00:00" u="1"/>
        <d v="2017-06-01T00:00:00" u="1"/>
        <d v="2012-01-23T00:00:00" u="1"/>
        <d v="2013-02-19T00:00:00" u="1"/>
        <d v="2017-01-23T00:00:00" u="1"/>
        <d v="2017-02-19T00:00:00" u="1"/>
        <d v="2019-01-23T00:00:00" u="1"/>
        <d v="2017-03-15T00:00:00" u="1"/>
        <d v="2016-04-11T00:00:00" u="1"/>
        <d v="2013-06-03T00:00:00" u="1"/>
        <d v="2018-04-11T00:00:00" u="1"/>
        <d v="2018-06-03T00:00:00" u="1"/>
        <d v="2013-01-25T00:00:00" u="1"/>
        <d v="2015-03-17T00:00:00" u="1"/>
        <d v="2016-03-17T00:00:00" u="1"/>
        <d v="2021-01-25T00:00:00" u="1"/>
        <d v="2018-03-17T00:00:00" u="1"/>
        <d v="2011-07-01T00:00:00" u="1"/>
        <d v="2021-02-21T00:00:00" u="1"/>
        <d v="2012-07-01T00:00:00" u="1"/>
        <d v="2016-05-09T00:00:00" u="1"/>
        <d v="2013-07-01T00:00:00" u="1"/>
        <d v="2018-05-09T00:00:00" u="1"/>
        <d v="2018-07-01T00:00:00" u="1"/>
        <d v="2012-01-27T00:00:00" u="1"/>
        <d v="2010-03-19T00:00:00" u="1"/>
        <d v="2014-01-27T00:00:00" u="1"/>
        <d v="2012-03-19T00:00:00" u="1"/>
        <d v="2011-04-15T00:00:00" u="1"/>
        <d v="2013-03-19T00:00:00" u="1"/>
        <d v="2015-02-23T00:00:00" u="1"/>
        <d v="2017-02-23T00:00:00" u="1"/>
        <d v="2018-02-23T00:00:00" u="1"/>
        <d v="2022-03-19T00:00:00" u="1"/>
        <d v="2017-07-03T00:00:00" u="1"/>
        <d v="2019-07-03T00:00:00" u="1"/>
        <d v="2010-02-25T00:00:00" u="1"/>
        <d v="2009-04-17T00:00:00" u="1"/>
        <d v="2011-03-21T00:00:00" u="1"/>
        <d v="2013-02-25T00:00:00" u="1"/>
        <d v="2015-01-29T00:00:00" u="1"/>
        <d v="2014-02-25T00:00:00" u="1"/>
        <d v="2019-02-25T00:00:00" u="1"/>
        <d v="2016-04-17T00:00:00" u="1"/>
        <d v="2018-06-09T00:00:00" u="1"/>
        <d v="2017-08-01T00:00:00" u="1"/>
        <d v="2018-08-01T00:00:00" u="1"/>
        <d v="2019-08-01T00:00:00" u="1"/>
        <d v="2020-08-01T00:00:00" u="1"/>
        <d v="2011-01-31T00:00:00" u="1"/>
        <d v="2013-01-31T00:00:00" u="1"/>
        <d v="2010-03-23T00:00:00" u="1"/>
        <d v="2017-01-31T00:00:00" u="1"/>
        <d v="2018-01-31T00:00:00" u="1"/>
        <d v="2019-01-31T00:00:00" u="1"/>
        <d v="2020-01-31T00:00:00" u="1"/>
        <d v="2014-08-03T00:00:00" u="1"/>
        <d v="2012-02-29T00:00:00" u="1"/>
        <d v="2010-04-21T00:00:00" u="1"/>
        <d v="2011-05-17T00:00:00" u="1"/>
        <d v="2015-03-25T00:00:00" u="1"/>
        <d v="2012-05-17T00:00:00" u="1"/>
        <d v="2015-04-21T00:00:00" u="1"/>
        <d v="2019-03-25T00:00:00" u="1"/>
        <d v="2011-09-01T00:00:00" u="1"/>
        <d v="2014-09-01T00:00:00" u="1"/>
        <d v="2019-09-01T00:00:00" u="1"/>
        <d v="2012-03-27T00:00:00" u="1"/>
        <d v="2009-05-19T00:00:00" u="1"/>
        <d v="2014-04-23T00:00:00" u="1"/>
        <d v="2017-03-27T00:00:00" u="1"/>
        <d v="2012-06-15T00:00:00" u="1"/>
        <d v="2014-05-19T00:00:00" u="1"/>
        <d v="2015-05-19T00:00:00" u="1"/>
        <d v="2018-04-23T00:00:00" u="1"/>
        <d v="2016-06-15T00:00:00" u="1"/>
        <d v="2013-09-03T00:00:00" u="1"/>
        <d v="2017-07-11T00:00:00" u="1"/>
        <d v="2014-09-03T00:00:00" u="1"/>
        <d v="2018-08-07T00:00:00" u="1"/>
        <d v="2017-09-03T00:00:00" u="1"/>
        <d v="2018-09-03T00:00:00" u="1"/>
        <d v="2012-03-29T00:00:00" u="1"/>
        <d v="2013-04-25T00:00:00" u="1"/>
        <d v="2016-03-29T00:00:00" u="1"/>
        <d v="2011-06-17T00:00:00" u="1"/>
        <d v="2013-05-21T00:00:00" u="1"/>
        <d v="2017-05-21T00:00:00" u="1"/>
        <d v="2016-06-17T00:00:00" u="1"/>
        <d v="2018-06-17T00:00:00" u="1"/>
        <d v="2017-08-09T00:00:00" u="1"/>
        <d v="2014-10-01T00:00:00" u="1"/>
        <d v="2016-09-05T00:00:00" u="1"/>
        <d v="2019-10-01T00:00:00" u="1"/>
        <d v="2022-10-01T00:00:00" u="1"/>
        <d v="2012-04-27T00:00:00" u="1"/>
        <d v="2009-06-19T00:00:00" u="1"/>
        <d v="2015-03-31T00:00:00" u="1"/>
        <d v="2015-04-27T00:00:00" u="1"/>
        <d v="2017-03-31T00:00:00" u="1"/>
        <d v="2012-06-19T00:00:00" u="1"/>
        <d v="2016-04-27T00:00:00" u="1"/>
        <d v="2017-04-27T00:00:00" u="1"/>
        <d v="2019-03-31T00:00:00" u="1"/>
        <d v="2016-05-23T00:00:00" u="1"/>
        <d v="2013-07-15T00:00:00" u="1"/>
        <d v="2018-05-23T00:00:00" u="1"/>
        <d v="2015-07-15T00:00:00" u="1"/>
        <d v="2017-06-19T00:00:00" u="1"/>
        <d v="2011-10-03T00:00:00" u="1"/>
        <d v="2016-08-11T00:00:00" u="1"/>
        <d v="2014-10-03T00:00:00" u="1"/>
        <d v="2017-10-03T00:00:00" u="1"/>
        <d v="2013-04-29T00:00:00" u="1"/>
        <d v="2012-05-25T00:00:00" u="1"/>
        <d v="2009-07-17T00:00:00" u="1"/>
        <d v="2016-04-29T00:00:00" u="1"/>
        <d v="2015-05-25T00:00:00" u="1"/>
        <d v="2012-07-17T00:00:00" u="1"/>
        <d v="2016-05-25T00:00:00" u="1"/>
        <d v="2017-05-25T00:00:00" u="1"/>
        <d v="2014-07-17T00:00:00" u="1"/>
        <d v="2016-07-17T00:00:00" u="1"/>
        <d v="2017-07-17T00:00:00" u="1"/>
        <d v="2018-09-09T00:00:00" u="1"/>
        <d v="2016-11-01T00:00:00" u="1"/>
        <d v="2020-11-01T00:00:00" u="1"/>
        <d v="2013-05-27T00:00:00" u="1"/>
        <d v="2010-07-19T00:00:00" u="1"/>
        <d v="2011-07-19T00:00:00" u="1"/>
        <d v="2014-07-19T00:00:00" u="1"/>
        <d v="2017-07-19T00:00:00" u="1"/>
        <d v="2011-11-03T00:00:00" u="1"/>
        <d v="2017-08-15T00:00:00" u="1"/>
        <d v="2015-11-03T00:00:00" u="1"/>
        <d v="2016-11-03T00:00:00" u="1"/>
        <d v="2018-10-07T00:00:00" u="1"/>
        <d v="2010-06-25T00:00:00" u="1"/>
        <d v="2011-07-21T00:00:00" u="1"/>
        <d v="2013-06-25T00:00:00" u="1"/>
        <d v="2010-08-17T00:00:00" u="1"/>
        <d v="2012-08-17T00:00:00" u="1"/>
        <d v="2019-06-25T00:00:00" u="1"/>
        <d v="2010-11-05T00:00:00" u="1"/>
        <d v="2018-07-21T00:00:00" u="1"/>
        <d v="2012-11-05T00:00:00" u="1"/>
        <d v="2014-11-05T00:00:00" u="1"/>
        <d v="2017-10-09T00:00:00" u="1"/>
        <d v="2015-12-01T00:00:00" u="1"/>
        <d v="2017-11-05T00:00:00" u="1"/>
        <d v="2018-11-05T00:00:00" u="1"/>
        <d v="2019-11-05T00:00:00" u="1"/>
        <d v="2019-12-01T00:00:00" u="1"/>
        <d v="2012-05-31T00:00:00" u="1"/>
        <d v="2012-06-27T00:00:00" u="1"/>
        <d v="2012-07-23T00:00:00" u="1"/>
        <d v="2016-05-31T00:00:00" u="1"/>
        <d v="2009-09-15T00:00:00" u="1"/>
        <d v="2018-05-31T00:00:00" u="1"/>
        <d v="2013-08-19T00:00:00" u="1"/>
        <d v="2017-06-27T00:00:00" u="1"/>
        <d v="2014-08-19T00:00:00" u="1"/>
        <d v="2016-07-23T00:00:00" u="1"/>
        <d v="2016-09-15T00:00:00" u="1"/>
        <d v="2012-12-03T00:00:00" u="1"/>
        <d v="2014-12-03T00:00:00" u="1"/>
        <d v="2017-12-03T00:00:00" u="1"/>
        <d v="2019-12-03T00:00:00" u="1"/>
        <d v="2011-06-29T00:00:00" u="1"/>
        <d v="2012-06-29T00:00:00" u="1"/>
        <d v="2013-07-25T00:00:00" u="1"/>
        <d v="2014-07-25T00:00:00" u="1"/>
        <d v="2013-09-17T00:00:00" u="1"/>
        <d v="2014-09-17T00:00:00" u="1"/>
        <d v="2015-09-17T00:00:00" u="1"/>
        <d v="2016-10-13T00:00:00" u="1"/>
        <d v="2016-11-09T00:00:00" u="1"/>
        <d v="2018-11-09T00:00:00" u="1"/>
        <d v="2018-12-05T00:00:00" u="1"/>
        <d v="2012-07-27T00:00:00" u="1"/>
        <d v="2011-09-19T00:00:00" u="1"/>
        <d v="2015-07-27T00:00:00" u="1"/>
        <d v="2017-08-23T00:00:00" u="1"/>
        <d v="2017-10-15T00:00:00" u="1"/>
        <d v="2018-10-15T00:00:00" u="1"/>
        <d v="2011-07-29T00:00:00" u="1"/>
        <d v="2011-08-25T00:00:00" u="1"/>
        <d v="2016-07-29T00:00:00" u="1"/>
        <d v="2016-08-25T00:00:00" u="1"/>
        <d v="2014-10-17T00:00:00" u="1"/>
        <d v="2019-08-25T00:00:00" u="1"/>
        <d v="2013-12-09T00:00:00" u="1"/>
        <d v="2016-11-13T00:00:00" u="1"/>
        <d v="2012-07-31T00:00:00" u="1"/>
        <d v="2012-08-27T00:00:00" u="1"/>
        <d v="2010-10-19T00:00:00" u="1"/>
        <d v="2011-10-19T00:00:00" u="1"/>
        <d v="2013-09-23T00:00:00" u="1"/>
        <d v="2018-07-31T00:00:00" u="1"/>
        <d v="2019-07-31T00:00:00" u="1"/>
        <d v="2015-10-19T00:00:00" u="1"/>
        <d v="2017-09-23T00:00:00" u="1"/>
        <d v="2019-09-23T00:00:00" u="1"/>
        <d v="2017-11-15T00:00:00" u="1"/>
        <d v="2018-12-11T00:00:00" u="1"/>
        <d v="2012-08-29T00:00:00" u="1"/>
        <d v="2009-11-17T00:00:00" u="1"/>
        <d v="2013-09-25T00:00:00" u="1"/>
        <d v="2014-09-25T00:00:00" u="1"/>
        <d v="2011-11-17T00:00:00" u="1"/>
        <d v="2014-10-21T00:00:00" u="1"/>
        <d v="2015-10-21T00:00:00" u="1"/>
        <d v="2015-11-17T00:00:00" u="1"/>
        <d v="2017-12-13T00:00:00" u="1"/>
        <d v="2011-08-31T00:00:00" u="1"/>
        <d v="2010-09-27T00:00:00" u="1"/>
        <d v="2015-08-31T00:00:00" u="1"/>
        <d v="2016-08-31T00:00:00" u="1"/>
        <d v="2017-08-31T00:00:00" u="1"/>
        <d v="2013-11-19T00:00:00" u="1"/>
        <d v="2014-11-19T00:00:00" u="1"/>
        <d v="2019-10-23T00:00:00" u="1"/>
      </sharedItems>
    </cacheField>
    <cacheField name="Consumo Activa" numFmtId="0">
      <sharedItems containsSemiMixedTypes="0" containsString="0" containsNumber="1" containsInteger="1" minValue="0" maxValue="0"/>
    </cacheField>
    <cacheField name="Promedio Activa" numFmtId="1">
      <sharedItems/>
    </cacheField>
    <cacheField name="Consumo Reactiva" numFmtId="1">
      <sharedItems containsSemiMixedTypes="0" containsString="0" containsNumber="1" containsInteger="1" minValue="0" maxValue="0"/>
    </cacheField>
    <cacheField name="Promedio Reactiva" numFmtId="1">
      <sharedItems/>
    </cacheField>
    <cacheField name="Cargo abono total" numFmtId="1">
      <sharedItems containsSemiMixedTypes="0" containsString="0" containsNumber="1" containsInteger="1" minValue="0" maxValue="0"/>
    </cacheField>
    <cacheField name="Pérdidas Total" numFmtId="1">
      <sharedItems containsSemiMixedTypes="0" containsString="0" containsNumber="1" containsInteger="1" minValue="0" maxValue="0"/>
    </cacheField>
    <cacheField name="Maxímetro" numFmtId="1">
      <sharedItems containsSemiMixedTypes="0" containsString="0" containsNumber="1" containsInteger="1" minValue="0" maxValue="0"/>
    </cacheField>
    <cacheField name="Lectura" numFmtId="1">
      <sharedItems containsSemiMixedTypes="0" containsString="0" containsNumber="1" containsInteger="1" minValue="0" maxValue="0"/>
    </cacheField>
    <cacheField name="Fuente" numFmtId="1">
      <sharedItems containsSemiMixedTypes="0" containsString="0" containsNumber="1" containsInteger="1" minValue="0" maxValue="0"/>
    </cacheField>
    <cacheField name="Año" numFmtId="1">
      <sharedItems containsSemiMixedTypes="0" containsString="0" containsNumber="1" containsInteger="1" minValue="1900" maxValue="2024" count="19">
        <n v="1900"/>
        <n v="2011" u="1"/>
        <n v="2012" u="1"/>
        <n v="2013" u="1"/>
        <n v="2014" u="1"/>
        <n v="2015" u="1"/>
        <n v="2016" u="1"/>
        <n v="2017" u="1"/>
        <n v="2018" u="1"/>
        <n v="2019" u="1"/>
        <n v="2020" u="1"/>
        <n v="2021" u="1"/>
        <n v="2022" u="1"/>
        <n v="2023" u="1"/>
        <n v="2024" u="1"/>
        <n v="2004" u="1"/>
        <n v="2009" u="1"/>
        <n v="2005" u="1"/>
        <n v="2010" u="1"/>
      </sharedItems>
    </cacheField>
    <cacheField name="Mes" numFmtId="1">
      <sharedItems count="13">
        <s v="enero"/>
        <s v="mayo" u="1"/>
        <s v="junio" u="1"/>
        <s v="julio" u="1"/>
        <s v="agosto" u="1"/>
        <s v="septiembre" u="1"/>
        <s v="octubre" u="1"/>
        <s v="noviembre" u="1"/>
        <s v="diciembre" u="1"/>
        <s v="febrero" u="1"/>
        <s v="marzo" u="1"/>
        <s v="abril" u="1"/>
        <s v="" u="1"/>
      </sharedItems>
    </cacheField>
    <cacheField name="Energía Total Reconstruida" numFmtId="1">
      <sharedItems containsSemiMixedTypes="0" containsString="0" containsNumber="1" containsInteger="1" minValue="0" maxValue="0"/>
    </cacheField>
    <cacheField name="Días" numFmtId="1">
      <sharedItems containsSemiMixedTypes="0" containsString="0" containsNumber="1" containsInteger="1" minValue="0" maxValue="0"/>
    </cacheField>
    <cacheField name="Consumo promedio ciclo" numFmtId="1">
      <sharedItems containsSemiMixedTypes="0" containsString="0" containsNumber="1" containsInteger="1" minValue="0" maxValue="0"/>
    </cacheField>
    <cacheField name="Promedio ER" numFmtId="1">
      <sharedItems containsSemiMixedTypes="0" containsString="0" containsNumber="1" containsInteger="1" minValue="0" maxValue="0"/>
    </cacheField>
    <cacheField name="AB - A" numFmtId="1">
      <sharedItems containsSemiMixedTypes="0" containsString="0" containsNumber="1" containsInteger="1" minValue="0" maxValue="0"/>
    </cacheField>
    <cacheField name="P1" numFmtId="1">
      <sharedItems containsSemiMixedTypes="0" containsString="0" containsNumber="1" containsInteger="1" minValue="0" maxValue="0"/>
    </cacheField>
    <cacheField name="P2" numFmtId="1">
      <sharedItems containsSemiMixedTypes="0" containsString="0" containsNumber="1" containsInteger="1" minValue="0" maxValue="0"/>
    </cacheField>
    <cacheField name="P3" numFmtId="1">
      <sharedItems containsSemiMixedTypes="0" containsString="0" containsNumber="1" containsInteger="1" minValue="0" maxValue="0"/>
    </cacheField>
    <cacheField name="P4" numFmtId="1">
      <sharedItems containsSemiMixedTypes="0" containsString="0" containsNumber="1" containsInteger="1" minValue="0" maxValue="0"/>
    </cacheField>
    <cacheField name="P5" numFmtId="1">
      <sharedItems containsSemiMixedTypes="0" containsString="0" containsNumber="1" containsInteger="1" minValue="0" maxValue="0"/>
    </cacheField>
    <cacheField name="P6" numFmtId="1">
      <sharedItems containsSemiMixedTypes="0" containsString="0" containsNumber="1" containsInteger="1" minValue="0" maxValue="0"/>
    </cacheField>
    <cacheField name="AB - C" numFmtId="1">
      <sharedItems containsSemiMixedTypes="0" containsString="0" containsNumber="1" containsInteger="1" minValue="0" maxValue="0"/>
    </cacheField>
    <cacheField name="A + B + C" numFmtId="1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rres Sintes, Jose-Luis" refreshedDate="45309.812932754627" createdVersion="6" refreshedVersion="8" minRefreshableVersion="3" recordCount="198" xr:uid="{00000000-000A-0000-FFFF-FFFFA0000000}">
  <cacheSource type="worksheet">
    <worksheetSource ref="A2:P200" sheet="Listado"/>
  </cacheSource>
  <cacheFields count="16">
    <cacheField name="Contrato" numFmtId="0">
      <sharedItems containsSemiMixedTypes="0" containsString="0" containsNumber="1" containsInteger="1" minValue="0" maxValue="0"/>
    </cacheField>
    <cacheField name="Secuencial factura" numFmtId="0">
      <sharedItems containsSemiMixedTypes="0" containsString="0" containsNumber="1" containsInteger="1" minValue="0" maxValue="0"/>
    </cacheField>
    <cacheField name="Fecha Inicio" numFmtId="14">
      <sharedItems containsSemiMixedTypes="0" containsNonDate="0" containsDate="1" containsString="0" minDate="1899-12-30T00:00:00" maxDate="1899-12-31T00:00:00"/>
    </cacheField>
    <cacheField name="Fecha fin" numFmtId="14">
      <sharedItems containsNonDate="0" containsDate="1" containsMixedTypes="1" minDate="1899-12-30T00:00:00" maxDate="2024-02-27T00:00:00" count="2830">
        <d v="1899-12-30T00:00:00"/>
        <d v="2011-06-10T00:00:00" u="1"/>
        <d v="2011-07-12T00:00:00" u="1"/>
        <d v="2011-08-10T00:00:00" u="1"/>
        <d v="2011-09-08T00:00:00" u="1"/>
        <d v="2011-10-11T00:00:00" u="1"/>
        <d v="2011-11-10T00:00:00" u="1"/>
        <d v="2011-12-12T00:00:00" u="1"/>
        <d v="2012-01-16T00:00:00" u="1"/>
        <d v="2012-02-10T00:00:00" u="1"/>
        <d v="2012-03-12T00:00:00" u="1"/>
        <d v="2012-04-14T00:00:00" u="1"/>
        <d v="2012-05-09T00:00:00" u="1"/>
        <d v="2012-06-12T00:00:00" u="1"/>
        <d v="2012-07-08T00:00:00" u="1"/>
        <d v="2012-08-05T00:00:00" u="1"/>
        <d v="2012-09-09T00:00:00" u="1"/>
        <d v="2012-11-10T00:00:00" u="1"/>
        <d v="2013-01-11T00:00:00" u="1"/>
        <d v="2013-03-12T00:00:00" u="1"/>
        <d v="2013-05-10T00:00:00" u="1"/>
        <d v="2013-07-09T00:00:00" u="1"/>
        <d v="2013-08-14T00:00:00" u="1"/>
        <d v="2013-09-06T00:00:00" u="1"/>
        <d v="2013-11-12T00:00:00" u="1"/>
        <d v="2014-01-13T00:00:00" u="1"/>
        <d v="2014-03-12T00:00:00" u="1"/>
        <d v="2014-04-10T00:00:00" u="1"/>
        <d v="2014-05-13T00:00:00" u="1"/>
        <d v="2014-06-04T00:00:00" u="1"/>
        <d v="2014-06-11T00:00:00" u="1"/>
        <d v="2014-07-10T00:00:00" u="1"/>
        <d v="2014-08-12T00:00:00" u="1"/>
        <d v="2014-09-05T00:00:00" u="1"/>
        <d v="2014-10-07T00:00:00" u="1"/>
        <d v="2014-11-07T00:00:00" u="1"/>
        <d v="2014-12-09T00:00:00" u="1"/>
        <d v="2015-01-09T00:00:00" u="1"/>
        <d v="2015-02-06T00:00:00" u="1"/>
        <d v="2015-03-05T00:00:00" u="1"/>
        <d v="2015-04-10T00:00:00" u="1"/>
        <d v="2015-05-07T00:00:00" u="1"/>
        <d v="2015-06-04T00:00:00" u="1"/>
        <d v="2015-07-06T00:00:00" u="1"/>
        <d v="2015-08-06T00:00:00" u="1"/>
        <d v="2015-09-06T00:00:00" u="1"/>
        <d v="2015-10-06T00:00:00" u="1"/>
        <d v="2015-11-08T00:00:00" u="1"/>
        <d v="2015-12-08T00:00:00" u="1"/>
        <d v="2016-01-10T00:00:00" u="1"/>
        <d v="2016-02-04T00:00:00" u="1"/>
        <d v="2016-03-08T00:00:00" u="1"/>
        <d v="2016-04-06T00:00:00" u="1"/>
        <d v="2016-05-05T00:00:00" u="1"/>
        <d v="2016-06-06T00:00:00" u="1"/>
        <d v="2016-07-02T00:00:00" u="1"/>
        <d v="2016-08-04T00:00:00" u="1"/>
        <d v="2016-09-06T00:00:00" u="1"/>
        <d v="2016-10-10T00:00:00" u="1"/>
        <d v="2016-11-07T00:00:00" u="1"/>
        <d v="2016-12-08T00:00:00" u="1"/>
        <d v="2017-01-08T00:00:00" u="1"/>
        <d v="2017-02-06T00:00:00" u="1"/>
        <d v="2017-03-02T00:00:00" u="1"/>
        <d v="2017-04-05T00:00:00" u="1"/>
        <d v="2017-05-04T00:00:00" u="1"/>
        <d v="2017-06-04T00:00:00" u="1"/>
        <d v="2017-07-05T00:00:00" u="1"/>
        <d v="2017-08-06T00:00:00" u="1"/>
        <d v="2017-09-05T00:00:00" u="1"/>
        <d v="2017-10-05T00:00:00" u="1"/>
        <d v="2017-11-07T00:00:00" u="1"/>
        <d v="2017-12-10T00:00:00" u="1"/>
        <d v="2018-01-08T00:00:00" u="1"/>
        <d v="2018-02-07T00:00:00" u="1"/>
        <d v="2018-03-06T00:00:00" u="1"/>
        <d v="2018-04-08T00:00:00" u="1"/>
        <d v="2018-05-06T00:00:00" u="1"/>
        <d v="2018-06-06T00:00:00" u="1"/>
        <d v="2018-07-04T00:00:00" u="1"/>
        <d v="2018-08-04T00:00:00" u="1"/>
        <d v="2018-08-06T00:00:00" u="1"/>
        <d v="2018-09-05T00:00:00" u="1"/>
        <d v="2018-10-01T00:00:00" u="1"/>
        <d v="2018-11-01T00:00:00" u="1"/>
        <d v="2018-12-01T00:00:00" u="1"/>
        <d v="2018-12-31T00:00:00" u="1"/>
        <d v="2019-01-30T00:00:00" u="1"/>
        <d v="2019-03-02T00:00:00" u="1"/>
        <d v="2019-03-30T00:00:00" u="1"/>
        <d v="2019-04-30T00:00:00" u="1"/>
        <d v="2019-06-01T00:00:00" u="1"/>
        <d v="2019-06-30T00:00:00" u="1"/>
        <d v="2019-07-30T00:00:00" u="1"/>
        <d v="2019-08-31T00:00:00" u="1"/>
        <d v="2019-09-29T00:00:00" u="1"/>
        <d v="2019-11-03T00:00:00" u="1"/>
        <d v="2019-11-30T00:00:00" u="1"/>
        <d v="2020-01-01T00:00:00" u="1"/>
        <d v="2020-02-01T00:00:00" u="1"/>
        <d v="2020-02-29T00:00:00" u="1"/>
        <d v="2020-03-31T00:00:00" u="1"/>
        <d v="2020-05-02T00:00:00" u="1"/>
        <d v="2020-05-31T00:00:00" u="1"/>
        <d v="2020-06-30T00:00:00" u="1"/>
        <d v="2020-08-02T00:00:00" u="1"/>
        <d v="2020-08-31T00:00:00" u="1"/>
        <d v="2020-09-29T00:00:00" u="1"/>
        <d v="2020-10-31T00:00:00" u="1"/>
        <d v="2020-11-29T00:00:00" u="1"/>
        <d v="2021-01-03T00:00:00" u="1"/>
        <d v="2021-01-31T00:00:00" u="1"/>
        <d v="2021-03-01T00:00:00" u="1"/>
        <d v="2021-04-05T00:00:00" u="1"/>
        <d v="2021-05-02T00:00:00" u="1"/>
        <d v="2021-05-31T00:00:00" u="1"/>
        <d v="2021-06-30T00:00:00" u="1"/>
        <d v="2021-08-01T00:00:00" u="1"/>
        <d v="2021-08-31T00:00:00" u="1"/>
        <d v="2021-09-29T00:00:00" u="1"/>
        <d v="2021-10-31T00:00:00" u="1"/>
        <d v="2021-11-30T00:00:00" u="1"/>
        <d v="2022-01-01T00:00:00" u="1"/>
        <d v="2022-01-30T00:00:00" u="1"/>
        <d v="2022-02-28T00:00:00" u="1"/>
        <d v="2022-03-31T00:00:00" u="1"/>
        <d v="2022-05-30T00:00:00" u="1"/>
        <d v="2022-06-29T00:00:00" u="1"/>
        <d v="2022-07-31T00:00:00" u="1"/>
        <d v="2022-08-30T00:00:00" u="1"/>
        <d v="2022-10-02T00:00:00" u="1"/>
        <d v="2022-10-31T00:00:00" u="1"/>
        <d v="2022-11-29T00:00:00" u="1"/>
        <d v="2022-12-31T00:00:00" u="1"/>
        <d v="2023-01-30T00:00:00" u="1"/>
        <d v="2023-02-28T00:00:00" u="1"/>
        <d v="2023-04-01T00:00:00" u="1"/>
        <d v="2023-04-29T00:00:00" u="1"/>
        <d v="2023-05-30T00:00:00" u="1"/>
        <d v="2023-07-02T00:00:00" u="1"/>
        <d v="2023-07-30T00:00:00" u="1"/>
        <d v="2023-08-30T00:00:00" u="1"/>
        <d v="2023-09-29T00:00:00" u="1"/>
        <d v="2023-11-01T00:00:00" u="1"/>
        <d v="2023-11-26T00:00:00" u="1"/>
        <d v="2023-12-26T00:00:00" u="1"/>
        <d v="2024-01-26T00:00:00" u="1"/>
        <d v="2024-02-26T00:00:00" u="1"/>
        <s v="" u="1"/>
        <d v="2020-04-30T00:00:00" u="1"/>
        <d v="2020-07-31T00:00:00" u="1"/>
        <d v="2020-09-30T00:00:00" u="1"/>
        <d v="2020-11-30T00:00:00" u="1"/>
        <d v="2020-12-31T00:00:00" u="1"/>
        <d v="2021-02-28T00:00:00" u="1"/>
        <d v="2021-03-31T00:00:00" u="1"/>
        <d v="2021-04-30T00:00:00" u="1"/>
        <d v="2021-07-31T00:00:00" u="1"/>
        <d v="2021-09-30T00:00:00" u="1"/>
        <d v="2021-12-31T00:00:00" u="1"/>
        <d v="2022-01-31T00:00:00" u="1"/>
        <d v="2022-04-30T00:00:00" u="1"/>
        <d v="2022-05-31T00:00:00" u="1"/>
        <d v="2022-06-30T00:00:00" u="1"/>
        <d v="2022-08-31T00:00:00" u="1"/>
        <d v="2022-09-30T00:00:00" u="1"/>
        <d v="2022-11-30T00:00:00" u="1"/>
        <d v="2023-01-19T00:00:00" u="1"/>
        <d v="2023-01-31T00:00:00" u="1"/>
        <d v="2023-03-31T00:00:00" u="1"/>
        <d v="2023-04-30T00:00:00" u="1"/>
        <d v="2023-05-31T00:00:00" u="1"/>
        <d v="2023-06-30T00:00:00" u="1"/>
        <d v="2023-07-31T00:00:00" u="1"/>
        <d v="2023-08-31T00:00:00" u="1"/>
        <d v="2023-09-30T00:00:00" u="1"/>
        <d v="2023-10-31T00:00:00" u="1"/>
        <d v="2023-11-30T00:00:00" u="1"/>
        <d v="2023-12-31T00:00:00" u="1"/>
        <d v="2024-01-31T00:00:00" u="1"/>
        <d v="2008-09-29T00:00:00" u="1"/>
        <d v="2007-10-25T00:00:00" u="1"/>
        <d v="2010-09-29T00:00:00" u="1"/>
        <d v="2007-11-21T00:00:00" u="1"/>
        <d v="2011-10-25T00:00:00" u="1"/>
        <d v="2008-12-17T00:00:00" u="1"/>
        <d v="2012-10-25T00:00:00" u="1"/>
        <d v="2009-12-17T00:00:00" u="1"/>
        <d v="2011-11-21T00:00:00" u="1"/>
        <d v="2013-10-25T00:00:00" u="1"/>
        <d v="2010-12-17T00:00:00" u="1"/>
        <d v="2016-09-29T00:00:00" u="1"/>
        <d v="2015-10-25T00:00:00" u="1"/>
        <d v="2012-12-17T00:00:00" u="1"/>
        <d v="2016-10-25T00:00:00" u="1"/>
        <d v="2013-12-17T00:00:00" u="1"/>
        <d v="2017-10-25T00:00:00" u="1"/>
        <d v="2014-12-17T00:00:00" u="1"/>
        <d v="2016-11-21T00:00:00" u="1"/>
        <d v="2015-12-17T00:00:00" u="1"/>
        <d v="2018-12-17T00:00:00" u="1"/>
        <d v="2006-10-27T00:00:00" u="1"/>
        <d v="2006-11-23T00:00:00" u="1"/>
        <d v="2008-10-27T00:00:00" u="1"/>
        <d v="2009-10-27T00:00:00" u="1"/>
        <d v="2010-10-27T00:00:00" u="1"/>
        <d v="2007-12-19T00:00:00" u="1"/>
        <d v="2009-11-23T00:00:00" u="1"/>
        <d v="2011-10-27T00:00:00" u="1"/>
        <d v="2008-12-19T00:00:00" u="1"/>
        <d v="2010-11-23T00:00:00" u="1"/>
        <d v="2011-11-23T00:00:00" u="1"/>
        <d v="2013-10-27T00:00:00" u="1"/>
        <d v="2010-12-19T00:00:00" u="1"/>
        <d v="2012-11-23T00:00:00" u="1"/>
        <d v="2011-12-19T00:00:00" u="1"/>
        <d v="2015-10-27T00:00:00" u="1"/>
        <d v="2012-12-19T00:00:00" u="1"/>
        <d v="2016-10-27T00:00:00" u="1"/>
        <d v="2015-11-23T00:00:00" u="1"/>
        <d v="2017-10-27T00:00:00" u="1"/>
        <d v="2014-12-19T00:00:00" u="1"/>
        <d v="2017-11-23T00:00:00" u="1"/>
        <d v="2016-12-19T00:00:00" u="1"/>
        <d v="2017-12-19T00:00:00" u="1"/>
        <d v="2007-10-29T00:00:00" u="1"/>
        <d v="2008-10-29T00:00:00" u="1"/>
        <d v="2009-10-29T00:00:00" u="1"/>
        <d v="2010-10-29T00:00:00" u="1"/>
        <d v="2007-12-21T00:00:00" u="1"/>
        <d v="2009-11-25T00:00:00" u="1"/>
        <d v="2010-11-25T00:00:00" u="1"/>
        <d v="2011-11-25T00:00:00" u="1"/>
        <d v="2013-10-29T00:00:00" u="1"/>
        <d v="2010-12-21T00:00:00" u="1"/>
        <d v="2014-10-29T00:00:00" u="1"/>
        <d v="2011-12-21T00:00:00" u="1"/>
        <d v="2015-10-29T00:00:00" u="1"/>
        <d v="2012-12-21T00:00:00" u="1"/>
        <d v="2014-11-25T00:00:00" u="1"/>
        <d v="2013-12-21T00:00:00" u="1"/>
        <d v="2015-11-25T00:00:00" u="1"/>
        <d v="2016-12-21T00:00:00" u="1"/>
        <d v="2007-01-02T00:00:00" u="1"/>
        <d v="2008-01-02T00:00:00" u="1"/>
        <d v="2009-01-02T00:00:00" u="1"/>
        <d v="2012-01-02T00:00:00" u="1"/>
        <d v="2013-01-02T00:00:00" u="1"/>
        <d v="2015-01-02T00:00:00" u="1"/>
        <d v="2017-01-02T00:00:00" u="1"/>
        <d v="2018-01-02T00:00:00" u="1"/>
        <d v="2019-01-02T00:00:00" u="1"/>
        <d v="2020-01-02T00:00:00" u="1"/>
        <d v="2023-01-02T00:00:00" u="1"/>
        <d v="2007-10-31T00:00:00" u="1"/>
        <d v="2008-10-31T00:00:00" u="1"/>
        <d v="2009-10-31T00:00:00" u="1"/>
        <d v="2008-11-27T00:00:00" u="1"/>
        <d v="2010-10-31T00:00:00" u="1"/>
        <d v="2009-11-27T00:00:00" u="1"/>
        <d v="2011-10-31T00:00:00" u="1"/>
        <d v="2008-12-23T00:00:00" u="1"/>
        <d v="2012-10-31T00:00:00" u="1"/>
        <d v="2009-12-23T00:00:00" u="1"/>
        <d v="2013-10-31T00:00:00" u="1"/>
        <d v="2010-12-23T00:00:00" u="1"/>
        <d v="2012-11-27T00:00:00" u="1"/>
        <d v="2014-10-31T00:00:00" u="1"/>
        <d v="2011-12-23T00:00:00" u="1"/>
        <d v="2013-11-27T00:00:00" u="1"/>
        <d v="2015-10-31T00:00:00" u="1"/>
        <d v="2014-11-27T00:00:00" u="1"/>
        <d v="2016-10-31T00:00:00" u="1"/>
        <d v="2015-11-27T00:00:00" u="1"/>
        <d v="2017-10-31T00:00:00" u="1"/>
        <d v="2014-12-23T00:00:00" u="1"/>
        <d v="2016-11-27T00:00:00" u="1"/>
        <d v="2018-10-31T00:00:00" u="1"/>
        <d v="2015-12-23T00:00:00" u="1"/>
        <d v="2008-01-04T00:00:00" u="1"/>
        <d v="2019-12-23T00:00:00" u="1"/>
        <d v="2010-01-04T00:00:00" u="1"/>
        <d v="2011-01-04T00:00:00" u="1"/>
        <d v="2012-01-04T00:00:00" u="1"/>
        <d v="2013-01-04T00:00:00" u="1"/>
        <d v="2016-01-04T00:00:00" u="1"/>
        <d v="2017-01-04T00:00:00" u="1"/>
        <d v="2018-01-04T00:00:00" u="1"/>
        <d v="2008-11-29T00:00:00" u="1"/>
        <d v="2010-11-29T00:00:00" u="1"/>
        <d v="2009-12-25T00:00:00" u="1"/>
        <d v="2011-11-29T00:00:00" u="1"/>
        <d v="2012-11-29T00:00:00" u="1"/>
        <d v="2011-12-25T00:00:00" u="1"/>
        <d v="2017-11-29T00:00:00" u="1"/>
        <d v="2018-12-25T00:00:00" u="1"/>
        <d v="2009-02-02T00:00:00" u="1"/>
        <d v="2010-02-02T00:00:00" u="1"/>
        <d v="2011-02-02T00:00:00" u="1"/>
        <d v="2012-02-02T00:00:00" u="1"/>
        <d v="2014-02-02T00:00:00" u="1"/>
        <d v="2016-01-06T00:00:00" u="1"/>
        <d v="2015-02-02T00:00:00" u="1"/>
        <d v="2016-02-02T00:00:00" u="1"/>
        <d v="2017-02-02T00:00:00" u="1"/>
        <d v="2018-02-02T00:00:00" u="1"/>
        <d v="2023-02-02T00:00:00" u="1"/>
        <d v="2007-12-27T00:00:00" u="1"/>
        <d v="2008-12-27T00:00:00" u="1"/>
        <d v="2010-12-27T00:00:00" u="1"/>
        <d v="2011-12-27T00:00:00" u="1"/>
        <d v="2012-12-27T00:00:00" u="1"/>
        <d v="2013-12-27T00:00:00" u="1"/>
        <d v="2014-12-27T00:00:00" u="1"/>
        <d v="2015-12-27T00:00:00" u="1"/>
        <d v="2017-12-27T00:00:00" u="1"/>
        <d v="2008-01-08T00:00:00" u="1"/>
        <d v="2009-01-08T00:00:00" u="1"/>
        <d v="2010-01-08T00:00:00" u="1"/>
        <d v="2009-02-04T00:00:00" u="1"/>
        <d v="2010-02-04T00:00:00" u="1"/>
        <d v="2011-02-04T00:00:00" u="1"/>
        <d v="2013-01-08T00:00:00" u="1"/>
        <d v="2014-01-08T00:00:00" u="1"/>
        <d v="2013-02-04T00:00:00" u="1"/>
        <d v="2015-01-08T00:00:00" u="1"/>
        <d v="2016-01-08T00:00:00" u="1"/>
        <d v="2015-02-04T00:00:00" u="1"/>
        <d v="2010-12-29T00:00:00" u="1"/>
        <d v="2011-12-29T00:00:00" u="1"/>
        <d v="2014-12-29T00:00:00" u="1"/>
        <d v="2016-12-29T00:00:00" u="1"/>
        <d v="2017-12-29T00:00:00" u="1"/>
        <d v="2008-01-10T00:00:00" u="1"/>
        <d v="2007-02-06T00:00:00" u="1"/>
        <d v="2010-01-10T00:00:00" u="1"/>
        <d v="2009-02-06T00:00:00" u="1"/>
        <d v="2011-01-10T00:00:00" u="1"/>
        <d v="2012-01-10T00:00:00" u="1"/>
        <d v="2009-03-02T00:00:00" u="1"/>
        <d v="2013-01-10T00:00:00" u="1"/>
        <d v="2010-03-02T00:00:00" u="1"/>
        <d v="2012-02-06T00:00:00" u="1"/>
        <d v="2014-01-10T00:00:00" u="1"/>
        <d v="2013-02-06T00:00:00" u="1"/>
        <d v="2012-03-02T00:00:00" u="1"/>
        <d v="2017-01-10T00:00:00" u="1"/>
        <d v="2014-03-02T00:00:00" u="1"/>
        <d v="2018-01-10T00:00:00" u="1"/>
        <d v="2015-03-02T00:00:00" u="1"/>
        <d v="2016-03-02T00:00:00" u="1"/>
        <d v="2018-02-06T00:00:00" u="1"/>
        <d v="2020-01-10T00:00:00" u="1"/>
        <d v="2021-03-02T00:00:00" u="1"/>
        <d v="2023-03-02T00:00:00" u="1"/>
        <d v="2007-12-31T00:00:00" u="1"/>
        <d v="2008-12-31T00:00:00" u="1"/>
        <d v="2009-12-31T00:00:00" u="1"/>
        <d v="2010-12-31T00:00:00" u="1"/>
        <d v="2011-12-31T00:00:00" u="1"/>
        <d v="2012-12-31T00:00:00" u="1"/>
        <d v="2013-12-31T00:00:00" u="1"/>
        <d v="2014-12-31T00:00:00" u="1"/>
        <d v="2015-12-31T00:00:00" u="1"/>
        <d v="2016-12-31T00:00:00" u="1"/>
        <d v="2007-01-12T00:00:00" u="1"/>
        <d v="2017-12-31T00:00:00" u="1"/>
        <d v="2009-01-12T00:00:00" u="1"/>
        <d v="2019-12-31T00:00:00" u="1"/>
        <d v="2008-02-08T00:00:00" u="1"/>
        <d v="2010-01-12T00:00:00" u="1"/>
        <d v="2011-01-12T00:00:00" u="1"/>
        <d v="2008-03-04T00:00:00" u="1"/>
        <d v="2010-02-08T00:00:00" u="1"/>
        <d v="2012-01-12T00:00:00" u="1"/>
        <d v="2009-03-04T00:00:00" u="1"/>
        <d v="2011-02-08T00:00:00" u="1"/>
        <d v="2010-03-04T00:00:00" u="1"/>
        <d v="2012-02-08T00:00:00" u="1"/>
        <d v="2014-01-12T00:00:00" u="1"/>
        <d v="2011-03-04T00:00:00" u="1"/>
        <d v="2013-02-08T00:00:00" u="1"/>
        <d v="2015-01-12T00:00:00" u="1"/>
        <d v="2014-02-08T00:00:00" u="1"/>
        <d v="2016-01-12T00:00:00" u="1"/>
        <d v="2013-03-04T00:00:00" u="1"/>
        <d v="2015-02-08T00:00:00" u="1"/>
        <d v="2017-01-12T00:00:00" u="1"/>
        <d v="2014-03-04T00:00:00" u="1"/>
        <d v="2016-02-08T00:00:00" u="1"/>
        <d v="2018-01-12T00:00:00" u="1"/>
        <d v="2015-03-04T00:00:00" u="1"/>
        <d v="2017-02-08T00:00:00" u="1"/>
        <d v="2016-03-04T00:00:00" u="1"/>
        <d v="2017-03-04T00:00:00" u="1"/>
        <d v="2018-03-04T00:00:00" u="1"/>
        <d v="2019-03-04T00:00:00" u="1"/>
        <d v="2008-01-14T00:00:00" u="1"/>
        <d v="2009-01-14T00:00:00" u="1"/>
        <d v="2010-01-14T00:00:00" u="1"/>
        <d v="2007-03-06T00:00:00" u="1"/>
        <d v="2009-02-10T00:00:00" u="1"/>
        <d v="2011-01-14T00:00:00" u="1"/>
        <d v="2008-03-06T00:00:00" u="1"/>
        <d v="2010-02-10T00:00:00" u="1"/>
        <d v="2009-03-06T00:00:00" u="1"/>
        <d v="2011-02-10T00:00:00" u="1"/>
        <d v="2013-01-14T00:00:00" u="1"/>
        <d v="2008-04-02T00:00:00" u="1"/>
        <d v="2014-01-14T00:00:00" u="1"/>
        <d v="2009-04-02T00:00:00" u="1"/>
        <d v="2015-01-14T00:00:00" u="1"/>
        <d v="2012-03-06T00:00:00" u="1"/>
        <d v="2016-01-14T00:00:00" u="1"/>
        <d v="2013-03-06T00:00:00" u="1"/>
        <d v="2017-01-14T00:00:00" u="1"/>
        <d v="2012-04-02T00:00:00" u="1"/>
        <d v="2014-03-06T00:00:00" u="1"/>
        <d v="2016-02-10T00:00:00" u="1"/>
        <d v="2018-01-14T00:00:00" u="1"/>
        <d v="2013-04-02T00:00:00" u="1"/>
        <d v="2015-03-06T00:00:00" u="1"/>
        <d v="2019-01-14T00:00:00" u="1"/>
        <d v="2014-04-02T00:00:00" u="1"/>
        <d v="2019-02-10T00:00:00" u="1"/>
        <d v="2008-01-16T00:00:00" u="1"/>
        <d v="2007-02-12T00:00:00" u="1"/>
        <d v="2009-01-16T00:00:00" u="1"/>
        <d v="2010-02-12T00:00:00" u="1"/>
        <d v="2013-01-16T00:00:00" u="1"/>
        <d v="2008-04-04T00:00:00" u="1"/>
        <d v="2010-03-08T00:00:00" u="1"/>
        <d v="2014-01-16T00:00:00" u="1"/>
        <d v="2011-03-08T00:00:00" u="1"/>
        <d v="2013-02-12T00:00:00" u="1"/>
        <d v="2015-01-16T00:00:00" u="1"/>
        <d v="2012-03-08T00:00:00" u="1"/>
        <d v="2014-02-12T00:00:00" u="1"/>
        <d v="2013-03-08T00:00:00" u="1"/>
        <d v="2015-02-12T00:00:00" u="1"/>
        <d v="2012-04-04T00:00:00" u="1"/>
        <d v="2016-02-12T00:00:00" u="1"/>
        <d v="2018-01-16T00:00:00" u="1"/>
        <d v="2013-04-04T00:00:00" u="1"/>
        <d v="2015-03-08T00:00:00" u="1"/>
        <d v="2017-02-12T00:00:00" u="1"/>
        <d v="2014-04-04T00:00:00" u="1"/>
        <d v="2018-02-12T00:00:00" u="1"/>
        <d v="2016-04-04T00:00:00" u="1"/>
        <d v="2018-03-08T00:00:00" u="1"/>
        <d v="2017-04-04T00:00:00" u="1"/>
        <d v="2019-04-04T00:00:00" u="1"/>
        <d v="2008-01-18T00:00:00" u="1"/>
        <d v="2008-02-14T00:00:00" u="1"/>
        <d v="2010-01-18T00:00:00" u="1"/>
        <d v="2011-01-18T00:00:00" u="1"/>
        <d v="2006-04-06T00:00:00" u="1"/>
        <d v="2008-03-10T00:00:00" u="1"/>
        <d v="2009-03-10T00:00:00" u="1"/>
        <d v="2013-01-18T00:00:00" u="1"/>
        <d v="2010-03-10T00:00:00" u="1"/>
        <d v="2012-02-14T00:00:00" u="1"/>
        <d v="2014-01-18T00:00:00" u="1"/>
        <d v="2009-04-06T00:00:00" u="1"/>
        <d v="2011-03-10T00:00:00" u="1"/>
        <d v="2013-02-14T00:00:00" u="1"/>
        <d v="2008-05-02T00:00:00" u="1"/>
        <d v="2010-04-06T00:00:00" u="1"/>
        <d v="2012-03-10T00:00:00" u="1"/>
        <d v="2014-02-14T00:00:00" u="1"/>
        <d v="2016-01-18T00:00:00" u="1"/>
        <d v="2011-04-06T00:00:00" u="1"/>
        <d v="2015-02-14T00:00:00" u="1"/>
        <d v="2017-01-18T00:00:00" u="1"/>
        <d v="2014-03-10T00:00:00" u="1"/>
        <d v="2016-02-14T00:00:00" u="1"/>
        <d v="2011-05-02T00:00:00" u="1"/>
        <d v="2015-03-10T00:00:00" u="1"/>
        <d v="2017-02-14T00:00:00" u="1"/>
        <d v="2012-05-02T00:00:00" u="1"/>
        <d v="2016-03-10T00:00:00" u="1"/>
        <d v="2018-02-14T00:00:00" u="1"/>
        <d v="2013-05-02T00:00:00" u="1"/>
        <d v="2015-04-06T00:00:00" u="1"/>
        <d v="2014-05-02T00:00:00" u="1"/>
        <d v="2018-03-10T00:00:00" u="1"/>
        <d v="2017-04-06T00:00:00" u="1"/>
        <d v="2016-05-02T00:00:00" u="1"/>
        <d v="2017-05-02T00:00:00" u="1"/>
        <d v="2018-05-02T00:00:00" u="1"/>
        <d v="2019-05-02T00:00:00" u="1"/>
        <d v="2021-04-06T00:00:00" u="1"/>
        <d v="2009-01-20T00:00:00" u="1"/>
        <d v="2010-01-20T00:00:00" u="1"/>
        <d v="2009-02-16T00:00:00" u="1"/>
        <d v="2008-03-12T00:00:00" u="1"/>
        <d v="2010-02-16T00:00:00" u="1"/>
        <d v="2009-03-12T00:00:00" u="1"/>
        <d v="2011-02-16T00:00:00" u="1"/>
        <d v="2008-04-08T00:00:00" u="1"/>
        <d v="2010-03-12T00:00:00" u="1"/>
        <d v="2012-02-16T00:00:00" u="1"/>
        <d v="2014-01-20T00:00:00" u="1"/>
        <d v="2009-04-08T00:00:00" u="1"/>
        <d v="2010-04-08T00:00:00" u="1"/>
        <d v="2016-01-20T00:00:00" u="1"/>
        <d v="2009-05-04T00:00:00" u="1"/>
        <d v="2011-04-08T00:00:00" u="1"/>
        <d v="2015-02-16T00:00:00" u="1"/>
        <d v="2010-05-04T00:00:00" u="1"/>
        <d v="2016-02-16T00:00:00" u="1"/>
        <d v="2011-05-04T00:00:00" u="1"/>
        <d v="2013-04-08T00:00:00" u="1"/>
        <d v="2017-02-16T00:00:00" u="1"/>
        <d v="2012-05-04T00:00:00" u="1"/>
        <d v="2014-04-08T00:00:00" u="1"/>
        <d v="2015-04-08T00:00:00" u="1"/>
        <d v="2017-03-12T00:00:00" u="1"/>
        <d v="2019-02-16T00:00:00" u="1"/>
        <d v="2022-01-20T00:00:00" u="1"/>
        <d v="2015-05-04T00:00:00" u="1"/>
        <d v="2016-05-04T00:00:00" u="1"/>
        <d v="2022-02-16T00:00:00" u="1"/>
        <d v="2022-05-04T00:00:00" u="1"/>
        <d v="2008-01-22T00:00:00" u="1"/>
        <d v="2009-01-22T00:00:00" u="1"/>
        <d v="2008-02-18T00:00:00" u="1"/>
        <d v="2010-01-22T00:00:00" u="1"/>
        <d v="2009-02-18T00:00:00" u="1"/>
        <d v="2008-03-14T00:00:00" u="1"/>
        <d v="2010-02-18T00:00:00" u="1"/>
        <d v="2012-01-22T00:00:00" u="1"/>
        <d v="2007-04-10T00:00:00" u="1"/>
        <d v="2011-02-18T00:00:00" u="1"/>
        <d v="2008-04-10T00:00:00" u="1"/>
        <d v="2014-01-22T00:00:00" u="1"/>
        <d v="2009-04-10T00:00:00" u="1"/>
        <d v="2011-03-14T00:00:00" u="1"/>
        <d v="2013-02-18T00:00:00" u="1"/>
        <d v="2015-01-22T00:00:00" u="1"/>
        <d v="2012-03-14T00:00:00" u="1"/>
        <d v="2014-02-18T00:00:00" u="1"/>
        <d v="2009-05-06T00:00:00" u="1"/>
        <d v="2013-03-14T00:00:00" u="1"/>
        <d v="2015-02-18T00:00:00" u="1"/>
        <d v="2010-05-06T00:00:00" u="1"/>
        <d v="2012-04-10T00:00:00" u="1"/>
        <d v="2016-02-18T00:00:00" u="1"/>
        <d v="2009-06-02T00:00:00" u="1"/>
        <d v="2011-05-06T00:00:00" u="1"/>
        <d v="2013-04-10T00:00:00" u="1"/>
        <d v="2015-03-14T00:00:00" u="1"/>
        <d v="2016-03-14T00:00:00" u="1"/>
        <d v="2011-06-02T00:00:00" u="1"/>
        <d v="2013-05-06T00:00:00" u="1"/>
        <d v="2014-05-06T00:00:00" u="1"/>
        <d v="2016-04-10T00:00:00" u="1"/>
        <d v="2015-05-06T00:00:00" u="1"/>
        <d v="2014-06-02T00:00:00" u="1"/>
        <d v="2016-05-06T00:00:00" u="1"/>
        <d v="2015-06-02T00:00:00" u="1"/>
        <d v="2016-06-02T00:00:00" u="1"/>
        <d v="2017-06-02T00:00:00" u="1"/>
        <d v="2019-05-06T00:00:00" u="1"/>
        <d v="2019-06-02T00:00:00" u="1"/>
        <d v="2009-01-24T00:00:00" u="1"/>
        <d v="2008-02-20T00:00:00" u="1"/>
        <d v="2007-03-16T00:00:00" u="1"/>
        <d v="2009-02-20T00:00:00" u="1"/>
        <d v="2011-01-24T00:00:00" u="1"/>
        <d v="2006-04-12T00:00:00" u="1"/>
        <d v="2012-01-24T00:00:00" u="1"/>
        <d v="2009-03-16T00:00:00" u="1"/>
        <d v="2013-01-24T00:00:00" u="1"/>
        <d v="2010-03-16T00:00:00" u="1"/>
        <d v="2012-02-20T00:00:00" u="1"/>
        <d v="2007-05-08T00:00:00" u="1"/>
        <d v="2011-03-16T00:00:00" u="1"/>
        <d v="2013-02-20T00:00:00" u="1"/>
        <d v="2008-05-08T00:00:00" u="1"/>
        <d v="2010-04-12T00:00:00" u="1"/>
        <d v="2012-03-16T00:00:00" u="1"/>
        <d v="2014-02-20T00:00:00" u="1"/>
        <d v="2007-06-04T00:00:00" u="1"/>
        <d v="2009-05-08T00:00:00" u="1"/>
        <d v="2011-04-12T00:00:00" u="1"/>
        <d v="2017-01-24T00:00:00" u="1"/>
        <d v="2012-04-12T00:00:00" u="1"/>
        <d v="2016-02-20T00:00:00" u="1"/>
        <d v="2018-01-24T00:00:00" u="1"/>
        <d v="2009-06-04T00:00:00" u="1"/>
        <d v="2011-05-08T00:00:00" u="1"/>
        <d v="2013-04-12T00:00:00" u="1"/>
        <d v="2015-03-16T00:00:00" u="1"/>
        <d v="2017-02-20T00:00:00" u="1"/>
        <d v="2019-01-24T00:00:00" u="1"/>
        <d v="2010-06-04T00:00:00" u="1"/>
        <d v="2012-05-08T00:00:00" u="1"/>
        <d v="2016-03-16T00:00:00" u="1"/>
        <d v="2013-05-08T00:00:00" u="1"/>
        <d v="2015-04-12T00:00:00" u="1"/>
        <d v="2017-03-16T00:00:00" u="1"/>
        <d v="2012-06-04T00:00:00" u="1"/>
        <d v="2014-05-08T00:00:00" u="1"/>
        <d v="2016-04-12T00:00:00" u="1"/>
        <d v="2018-03-16T00:00:00" u="1"/>
        <d v="2013-06-04T00:00:00" u="1"/>
        <d v="2015-05-08T00:00:00" u="1"/>
        <d v="2017-04-12T00:00:00" u="1"/>
        <d v="2016-05-08T00:00:00" u="1"/>
        <d v="2018-06-04T00:00:00" u="1"/>
        <d v="2019-06-04T00:00:00" u="1"/>
        <d v="2008-02-22T00:00:00" u="1"/>
        <d v="2010-01-26T00:00:00" u="1"/>
        <d v="2011-01-26T00:00:00" u="1"/>
        <d v="2008-03-18T00:00:00" u="1"/>
        <d v="2010-02-22T00:00:00" u="1"/>
        <d v="2011-02-22T00:00:00" u="1"/>
        <d v="2006-05-10T00:00:00" u="1"/>
        <d v="2010-03-18T00:00:00" u="1"/>
        <d v="2012-02-22T00:00:00" u="1"/>
        <d v="2007-05-10T00:00:00" u="1"/>
        <d v="2009-04-14T00:00:00" u="1"/>
        <d v="2011-03-18T00:00:00" u="1"/>
        <d v="2015-01-26T00:00:00" u="1"/>
        <d v="2006-06-06T00:00:00" u="1"/>
        <d v="2010-04-14T00:00:00" u="1"/>
        <d v="2016-01-26T00:00:00" u="1"/>
        <d v="2007-06-06T00:00:00" u="1"/>
        <d v="2011-04-14T00:00:00" u="1"/>
        <d v="2013-03-18T00:00:00" u="1"/>
        <d v="2017-01-26T00:00:00" u="1"/>
        <d v="2010-05-10T00:00:00" u="1"/>
        <d v="2014-03-18T00:00:00" u="1"/>
        <d v="2016-02-22T00:00:00" u="1"/>
        <d v="2018-01-26T00:00:00" u="1"/>
        <d v="2011-05-10T00:00:00" u="1"/>
        <d v="2015-03-18T00:00:00" u="1"/>
        <d v="2017-02-22T00:00:00" u="1"/>
        <d v="2008-07-02T00:00:00" u="1"/>
        <d v="2012-05-10T00:00:00" u="1"/>
        <d v="2014-04-14T00:00:00" u="1"/>
        <d v="2016-03-18T00:00:00" u="1"/>
        <d v="2009-07-02T00:00:00" u="1"/>
        <d v="2011-06-06T00:00:00" u="1"/>
        <d v="2015-04-14T00:00:00" u="1"/>
        <d v="2017-03-18T00:00:00" u="1"/>
        <d v="2010-07-02T00:00:00" u="1"/>
        <d v="2012-06-06T00:00:00" u="1"/>
        <d v="2016-04-14T00:00:00" u="1"/>
        <d v="2013-06-06T00:00:00" u="1"/>
        <d v="2015-05-10T00:00:00" u="1"/>
        <d v="2019-03-18T00:00:00" u="1"/>
        <d v="2012-07-02T00:00:00" u="1"/>
        <d v="2016-05-10T00:00:00" u="1"/>
        <d v="2013-07-02T00:00:00" u="1"/>
        <d v="2014-07-02T00:00:00" u="1"/>
        <d v="2018-05-10T00:00:00" u="1"/>
        <d v="2015-07-02T00:00:00" u="1"/>
        <d v="2017-06-06T00:00:00" u="1"/>
        <d v="2017-07-02T00:00:00" u="1"/>
        <d v="2018-07-02T00:00:00" u="1"/>
        <d v="2008-01-28T00:00:00" u="1"/>
        <d v="2009-01-28T00:00:00" u="1"/>
        <d v="2010-01-28T00:00:00" u="1"/>
        <d v="2009-02-24T00:00:00" u="1"/>
        <d v="2011-01-28T00:00:00" u="1"/>
        <d v="2010-02-24T00:00:00" u="1"/>
        <d v="2007-04-16T00:00:00" u="1"/>
        <d v="2011-02-24T00:00:00" u="1"/>
        <d v="2013-01-28T00:00:00" u="1"/>
        <d v="2012-02-24T00:00:00" u="1"/>
        <d v="2014-01-28T00:00:00" u="1"/>
        <d v="2009-04-16T00:00:00" u="1"/>
        <d v="2006-06-08T00:00:00" u="1"/>
        <d v="2008-05-12T00:00:00" u="1"/>
        <d v="2010-04-16T00:00:00" u="1"/>
        <d v="2012-03-20T00:00:00" u="1"/>
        <d v="2016-01-28T00:00:00" u="1"/>
        <d v="2009-05-12T00:00:00" u="1"/>
        <d v="2013-03-20T00:00:00" u="1"/>
        <d v="2015-02-24T00:00:00" u="1"/>
        <d v="2017-01-28T00:00:00" u="1"/>
        <d v="2010-05-12T00:00:00" u="1"/>
        <d v="2012-04-16T00:00:00" u="1"/>
        <d v="2014-03-20T00:00:00" u="1"/>
        <d v="2016-02-24T00:00:00" u="1"/>
        <d v="2007-07-04T00:00:00" u="1"/>
        <d v="2009-06-08T00:00:00" u="1"/>
        <d v="2011-05-12T00:00:00" u="1"/>
        <d v="2013-04-16T00:00:00" u="1"/>
        <d v="2017-02-24T00:00:00" u="1"/>
        <d v="2008-07-04T00:00:00" u="1"/>
        <d v="2010-06-08T00:00:00" u="1"/>
        <d v="2012-05-12T00:00:00" u="1"/>
        <d v="2014-04-16T00:00:00" u="1"/>
        <d v="2011-06-08T00:00:00" u="1"/>
        <d v="2015-04-16T00:00:00" u="1"/>
        <d v="2017-03-20T00:00:00" u="1"/>
        <d v="2019-02-24T00:00:00" u="1"/>
        <d v="2012-06-08T00:00:00" u="1"/>
        <d v="2014-05-12T00:00:00" u="1"/>
        <d v="2011-07-04T00:00:00" u="1"/>
        <d v="2015-05-12T00:00:00" u="1"/>
        <d v="2012-07-04T00:00:00" u="1"/>
        <d v="2016-05-12T00:00:00" u="1"/>
        <d v="2018-04-16T00:00:00" u="1"/>
        <d v="2013-07-04T00:00:00" u="1"/>
        <d v="2015-06-08T00:00:00" u="1"/>
        <d v="2014-07-04T00:00:00" u="1"/>
        <d v="2016-06-08T00:00:00" u="1"/>
        <d v="2016-07-04T00:00:00" u="1"/>
        <d v="2017-07-04T00:00:00" u="1"/>
        <d v="2022-07-04T00:00:00" u="1"/>
        <d v="2009-01-30T00:00:00" u="1"/>
        <d v="2008-02-26T00:00:00" u="1"/>
        <d v="2010-01-30T00:00:00" u="1"/>
        <d v="2009-02-26T00:00:00" u="1"/>
        <d v="2006-04-18T00:00:00" u="1"/>
        <d v="2008-03-22T00:00:00" u="1"/>
        <d v="2010-02-26T00:00:00" u="1"/>
        <d v="2012-01-30T00:00:00" u="1"/>
        <d v="2007-04-18T00:00:00" u="1"/>
        <d v="2010-03-22T00:00:00" u="1"/>
        <d v="2014-01-30T00:00:00" u="1"/>
        <d v="2011-03-22T00:00:00" u="1"/>
        <d v="2013-02-26T00:00:00" u="1"/>
        <d v="2015-01-30T00:00:00" u="1"/>
        <d v="2008-05-14T00:00:00" u="1"/>
        <d v="2012-03-22T00:00:00" u="1"/>
        <d v="2014-02-26T00:00:00" u="1"/>
        <d v="2016-01-30T00:00:00" u="1"/>
        <d v="2009-05-14T00:00:00" u="1"/>
        <d v="2011-04-18T00:00:00" u="1"/>
        <d v="2015-02-26T00:00:00" u="1"/>
        <d v="2017-01-30T00:00:00" u="1"/>
        <d v="2008-06-10T00:00:00" u="1"/>
        <d v="2010-05-14T00:00:00" u="1"/>
        <d v="2012-04-18T00:00:00" u="1"/>
        <d v="2016-02-26T00:00:00" u="1"/>
        <d v="2007-07-06T00:00:00" u="1"/>
        <d v="2009-06-10T00:00:00" u="1"/>
        <d v="2013-04-18T00:00:00" u="1"/>
        <d v="2017-02-26T00:00:00" u="1"/>
        <d v="2010-06-10T00:00:00" u="1"/>
        <d v="2012-05-14T00:00:00" u="1"/>
        <d v="2016-03-22T00:00:00" u="1"/>
        <d v="2009-07-06T00:00:00" u="1"/>
        <d v="2013-05-14T00:00:00" u="1"/>
        <d v="2017-03-22T00:00:00" u="1"/>
        <d v="2010-07-06T00:00:00" u="1"/>
        <d v="2014-05-14T00:00:00" u="1"/>
        <d v="2016-04-18T00:00:00" u="1"/>
        <d v="2018-03-22T00:00:00" u="1"/>
        <d v="2011-07-06T00:00:00" u="1"/>
        <d v="2013-06-10T00:00:00" u="1"/>
        <d v="2015-05-14T00:00:00" u="1"/>
        <d v="2017-04-18T00:00:00" u="1"/>
        <d v="2010-08-02T00:00:00" u="1"/>
        <d v="2012-07-06T00:00:00" u="1"/>
        <d v="2014-06-10T00:00:00" u="1"/>
        <d v="2011-08-02T00:00:00" u="1"/>
        <d v="2015-06-10T00:00:00" u="1"/>
        <d v="2012-08-02T00:00:00" u="1"/>
        <d v="2018-05-14T00:00:00" u="1"/>
        <d v="2013-08-02T00:00:00" u="1"/>
        <d v="2016-07-06T00:00:00" u="1"/>
        <d v="2015-08-02T00:00:00" u="1"/>
        <d v="2016-08-02T00:00:00" u="1"/>
        <d v="2017-08-02T00:00:00" u="1"/>
        <d v="2022-08-02T00:00:00" u="1"/>
        <d v="2008-02-28T00:00:00" u="1"/>
        <d v="2005-04-20T00:00:00" u="1"/>
        <d v="2009-02-28T00:00:00" u="1"/>
        <d v="2010-02-28T00:00:00" u="1"/>
        <d v="2009-03-24T00:00:00" u="1"/>
        <d v="2011-02-28T00:00:00" u="1"/>
        <d v="2007-05-16T00:00:00" u="1"/>
        <d v="2011-03-24T00:00:00" u="1"/>
        <d v="2013-02-28T00:00:00" u="1"/>
        <d v="2008-05-16T00:00:00" u="1"/>
        <d v="2010-04-20T00:00:00" u="1"/>
        <d v="2014-02-28T00:00:00" u="1"/>
        <d v="2011-04-20T00:00:00" u="1"/>
        <d v="2013-03-24T00:00:00" u="1"/>
        <d v="2015-02-28T00:00:00" u="1"/>
        <d v="2012-04-20T00:00:00" u="1"/>
        <d v="2014-03-24T00:00:00" u="1"/>
        <d v="2009-06-12T00:00:00" u="1"/>
        <d v="2011-05-16T00:00:00" u="1"/>
        <d v="2015-03-24T00:00:00" u="1"/>
        <d v="2017-02-28T00:00:00" u="1"/>
        <d v="2006-08-04T00:00:00" u="1"/>
        <d v="2008-07-08T00:00:00" u="1"/>
        <d v="2018-02-28T00:00:00" u="1"/>
        <d v="2009-07-08T00:00:00" u="1"/>
        <d v="2013-05-16T00:00:00" u="1"/>
        <d v="2015-04-20T00:00:00" u="1"/>
        <d v="2008-08-04T00:00:00" u="1"/>
        <d v="2010-07-08T00:00:00" u="1"/>
        <d v="2014-05-16T00:00:00" u="1"/>
        <d v="2016-04-20T00:00:00" u="1"/>
        <d v="2018-03-24T00:00:00" u="1"/>
        <d v="2009-08-04T00:00:00" u="1"/>
        <d v="2011-07-08T00:00:00" u="1"/>
        <d v="2013-06-12T00:00:00" u="1"/>
        <d v="2017-04-20T00:00:00" u="1"/>
        <d v="2010-08-04T00:00:00" u="1"/>
        <d v="2014-06-12T00:00:00" u="1"/>
        <d v="2016-05-16T00:00:00" u="1"/>
        <d v="2011-08-04T00:00:00" u="1"/>
        <d v="2013-07-08T00:00:00" u="1"/>
        <d v="2015-06-12T00:00:00" u="1"/>
        <d v="2014-07-08T00:00:00" u="1"/>
        <d v="2016-06-12T00:00:00" u="1"/>
        <d v="2018-05-16T00:00:00" u="1"/>
        <d v="2015-07-08T00:00:00" u="1"/>
        <d v="2016-07-08T00:00:00" u="1"/>
        <d v="2015-08-04T00:00:00" u="1"/>
        <d v="2018-07-08T00:00:00" u="1"/>
        <d v="2017-08-04T00:00:00" u="1"/>
        <d v="2008-03-26T00:00:00" u="1"/>
        <d v="2009-03-26T00:00:00" u="1"/>
        <d v="2010-03-26T00:00:00" u="1"/>
        <d v="2009-04-22T00:00:00" u="1"/>
        <d v="2010-04-22T00:00:00" u="1"/>
        <d v="2012-03-26T00:00:00" u="1"/>
        <d v="2007-06-14T00:00:00" u="1"/>
        <d v="2009-05-18T00:00:00" u="1"/>
        <d v="2013-03-26T00:00:00" u="1"/>
        <d v="2008-06-14T00:00:00" u="1"/>
        <d v="2010-05-18T00:00:00" u="1"/>
        <d v="2014-03-26T00:00:00" u="1"/>
        <d v="2007-07-10T00:00:00" u="1"/>
        <d v="2011-05-18T00:00:00" u="1"/>
        <d v="2013-04-22T00:00:00" u="1"/>
        <d v="2015-03-26T00:00:00" u="1"/>
        <d v="2008-07-10T00:00:00" u="1"/>
        <d v="2012-05-18T00:00:00" u="1"/>
        <d v="2014-04-22T00:00:00" u="1"/>
        <d v="2007-08-06T00:00:00" u="1"/>
        <d v="2009-07-10T00:00:00" u="1"/>
        <d v="2011-06-14T00:00:00" u="1"/>
        <d v="2015-04-22T00:00:00" u="1"/>
        <d v="2008-08-06T00:00:00" u="1"/>
        <d v="2012-06-14T00:00:00" u="1"/>
        <d v="2009-08-06T00:00:00" u="1"/>
        <d v="2013-06-14T00:00:00" u="1"/>
        <d v="2015-05-18T00:00:00" u="1"/>
        <d v="2017-04-22T00:00:00" u="1"/>
        <d v="2008-09-02T00:00:00" u="1"/>
        <d v="2010-08-06T00:00:00" u="1"/>
        <d v="2012-07-10T00:00:00" u="1"/>
        <d v="2016-05-18T00:00:00" u="1"/>
        <d v="2009-09-02T00:00:00" u="1"/>
        <d v="2013-07-10T00:00:00" u="1"/>
        <d v="2010-09-02T00:00:00" u="1"/>
        <d v="2012-08-06T00:00:00" u="1"/>
        <d v="2016-06-14T00:00:00" u="1"/>
        <d v="2011-09-02T00:00:00" u="1"/>
        <d v="2013-08-06T00:00:00" u="1"/>
        <d v="2015-07-10T00:00:00" u="1"/>
        <d v="2017-06-14T00:00:00" u="1"/>
        <d v="2019-05-18T00:00:00" u="1"/>
        <d v="2012-09-02T00:00:00" u="1"/>
        <d v="2014-08-06T00:00:00" u="1"/>
        <d v="2016-07-10T00:00:00" u="1"/>
        <d v="2013-09-02T00:00:00" u="1"/>
        <d v="2017-07-10T00:00:00" u="1"/>
        <d v="2014-09-02T00:00:00" u="1"/>
        <d v="2015-09-02T00:00:00" u="1"/>
        <d v="2016-09-02T00:00:00" u="1"/>
        <d v="2017-09-02T00:00:00" u="1"/>
        <d v="2018-09-02T00:00:00" u="1"/>
        <d v="2019-09-02T00:00:00" u="1"/>
        <d v="2008-04-24T00:00:00" u="1"/>
        <d v="2009-04-24T00:00:00" u="1"/>
        <d v="2011-03-28T00:00:00" u="1"/>
        <d v="2012-03-28T00:00:00" u="1"/>
        <d v="2006-07-12T00:00:00" u="1"/>
        <d v="2008-06-16T00:00:00" u="1"/>
        <d v="2010-05-20T00:00:00" u="1"/>
        <d v="2012-04-24T00:00:00" u="1"/>
        <d v="2014-03-28T00:00:00" u="1"/>
        <d v="2011-05-20T00:00:00" u="1"/>
        <d v="2010-06-16T00:00:00" u="1"/>
        <d v="2014-04-24T00:00:00" u="1"/>
        <d v="2016-03-28T00:00:00" u="1"/>
        <d v="2007-08-08T00:00:00" u="1"/>
        <d v="2011-06-16T00:00:00" u="1"/>
        <d v="2013-05-20T00:00:00" u="1"/>
        <d v="2015-04-24T00:00:00" u="1"/>
        <d v="2017-03-28T00:00:00" u="1"/>
        <d v="2008-08-08T00:00:00" u="1"/>
        <d v="2010-07-12T00:00:00" u="1"/>
        <d v="2014-05-20T00:00:00" u="1"/>
        <d v="2007-09-04T00:00:00" u="1"/>
        <d v="2015-05-20T00:00:00" u="1"/>
        <d v="2019-03-28T00:00:00" u="1"/>
        <d v="2008-09-04T00:00:00" u="1"/>
        <d v="2012-07-12T00:00:00" u="1"/>
        <d v="2014-06-16T00:00:00" u="1"/>
        <d v="2016-05-20T00:00:00" u="1"/>
        <d v="2018-04-24T00:00:00" u="1"/>
        <d v="2009-09-04T00:00:00" u="1"/>
        <d v="2011-08-08T00:00:00" u="1"/>
        <d v="2013-07-12T00:00:00" u="1"/>
        <d v="2015-06-16T00:00:00" u="1"/>
        <d v="2019-04-24T00:00:00" u="1"/>
        <d v="2012-08-08T00:00:00" u="1"/>
        <d v="2016-06-16T00:00:00" u="1"/>
        <d v="2013-08-08T00:00:00" u="1"/>
        <d v="2012-09-04T00:00:00" u="1"/>
        <d v="2014-08-08T00:00:00" u="1"/>
        <d v="2016-07-12T00:00:00" u="1"/>
        <d v="2022-04-24T00:00:00" u="1"/>
        <d v="2014-09-04T00:00:00" u="1"/>
        <d v="2016-08-08T00:00:00" u="1"/>
        <d v="2018-07-12T00:00:00" u="1"/>
        <d v="2016-09-04T00:00:00" u="1"/>
        <d v="2017-09-04T00:00:00" u="1"/>
        <d v="2019-09-04T00:00:00" u="1"/>
        <d v="2022-09-04T00:00:00" u="1"/>
        <d v="2009-03-30T00:00:00" u="1"/>
        <d v="2011-03-30T00:00:00" u="1"/>
        <d v="2008-05-22T00:00:00" u="1"/>
        <d v="2010-04-26T00:00:00" u="1"/>
        <d v="2007-06-18T00:00:00" u="1"/>
        <d v="2009-05-22T00:00:00" u="1"/>
        <d v="2011-04-26T00:00:00" u="1"/>
        <d v="2008-06-18T00:00:00" u="1"/>
        <d v="2012-04-26T00:00:00" u="1"/>
        <d v="2009-06-18T00:00:00" u="1"/>
        <d v="2011-05-22T00:00:00" u="1"/>
        <d v="2013-04-26T00:00:00" u="1"/>
        <d v="2015-03-30T00:00:00" u="1"/>
        <d v="2008-07-14T00:00:00" u="1"/>
        <d v="2010-06-18T00:00:00" u="1"/>
        <d v="2012-05-22T00:00:00" u="1"/>
        <d v="2016-03-30T00:00:00" u="1"/>
        <d v="2007-08-10T00:00:00" u="1"/>
        <d v="2009-07-14T00:00:00" u="1"/>
        <d v="2017-03-30T00:00:00" u="1"/>
        <d v="2010-07-14T00:00:00" u="1"/>
        <d v="2012-06-18T00:00:00" u="1"/>
        <d v="2014-05-22T00:00:00" u="1"/>
        <d v="2016-04-26T00:00:00" u="1"/>
        <d v="2018-03-30T00:00:00" u="1"/>
        <d v="2007-09-06T00:00:00" u="1"/>
        <d v="2009-08-10T00:00:00" u="1"/>
        <d v="2011-07-14T00:00:00" u="1"/>
        <d v="2013-06-18T00:00:00" u="1"/>
        <d v="2015-05-22T00:00:00" u="1"/>
        <d v="2017-04-26T00:00:00" u="1"/>
        <d v="2010-08-10T00:00:00" u="1"/>
        <d v="2014-06-18T00:00:00" u="1"/>
        <d v="2007-10-02T00:00:00" u="1"/>
        <d v="2015-06-18T00:00:00" u="1"/>
        <d v="2017-05-22T00:00:00" u="1"/>
        <d v="2010-09-06T00:00:00" u="1"/>
        <d v="2012-08-10T00:00:00" u="1"/>
        <d v="2014-07-14T00:00:00" u="1"/>
        <d v="2009-10-02T00:00:00" u="1"/>
        <d v="2011-09-06T00:00:00" u="1"/>
        <d v="2015-07-14T00:00:00" u="1"/>
        <d v="2012-09-06T00:00:00" u="1"/>
        <d v="2016-07-14T00:00:00" u="1"/>
        <d v="2015-08-10T00:00:00" u="1"/>
        <d v="2012-10-02T00:00:00" u="1"/>
        <d v="2016-08-10T00:00:00" u="1"/>
        <d v="2013-10-02T00:00:00" u="1"/>
        <d v="2017-08-10T00:00:00" u="1"/>
        <d v="2014-10-02T00:00:00" u="1"/>
        <d v="2015-10-02T00:00:00" u="1"/>
        <d v="2016-10-02T00:00:00" u="1"/>
        <d v="2018-09-06T00:00:00" u="1"/>
        <d v="2017-10-02T00:00:00" u="1"/>
        <d v="2018-10-02T00:00:00" u="1"/>
        <d v="2019-10-02T00:00:00" u="1"/>
        <d v="2006-04-28T00:00:00" u="1"/>
        <d v="2005-06-20T00:00:00" u="1"/>
        <d v="2009-04-28T00:00:00" u="1"/>
        <d v="2010-04-28T00:00:00" u="1"/>
        <d v="2007-06-20T00:00:00" u="1"/>
        <d v="2011-04-28T00:00:00" u="1"/>
        <d v="2008-06-20T00:00:00" u="1"/>
        <d v="2010-05-24T00:00:00" u="1"/>
        <d v="2007-07-16T00:00:00" u="1"/>
        <d v="2011-05-24T00:00:00" u="1"/>
        <d v="2013-04-28T00:00:00" u="1"/>
        <d v="2008-07-16T00:00:00" u="1"/>
        <d v="2009-07-16T00:00:00" u="1"/>
        <d v="2011-06-20T00:00:00" u="1"/>
        <d v="2008-08-12T00:00:00" u="1"/>
        <d v="2010-07-16T00:00:00" u="1"/>
        <d v="2012-06-20T00:00:00" u="1"/>
        <d v="2016-04-28T00:00:00" u="1"/>
        <d v="2009-08-12T00:00:00" u="1"/>
        <d v="2013-06-20T00:00:00" u="1"/>
        <d v="2017-04-28T00:00:00" u="1"/>
        <d v="2006-10-04T00:00:00" u="1"/>
        <d v="2008-09-08T00:00:00" u="1"/>
        <d v="2010-08-12T00:00:00" u="1"/>
        <d v="2012-07-16T00:00:00" u="1"/>
        <d v="2014-06-20T00:00:00" u="1"/>
        <d v="2016-05-24T00:00:00" u="1"/>
        <d v="2007-10-04T00:00:00" u="1"/>
        <d v="2009-09-08T00:00:00" u="1"/>
        <d v="2011-08-12T00:00:00" u="1"/>
        <d v="2013-07-16T00:00:00" u="1"/>
        <d v="2019-04-28T00:00:00" u="1"/>
        <d v="2010-09-08T00:00:00" u="1"/>
        <d v="2014-07-16T00:00:00" u="1"/>
        <d v="2018-05-24T00:00:00" u="1"/>
        <d v="2013-08-12T00:00:00" u="1"/>
        <d v="2015-07-16T00:00:00" u="1"/>
        <d v="2017-06-20T00:00:00" u="1"/>
        <d v="2010-10-04T00:00:00" u="1"/>
        <d v="2011-10-04T00:00:00" u="1"/>
        <d v="2012-10-04T00:00:00" u="1"/>
        <d v="2015-09-08T00:00:00" u="1"/>
        <d v="2016-09-08T00:00:00" u="1"/>
        <d v="2015-10-04T00:00:00" u="1"/>
        <d v="2016-10-04T00:00:00" u="1"/>
        <d v="2017-10-04T00:00:00" u="1"/>
        <d v="2007-04-30T00:00:00" u="1"/>
        <d v="2006-05-26T00:00:00" u="1"/>
        <d v="2008-04-30T00:00:00" u="1"/>
        <d v="2009-04-30T00:00:00" u="1"/>
        <d v="2010-04-30T00:00:00" u="1"/>
        <d v="2007-06-22T00:00:00" u="1"/>
        <d v="2009-05-26T00:00:00" u="1"/>
        <d v="2011-04-30T00:00:00" u="1"/>
        <d v="2010-05-26T00:00:00" u="1"/>
        <d v="2012-04-30T00:00:00" u="1"/>
        <d v="2009-06-22T00:00:00" u="1"/>
        <d v="2011-05-26T00:00:00" u="1"/>
        <d v="2013-04-30T00:00:00" u="1"/>
        <d v="2010-06-22T00:00:00" u="1"/>
        <d v="2014-04-30T00:00:00" u="1"/>
        <d v="2011-06-22T00:00:00" u="1"/>
        <d v="2015-04-30T00:00:00" u="1"/>
        <d v="2008-08-14T00:00:00" u="1"/>
        <d v="2012-06-22T00:00:00" u="1"/>
        <d v="2014-05-26T00:00:00" u="1"/>
        <d v="2016-04-30T00:00:00" u="1"/>
        <d v="2009-08-14T00:00:00" u="1"/>
        <d v="2011-07-18T00:00:00" u="1"/>
        <d v="2015-05-26T00:00:00" u="1"/>
        <d v="2017-04-30T00:00:00" u="1"/>
        <d v="2008-09-10T00:00:00" u="1"/>
        <d v="2012-07-18T00:00:00" u="1"/>
        <d v="2016-05-26T00:00:00" u="1"/>
        <d v="2018-04-30T00:00:00" u="1"/>
        <d v="2009-09-10T00:00:00" u="1"/>
        <d v="2013-07-18T00:00:00" u="1"/>
        <d v="2015-06-22T00:00:00" u="1"/>
        <d v="2017-05-26T00:00:00" u="1"/>
        <d v="2008-10-06T00:00:00" u="1"/>
        <d v="2010-09-10T00:00:00" u="1"/>
        <d v="2012-08-14T00:00:00" u="1"/>
        <d v="2014-07-18T00:00:00" u="1"/>
        <d v="2009-10-06T00:00:00" u="1"/>
        <d v="2011-09-10T00:00:00" u="1"/>
        <d v="2015-07-18T00:00:00" u="1"/>
        <d v="2017-06-22T00:00:00" u="1"/>
        <d v="2019-05-26T00:00:00" u="1"/>
        <d v="2010-10-06T00:00:00" u="1"/>
        <d v="2012-09-10T00:00:00" u="1"/>
        <d v="2014-08-14T00:00:00" u="1"/>
        <d v="2016-07-18T00:00:00" u="1"/>
        <d v="2009-11-02T00:00:00" u="1"/>
        <d v="2011-10-06T00:00:00" u="1"/>
        <d v="2013-09-10T00:00:00" u="1"/>
        <d v="2015-08-14T00:00:00" u="1"/>
        <d v="2010-11-02T00:00:00" u="1"/>
        <d v="2011-11-02T00:00:00" u="1"/>
        <d v="2017-08-14T00:00:00" u="1"/>
        <d v="2012-11-02T00:00:00" u="1"/>
        <d v="2014-10-06T00:00:00" u="1"/>
        <d v="2018-08-14T00:00:00" u="1"/>
        <d v="2017-09-10T00:00:00" u="1"/>
        <d v="2014-11-02T00:00:00" u="1"/>
        <d v="2017-10-06T00:00:00" u="1"/>
        <d v="2016-11-02T00:00:00" u="1"/>
        <d v="2017-11-02T00:00:00" u="1"/>
        <d v="2022-11-02T00:00:00" u="1"/>
        <d v="2008-06-24T00:00:00" u="1"/>
        <d v="2010-05-28T00:00:00" u="1"/>
        <d v="2009-06-24T00:00:00" u="1"/>
        <d v="2006-08-16T00:00:00" u="1"/>
        <d v="2010-06-24T00:00:00" u="1"/>
        <d v="2012-05-28T00:00:00" u="1"/>
        <d v="2007-08-16T00:00:00" u="1"/>
        <d v="2009-07-20T00:00:00" u="1"/>
        <d v="2011-06-24T00:00:00" u="1"/>
        <d v="2013-05-28T00:00:00" u="1"/>
        <d v="2010-07-20T00:00:00" u="1"/>
        <d v="2014-05-28T00:00:00" u="1"/>
        <d v="2007-09-12T00:00:00" u="1"/>
        <d v="2013-06-24T00:00:00" u="1"/>
        <d v="2008-09-12T00:00:00" u="1"/>
        <d v="2010-08-16T00:00:00" u="1"/>
        <d v="2014-06-24T00:00:00" u="1"/>
        <d v="2007-10-08T00:00:00" u="1"/>
        <d v="2011-08-16T00:00:00" u="1"/>
        <d v="2015-06-24T00:00:00" u="1"/>
        <d v="2008-10-08T00:00:00" u="1"/>
        <d v="2012-08-16T00:00:00" u="1"/>
        <d v="2009-10-08T00:00:00" u="1"/>
        <d v="2011-09-12T00:00:00" u="1"/>
        <d v="2013-08-16T00:00:00" u="1"/>
        <d v="2015-07-20T00:00:00" u="1"/>
        <d v="2010-10-08T00:00:00" u="1"/>
        <d v="2012-09-12T00:00:00" u="1"/>
        <d v="2016-07-20T00:00:00" u="1"/>
        <d v="2018-06-24T00:00:00" u="1"/>
        <d v="2009-11-04T00:00:00" u="1"/>
        <d v="2013-09-12T00:00:00" u="1"/>
        <d v="2010-11-04T00:00:00" u="1"/>
        <d v="2012-10-08T00:00:00" u="1"/>
        <d v="2014-09-12T00:00:00" u="1"/>
        <d v="2016-08-16T00:00:00" u="1"/>
        <d v="2011-11-04T00:00:00" u="1"/>
        <d v="2017-08-16T00:00:00" u="1"/>
        <d v="2012-11-04T00:00:00" u="1"/>
        <d v="2014-10-08T00:00:00" u="1"/>
        <d v="2016-09-12T00:00:00" u="1"/>
        <d v="2013-11-04T00:00:00" u="1"/>
        <d v="2015-10-08T00:00:00" u="1"/>
        <d v="2017-09-12T00:00:00" u="1"/>
        <d v="2014-11-04T00:00:00" u="1"/>
        <d v="2015-11-04T00:00:00" u="1"/>
        <d v="2017-10-08T00:00:00" u="1"/>
        <d v="2016-11-04T00:00:00" u="1"/>
        <d v="2018-10-08T00:00:00" u="1"/>
        <d v="2018-11-04T00:00:00" u="1"/>
        <d v="2019-11-04T00:00:00" u="1"/>
        <d v="2008-05-30T00:00:00" u="1"/>
        <d v="2009-05-30T00:00:00" u="1"/>
        <d v="2009-06-26T00:00:00" u="1"/>
        <d v="2011-05-30T00:00:00" u="1"/>
        <d v="2008-07-22T00:00:00" u="1"/>
        <d v="2012-05-30T00:00:00" u="1"/>
        <d v="2013-05-30T00:00:00" u="1"/>
        <d v="2008-08-18T00:00:00" u="1"/>
        <d v="2010-07-22T00:00:00" u="1"/>
        <d v="2012-06-26T00:00:00" u="1"/>
        <d v="2009-08-18T00:00:00" u="1"/>
        <d v="2011-07-22T00:00:00" u="1"/>
        <d v="2013-06-26T00:00:00" u="1"/>
        <d v="2006-10-10T00:00:00" u="1"/>
        <d v="2010-08-18T00:00:00" u="1"/>
        <d v="2016-05-30T00:00:00" u="1"/>
        <d v="2007-10-10T00:00:00" u="1"/>
        <d v="2009-09-14T00:00:00" u="1"/>
        <d v="2011-08-18T00:00:00" u="1"/>
        <d v="2015-06-26T00:00:00" u="1"/>
        <d v="2017-05-30T00:00:00" u="1"/>
        <d v="2006-11-06T00:00:00" u="1"/>
        <d v="2008-10-10T00:00:00" u="1"/>
        <d v="2010-09-14T00:00:00" u="1"/>
        <d v="2016-06-26T00:00:00" u="1"/>
        <d v="2007-11-06T00:00:00" u="1"/>
        <d v="2011-09-14T00:00:00" u="1"/>
        <d v="2013-08-18T00:00:00" u="1"/>
        <d v="2015-07-22T00:00:00" u="1"/>
        <d v="2017-06-26T00:00:00" u="1"/>
        <d v="2008-11-06T00:00:00" u="1"/>
        <d v="2012-09-14T00:00:00" u="1"/>
        <d v="2014-08-18T00:00:00" u="1"/>
        <d v="2020-05-30T00:00:00" u="1"/>
        <d v="2009-11-06T00:00:00" u="1"/>
        <d v="2011-10-10T00:00:00" u="1"/>
        <d v="2015-08-18T00:00:00" u="1"/>
        <d v="2008-12-02T00:00:00" u="1"/>
        <d v="2012-10-10T00:00:00" u="1"/>
        <d v="2016-08-18T00:00:00" u="1"/>
        <d v="2013-10-10T00:00:00" u="1"/>
        <d v="2015-09-14T00:00:00" u="1"/>
        <d v="2010-12-02T00:00:00" u="1"/>
        <d v="2012-11-06T00:00:00" u="1"/>
        <d v="2014-10-10T00:00:00" u="1"/>
        <d v="2016-09-14T00:00:00" u="1"/>
        <d v="2011-12-02T00:00:00" u="1"/>
        <d v="2013-11-06T00:00:00" u="1"/>
        <d v="2014-11-06T00:00:00" u="1"/>
        <d v="2018-09-14T00:00:00" u="1"/>
        <d v="2015-11-06T00:00:00" u="1"/>
        <d v="2017-10-10T00:00:00" u="1"/>
        <d v="2014-12-02T00:00:00" u="1"/>
        <d v="2016-11-06T00:00:00" u="1"/>
        <d v="2015-12-02T00:00:00" u="1"/>
        <d v="2016-12-02T00:00:00" u="1"/>
        <d v="2018-12-02T00:00:00" u="1"/>
        <d v="2022-12-02T00:00:00" u="1"/>
        <d v="2007-06-28T00:00:00" u="1"/>
        <d v="2006-07-24T00:00:00" u="1"/>
        <d v="2008-07-24T00:00:00" u="1"/>
        <d v="2010-06-28T00:00:00" u="1"/>
        <d v="2009-07-24T00:00:00" u="1"/>
        <d v="2011-06-28T00:00:00" u="1"/>
        <d v="2008-08-20T00:00:00" u="1"/>
        <d v="2009-08-20T00:00:00" u="1"/>
        <d v="2013-06-28T00:00:00" u="1"/>
        <d v="2008-09-16T00:00:00" u="1"/>
        <d v="2010-08-20T00:00:00" u="1"/>
        <d v="2009-09-16T00:00:00" u="1"/>
        <d v="2013-07-24T00:00:00" u="1"/>
        <d v="2010-09-16T00:00:00" u="1"/>
        <d v="2012-08-20T00:00:00" u="1"/>
        <d v="2016-06-28T00:00:00" u="1"/>
        <d v="2007-11-08T00:00:00" u="1"/>
        <d v="2009-10-12T00:00:00" u="1"/>
        <d v="2011-09-16T00:00:00" u="1"/>
        <d v="2017-06-28T00:00:00" u="1"/>
        <d v="2014-08-20T00:00:00" u="1"/>
        <d v="2007-12-04T00:00:00" u="1"/>
        <d v="2013-09-16T00:00:00" u="1"/>
        <d v="2015-08-20T00:00:00" u="1"/>
        <d v="2017-07-24T00:00:00" u="1"/>
        <d v="2008-12-04T00:00:00" u="1"/>
        <d v="2010-11-08T00:00:00" u="1"/>
        <d v="2012-10-12T00:00:00" u="1"/>
        <d v="2014-09-16T00:00:00" u="1"/>
        <d v="2009-12-04T00:00:00" u="1"/>
        <d v="2011-11-08T00:00:00" u="1"/>
        <d v="2015-09-16T00:00:00" u="1"/>
        <d v="2019-07-24T00:00:00" u="1"/>
        <d v="2012-11-08T00:00:00" u="1"/>
        <d v="2013-11-08T00:00:00" u="1"/>
        <d v="2017-09-16T00:00:00" u="1"/>
        <d v="2012-12-04T00:00:00" u="1"/>
        <d v="2016-10-12T00:00:00" u="1"/>
        <d v="2018-09-16T00:00:00" u="1"/>
        <d v="2013-12-04T00:00:00" u="1"/>
        <d v="2014-12-04T00:00:00" u="1"/>
        <d v="2016-11-08T00:00:00" u="1"/>
        <d v="2015-12-04T00:00:00" u="1"/>
        <d v="2017-11-08T00:00:00" u="1"/>
        <d v="2016-12-04T00:00:00" u="1"/>
        <d v="2018-11-08T00:00:00" u="1"/>
        <d v="2018-12-04T00:00:00" u="1"/>
        <d v="2019-12-04T00:00:00" u="1"/>
        <d v="2007-06-30T00:00:00" u="1"/>
        <d v="2008-06-30T00:00:00" u="1"/>
        <d v="2009-06-30T00:00:00" u="1"/>
        <d v="2010-06-30T00:00:00" u="1"/>
        <d v="2011-06-30T00:00:00" u="1"/>
        <d v="2010-07-26T00:00:00" u="1"/>
        <d v="2012-06-30T00:00:00" u="1"/>
        <d v="2007-09-18T00:00:00" u="1"/>
        <d v="2009-08-22T00:00:00" u="1"/>
        <d v="2011-07-26T00:00:00" u="1"/>
        <d v="2013-06-30T00:00:00" u="1"/>
        <d v="2012-07-26T00:00:00" u="1"/>
        <d v="2014-06-30T00:00:00" u="1"/>
        <d v="2009-09-18T00:00:00" u="1"/>
        <d v="2011-08-22T00:00:00" u="1"/>
        <d v="2013-07-26T00:00:00" u="1"/>
        <d v="2015-06-30T00:00:00" u="1"/>
        <d v="2008-10-14T00:00:00" u="1"/>
        <d v="2012-08-22T00:00:00" u="1"/>
        <d v="2016-06-30T00:00:00" u="1"/>
        <d v="2009-10-14T00:00:00" u="1"/>
        <d v="2013-08-22T00:00:00" u="1"/>
        <d v="2015-07-26T00:00:00" u="1"/>
        <d v="2017-06-30T00:00:00" u="1"/>
        <d v="2008-11-10T00:00:00" u="1"/>
        <d v="2010-10-14T00:00:00" u="1"/>
        <d v="2012-09-18T00:00:00" u="1"/>
        <d v="2014-08-22T00:00:00" u="1"/>
        <d v="2018-06-30T00:00:00" u="1"/>
        <d v="2009-11-10T00:00:00" u="1"/>
        <d v="2011-10-14T00:00:00" u="1"/>
        <d v="2015-08-22T00:00:00" u="1"/>
        <d v="2017-07-26T00:00:00" u="1"/>
        <d v="2008-12-06T00:00:00" u="1"/>
        <d v="2010-11-10T00:00:00" u="1"/>
        <d v="2014-09-18T00:00:00" u="1"/>
        <d v="2016-08-22T00:00:00" u="1"/>
        <d v="2013-10-14T00:00:00" u="1"/>
        <d v="2015-09-18T00:00:00" u="1"/>
        <d v="2014-10-14T00:00:00" u="1"/>
        <d v="2018-08-22T00:00:00" u="1"/>
        <d v="2015-10-14T00:00:00" u="1"/>
        <d v="2014-11-10T00:00:00" u="1"/>
        <d v="2016-10-14T00:00:00" u="1"/>
        <d v="2015-11-10T00:00:00" u="1"/>
        <d v="2016-11-10T00:00:00" u="1"/>
        <d v="2018-10-14T00:00:00" u="1"/>
        <d v="2017-11-10T00:00:00" u="1"/>
        <d v="2016-12-06T00:00:00" u="1"/>
        <d v="2017-12-06T00:00:00" u="1"/>
        <d v="2008-07-28T00:00:00" u="1"/>
        <d v="2007-09-20T00:00:00" u="1"/>
        <d v="2009-08-24T00:00:00" u="1"/>
        <d v="2006-10-16T00:00:00" u="1"/>
        <d v="2008-09-20T00:00:00" u="1"/>
        <d v="2010-08-24T00:00:00" u="1"/>
        <d v="2007-10-16T00:00:00" u="1"/>
        <d v="2008-10-16T00:00:00" u="1"/>
        <d v="2010-09-20T00:00:00" u="1"/>
        <d v="2012-08-24T00:00:00" u="1"/>
        <d v="2014-07-28T00:00:00" u="1"/>
        <d v="2007-11-12T00:00:00" u="1"/>
        <d v="2009-10-16T00:00:00" u="1"/>
        <d v="2011-09-20T00:00:00" u="1"/>
        <d v="2015-07-28T00:00:00" u="1"/>
        <d v="2008-11-12T00:00:00" u="1"/>
        <d v="2012-09-20T00:00:00" u="1"/>
        <d v="2009-11-12T00:00:00" u="1"/>
        <d v="2013-09-20T00:00:00" u="1"/>
        <d v="2015-08-24T00:00:00" u="1"/>
        <d v="2010-11-12T00:00:00" u="1"/>
        <d v="2012-10-16T00:00:00" u="1"/>
        <d v="2016-08-24T00:00:00" u="1"/>
        <d v="2018-07-28T00:00:00" u="1"/>
        <d v="2017-08-24T00:00:00" u="1"/>
        <d v="2012-11-12T00:00:00" u="1"/>
        <d v="2014-10-16T00:00:00" u="1"/>
        <d v="2016-09-20T00:00:00" u="1"/>
        <d v="2015-10-16T00:00:00" u="1"/>
        <d v="2017-09-20T00:00:00" u="1"/>
        <d v="2014-11-12T00:00:00" u="1"/>
        <d v="2015-11-12T00:00:00" u="1"/>
        <d v="2008-07-30T00:00:00" u="1"/>
        <d v="2009-07-30T00:00:00" u="1"/>
        <d v="2006-09-22T00:00:00" u="1"/>
        <d v="2008-08-26T00:00:00" u="1"/>
        <d v="2005-10-18T00:00:00" u="1"/>
        <d v="2009-08-26T00:00:00" u="1"/>
        <d v="2010-08-26T00:00:00" u="1"/>
        <d v="2007-10-18T00:00:00" u="1"/>
        <d v="2009-09-22T00:00:00" u="1"/>
        <d v="2011-08-26T00:00:00" u="1"/>
        <d v="2013-07-30T00:00:00" u="1"/>
        <d v="2010-09-22T00:00:00" u="1"/>
        <d v="2014-07-30T00:00:00" u="1"/>
        <d v="2007-11-14T00:00:00" u="1"/>
        <d v="2011-09-22T00:00:00" u="1"/>
        <d v="2013-08-26T00:00:00" u="1"/>
        <d v="2008-11-14T00:00:00" u="1"/>
        <d v="2010-10-18T00:00:00" u="1"/>
        <d v="2007-12-10T00:00:00" u="1"/>
        <d v="2011-10-18T00:00:00" u="1"/>
        <d v="2013-09-22T00:00:00" u="1"/>
        <d v="2015-08-26T00:00:00" u="1"/>
        <d v="2017-07-30T00:00:00" u="1"/>
        <d v="2008-12-10T00:00:00" u="1"/>
        <d v="2010-11-14T00:00:00" u="1"/>
        <d v="2012-10-18T00:00:00" u="1"/>
        <d v="2018-07-30T00:00:00" u="1"/>
        <d v="2009-12-10T00:00:00" u="1"/>
        <d v="2011-11-14T00:00:00" u="1"/>
        <d v="2013-10-18T00:00:00" u="1"/>
        <d v="2015-09-22T00:00:00" u="1"/>
        <d v="2010-12-10T00:00:00" u="1"/>
        <d v="2012-11-14T00:00:00" u="1"/>
        <d v="2014-10-18T00:00:00" u="1"/>
        <d v="2016-09-22T00:00:00" u="1"/>
        <d v="2011-12-10T00:00:00" u="1"/>
        <d v="2017-09-22T00:00:00" u="1"/>
        <d v="2012-12-10T00:00:00" u="1"/>
        <d v="2014-11-14T00:00:00" u="1"/>
        <d v="2016-10-18T00:00:00" u="1"/>
        <d v="2014-12-10T00:00:00" u="1"/>
        <d v="2016-11-14T00:00:00" u="1"/>
        <d v="2015-12-10T00:00:00" u="1"/>
        <d v="2018-11-14T00:00:00" u="1"/>
        <d v="2006-08-28T00:00:00" u="1"/>
        <d v="2007-08-28T00:00:00" u="1"/>
        <d v="2009-08-28T00:00:00" u="1"/>
        <d v="2008-09-24T00:00:00" u="1"/>
        <d v="2008-10-20T00:00:00" u="1"/>
        <d v="2010-09-24T00:00:00" u="1"/>
        <d v="2012-08-28T00:00:00" u="1"/>
        <d v="2007-11-16T00:00:00" u="1"/>
        <d v="2009-10-20T00:00:00" u="1"/>
        <d v="2010-10-20T00:00:00" u="1"/>
        <d v="2012-09-24T00:00:00" u="1"/>
        <d v="2007-12-12T00:00:00" u="1"/>
        <d v="2009-11-16T00:00:00" u="1"/>
        <d v="2011-10-20T00:00:00" u="1"/>
        <d v="2013-09-24T00:00:00" u="1"/>
        <d v="2015-08-28T00:00:00" u="1"/>
        <d v="2008-12-12T00:00:00" u="1"/>
        <d v="2010-11-16T00:00:00" u="1"/>
        <d v="2014-09-24T00:00:00" u="1"/>
        <d v="2011-11-16T00:00:00" u="1"/>
        <d v="2015-09-24T00:00:00" u="1"/>
        <d v="2012-11-16T00:00:00" u="1"/>
        <d v="2014-10-20T00:00:00" u="1"/>
        <d v="2015-10-20T00:00:00" u="1"/>
        <d v="2017-09-24T00:00:00" u="1"/>
        <d v="2012-12-12T00:00:00" u="1"/>
        <d v="2016-10-20T00:00:00" u="1"/>
        <d v="2018-09-24T00:00:00" u="1"/>
        <d v="2013-12-12T00:00:00" u="1"/>
        <d v="2015-11-16T00:00:00" u="1"/>
        <d v="2017-10-20T00:00:00" u="1"/>
        <d v="2016-11-16T00:00:00" u="1"/>
        <d v="2016-12-12T00:00:00" u="1"/>
        <d v="2017-12-12T00:00:00" u="1"/>
        <d v="2006-09-26T00:00:00" u="1"/>
        <d v="2011-08-30T00:00:00" u="1"/>
        <d v="2008-10-22T00:00:00" u="1"/>
        <d v="2012-08-30T00:00:00" u="1"/>
        <d v="2009-10-22T00:00:00" u="1"/>
        <d v="2011-09-26T00:00:00" u="1"/>
        <d v="2013-08-30T00:00:00" u="1"/>
        <d v="2008-11-18T00:00:00" u="1"/>
        <d v="2010-10-22T00:00:00" u="1"/>
        <d v="2012-09-26T00:00:00" u="1"/>
        <d v="2007-12-14T00:00:00" u="1"/>
        <d v="2009-11-18T00:00:00" u="1"/>
        <d v="2013-09-26T00:00:00" u="1"/>
        <d v="2010-11-18T00:00:00" u="1"/>
        <d v="2012-10-22T00:00:00" u="1"/>
        <d v="2014-09-26T00:00:00" u="1"/>
        <d v="2016-08-30T00:00:00" u="1"/>
        <d v="2011-11-18T00:00:00" u="1"/>
        <d v="2013-10-22T00:00:00" u="1"/>
        <d v="2017-08-30T00:00:00" u="1"/>
        <d v="2010-12-14T00:00:00" u="1"/>
        <d v="2016-09-26T00:00:00" u="1"/>
        <d v="2011-12-14T00:00:00" u="1"/>
        <d v="2013-11-18T00:00:00" u="1"/>
        <d v="2015-10-22T00:00:00" u="1"/>
        <d v="2012-12-14T00:00:00" u="1"/>
        <d v="2014-11-18T00:00:00" u="1"/>
        <d v="2016-10-22T00:00:00" u="1"/>
        <d v="2015-11-18T00:00:00" u="1"/>
        <d v="2018-10-22T00:00:00" u="1"/>
        <d v="2017-11-18T00:00:00" u="1"/>
        <d v="2016-12-14T00:00:00" u="1"/>
        <d v="2017-12-14T00:00:00" u="1"/>
        <d v="2006-09-28T00:00:00" u="1"/>
        <d v="2009-09-28T00:00:00" u="1"/>
        <d v="2008-10-24T00:00:00" u="1"/>
        <d v="2010-09-28T00:00:00" u="1"/>
        <d v="2005-12-16T00:00:00" u="1"/>
        <d v="2007-11-20T00:00:00" u="1"/>
        <d v="2008-11-20T00:00:00" u="1"/>
        <d v="2012-09-28T00:00:00" u="1"/>
        <d v="2009-11-20T00:00:00" u="1"/>
        <d v="2011-10-24T00:00:00" u="1"/>
        <d v="2008-12-16T00:00:00" u="1"/>
        <d v="2012-10-24T00:00:00" u="1"/>
        <d v="2009-12-16T00:00:00" u="1"/>
        <d v="2015-09-28T00:00:00" u="1"/>
        <d v="2010-12-16T00:00:00" u="1"/>
        <d v="2012-11-20T00:00:00" u="1"/>
        <d v="2014-10-24T00:00:00" u="1"/>
        <d v="2016-09-28T00:00:00" u="1"/>
        <d v="2011-12-16T00:00:00" u="1"/>
        <d v="2013-11-20T00:00:00" u="1"/>
        <d v="2014-11-20T00:00:00" u="1"/>
        <d v="2016-10-24T00:00:00" u="1"/>
        <d v="2013-12-16T00:00:00" u="1"/>
        <d v="2015-11-20T00:00:00" u="1"/>
        <d v="2017-10-24T00:00:00" u="1"/>
        <d v="2014-12-16T00:00:00" u="1"/>
        <d v="2015-12-16T00:00:00" u="1"/>
        <d v="2016-12-16T00:00:00" u="1"/>
        <d v="2018-11-20T00:00:00" u="1"/>
        <d v="2007-09-30T00:00:00" u="1"/>
        <d v="2008-09-30T00:00:00" u="1"/>
        <d v="2009-09-30T00:00:00" u="1"/>
        <d v="2006-11-22T00:00:00" u="1"/>
        <d v="2010-09-30T00:00:00" u="1"/>
        <d v="2007-11-22T00:00:00" u="1"/>
        <d v="2009-10-26T00:00:00" u="1"/>
        <d v="2011-09-30T00:00:00" u="1"/>
        <d v="2006-12-18T00:00:00" u="1"/>
        <d v="2010-10-26T00:00:00" u="1"/>
        <d v="2012-09-30T00:00:00" u="1"/>
        <d v="2007-12-18T00:00:00" u="1"/>
        <d v="2011-10-26T00:00:00" u="1"/>
        <d v="2013-09-30T00:00:00" u="1"/>
        <d v="2008-12-18T00:00:00" u="1"/>
        <d v="2012-10-26T00:00:00" u="1"/>
        <d v="2014-09-30T00:00:00" u="1"/>
        <d v="2009-12-18T00:00:00" u="1"/>
        <d v="2015-09-30T00:00:00" u="1"/>
        <d v="2010-12-18T00:00:00" u="1"/>
        <d v="2012-11-22T00:00:00" u="1"/>
        <d v="2014-10-26T00:00:00" u="1"/>
        <d v="2016-09-30T00:00:00" u="1"/>
        <d v="2013-11-22T00:00:00" u="1"/>
        <d v="2015-10-26T00:00:00" u="1"/>
        <d v="2017-09-30T00:00:00" u="1"/>
        <d v="2012-12-18T00:00:00" u="1"/>
        <d v="2018-09-30T00:00:00" u="1"/>
        <d v="2013-12-18T00:00:00" u="1"/>
        <d v="2014-12-18T00:00:00" u="1"/>
        <d v="2016-11-22T00:00:00" u="1"/>
        <d v="2015-12-18T00:00:00" u="1"/>
        <d v="2016-12-18T00:00:00" u="1"/>
        <d v="2008-10-28T00:00:00" u="1"/>
        <d v="2006-12-20T00:00:00" u="1"/>
        <d v="2008-11-24T00:00:00" u="1"/>
        <d v="2010-10-28T00:00:00" u="1"/>
        <d v="2007-12-20T00:00:00" u="1"/>
        <d v="2009-11-24T00:00:00" u="1"/>
        <d v="2011-10-28T00:00:00" u="1"/>
        <d v="2008-12-20T00:00:00" u="1"/>
        <d v="2010-11-24T00:00:00" u="1"/>
        <d v="2011-11-24T00:00:00" u="1"/>
        <d v="2010-12-20T00:00:00" u="1"/>
        <d v="2014-10-28T00:00:00" u="1"/>
        <d v="2014-11-24T00:00:00" u="1"/>
        <d v="2016-10-28T00:00:00" u="1"/>
        <d v="2015-12-20T00:00:00" u="1"/>
        <d v="2016-12-20T00:00:00" u="1"/>
        <d v="2017-12-20T00:00:00" u="1"/>
        <d v="2008-01-01T00:00:00" u="1"/>
        <d v="2020-11-24T00:00:00" u="1"/>
        <d v="2009-01-01T00:00:00" u="1"/>
        <d v="2010-01-01T00:00:00" u="1"/>
        <d v="2020-12-20T00:00:00" u="1"/>
        <d v="2014-01-01T00:00:00" u="1"/>
        <d v="2017-01-01T00:00:00" u="1"/>
        <d v="2018-01-01T00:00:00" u="1"/>
        <d v="2019-01-01T00:00:00" u="1"/>
        <d v="2008-10-30T00:00:00" u="1"/>
        <d v="2009-10-30T00:00:00" u="1"/>
        <d v="2010-10-30T00:00:00" u="1"/>
        <d v="2009-11-26T00:00:00" u="1"/>
        <d v="2008-12-22T00:00:00" u="1"/>
        <d v="2010-11-26T00:00:00" u="1"/>
        <d v="2012-10-30T00:00:00" u="1"/>
        <d v="2010-12-22T00:00:00" u="1"/>
        <d v="2014-10-30T00:00:00" u="1"/>
        <d v="2011-12-22T00:00:00" u="1"/>
        <d v="2013-11-26T00:00:00" u="1"/>
        <d v="2015-10-30T00:00:00" u="1"/>
        <d v="2014-11-26T00:00:00" u="1"/>
        <d v="2013-12-22T00:00:00" u="1"/>
        <d v="2015-11-26T00:00:00" u="1"/>
        <d v="2014-12-22T00:00:00" u="1"/>
        <d v="2016-11-26T00:00:00" u="1"/>
        <d v="2015-12-22T00:00:00" u="1"/>
        <d v="2017-11-26T00:00:00" u="1"/>
        <d v="2019-11-26T00:00:00" u="1"/>
        <d v="2008-01-03T00:00:00" u="1"/>
        <d v="2011-01-03T00:00:00" u="1"/>
        <d v="2012-01-03T00:00:00" u="1"/>
        <d v="2013-01-03T00:00:00" u="1"/>
        <d v="2014-01-03T00:00:00" u="1"/>
        <d v="2017-01-03T00:00:00" u="1"/>
        <d v="2018-01-03T00:00:00" u="1"/>
        <d v="2008-11-28T00:00:00" u="1"/>
        <d v="2011-11-28T00:00:00" u="1"/>
        <d v="2010-12-24T00:00:00" u="1"/>
        <d v="2013-11-28T00:00:00" u="1"/>
        <d v="2012-12-24T00:00:00" u="1"/>
        <d v="2014-11-28T00:00:00" u="1"/>
        <d v="2013-12-24T00:00:00" u="1"/>
        <d v="2014-12-24T00:00:00" u="1"/>
        <d v="2016-11-28T00:00:00" u="1"/>
        <d v="2007-01-05T00:00:00" u="1"/>
        <d v="2008-02-01T00:00:00" u="1"/>
        <d v="2010-01-05T00:00:00" u="1"/>
        <d v="2011-01-05T00:00:00" u="1"/>
        <d v="2010-02-01T00:00:00" u="1"/>
        <d v="2012-01-05T00:00:00" u="1"/>
        <d v="2011-02-01T00:00:00" u="1"/>
        <d v="2013-01-05T00:00:00" u="1"/>
        <d v="2013-02-01T00:00:00" u="1"/>
        <d v="2015-01-05T00:00:00" u="1"/>
        <d v="2016-02-01T00:00:00" u="1"/>
        <d v="2018-01-05T00:00:00" u="1"/>
        <d v="2017-02-01T00:00:00" u="1"/>
        <d v="2018-02-01T00:00:00" u="1"/>
        <d v="2021-02-01T00:00:00" u="1"/>
        <d v="2022-02-01T00:00:00" u="1"/>
        <d v="2006-11-30T00:00:00" u="1"/>
        <d v="2007-11-30T00:00:00" u="1"/>
        <d v="2008-11-30T00:00:00" u="1"/>
        <d v="2009-11-30T00:00:00" u="1"/>
        <d v="2008-12-26T00:00:00" u="1"/>
        <d v="2010-11-30T00:00:00" u="1"/>
        <d v="2011-11-30T00:00:00" u="1"/>
        <d v="2012-11-30T00:00:00" u="1"/>
        <d v="2013-11-30T00:00:00" u="1"/>
        <d v="2012-12-26T00:00:00" u="1"/>
        <d v="2014-11-30T00:00:00" u="1"/>
        <d v="2015-11-30T00:00:00" u="1"/>
        <d v="2016-11-30T00:00:00" u="1"/>
        <d v="2017-11-30T00:00:00" u="1"/>
        <d v="2008-01-07T00:00:00" u="1"/>
        <d v="2009-01-07T00:00:00" u="1"/>
        <d v="2010-01-07T00:00:00" u="1"/>
        <d v="2009-02-03T00:00:00" u="1"/>
        <d v="2011-01-07T00:00:00" u="1"/>
        <d v="2011-02-03T00:00:00" u="1"/>
        <d v="2013-01-07T00:00:00" u="1"/>
        <d v="2014-01-07T00:00:00" u="1"/>
        <d v="2015-01-07T00:00:00" u="1"/>
        <d v="2014-02-03T00:00:00" u="1"/>
        <d v="2016-01-07T00:00:00" u="1"/>
        <d v="2016-02-03T00:00:00" u="1"/>
        <d v="2017-02-03T00:00:00" u="1"/>
        <d v="2019-01-07T00:00:00" u="1"/>
        <d v="2020-01-07T00:00:00" u="1"/>
        <d v="2019-02-03T00:00:00" u="1"/>
        <d v="2020-02-03T00:00:00" u="1"/>
        <d v="2009-12-28T00:00:00" u="1"/>
        <d v="2010-12-28T00:00:00" u="1"/>
        <d v="2011-12-28T00:00:00" u="1"/>
        <d v="2015-12-28T00:00:00" u="1"/>
        <d v="2017-12-28T00:00:00" u="1"/>
        <d v="2007-02-05T00:00:00" u="1"/>
        <d v="2009-01-09T00:00:00" u="1"/>
        <d v="2008-02-05T00:00:00" u="1"/>
        <d v="2009-02-05T00:00:00" u="1"/>
        <d v="2008-03-01T00:00:00" u="1"/>
        <d v="2010-02-05T00:00:00" u="1"/>
        <d v="2012-01-09T00:00:00" u="1"/>
        <d v="2013-01-09T00:00:00" u="1"/>
        <d v="2010-03-01T00:00:00" u="1"/>
        <d v="2012-02-05T00:00:00" u="1"/>
        <d v="2014-01-09T00:00:00" u="1"/>
        <d v="2011-03-01T00:00:00" u="1"/>
        <d v="2013-02-05T00:00:00" u="1"/>
        <d v="2012-03-01T00:00:00" u="1"/>
        <d v="2014-02-05T00:00:00" u="1"/>
        <d v="2013-03-01T00:00:00" u="1"/>
        <d v="2015-02-05T00:00:00" u="1"/>
        <d v="2017-01-09T00:00:00" u="1"/>
        <d v="2016-02-05T00:00:00" u="1"/>
        <d v="2018-01-09T00:00:00" u="1"/>
        <d v="2019-01-09T00:00:00" u="1"/>
        <d v="2016-03-01T00:00:00" u="1"/>
        <d v="2018-02-05T00:00:00" u="1"/>
        <d v="2020-01-09T00:00:00" u="1"/>
        <d v="2017-03-01T00:00:00" u="1"/>
        <d v="2022-03-01T00:00:00" u="1"/>
        <d v="2008-12-30T00:00:00" u="1"/>
        <d v="2009-12-30T00:00:00" u="1"/>
        <d v="2010-12-30T00:00:00" u="1"/>
        <d v="2011-12-30T00:00:00" u="1"/>
        <d v="2013-12-30T00:00:00" u="1"/>
        <d v="2015-12-30T00:00:00" u="1"/>
        <d v="2016-12-30T00:00:00" u="1"/>
        <d v="2005-02-07T00:00:00" u="1"/>
        <d v="2008-01-11T00:00:00" u="1"/>
        <d v="2009-01-11T00:00:00" u="1"/>
        <d v="2008-02-07T00:00:00" u="1"/>
        <d v="2010-01-11T00:00:00" u="1"/>
        <d v="2011-01-11T00:00:00" u="1"/>
        <d v="2008-03-03T00:00:00" u="1"/>
        <d v="2012-01-11T00:00:00" u="1"/>
        <d v="2009-03-03T00:00:00" u="1"/>
        <d v="2010-03-03T00:00:00" u="1"/>
        <d v="2012-02-07T00:00:00" u="1"/>
        <d v="2014-01-11T00:00:00" u="1"/>
        <d v="2011-03-03T00:00:00" u="1"/>
        <d v="2013-02-07T00:00:00" u="1"/>
        <d v="2016-01-11T00:00:00" u="1"/>
        <d v="2015-02-07T00:00:00" u="1"/>
        <d v="2017-01-11T00:00:00" u="1"/>
        <d v="2014-03-03T00:00:00" u="1"/>
        <d v="2018-01-11T00:00:00" u="1"/>
        <d v="2015-03-03T00:00:00" u="1"/>
        <d v="2017-02-07T00:00:00" u="1"/>
        <d v="2016-03-03T00:00:00" u="1"/>
        <d v="2017-03-03T00:00:00" u="1"/>
        <d v="2019-03-03T00:00:00" u="1"/>
        <d v="2020-03-03T00:00:00" u="1"/>
        <d v="2009-01-13T00:00:00" u="1"/>
        <d v="2010-01-13T00:00:00" u="1"/>
        <d v="2009-02-09T00:00:00" u="1"/>
        <d v="2011-01-13T00:00:00" u="1"/>
        <d v="2008-03-05T00:00:00" u="1"/>
        <d v="2010-02-09T00:00:00" u="1"/>
        <d v="2012-01-13T00:00:00" u="1"/>
        <d v="2007-04-01T00:00:00" u="1"/>
        <d v="2009-03-05T00:00:00" u="1"/>
        <d v="2011-02-09T00:00:00" u="1"/>
        <d v="2008-04-01T00:00:00" u="1"/>
        <d v="2010-03-05T00:00:00" u="1"/>
        <d v="2012-02-09T00:00:00" u="1"/>
        <d v="2009-04-01T00:00:00" u="1"/>
        <d v="2011-03-05T00:00:00" u="1"/>
        <d v="2015-01-13T00:00:00" u="1"/>
        <d v="2010-04-01T00:00:00" u="1"/>
        <d v="2012-03-05T00:00:00" u="1"/>
        <d v="2016-01-13T00:00:00" u="1"/>
        <d v="2011-04-01T00:00:00" u="1"/>
        <d v="2013-03-05T00:00:00" u="1"/>
        <d v="2015-02-09T00:00:00" u="1"/>
        <d v="2017-01-13T00:00:00" u="1"/>
        <d v="2012-04-01T00:00:00" u="1"/>
        <d v="2014-03-05T00:00:00" u="1"/>
        <d v="2017-02-09T00:00:00" u="1"/>
        <d v="2014-04-01T00:00:00" u="1"/>
        <d v="2018-03-05T00:00:00" u="1"/>
        <d v="2017-04-01T00:00:00" u="1"/>
        <d v="2019-03-05T00:00:00" u="1"/>
        <d v="2018-04-01T00:00:00" u="1"/>
        <d v="2020-04-01T00:00:00" u="1"/>
        <d v="2007-01-15T00:00:00" u="1"/>
        <d v="2009-01-15T00:00:00" u="1"/>
        <d v="2008-02-11T00:00:00" u="1"/>
        <d v="2010-01-15T00:00:00" u="1"/>
        <d v="2009-02-11T00:00:00" u="1"/>
        <d v="2008-03-07T00:00:00" u="1"/>
        <d v="2010-02-11T00:00:00" u="1"/>
        <d v="2011-02-11T00:00:00" u="1"/>
        <d v="2013-01-15T00:00:00" u="1"/>
        <d v="2008-04-03T00:00:00" u="1"/>
        <d v="2014-01-15T00:00:00" u="1"/>
        <d v="2009-04-03T00:00:00" u="1"/>
        <d v="2011-03-07T00:00:00" u="1"/>
        <d v="2013-02-11T00:00:00" u="1"/>
        <d v="2012-03-07T00:00:00" u="1"/>
        <d v="2014-02-11T00:00:00" u="1"/>
        <d v="2016-01-15T00:00:00" u="1"/>
        <d v="2013-03-07T00:00:00" u="1"/>
        <d v="2012-04-03T00:00:00" u="1"/>
        <d v="2016-02-11T00:00:00" u="1"/>
        <d v="2013-04-03T00:00:00" u="1"/>
        <d v="2019-01-15T00:00:00" u="1"/>
        <d v="2014-04-03T00:00:00" u="1"/>
        <d v="2016-03-07T00:00:00" u="1"/>
        <d v="2017-03-07T00:00:00" u="1"/>
        <d v="2018-03-07T00:00:00" u="1"/>
        <d v="2017-04-03T00:00:00" u="1"/>
        <d v="2018-04-03T00:00:00" u="1"/>
        <d v="2008-01-17T00:00:00" u="1"/>
        <d v="2005-03-09T00:00:00" u="1"/>
        <d v="2007-02-13T00:00:00" u="1"/>
        <d v="2008-02-13T00:00:00" u="1"/>
        <d v="2007-03-09T00:00:00" u="1"/>
        <d v="2009-02-13T00:00:00" u="1"/>
        <d v="2011-01-17T00:00:00" u="1"/>
        <d v="2012-01-17T00:00:00" u="1"/>
        <d v="2009-03-09T00:00:00" u="1"/>
        <d v="2013-01-17T00:00:00" u="1"/>
        <d v="2010-03-09T00:00:00" u="1"/>
        <d v="2012-02-13T00:00:00" u="1"/>
        <d v="2014-01-17T00:00:00" u="1"/>
        <d v="2007-05-01T00:00:00" u="1"/>
        <d v="2011-03-09T00:00:00" u="1"/>
        <d v="2013-02-13T00:00:00" u="1"/>
        <d v="2008-05-01T00:00:00" u="1"/>
        <d v="2012-03-09T00:00:00" u="1"/>
        <d v="2014-02-13T00:00:00" u="1"/>
        <d v="2009-05-01T00:00:00" u="1"/>
        <d v="2011-04-05T00:00:00" u="1"/>
        <d v="2015-02-13T00:00:00" u="1"/>
        <d v="2017-01-17T00:00:00" u="1"/>
        <d v="2010-05-01T00:00:00" u="1"/>
        <d v="2014-03-09T00:00:00" u="1"/>
        <d v="2018-01-17T00:00:00" u="1"/>
        <d v="2013-04-05T00:00:00" u="1"/>
        <d v="2015-03-09T00:00:00" u="1"/>
        <d v="2017-02-13T00:00:00" u="1"/>
        <d v="2012-05-01T00:00:00" u="1"/>
        <d v="2014-04-05T00:00:00" u="1"/>
        <d v="2016-03-09T00:00:00" u="1"/>
        <d v="2018-02-13T00:00:00" u="1"/>
        <d v="2016-04-05T00:00:00" u="1"/>
        <d v="2016-05-01T00:00:00" u="1"/>
        <d v="2017-05-01T00:00:00" u="1"/>
        <d v="2018-05-01T00:00:00" u="1"/>
        <d v="2006-02-15T00:00:00" u="1"/>
        <d v="2005-03-11T00:00:00" u="1"/>
        <d v="2007-02-15T00:00:00" u="1"/>
        <d v="2009-01-19T00:00:00" u="1"/>
        <d v="2010-01-19T00:00:00" u="1"/>
        <d v="2006-04-07T00:00:00" u="1"/>
        <d v="2008-03-11T00:00:00" u="1"/>
        <d v="2010-02-15T00:00:00" u="1"/>
        <d v="2012-01-19T00:00:00" u="1"/>
        <d v="2009-03-11T00:00:00" u="1"/>
        <d v="2011-02-15T00:00:00" u="1"/>
        <d v="2006-05-03T00:00:00" u="1"/>
        <d v="2008-04-07T00:00:00" u="1"/>
        <d v="2010-03-11T00:00:00" u="1"/>
        <d v="2012-02-15T00:00:00" u="1"/>
        <d v="2009-04-07T00:00:00" u="1"/>
        <d v="2011-03-11T00:00:00" u="1"/>
        <d v="2013-02-15T00:00:00" u="1"/>
        <d v="2015-01-19T00:00:00" u="1"/>
        <d v="2010-04-07T00:00:00" u="1"/>
        <d v="2014-02-15T00:00:00" u="1"/>
        <d v="2016-01-19T00:00:00" u="1"/>
        <d v="2011-04-07T00:00:00" u="1"/>
        <d v="2013-03-11T00:00:00" u="1"/>
        <d v="2017-01-19T00:00:00" u="1"/>
        <d v="2010-05-03T00:00:00" u="1"/>
        <d v="2014-03-11T00:00:00" u="1"/>
        <d v="2016-02-15T00:00:00" u="1"/>
        <d v="2011-05-03T00:00:00" u="1"/>
        <d v="2015-03-11T00:00:00" u="1"/>
        <d v="2017-02-15T00:00:00" u="1"/>
        <d v="2012-05-03T00:00:00" u="1"/>
        <d v="2014-04-07T00:00:00" u="1"/>
        <d v="2016-03-11T00:00:00" u="1"/>
        <d v="2018-02-15T00:00:00" u="1"/>
        <d v="2013-05-03T00:00:00" u="1"/>
        <d v="2015-04-07T00:00:00" u="1"/>
        <d v="2016-04-07T00:00:00" u="1"/>
        <d v="2017-04-07T00:00:00" u="1"/>
        <d v="2016-05-03T00:00:00" u="1"/>
        <d v="2017-05-03T00:00:00" u="1"/>
        <d v="2018-05-03T00:00:00" u="1"/>
        <d v="2020-05-03T00:00:00" u="1"/>
        <d v="2008-01-21T00:00:00" u="1"/>
        <d v="2009-01-21T00:00:00" u="1"/>
        <d v="2010-01-21T00:00:00" u="1"/>
        <d v="2007-03-13T00:00:00" u="1"/>
        <d v="2009-02-17T00:00:00" u="1"/>
        <d v="2011-01-21T00:00:00" u="1"/>
        <d v="2008-03-13T00:00:00" u="1"/>
        <d v="2010-02-17T00:00:00" u="1"/>
        <d v="2009-03-13T00:00:00" u="1"/>
        <d v="2011-02-17T00:00:00" u="1"/>
        <d v="2008-04-09T00:00:00" u="1"/>
        <d v="2012-02-17T00:00:00" u="1"/>
        <d v="2014-01-21T00:00:00" u="1"/>
        <d v="2009-04-09T00:00:00" u="1"/>
        <d v="2011-03-13T00:00:00" u="1"/>
        <d v="2013-02-17T00:00:00" u="1"/>
        <d v="2015-01-21T00:00:00" u="1"/>
        <d v="2008-05-05T00:00:00" u="1"/>
        <d v="2010-04-09T00:00:00" u="1"/>
        <d v="2012-03-13T00:00:00" u="1"/>
        <d v="2014-02-17T00:00:00" u="1"/>
        <d v="2016-01-21T00:00:00" u="1"/>
        <d v="2007-06-01T00:00:00" u="1"/>
        <d v="2009-05-05T00:00:00" u="1"/>
        <d v="2011-04-09T00:00:00" u="1"/>
        <d v="2013-03-13T00:00:00" u="1"/>
        <d v="2015-02-17T00:00:00" u="1"/>
        <d v="2010-05-05T00:00:00" u="1"/>
        <d v="2014-03-13T00:00:00" u="1"/>
        <d v="2016-02-17T00:00:00" u="1"/>
        <d v="2009-06-01T00:00:00" u="1"/>
        <d v="2011-05-05T00:00:00" u="1"/>
        <d v="2013-04-09T00:00:00" u="1"/>
        <d v="2015-03-13T00:00:00" u="1"/>
        <d v="2017-02-17T00:00:00" u="1"/>
        <d v="2010-06-01T00:00:00" u="1"/>
        <d v="2014-04-09T00:00:00" u="1"/>
        <d v="2011-06-01T00:00:00" u="1"/>
        <d v="2015-04-09T00:00:00" u="1"/>
        <d v="2017-03-13T00:00:00" u="1"/>
        <d v="2012-06-01T00:00:00" u="1"/>
        <d v="2014-05-05T00:00:00" u="1"/>
        <d v="2018-03-13T00:00:00" u="1"/>
        <d v="2015-05-05T00:00:00" u="1"/>
        <d v="2015-06-01T00:00:00" u="1"/>
        <d v="2017-05-05T00:00:00" u="1"/>
        <d v="2017-06-01T00:00:00" u="1"/>
        <d v="2007-02-19T00:00:00" u="1"/>
        <d v="2009-01-23T00:00:00" u="1"/>
        <d v="2009-02-19T00:00:00" u="1"/>
        <d v="2010-02-19T00:00:00" u="1"/>
        <d v="2012-01-23T00:00:00" u="1"/>
        <d v="2013-01-23T00:00:00" u="1"/>
        <d v="2008-04-11T00:00:00" u="1"/>
        <d v="2010-03-15T00:00:00" u="1"/>
        <d v="2012-02-19T00:00:00" u="1"/>
        <d v="2014-01-23T00:00:00" u="1"/>
        <d v="2013-02-19T00:00:00" u="1"/>
        <d v="2015-01-23T00:00:00" u="1"/>
        <d v="2008-05-07T00:00:00" u="1"/>
        <d v="2014-02-19T00:00:00" u="1"/>
        <d v="2009-05-07T00:00:00" u="1"/>
        <d v="2011-04-11T00:00:00" u="1"/>
        <d v="2017-01-23T00:00:00" u="1"/>
        <d v="2008-06-03T00:00:00" u="1"/>
        <d v="2012-04-11T00:00:00" u="1"/>
        <d v="2016-02-19T00:00:00" u="1"/>
        <d v="2018-01-23T00:00:00" u="1"/>
        <d v="2009-06-03T00:00:00" u="1"/>
        <d v="2013-04-11T00:00:00" u="1"/>
        <d v="2015-03-15T00:00:00" u="1"/>
        <d v="2017-02-19T00:00:00" u="1"/>
        <d v="2019-01-23T00:00:00" u="1"/>
        <d v="2010-06-03T00:00:00" u="1"/>
        <d v="2012-05-07T00:00:00" u="1"/>
        <d v="2014-04-11T00:00:00" u="1"/>
        <d v="2016-03-15T00:00:00" u="1"/>
        <d v="2011-06-03T00:00:00" u="1"/>
        <d v="2013-05-07T00:00:00" u="1"/>
        <d v="2017-03-15T00:00:00" u="1"/>
        <d v="2014-05-07T00:00:00" u="1"/>
        <d v="2016-04-11T00:00:00" u="1"/>
        <d v="2013-06-03T00:00:00" u="1"/>
        <d v="2014-06-03T00:00:00" u="1"/>
        <d v="2018-04-11T00:00:00" u="1"/>
        <d v="2015-06-03T00:00:00" u="1"/>
        <d v="2018-06-03T00:00:00" u="1"/>
        <d v="2009-01-25T00:00:00" u="1"/>
        <d v="2008-02-21T00:00:00" u="1"/>
        <d v="2010-01-25T00:00:00" u="1"/>
        <d v="2012-01-25T00:00:00" u="1"/>
        <d v="2009-03-17T00:00:00" u="1"/>
        <d v="2011-02-21T00:00:00" u="1"/>
        <d v="2013-01-25T00:00:00" u="1"/>
        <d v="2012-02-21T00:00:00" u="1"/>
        <d v="2014-01-25T00:00:00" u="1"/>
        <d v="2009-04-13T00:00:00" u="1"/>
        <d v="2011-03-17T00:00:00" u="1"/>
        <d v="2013-02-21T00:00:00" u="1"/>
        <d v="2015-01-25T00:00:00" u="1"/>
        <d v="2006-06-05T00:00:00" u="1"/>
        <d v="2008-05-09T00:00:00" u="1"/>
        <d v="2014-02-21T00:00:00" u="1"/>
        <d v="2011-04-13T00:00:00" u="1"/>
        <d v="2015-02-21T00:00:00" u="1"/>
        <d v="2008-06-05T00:00:00" u="1"/>
        <d v="2012-04-13T00:00:00" u="1"/>
        <d v="2014-03-17T00:00:00" u="1"/>
        <d v="2018-01-25T00:00:00" u="1"/>
        <d v="2007-07-01T00:00:00" u="1"/>
        <d v="2009-06-05T00:00:00" u="1"/>
        <d v="2011-05-09T00:00:00" u="1"/>
        <d v="2013-04-13T00:00:00" u="1"/>
        <d v="2015-03-17T00:00:00" u="1"/>
        <d v="2017-02-21T00:00:00" u="1"/>
        <d v="2008-07-01T00:00:00" u="1"/>
        <d v="2016-03-17T00:00:00" u="1"/>
        <d v="2013-05-09T00:00:00" u="1"/>
        <d v="2015-04-13T00:00:00" u="1"/>
        <d v="2021-01-25T00:00:00" u="1"/>
        <d v="2010-07-01T00:00:00" u="1"/>
        <d v="2012-06-05T00:00:00" u="1"/>
        <d v="2014-05-09T00:00:00" u="1"/>
        <d v="2016-04-13T00:00:00" u="1"/>
        <d v="2018-03-17T00:00:00" u="1"/>
        <d v="2011-07-01T00:00:00" u="1"/>
        <d v="2013-06-05T00:00:00" u="1"/>
        <d v="2021-02-21T00:00:00" u="1"/>
        <d v="2012-07-01T00:00:00" u="1"/>
        <d v="2014-06-05T00:00:00" u="1"/>
        <d v="2016-05-09T00:00:00" u="1"/>
        <d v="2013-07-01T00:00:00" u="1"/>
        <d v="2015-06-05T00:00:00" u="1"/>
        <d v="2014-07-01T00:00:00" u="1"/>
        <d v="2016-06-05T00:00:00" u="1"/>
        <d v="2018-05-09T00:00:00" u="1"/>
        <d v="2015-07-01T00:00:00" u="1"/>
        <d v="2016-07-01T00:00:00" u="1"/>
        <d v="2017-07-01T00:00:00" u="1"/>
        <d v="2018-07-01T00:00:00" u="1"/>
        <d v="2010-01-27T00:00:00" u="1"/>
        <d v="2007-03-19T00:00:00" u="1"/>
        <d v="2009-02-23T00:00:00" u="1"/>
        <d v="2011-01-27T00:00:00" u="1"/>
        <d v="2008-03-19T00:00:00" u="1"/>
        <d v="2010-02-23T00:00:00" u="1"/>
        <d v="2012-01-27T00:00:00" u="1"/>
        <d v="2009-03-19T00:00:00" u="1"/>
        <d v="2011-02-23T00:00:00" u="1"/>
        <d v="2008-04-15T00:00:00" u="1"/>
        <d v="2010-03-19T00:00:00" u="1"/>
        <d v="2012-02-23T00:00:00" u="1"/>
        <d v="2014-01-27T00:00:00" u="1"/>
        <d v="2009-04-15T00:00:00" u="1"/>
        <d v="2015-01-27T00:00:00" u="1"/>
        <d v="2010-04-15T00:00:00" u="1"/>
        <d v="2012-03-19T00:00:00" u="1"/>
        <d v="2016-01-27T00:00:00" u="1"/>
        <d v="2007-06-07T00:00:00" u="1"/>
        <d v="2009-05-11T00:00:00" u="1"/>
        <d v="2011-04-15T00:00:00" u="1"/>
        <d v="2013-03-19T00:00:00" u="1"/>
        <d v="2015-02-23T00:00:00" u="1"/>
        <d v="2010-05-11T00:00:00" u="1"/>
        <d v="2012-04-15T00:00:00" u="1"/>
        <d v="2014-03-19T00:00:00" u="1"/>
        <d v="2016-02-23T00:00:00" u="1"/>
        <d v="2011-05-11T00:00:00" u="1"/>
        <d v="2013-04-15T00:00:00" u="1"/>
        <d v="2015-03-19T00:00:00" u="1"/>
        <d v="2017-02-23T00:00:00" u="1"/>
        <d v="2008-07-03T00:00:00" u="1"/>
        <d v="2010-06-07T00:00:00" u="1"/>
        <d v="2012-05-11T00:00:00" u="1"/>
        <d v="2014-04-15T00:00:00" u="1"/>
        <d v="2016-03-19T00:00:00" u="1"/>
        <d v="2018-02-23T00:00:00" u="1"/>
        <d v="2011-06-07T00:00:00" u="1"/>
        <d v="2015-04-15T00:00:00" u="1"/>
        <d v="2017-03-19T00:00:00" u="1"/>
        <d v="2012-06-07T00:00:00" u="1"/>
        <d v="2016-04-15T00:00:00" u="1"/>
        <d v="2018-03-19T00:00:00" u="1"/>
        <d v="2013-06-07T00:00:00" u="1"/>
        <d v="2015-05-11T00:00:00" u="1"/>
        <d v="2012-07-03T00:00:00" u="1"/>
        <d v="2016-05-11T00:00:00" u="1"/>
        <d v="2013-07-03T00:00:00" u="1"/>
        <d v="2014-07-03T00:00:00" u="1"/>
        <d v="2016-06-07T00:00:00" u="1"/>
        <d v="2022-03-19T00:00:00" u="1"/>
        <d v="2015-07-03T00:00:00" u="1"/>
        <d v="2017-06-07T00:00:00" u="1"/>
        <d v="2017-07-03T00:00:00" u="1"/>
        <d v="2019-07-03T00:00:00" u="1"/>
        <d v="2008-01-29T00:00:00" u="1"/>
        <d v="2009-01-29T00:00:00" u="1"/>
        <d v="2010-01-29T00:00:00" u="1"/>
        <d v="2009-02-25T00:00:00" u="1"/>
        <d v="2008-03-21T00:00:00" u="1"/>
        <d v="2010-02-25T00:00:00" u="1"/>
        <d v="2007-04-17T00:00:00" u="1"/>
        <d v="2011-02-25T00:00:00" u="1"/>
        <d v="2013-01-29T00:00:00" u="1"/>
        <d v="2008-04-17T00:00:00" u="1"/>
        <d v="2009-04-17T00:00:00" u="1"/>
        <d v="2011-03-21T00:00:00" u="1"/>
        <d v="2013-02-25T00:00:00" u="1"/>
        <d v="2015-01-29T00:00:00" u="1"/>
        <d v="2008-05-13T00:00:00" u="1"/>
        <d v="2014-02-25T00:00:00" u="1"/>
        <d v="2009-05-13T00:00:00" u="1"/>
        <d v="2013-03-21T00:00:00" u="1"/>
        <d v="2015-02-25T00:00:00" u="1"/>
        <d v="2017-01-29T00:00:00" u="1"/>
        <d v="2006-07-05T00:00:00" u="1"/>
        <d v="2008-06-09T00:00:00" u="1"/>
        <d v="2010-05-13T00:00:00" u="1"/>
        <d v="2012-04-17T00:00:00" u="1"/>
        <d v="2014-03-21T00:00:00" u="1"/>
        <d v="2007-07-05T00:00:00" u="1"/>
        <d v="2009-06-09T00:00:00" u="1"/>
        <d v="2011-05-13T00:00:00" u="1"/>
        <d v="2013-04-17T00:00:00" u="1"/>
        <d v="2017-02-25T00:00:00" u="1"/>
        <d v="2010-06-09T00:00:00" u="1"/>
        <d v="2016-03-21T00:00:00" u="1"/>
        <d v="2007-08-01T00:00:00" u="1"/>
        <d v="2011-06-09T00:00:00" u="1"/>
        <d v="2013-05-13T00:00:00" u="1"/>
        <d v="2017-03-21T00:00:00" u="1"/>
        <d v="2019-02-25T00:00:00" u="1"/>
        <d v="2008-08-01T00:00:00" u="1"/>
        <d v="2010-07-05T00:00:00" u="1"/>
        <d v="2016-04-17T00:00:00" u="1"/>
        <d v="2009-08-01T00:00:00" u="1"/>
        <d v="2011-07-05T00:00:00" u="1"/>
        <d v="2017-04-17T00:00:00" u="1"/>
        <d v="2010-08-01T00:00:00" u="1"/>
        <d v="2012-07-05T00:00:00" u="1"/>
        <d v="2014-06-09T00:00:00" u="1"/>
        <d v="2011-08-01T00:00:00" u="1"/>
        <d v="2013-07-05T00:00:00" u="1"/>
        <d v="2015-06-09T00:00:00" u="1"/>
        <d v="2016-06-09T00:00:00" u="1"/>
        <d v="2013-08-01T00:00:00" u="1"/>
        <d v="2014-08-01T00:00:00" u="1"/>
        <d v="2016-07-05T00:00:00" u="1"/>
        <d v="2018-06-09T00:00:00" u="1"/>
        <d v="2016-08-01T00:00:00" u="1"/>
        <d v="2017-08-01T00:00:00" u="1"/>
        <d v="2018-08-01T00:00:00" u="1"/>
        <d v="2019-08-01T00:00:00" u="1"/>
        <d v="2020-08-01T00:00:00" u="1"/>
        <d v="2008-01-31T00:00:00" u="1"/>
        <d v="2007-02-27T00:00:00" u="1"/>
        <d v="2009-01-31T00:00:00" u="1"/>
        <d v="2010-01-31T00:00:00" u="1"/>
        <d v="2009-02-27T00:00:00" u="1"/>
        <d v="2011-01-31T00:00:00" u="1"/>
        <d v="2012-01-31T00:00:00" u="1"/>
        <d v="2009-03-23T00:00:00" u="1"/>
        <d v="2013-01-31T00:00:00" u="1"/>
        <d v="2010-03-23T00:00:00" u="1"/>
        <d v="2012-02-27T00:00:00" u="1"/>
        <d v="2014-01-31T00:00:00" u="1"/>
        <d v="2011-03-23T00:00:00" u="1"/>
        <d v="2013-02-27T00:00:00" u="1"/>
        <d v="2015-01-31T00:00:00" u="1"/>
        <d v="2008-05-15T00:00:00" u="1"/>
        <d v="2010-04-19T00:00:00" u="1"/>
        <d v="2014-02-27T00:00:00" u="1"/>
        <d v="2016-01-31T00:00:00" u="1"/>
        <d v="2009-05-15T00:00:00" u="1"/>
        <d v="2011-04-19T00:00:00" u="1"/>
        <d v="2015-02-27T00:00:00" u="1"/>
        <d v="2017-01-31T00:00:00" u="1"/>
        <d v="2008-06-11T00:00:00" u="1"/>
        <d v="2012-04-19T00:00:00" u="1"/>
        <d v="2018-01-31T00:00:00" u="1"/>
        <d v="2009-06-11T00:00:00" u="1"/>
        <d v="2015-03-23T00:00:00" u="1"/>
        <d v="2017-02-27T00:00:00" u="1"/>
        <d v="2019-01-31T00:00:00" u="1"/>
        <d v="2008-07-07T00:00:00" u="1"/>
        <d v="2010-06-11T00:00:00" u="1"/>
        <d v="2012-05-15T00:00:00" u="1"/>
        <d v="2016-03-23T00:00:00" u="1"/>
        <d v="2018-02-27T00:00:00" u="1"/>
        <d v="2020-01-31T00:00:00" u="1"/>
        <d v="2009-07-07T00:00:00" u="1"/>
        <d v="2013-05-15T00:00:00" u="1"/>
        <d v="2017-03-23T00:00:00" u="1"/>
        <d v="2010-07-07T00:00:00" u="1"/>
        <d v="2012-06-11T00:00:00" u="1"/>
        <d v="2014-05-15T00:00:00" u="1"/>
        <d v="2009-08-03T00:00:00" u="1"/>
        <d v="2011-07-07T00:00:00" u="1"/>
        <d v="2013-06-11T00:00:00" u="1"/>
        <d v="2015-05-15T00:00:00" u="1"/>
        <d v="2017-04-19T00:00:00" u="1"/>
        <d v="2010-08-03T00:00:00" u="1"/>
        <d v="2016-05-15T00:00:00" u="1"/>
        <d v="2011-08-03T00:00:00" u="1"/>
        <d v="2013-07-07T00:00:00" u="1"/>
        <d v="2015-06-11T00:00:00" u="1"/>
        <d v="2012-08-03T00:00:00" u="1"/>
        <d v="2014-07-07T00:00:00" u="1"/>
        <d v="2015-07-07T00:00:00" u="1"/>
        <d v="2014-08-03T00:00:00" u="1"/>
        <d v="2016-07-07T00:00:00" u="1"/>
        <d v="2015-08-03T00:00:00" u="1"/>
        <d v="2016-08-03T00:00:00" u="1"/>
        <d v="2017-08-03T00:00:00" u="1"/>
        <d v="2008-02-29T00:00:00" u="1"/>
        <d v="2008-03-25T00:00:00" u="1"/>
        <d v="2009-03-25T00:00:00" u="1"/>
        <d v="2008-04-21T00:00:00" u="1"/>
        <d v="2010-03-25T00:00:00" u="1"/>
        <d v="2012-02-29T00:00:00" u="1"/>
        <d v="2007-05-17T00:00:00" u="1"/>
        <d v="2009-04-21T00:00:00" u="1"/>
        <d v="2011-03-25T00:00:00" u="1"/>
        <d v="2006-06-13T00:00:00" u="1"/>
        <d v="2010-04-21T00:00:00" u="1"/>
        <d v="2013-03-25T00:00:00" u="1"/>
        <d v="2010-05-17T00:00:00" u="1"/>
        <d v="2014-03-25T00:00:00" u="1"/>
        <d v="2016-02-29T00:00:00" u="1"/>
        <d v="2011-05-17T00:00:00" u="1"/>
        <d v="2015-03-25T00:00:00" u="1"/>
        <d v="2008-07-09T00:00:00" u="1"/>
        <d v="2012-05-17T00:00:00" u="1"/>
        <d v="2009-07-09T00:00:00" u="1"/>
        <d v="2011-06-13T00:00:00" u="1"/>
        <d v="2015-04-21T00:00:00" u="1"/>
        <d v="2017-03-25T00:00:00" u="1"/>
        <d v="2008-08-05T00:00:00" u="1"/>
        <d v="2010-07-09T00:00:00" u="1"/>
        <d v="2012-06-13T00:00:00" u="1"/>
        <d v="2018-03-25T00:00:00" u="1"/>
        <d v="2007-09-01T00:00:00" u="1"/>
        <d v="2009-08-05T00:00:00" u="1"/>
        <d v="2013-06-13T00:00:00" u="1"/>
        <d v="2015-05-17T00:00:00" u="1"/>
        <d v="2017-04-21T00:00:00" u="1"/>
        <d v="2019-03-25T00:00:00" u="1"/>
        <d v="2010-08-05T00:00:00" u="1"/>
        <d v="2012-07-09T00:00:00" u="1"/>
        <d v="2016-05-17T00:00:00" u="1"/>
        <d v="2009-09-01T00:00:00" u="1"/>
        <d v="2010-09-01T00:00:00" u="1"/>
        <d v="2014-07-09T00:00:00" u="1"/>
        <d v="2016-06-13T00:00:00" u="1"/>
        <d v="2011-09-01T00:00:00" u="1"/>
        <d v="2013-08-05T00:00:00" u="1"/>
        <d v="2015-07-09T00:00:00" u="1"/>
        <d v="2014-08-05T00:00:00" u="1"/>
        <d v="2018-06-13T00:00:00" u="1"/>
        <d v="2015-08-05T00:00:00" u="1"/>
        <d v="2017-07-09T00:00:00" u="1"/>
        <d v="2014-09-01T00:00:00" u="1"/>
        <d v="2016-08-05T00:00:00" u="1"/>
        <d v="2015-09-01T00:00:00" u="1"/>
        <d v="2017-08-05T00:00:00" u="1"/>
        <d v="2016-09-01T00:00:00" u="1"/>
        <d v="2018-09-01T00:00:00" u="1"/>
        <d v="2019-09-01T00:00:00" u="1"/>
        <d v="2007-03-27T00:00:00" u="1"/>
        <d v="2008-03-27T00:00:00" u="1"/>
        <d v="2009-03-27T00:00:00" u="1"/>
        <d v="2008-04-23T00:00:00" u="1"/>
        <d v="2006-06-15T00:00:00" u="1"/>
        <d v="2008-05-19T00:00:00" u="1"/>
        <d v="2010-04-23T00:00:00" u="1"/>
        <d v="2012-03-27T00:00:00" u="1"/>
        <d v="2007-06-15T00:00:00" u="1"/>
        <d v="2009-05-19T00:00:00" u="1"/>
        <d v="2013-03-27T00:00:00" u="1"/>
        <d v="2012-04-23T00:00:00" u="1"/>
        <d v="2009-06-15T00:00:00" u="1"/>
        <d v="2011-05-19T00:00:00" u="1"/>
        <d v="2013-04-23T00:00:00" u="1"/>
        <d v="2015-03-27T00:00:00" u="1"/>
        <d v="2004-09-03T00:00:00" u="1"/>
        <d v="2008-07-11T00:00:00" u="1"/>
        <d v="2010-06-15T00:00:00" u="1"/>
        <d v="2014-04-23T00:00:00" u="1"/>
        <d v="2007-08-07T00:00:00" u="1"/>
        <d v="2011-06-15T00:00:00" u="1"/>
        <d v="2017-03-27T00:00:00" u="1"/>
        <d v="2008-08-07T00:00:00" u="1"/>
        <d v="2012-06-15T00:00:00" u="1"/>
        <d v="2014-05-19T00:00:00" u="1"/>
        <d v="2016-04-23T00:00:00" u="1"/>
        <d v="2009-08-07T00:00:00" u="1"/>
        <d v="2011-07-11T00:00:00" u="1"/>
        <d v="2015-05-19T00:00:00" u="1"/>
        <d v="2008-09-03T00:00:00" u="1"/>
        <d v="2012-07-11T00:00:00" u="1"/>
        <d v="2016-05-19T00:00:00" u="1"/>
        <d v="2018-04-23T00:00:00" u="1"/>
        <d v="2009-09-03T00:00:00" u="1"/>
        <d v="2013-07-11T00:00:00" u="1"/>
        <d v="2017-05-19T00:00:00" u="1"/>
        <d v="2012-08-07T00:00:00" u="1"/>
        <d v="2014-07-11T00:00:00" u="1"/>
        <d v="2016-06-15T00:00:00" u="1"/>
        <d v="2012-09-03T00:00:00" u="1"/>
        <d v="2014-08-07T00:00:00" u="1"/>
        <d v="2016-07-11T00:00:00" u="1"/>
        <d v="2013-09-03T00:00:00" u="1"/>
        <d v="2015-08-07T00:00:00" u="1"/>
        <d v="2017-07-11T00:00:00" u="1"/>
        <d v="2014-09-03T00:00:00" u="1"/>
        <d v="2017-08-07T00:00:00" u="1"/>
        <d v="2018-08-07T00:00:00" u="1"/>
        <d v="2017-09-03T00:00:00" u="1"/>
        <d v="2018-09-03T00:00:00" u="1"/>
        <d v="2007-03-29T00:00:00" u="1"/>
        <d v="2010-03-29T00:00:00" u="1"/>
        <d v="2011-03-29T00:00:00" u="1"/>
        <d v="2008-05-21T00:00:00" u="1"/>
        <d v="2012-03-29T00:00:00" u="1"/>
        <d v="2009-05-21T00:00:00" u="1"/>
        <d v="2011-04-25T00:00:00" u="1"/>
        <d v="2008-06-17T00:00:00" u="1"/>
        <d v="2010-05-21T00:00:00" u="1"/>
        <d v="2012-04-25T00:00:00" u="1"/>
        <d v="2007-07-13T00:00:00" u="1"/>
        <d v="2009-06-17T00:00:00" u="1"/>
        <d v="2011-05-21T00:00:00" u="1"/>
        <d v="2013-04-25T00:00:00" u="1"/>
        <d v="2006-08-09T00:00:00" u="1"/>
        <d v="2010-06-17T00:00:00" u="1"/>
        <d v="2012-05-21T00:00:00" u="1"/>
        <d v="2014-04-25T00:00:00" u="1"/>
        <d v="2016-03-29T00:00:00" u="1"/>
        <d v="2007-08-09T00:00:00" u="1"/>
        <d v="2009-07-13T00:00:00" u="1"/>
        <d v="2011-06-17T00:00:00" u="1"/>
        <d v="2013-05-21T00:00:00" u="1"/>
        <d v="2015-04-25T00:00:00" u="1"/>
        <d v="2017-03-29T00:00:00" u="1"/>
        <d v="2006-09-05T00:00:00" u="1"/>
        <d v="2010-07-13T00:00:00" u="1"/>
        <d v="2014-05-21T00:00:00" u="1"/>
        <d v="2016-04-25T00:00:00" u="1"/>
        <d v="2007-09-05T00:00:00" u="1"/>
        <d v="2011-07-13T00:00:00" u="1"/>
        <d v="2015-05-21T00:00:00" u="1"/>
        <d v="2017-04-25T00:00:00" u="1"/>
        <d v="2008-09-05T00:00:00" u="1"/>
        <d v="2010-08-09T00:00:00" u="1"/>
        <d v="2012-07-13T00:00:00" u="1"/>
        <d v="2014-06-17T00:00:00" u="1"/>
        <d v="2007-10-01T00:00:00" u="1"/>
        <d v="2009-09-05T00:00:00" u="1"/>
        <d v="2011-08-09T00:00:00" u="1"/>
        <d v="2015-06-17T00:00:00" u="1"/>
        <d v="2017-05-21T00:00:00" u="1"/>
        <d v="2008-10-01T00:00:00" u="1"/>
        <d v="2012-08-09T00:00:00" u="1"/>
        <d v="2016-06-17T00:00:00" u="1"/>
        <d v="2009-10-01T00:00:00" u="1"/>
        <d v="2011-09-05T00:00:00" u="1"/>
        <d v="2013-08-09T00:00:00" u="1"/>
        <d v="2015-07-13T00:00:00" u="1"/>
        <d v="2010-10-01T00:00:00" u="1"/>
        <d v="2012-09-05T00:00:00" u="1"/>
        <d v="2014-08-09T00:00:00" u="1"/>
        <d v="2016-07-13T00:00:00" u="1"/>
        <d v="2018-06-17T00:00:00" u="1"/>
        <d v="2013-09-05T00:00:00" u="1"/>
        <d v="2017-07-13T00:00:00" u="1"/>
        <d v="2012-10-01T00:00:00" u="1"/>
        <d v="2016-08-09T00:00:00" u="1"/>
        <d v="2018-07-13T00:00:00" u="1"/>
        <d v="2017-08-09T00:00:00" u="1"/>
        <d v="2014-10-01T00:00:00" u="1"/>
        <d v="2016-09-05T00:00:00" u="1"/>
        <d v="2015-10-01T00:00:00" u="1"/>
        <d v="2016-10-01T00:00:00" u="1"/>
        <d v="2019-10-01T00:00:00" u="1"/>
        <d v="2022-10-01T00:00:00" u="1"/>
        <d v="2008-03-31T00:00:00" u="1"/>
        <d v="2009-03-31T00:00:00" u="1"/>
        <d v="2006-05-23T00:00:00" u="1"/>
        <d v="2010-03-31T00:00:00" u="1"/>
        <d v="2009-04-27T00:00:00" u="1"/>
        <d v="2011-03-31T00:00:00" u="1"/>
        <d v="2006-06-19T00:00:00" u="1"/>
        <d v="2008-05-23T00:00:00" u="1"/>
        <d v="2010-04-27T00:00:00" u="1"/>
        <d v="2012-03-31T00:00:00" u="1"/>
        <d v="2011-04-27T00:00:00" u="1"/>
        <d v="2013-03-31T00:00:00" u="1"/>
        <d v="2008-06-19T00:00:00" u="1"/>
        <d v="2012-04-27T00:00:00" u="1"/>
        <d v="2014-03-31T00:00:00" u="1"/>
        <d v="2009-06-19T00:00:00" u="1"/>
        <d v="2015-03-31T00:00:00" u="1"/>
        <d v="2006-08-11T00:00:00" u="1"/>
        <d v="2008-07-15T00:00:00" u="1"/>
        <d v="2012-05-23T00:00:00" u="1"/>
        <d v="2016-03-31T00:00:00" u="1"/>
        <d v="2009-07-15T00:00:00" u="1"/>
        <d v="2011-06-19T00:00:00" u="1"/>
        <d v="2015-04-27T00:00:00" u="1"/>
        <d v="2017-03-31T00:00:00" u="1"/>
        <d v="2012-06-19T00:00:00" u="1"/>
        <d v="2016-04-27T00:00:00" u="1"/>
        <d v="2007-09-07T00:00:00" u="1"/>
        <d v="2009-08-11T00:00:00" u="1"/>
        <d v="2011-07-15T00:00:00" u="1"/>
        <d v="2017-04-27T00:00:00" u="1"/>
        <d v="2019-03-31T00:00:00" u="1"/>
        <d v="2010-08-11T00:00:00" u="1"/>
        <d v="2014-06-19T00:00:00" u="1"/>
        <d v="2016-05-23T00:00:00" u="1"/>
        <d v="2009-09-07T00:00:00" u="1"/>
        <d v="2011-08-11T00:00:00" u="1"/>
        <d v="2013-07-15T00:00:00" u="1"/>
        <d v="2015-06-19T00:00:00" u="1"/>
        <d v="2017-05-23T00:00:00" u="1"/>
        <d v="2008-10-03T00:00:00" u="1"/>
        <d v="2010-09-07T00:00:00" u="1"/>
        <d v="2014-07-15T00:00:00" u="1"/>
        <d v="2018-05-23T00:00:00" u="1"/>
        <d v="2011-09-07T00:00:00" u="1"/>
        <d v="2015-07-15T00:00:00" u="1"/>
        <d v="2017-06-19T00:00:00" u="1"/>
        <d v="2012-09-07T00:00:00" u="1"/>
        <d v="2014-08-11T00:00:00" u="1"/>
        <d v="2011-10-03T00:00:00" u="1"/>
        <d v="2015-08-11T00:00:00" u="1"/>
        <d v="2017-07-15T00:00:00" u="1"/>
        <d v="2012-10-03T00:00:00" u="1"/>
        <d v="2016-08-11T00:00:00" u="1"/>
        <d v="2013-10-03T00:00:00" u="1"/>
        <d v="2015-09-07T00:00:00" u="1"/>
        <d v="2014-10-03T00:00:00" u="1"/>
        <d v="2016-09-07T00:00:00" u="1"/>
        <d v="2017-09-07T00:00:00" u="1"/>
        <d v="2016-10-03T00:00:00" u="1"/>
        <d v="2017-10-03T00:00:00" u="1"/>
        <d v="2008-04-29T00:00:00" u="1"/>
        <d v="2009-04-29T00:00:00" u="1"/>
        <d v="2007-06-21T00:00:00" u="1"/>
        <d v="2009-05-25T00:00:00" u="1"/>
        <d v="2008-06-21T00:00:00" u="1"/>
        <d v="2007-07-17T00:00:00" u="1"/>
        <d v="2011-05-25T00:00:00" u="1"/>
        <d v="2013-04-29T00:00:00" u="1"/>
        <d v="2008-07-17T00:00:00" u="1"/>
        <d v="2010-06-21T00:00:00" u="1"/>
        <d v="2012-05-25T00:00:00" u="1"/>
        <d v="2014-04-29T00:00:00" u="1"/>
        <d v="2009-07-17T00:00:00" u="1"/>
        <d v="2011-06-21T00:00:00" u="1"/>
        <d v="2015-04-29T00:00:00" u="1"/>
        <d v="2008-08-13T00:00:00" u="1"/>
        <d v="2016-04-29T00:00:00" u="1"/>
        <d v="2009-08-13T00:00:00" u="1"/>
        <d v="2013-06-21T00:00:00" u="1"/>
        <d v="2015-05-25T00:00:00" u="1"/>
        <d v="2006-10-05T00:00:00" u="1"/>
        <d v="2008-09-09T00:00:00" u="1"/>
        <d v="2012-07-17T00:00:00" u="1"/>
        <d v="2016-05-25T00:00:00" u="1"/>
        <d v="2009-09-09T00:00:00" u="1"/>
        <d v="2013-07-17T00:00:00" u="1"/>
        <d v="2017-05-25T00:00:00" u="1"/>
        <d v="2010-09-09T00:00:00" u="1"/>
        <d v="2012-08-13T00:00:00" u="1"/>
        <d v="2014-07-17T00:00:00" u="1"/>
        <d v="2016-06-21T00:00:00" u="1"/>
        <d v="2007-11-01T00:00:00" u="1"/>
        <d v="2009-10-05T00:00:00" u="1"/>
        <d v="2011-09-09T00:00:00" u="1"/>
        <d v="2013-08-13T00:00:00" u="1"/>
        <d v="2015-07-17T00:00:00" u="1"/>
        <d v="2017-06-21T00:00:00" u="1"/>
        <d v="2008-11-01T00:00:00" u="1"/>
        <d v="2010-10-05T00:00:00" u="1"/>
        <d v="2014-08-13T00:00:00" u="1"/>
        <d v="2016-07-17T00:00:00" u="1"/>
        <d v="2009-11-01T00:00:00" u="1"/>
        <d v="2011-10-05T00:00:00" u="1"/>
        <d v="2013-09-09T00:00:00" u="1"/>
        <d v="2017-07-17T00:00:00" u="1"/>
        <d v="2010-11-01T00:00:00" u="1"/>
        <d v="2012-10-05T00:00:00" u="1"/>
        <d v="2014-09-09T00:00:00" u="1"/>
        <d v="2016-08-13T00:00:00" u="1"/>
        <d v="2015-09-09T00:00:00" u="1"/>
        <d v="2016-09-09T00:00:00" u="1"/>
        <d v="2017-09-09T00:00:00" u="1"/>
        <d v="2016-10-05T00:00:00" u="1"/>
        <d v="2018-09-09T00:00:00" u="1"/>
        <d v="2016-11-01T00:00:00" u="1"/>
        <d v="2017-11-01T00:00:00" u="1"/>
        <d v="2020-11-01T00:00:00" u="1"/>
        <d v="2007-05-27T00:00:00" u="1"/>
        <d v="2008-05-27T00:00:00" u="1"/>
        <d v="2007-06-23T00:00:00" u="1"/>
        <d v="2009-05-27T00:00:00" u="1"/>
        <d v="2008-06-23T00:00:00" u="1"/>
        <d v="2010-05-27T00:00:00" u="1"/>
        <d v="2009-06-23T00:00:00" u="1"/>
        <d v="2010-06-23T00:00:00" u="1"/>
        <d v="2011-06-23T00:00:00" u="1"/>
        <d v="2013-05-27T00:00:00" u="1"/>
        <d v="2006-09-11T00:00:00" u="1"/>
        <d v="2010-07-19T00:00:00" u="1"/>
        <d v="2014-05-27T00:00:00" u="1"/>
        <d v="2011-07-19T00:00:00" u="1"/>
        <d v="2015-05-27T00:00:00" u="1"/>
        <d v="2008-09-11T00:00:00" u="1"/>
        <d v="2012-07-19T00:00:00" u="1"/>
        <d v="2014-06-23T00:00:00" u="1"/>
        <d v="2009-09-11T00:00:00" u="1"/>
        <d v="2013-07-19T00:00:00" u="1"/>
        <d v="2008-10-07T00:00:00" u="1"/>
        <d v="2014-07-19T00:00:00" u="1"/>
        <d v="2016-06-23T00:00:00" u="1"/>
        <d v="2009-10-07T00:00:00" u="1"/>
        <d v="2013-08-15T00:00:00" u="1"/>
        <d v="2015-07-19T00:00:00" u="1"/>
        <d v="2008-11-03T00:00:00" u="1"/>
        <d v="2010-10-07T00:00:00" u="1"/>
        <d v="2012-09-11T00:00:00" u="1"/>
        <d v="2009-11-03T00:00:00" u="1"/>
        <d v="2011-10-07T00:00:00" u="1"/>
        <d v="2017-07-19T00:00:00" u="1"/>
        <d v="2010-11-03T00:00:00" u="1"/>
        <d v="2014-09-11T00:00:00" u="1"/>
        <d v="2016-08-15T00:00:00" u="1"/>
        <d v="2011-11-03T00:00:00" u="1"/>
        <d v="2013-10-07T00:00:00" u="1"/>
        <d v="2015-09-11T00:00:00" u="1"/>
        <d v="2017-08-15T00:00:00" u="1"/>
        <d v="2016-09-11T00:00:00" u="1"/>
        <d v="2015-10-07T00:00:00" u="1"/>
        <d v="2017-09-11T00:00:00" u="1"/>
        <d v="2014-11-03T00:00:00" u="1"/>
        <d v="2016-10-07T00:00:00" u="1"/>
        <d v="2015-11-03T00:00:00" u="1"/>
        <d v="2016-11-03T00:00:00" u="1"/>
        <d v="2018-10-07T00:00:00" u="1"/>
        <d v="2007-05-29T00:00:00" u="1"/>
        <d v="2008-06-25T00:00:00" u="1"/>
        <d v="2007-07-21T00:00:00" u="1"/>
        <d v="2009-06-25T00:00:00" u="1"/>
        <d v="2006-08-17T00:00:00" u="1"/>
        <d v="2010-06-25T00:00:00" u="1"/>
        <d v="2007-08-17T00:00:00" u="1"/>
        <d v="2009-07-21T00:00:00" u="1"/>
        <d v="2013-05-29T00:00:00" u="1"/>
        <d v="2010-07-21T00:00:00" u="1"/>
        <d v="2012-06-25T00:00:00" u="1"/>
        <d v="2014-05-29T00:00:00" u="1"/>
        <d v="2007-09-13T00:00:00" u="1"/>
        <d v="2009-08-17T00:00:00" u="1"/>
        <d v="2011-07-21T00:00:00" u="1"/>
        <d v="2013-06-25T00:00:00" u="1"/>
        <d v="2015-05-29T00:00:00" u="1"/>
        <d v="2010-08-17T00:00:00" u="1"/>
        <d v="2014-06-25T00:00:00" u="1"/>
        <d v="2007-10-09T00:00:00" u="1"/>
        <d v="2015-06-25T00:00:00" u="1"/>
        <d v="2010-09-13T00:00:00" u="1"/>
        <d v="2012-08-17T00:00:00" u="1"/>
        <d v="2014-07-21T00:00:00" u="1"/>
        <d v="2007-11-05T00:00:00" u="1"/>
        <d v="2009-10-09T00:00:00" u="1"/>
        <d v="2011-09-13T00:00:00" u="1"/>
        <d v="2015-07-21T00:00:00" u="1"/>
        <d v="2017-06-25T00:00:00" u="1"/>
        <d v="2012-09-13T00:00:00" u="1"/>
        <d v="2014-08-17T00:00:00" u="1"/>
        <d v="2007-12-01T00:00:00" u="1"/>
        <d v="2009-11-05T00:00:00" u="1"/>
        <d v="2013-09-13T00:00:00" u="1"/>
        <d v="2015-08-17T00:00:00" u="1"/>
        <d v="2019-06-25T00:00:00" u="1"/>
        <d v="2008-12-01T00:00:00" u="1"/>
        <d v="2010-11-05T00:00:00" u="1"/>
        <d v="2012-10-09T00:00:00" u="1"/>
        <d v="2016-08-17T00:00:00" u="1"/>
        <d v="2018-07-21T00:00:00" u="1"/>
        <d v="2009-12-01T00:00:00" u="1"/>
        <d v="2013-10-09T00:00:00" u="1"/>
        <d v="2017-08-17T00:00:00" u="1"/>
        <d v="2010-12-01T00:00:00" u="1"/>
        <d v="2012-11-05T00:00:00" u="1"/>
        <d v="2014-10-09T00:00:00" u="1"/>
        <d v="2011-12-01T00:00:00" u="1"/>
        <d v="2015-10-09T00:00:00" u="1"/>
        <d v="2017-09-13T00:00:00" u="1"/>
        <d v="2014-11-05T00:00:00" u="1"/>
        <d v="2017-10-09T00:00:00" u="1"/>
        <d v="2014-12-01T00:00:00" u="1"/>
        <d v="2015-12-01T00:00:00" u="1"/>
        <d v="2017-11-05T00:00:00" u="1"/>
        <d v="2016-12-01T00:00:00" u="1"/>
        <d v="2018-11-05T00:00:00" u="1"/>
        <d v="2017-12-01T00:00:00" u="1"/>
        <d v="2019-11-05T00:00:00" u="1"/>
        <d v="2019-12-01T00:00:00" u="1"/>
        <d v="2006-06-27T00:00:00" u="1"/>
        <d v="2008-05-31T00:00:00" u="1"/>
        <d v="2007-06-27T00:00:00" u="1"/>
        <d v="2009-05-31T00:00:00" u="1"/>
        <d v="2008-06-27T00:00:00" u="1"/>
        <d v="2010-05-31T00:00:00" u="1"/>
        <d v="2007-07-23T00:00:00" u="1"/>
        <d v="2011-05-31T00:00:00" u="1"/>
        <d v="2008-07-23T00:00:00" u="1"/>
        <d v="2012-05-31T00:00:00" u="1"/>
        <d v="2011-06-27T00:00:00" u="1"/>
        <d v="2013-05-31T00:00:00" u="1"/>
        <d v="2008-08-19T00:00:00" u="1"/>
        <d v="2012-06-27T00:00:00" u="1"/>
        <d v="2014-05-31T00:00:00" u="1"/>
        <d v="2013-06-27T00:00:00" u="1"/>
        <d v="2015-05-31T00:00:00" u="1"/>
        <d v="2008-09-15T00:00:00" u="1"/>
        <d v="2010-08-19T00:00:00" u="1"/>
        <d v="2012-07-23T00:00:00" u="1"/>
        <d v="2014-06-27T00:00:00" u="1"/>
        <d v="2016-05-31T00:00:00" u="1"/>
        <d v="2007-10-11T00:00:00" u="1"/>
        <d v="2009-09-15T00:00:00" u="1"/>
        <d v="2017-05-31T00:00:00" u="1"/>
        <d v="2014-07-23T00:00:00" u="1"/>
        <d v="2016-06-27T00:00:00" u="1"/>
        <d v="2018-05-31T00:00:00" u="1"/>
        <d v="2007-11-07T00:00:00" u="1"/>
        <d v="2013-08-19T00:00:00" u="1"/>
        <d v="2015-07-23T00:00:00" u="1"/>
        <d v="2017-06-27T00:00:00" u="1"/>
        <d v="2008-11-07T00:00:00" u="1"/>
        <d v="2010-10-11T00:00:00" u="1"/>
        <d v="2014-08-19T00:00:00" u="1"/>
        <d v="2016-07-23T00:00:00" u="1"/>
        <d v="2015-08-19T00:00:00" u="1"/>
        <d v="2017-07-23T00:00:00" u="1"/>
        <d v="2012-10-11T00:00:00" u="1"/>
        <d v="2014-09-15T00:00:00" u="1"/>
        <d v="2009-12-03T00:00:00" u="1"/>
        <d v="2011-11-07T00:00:00" u="1"/>
        <d v="2015-09-15T00:00:00" u="1"/>
        <d v="2010-12-03T00:00:00" u="1"/>
        <d v="2012-11-07T00:00:00" u="1"/>
        <d v="2016-09-15T00:00:00" u="1"/>
        <d v="2013-11-07T00:00:00" u="1"/>
        <d v="2012-12-03T00:00:00" u="1"/>
        <d v="2016-10-11T00:00:00" u="1"/>
        <d v="2013-12-03T00:00:00" u="1"/>
        <d v="2014-12-03T00:00:00" u="1"/>
        <d v="2017-12-03T00:00:00" u="1"/>
        <d v="2019-12-03T00:00:00" u="1"/>
        <d v="2009-06-29T00:00:00" u="1"/>
        <d v="2008-07-25T00:00:00" u="1"/>
        <d v="2010-06-29T00:00:00" u="1"/>
        <d v="2007-08-21T00:00:00" u="1"/>
        <d v="2011-06-29T00:00:00" u="1"/>
        <d v="2012-06-29T00:00:00" u="1"/>
        <d v="2007-09-17T00:00:00" u="1"/>
        <d v="2009-08-21T00:00:00" u="1"/>
        <d v="2011-07-25T00:00:00" u="1"/>
        <d v="2008-09-17T00:00:00" u="1"/>
        <d v="2012-07-25T00:00:00" u="1"/>
        <d v="2009-09-17T00:00:00" u="1"/>
        <d v="2013-07-25T00:00:00" u="1"/>
        <d v="2015-06-29T00:00:00" u="1"/>
        <d v="2006-11-09T00:00:00" u="1"/>
        <d v="2014-07-25T00:00:00" u="1"/>
        <d v="2016-06-29T00:00:00" u="1"/>
        <d v="2007-11-09T00:00:00" u="1"/>
        <d v="2009-10-13T00:00:00" u="1"/>
        <d v="2013-08-21T00:00:00" u="1"/>
        <d v="2017-06-29T00:00:00" u="1"/>
        <d v="2006-12-05T00:00:00" u="1"/>
        <d v="2010-10-13T00:00:00" u="1"/>
        <d v="2012-09-17T00:00:00" u="1"/>
        <d v="2014-08-21T00:00:00" u="1"/>
        <d v="2016-07-25T00:00:00" u="1"/>
        <d v="2007-12-05T00:00:00" u="1"/>
        <d v="2009-11-09T00:00:00" u="1"/>
        <d v="2011-10-13T00:00:00" u="1"/>
        <d v="2013-09-17T00:00:00" u="1"/>
        <d v="2015-08-21T00:00:00" u="1"/>
        <d v="2017-07-25T00:00:00" u="1"/>
        <d v="2008-12-05T00:00:00" u="1"/>
        <d v="2014-09-17T00:00:00" u="1"/>
        <d v="2011-11-09T00:00:00" u="1"/>
        <d v="2013-10-13T00:00:00" u="1"/>
        <d v="2015-09-17T00:00:00" u="1"/>
        <d v="2012-11-09T00:00:00" u="1"/>
        <d v="2014-10-13T00:00:00" u="1"/>
        <d v="2011-12-05T00:00:00" u="1"/>
        <d v="2015-10-13T00:00:00" u="1"/>
        <d v="2012-12-05T00:00:00" u="1"/>
        <d v="2016-10-13T00:00:00" u="1"/>
        <d v="2015-11-09T00:00:00" u="1"/>
        <d v="2014-12-05T00:00:00" u="1"/>
        <d v="2016-11-09T00:00:00" u="1"/>
        <d v="2017-11-09T00:00:00" u="1"/>
        <d v="2016-12-05T00:00:00" u="1"/>
        <d v="2018-11-09T00:00:00" u="1"/>
        <d v="2018-12-05T00:00:00" u="1"/>
        <d v="2006-07-27T00:00:00" u="1"/>
        <d v="2005-08-23T00:00:00" u="1"/>
        <d v="2007-08-23T00:00:00" u="1"/>
        <d v="2009-07-27T00:00:00" u="1"/>
        <d v="2008-08-23T00:00:00" u="1"/>
        <d v="2010-07-27T00:00:00" u="1"/>
        <d v="2008-09-19T00:00:00" u="1"/>
        <d v="2010-08-23T00:00:00" u="1"/>
        <d v="2012-07-27T00:00:00" u="1"/>
        <d v="2011-08-23T00:00:00" u="1"/>
        <d v="2008-10-15T00:00:00" u="1"/>
        <d v="2012-08-23T00:00:00" u="1"/>
        <d v="2009-10-15T00:00:00" u="1"/>
        <d v="2011-09-19T00:00:00" u="1"/>
        <d v="2015-07-27T00:00:00" u="1"/>
        <d v="2008-11-11T00:00:00" u="1"/>
        <d v="2014-08-23T00:00:00" u="1"/>
        <d v="2016-07-27T00:00:00" u="1"/>
        <d v="2007-12-07T00:00:00" u="1"/>
        <d v="2009-11-11T00:00:00" u="1"/>
        <d v="2017-07-27T00:00:00" u="1"/>
        <d v="2010-11-11T00:00:00" u="1"/>
        <d v="2012-10-15T00:00:00" u="1"/>
        <d v="2014-09-19T00:00:00" u="1"/>
        <d v="2016-08-23T00:00:00" u="1"/>
        <d v="2011-11-11T00:00:00" u="1"/>
        <d v="2013-10-15T00:00:00" u="1"/>
        <d v="2017-08-23T00:00:00" u="1"/>
        <d v="2010-12-07T00:00:00" u="1"/>
        <d v="2011-12-07T00:00:00" u="1"/>
        <d v="2013-11-11T00:00:00" u="1"/>
        <d v="2015-10-15T00:00:00" u="1"/>
        <d v="2012-12-07T00:00:00" u="1"/>
        <d v="2014-11-11T00:00:00" u="1"/>
        <d v="2017-10-15T00:00:00" u="1"/>
        <d v="2016-11-11T00:00:00" u="1"/>
        <d v="2018-10-15T00:00:00" u="1"/>
        <d v="2017-11-11T00:00:00" u="1"/>
        <d v="2005-08-25T00:00:00" u="1"/>
        <d v="2009-07-29T00:00:00" u="1"/>
        <d v="2008-08-25T00:00:00" u="1"/>
        <d v="2010-07-29T00:00:00" u="1"/>
        <d v="2007-09-21T00:00:00" u="1"/>
        <d v="2011-07-29T00:00:00" u="1"/>
        <d v="2006-10-17T00:00:00" u="1"/>
        <d v="2010-08-25T00:00:00" u="1"/>
        <d v="2009-09-21T00:00:00" u="1"/>
        <d v="2011-08-25T00:00:00" u="1"/>
        <d v="2013-07-29T00:00:00" u="1"/>
        <d v="2008-10-17T00:00:00" u="1"/>
        <d v="2010-09-21T00:00:00" u="1"/>
        <d v="2011-09-21T00:00:00" u="1"/>
        <d v="2013-08-25T00:00:00" u="1"/>
        <d v="2008-11-13T00:00:00" u="1"/>
        <d v="2014-08-25T00:00:00" u="1"/>
        <d v="2016-07-29T00:00:00" u="1"/>
        <d v="2009-11-13T00:00:00" u="1"/>
        <d v="2011-10-17T00:00:00" u="1"/>
        <d v="2015-08-25T00:00:00" u="1"/>
        <d v="2008-12-09T00:00:00" u="1"/>
        <d v="2012-10-17T00:00:00" u="1"/>
        <d v="2016-08-25T00:00:00" u="1"/>
        <d v="2009-12-09T00:00:00" u="1"/>
        <d v="2013-10-17T00:00:00" u="1"/>
        <d v="2015-09-21T00:00:00" u="1"/>
        <d v="2010-12-09T00:00:00" u="1"/>
        <d v="2012-11-13T00:00:00" u="1"/>
        <d v="2014-10-17T00:00:00" u="1"/>
        <d v="2016-09-21T00:00:00" u="1"/>
        <d v="2011-12-09T00:00:00" u="1"/>
        <d v="2013-11-13T00:00:00" u="1"/>
        <d v="2019-08-25T00:00:00" u="1"/>
        <d v="2014-11-13T00:00:00" u="1"/>
        <d v="2016-10-17T00:00:00" u="1"/>
        <d v="2013-12-09T00:00:00" u="1"/>
        <d v="2015-11-13T00:00:00" u="1"/>
        <d v="2016-11-13T00:00:00" u="1"/>
        <d v="2015-12-09T00:00:00" u="1"/>
        <d v="2017-11-13T00:00:00" u="1"/>
        <d v="2016-12-09T00:00:00" u="1"/>
        <d v="2008-07-31T00:00:00" u="1"/>
        <d v="2007-08-27T00:00:00" u="1"/>
        <d v="2009-07-31T00:00:00" u="1"/>
        <d v="2008-08-27T00:00:00" u="1"/>
        <d v="2010-07-31T00:00:00" u="1"/>
        <d v="2011-07-31T00:00:00" u="1"/>
        <d v="2006-10-19T00:00:00" u="1"/>
        <d v="2008-09-23T00:00:00" u="1"/>
        <d v="2010-08-27T00:00:00" u="1"/>
        <d v="2012-07-31T00:00:00" u="1"/>
        <d v="2009-09-23T00:00:00" u="1"/>
        <d v="2013-07-31T00:00:00" u="1"/>
        <d v="2010-09-23T00:00:00" u="1"/>
        <d v="2012-08-27T00:00:00" u="1"/>
        <d v="2014-07-31T00:00:00" u="1"/>
        <d v="2007-11-15T00:00:00" u="1"/>
        <d v="2009-10-19T00:00:00" u="1"/>
        <d v="2011-09-23T00:00:00" u="1"/>
        <d v="2013-08-27T00:00:00" u="1"/>
        <d v="2015-07-31T00:00:00" u="1"/>
        <d v="2006-12-11T00:00:00" u="1"/>
        <d v="2008-11-15T00:00:00" u="1"/>
        <d v="2010-10-19T00:00:00" u="1"/>
        <d v="2016-07-31T00:00:00" u="1"/>
        <d v="2007-12-11T00:00:00" u="1"/>
        <d v="2011-10-19T00:00:00" u="1"/>
        <d v="2013-09-23T00:00:00" u="1"/>
        <d v="2015-08-27T00:00:00" u="1"/>
        <d v="2017-07-31T00:00:00" u="1"/>
        <d v="2008-12-11T00:00:00" u="1"/>
        <d v="2010-11-15T00:00:00" u="1"/>
        <d v="2014-09-23T00:00:00" u="1"/>
        <d v="2018-07-31T00:00:00" u="1"/>
        <d v="2009-12-11T00:00:00" u="1"/>
        <d v="2011-11-15T00:00:00" u="1"/>
        <d v="2013-10-19T00:00:00" u="1"/>
        <d v="2015-09-23T00:00:00" u="1"/>
        <d v="2019-07-31T00:00:00" u="1"/>
        <d v="2012-11-15T00:00:00" u="1"/>
        <d v="2016-09-23T00:00:00" u="1"/>
        <d v="2013-11-15T00:00:00" u="1"/>
        <d v="2015-10-19T00:00:00" u="1"/>
        <d v="2017-09-23T00:00:00" u="1"/>
        <d v="2012-12-11T00:00:00" u="1"/>
        <d v="2016-10-19T00:00:00" u="1"/>
        <d v="2013-12-11T00:00:00" u="1"/>
        <d v="2019-09-23T00:00:00" u="1"/>
        <d v="2014-12-11T00:00:00" u="1"/>
        <d v="2016-11-15T00:00:00" u="1"/>
        <d v="2015-12-11T00:00:00" u="1"/>
        <d v="2017-11-15T00:00:00" u="1"/>
        <d v="2018-12-11T00:00:00" u="1"/>
        <d v="2007-08-29T00:00:00" u="1"/>
        <d v="2008-08-29T00:00:00" u="1"/>
        <d v="2009-08-29T00:00:00" u="1"/>
        <d v="2008-09-25T00:00:00" u="1"/>
        <d v="2007-10-21T00:00:00" u="1"/>
        <d v="2009-09-25T00:00:00" u="1"/>
        <d v="2011-08-29T00:00:00" u="1"/>
        <d v="2008-10-21T00:00:00" u="1"/>
        <d v="2012-08-29T00:00:00" u="1"/>
        <d v="2006-12-13T00:00:00" u="1"/>
        <d v="2008-11-17T00:00:00" u="1"/>
        <d v="2010-10-21T00:00:00" u="1"/>
        <d v="2014-08-29T00:00:00" u="1"/>
        <d v="2007-12-13T00:00:00" u="1"/>
        <d v="2009-11-17T00:00:00" u="1"/>
        <d v="2011-10-21T00:00:00" u="1"/>
        <d v="2013-09-25T00:00:00" u="1"/>
        <d v="2008-12-13T00:00:00" u="1"/>
        <d v="2010-11-17T00:00:00" u="1"/>
        <d v="2014-09-25T00:00:00" u="1"/>
        <d v="2016-08-29T00:00:00" u="1"/>
        <d v="2011-11-17T00:00:00" u="1"/>
        <d v="2013-10-21T00:00:00" u="1"/>
        <d v="2015-09-25T00:00:00" u="1"/>
        <d v="2017-08-29T00:00:00" u="1"/>
        <d v="2010-12-13T00:00:00" u="1"/>
        <d v="2014-10-21T00:00:00" u="1"/>
        <d v="2011-12-13T00:00:00" u="1"/>
        <d v="2015-10-21T00:00:00" u="1"/>
        <d v="2017-09-25T00:00:00" u="1"/>
        <d v="2012-12-13T00:00:00" u="1"/>
        <d v="2014-11-17T00:00:00" u="1"/>
        <d v="2013-12-13T00:00:00" u="1"/>
        <d v="2015-11-17T00:00:00" u="1"/>
        <d v="2016-11-17T00:00:00" u="1"/>
        <d v="2017-11-17T00:00:00" u="1"/>
        <d v="2016-12-13T00:00:00" u="1"/>
        <d v="2017-12-13T00:00:00" u="1"/>
        <d v="2007-08-31T00:00:00" u="1"/>
        <d v="2008-08-31T00:00:00" u="1"/>
        <d v="2007-09-27T00:00:00" u="1"/>
        <d v="2009-08-31T00:00:00" u="1"/>
        <d v="2010-08-31T00:00:00" u="1"/>
        <d v="2007-10-23T00:00:00" u="1"/>
        <d v="2011-08-31T00:00:00" u="1"/>
        <d v="2010-09-27T00:00:00" u="1"/>
        <d v="2012-08-31T00:00:00" u="1"/>
        <d v="2009-10-23T00:00:00" u="1"/>
        <d v="2011-09-27T00:00:00" u="1"/>
        <d v="2013-08-31T00:00:00" u="1"/>
        <d v="2008-11-19T00:00:00" u="1"/>
        <d v="2014-08-31T00:00:00" u="1"/>
        <d v="2015-08-31T00:00:00" u="1"/>
        <d v="2008-12-15T00:00:00" u="1"/>
        <d v="2010-11-19T00:00:00" u="1"/>
        <d v="2012-10-23T00:00:00" u="1"/>
        <d v="2016-08-31T00:00:00" u="1"/>
        <d v="2009-12-15T00:00:00" u="1"/>
        <d v="2013-10-23T00:00:00" u="1"/>
        <d v="2017-08-31T00:00:00" u="1"/>
        <d v="2010-12-15T00:00:00" u="1"/>
        <d v="2012-11-19T00:00:00" u="1"/>
        <d v="2014-10-23T00:00:00" u="1"/>
        <d v="2011-12-15T00:00:00" u="1"/>
        <d v="2013-11-19T00:00:00" u="1"/>
        <d v="2015-10-23T00:00:00" u="1"/>
        <d v="2014-11-19T00:00:00" u="1"/>
        <d v="2015-11-19T00:00:00" u="1"/>
        <d v="2017-10-23T00:00:00" u="1"/>
        <d v="2014-12-15T00:00:00" u="1"/>
        <d v="2015-12-15T00:00:00" u="1"/>
        <d v="2019-10-23T00:00:00" u="1"/>
        <d v="2016-12-15T00:00:00" u="1"/>
        <d v="2017-12-15T00:00:00" u="1"/>
      </sharedItems>
    </cacheField>
    <cacheField name="Consumo Activa" numFmtId="0">
      <sharedItems containsSemiMixedTypes="0" containsString="0" containsNumber="1" containsInteger="1" minValue="0" maxValue="0"/>
    </cacheField>
    <cacheField name="Promedio Activa" numFmtId="1">
      <sharedItems/>
    </cacheField>
    <cacheField name="Consumo Reactiva" numFmtId="1">
      <sharedItems containsSemiMixedTypes="0" containsString="0" containsNumber="1" containsInteger="1" minValue="0" maxValue="0"/>
    </cacheField>
    <cacheField name="Promedio Reactiva" numFmtId="1">
      <sharedItems/>
    </cacheField>
    <cacheField name="Cargo abono total" numFmtId="1">
      <sharedItems containsSemiMixedTypes="0" containsString="0" containsNumber="1" containsInteger="1" minValue="0" maxValue="0"/>
    </cacheField>
    <cacheField name="Pérdidas Total" numFmtId="1">
      <sharedItems containsSemiMixedTypes="0" containsString="0" containsNumber="1" containsInteger="1" minValue="0" maxValue="0"/>
    </cacheField>
    <cacheField name="Maxímetro" numFmtId="1">
      <sharedItems containsSemiMixedTypes="0" containsString="0" containsNumber="1" containsInteger="1" minValue="0" maxValue="0"/>
    </cacheField>
    <cacheField name="Lectura" numFmtId="1">
      <sharedItems containsSemiMixedTypes="0" containsString="0" containsNumber="1" containsInteger="1" minValue="0" maxValue="0"/>
    </cacheField>
    <cacheField name="Fuente" numFmtId="1">
      <sharedItems containsSemiMixedTypes="0" containsString="0" containsNumber="1" containsInteger="1" minValue="0" maxValue="0"/>
    </cacheField>
    <cacheField name="Año" numFmtId="1">
      <sharedItems containsSemiMixedTypes="0" containsString="0" containsNumber="1" containsInteger="1" minValue="1900" maxValue="2024" count="22">
        <n v="1900"/>
        <n v="2011" u="1"/>
        <n v="2012" u="1"/>
        <n v="2013" u="1"/>
        <n v="2014" u="1"/>
        <n v="2015" u="1"/>
        <n v="2016" u="1"/>
        <n v="2017" u="1"/>
        <n v="2018" u="1"/>
        <n v="2019" u="1"/>
        <n v="2020" u="1"/>
        <n v="2021" u="1"/>
        <n v="2022" u="1"/>
        <n v="2023" u="1"/>
        <n v="2024" u="1"/>
        <n v="2008" u="1"/>
        <n v="2006" u="1"/>
        <n v="2004" u="1"/>
        <n v="2009" u="1"/>
        <n v="2007" u="1"/>
        <n v="2005" u="1"/>
        <n v="2010" u="1"/>
      </sharedItems>
    </cacheField>
    <cacheField name="Mes" numFmtId="1">
      <sharedItems containsMixedTypes="1" containsNumber="1" containsInteger="1" minValue="1" maxValue="12" count="13">
        <s v="enero"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Energía Total Reconstruida" numFmtId="1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rres Sintes, Jose-Luis" refreshedDate="45309.812933796296" createdVersion="3" refreshedVersion="8" minRefreshableVersion="3" recordCount="198" xr:uid="{00000000-000A-0000-FFFF-FFFFA1000000}">
  <cacheSource type="worksheet">
    <worksheetSource ref="A2:R200" sheet="Listado"/>
  </cacheSource>
  <cacheFields count="19">
    <cacheField name="Contrato" numFmtId="0">
      <sharedItems containsSemiMixedTypes="0" containsString="0" containsNumber="1" containsInteger="1" minValue="0" maxValue="0"/>
    </cacheField>
    <cacheField name="Secuencial factura" numFmtId="0">
      <sharedItems containsSemiMixedTypes="0" containsString="0" containsNumber="1" containsInteger="1" minValue="0" maxValue="0"/>
    </cacheField>
    <cacheField name="Fecha Inicio" numFmtId="14">
      <sharedItems containsSemiMixedTypes="0" containsNonDate="0" containsDate="1" containsString="0" minDate="1899-12-30T00:00:00" maxDate="1899-12-31T00:00:00"/>
    </cacheField>
    <cacheField name="Fecha fin" numFmtId="14">
      <sharedItems containsSemiMixedTypes="0" containsNonDate="0" containsDate="1" containsString="0" minDate="1899-12-30T00:00:00" maxDate="1899-12-31T00:00:00"/>
    </cacheField>
    <cacheField name="Consumo Activa" numFmtId="0">
      <sharedItems containsSemiMixedTypes="0" containsString="0" containsNumber="1" containsInteger="1" minValue="0" maxValue="0"/>
    </cacheField>
    <cacheField name="Promedio Activa" numFmtId="1">
      <sharedItems/>
    </cacheField>
    <cacheField name="Consumo Reactiva" numFmtId="1">
      <sharedItems containsSemiMixedTypes="0" containsString="0" containsNumber="1" containsInteger="1" minValue="0" maxValue="0"/>
    </cacheField>
    <cacheField name="Promedio Reactiva" numFmtId="1">
      <sharedItems/>
    </cacheField>
    <cacheField name="Cargo abono total" numFmtId="1">
      <sharedItems containsSemiMixedTypes="0" containsString="0" containsNumber="1" containsInteger="1" minValue="0" maxValue="0"/>
    </cacheField>
    <cacheField name="Pérdidas Total" numFmtId="1">
      <sharedItems containsSemiMixedTypes="0" containsString="0" containsNumber="1" containsInteger="1" minValue="0" maxValue="0"/>
    </cacheField>
    <cacheField name="Maxímetro" numFmtId="1">
      <sharedItems containsSemiMixedTypes="0" containsString="0" containsNumber="1" containsInteger="1" minValue="0" maxValue="0"/>
    </cacheField>
    <cacheField name="Lectura" numFmtId="1">
      <sharedItems containsSemiMixedTypes="0" containsString="0" containsNumber="1" containsInteger="1" minValue="0" maxValue="0"/>
    </cacheField>
    <cacheField name="Fuente" numFmtId="1">
      <sharedItems containsSemiMixedTypes="0" containsString="0" containsNumber="1" containsInteger="1" minValue="0" maxValue="0"/>
    </cacheField>
    <cacheField name="Año" numFmtId="1">
      <sharedItems containsSemiMixedTypes="0" containsString="0" containsNumber="1" containsInteger="1" minValue="1900" maxValue="2024" count="22">
        <n v="1900"/>
        <n v="2011" u="1"/>
        <n v="2012" u="1"/>
        <n v="2013" u="1"/>
        <n v="2014" u="1"/>
        <n v="2015" u="1"/>
        <n v="2016" u="1"/>
        <n v="2017" u="1"/>
        <n v="2018" u="1"/>
        <n v="2019" u="1"/>
        <n v="2020" u="1"/>
        <n v="2021" u="1"/>
        <n v="2022" u="1"/>
        <n v="2023" u="1"/>
        <n v="2024" u="1"/>
        <n v="2008" u="1"/>
        <n v="2006" u="1"/>
        <n v="2004" u="1"/>
        <n v="2009" u="1"/>
        <n v="2007" u="1"/>
        <n v="2005" u="1"/>
        <n v="2010" u="1"/>
      </sharedItems>
    </cacheField>
    <cacheField name="Mes" numFmtId="1">
      <sharedItems containsMixedTypes="1" containsNumber="1" containsInteger="1" minValue="1" maxValue="12" count="13">
        <s v="enero"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Energía Total Reconstruida" numFmtId="1">
      <sharedItems containsSemiMixedTypes="0" containsString="0" containsNumber="1" containsInteger="1" minValue="0" maxValue="0"/>
    </cacheField>
    <cacheField name="Días" numFmtId="1">
      <sharedItems containsSemiMixedTypes="0" containsString="0" containsNumber="1" containsInteger="1" minValue="0" maxValue="0"/>
    </cacheField>
    <cacheField name="Consumo promedio ciclo" numFmtId="1">
      <sharedItems containsSemiMixedTypes="0" containsString="0" containsNumber="1" containsInteger="1" minValue="0" maxValue="0"/>
    </cacheField>
    <cacheField name="Promedio consumo por día" numFmtId="0" formula="'Consumo Activa'/Días" databaseField="0"/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"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"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  <r>
    <n v="0"/>
    <n v="0"/>
    <d v="1899-12-30T00:00:00"/>
    <x v="0"/>
    <n v="0"/>
    <s v=""/>
    <n v="0"/>
    <s v=""/>
    <n v="0"/>
    <n v="0"/>
    <n v="0"/>
    <n v="0"/>
    <n v="0"/>
    <x v="0"/>
    <x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"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  <r>
    <n v="0"/>
    <n v="0"/>
    <d v="1899-12-30T00:00:00"/>
    <d v="1899-12-30T00:00:00"/>
    <n v="0"/>
    <s v=""/>
    <n v="0"/>
    <s v=""/>
    <n v="0"/>
    <n v="0"/>
    <n v="0"/>
    <n v="0"/>
    <n v="0"/>
    <x v="0"/>
    <x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" cacheId="5" dataPosition="0" applyNumberFormats="0" applyBorderFormats="0" applyFontFormats="0" applyPatternFormats="0" applyAlignmentFormats="0" applyWidthHeightFormats="1" dataCaption="Valores" updatedVersion="8" minRefreshableVersion="3" showCalcMbrs="0" rowGrandTotals="0" itemPrintTitles="1" createdVersion="3" indent="0" outline="1" outlineData="1" multipleFieldFilters="0" chartFormat="43" rowHeaderCaption="Año">
  <location ref="A1:I2" firstHeaderRow="1" firstDataRow="2" firstDataCol="1"/>
  <pivotFields count="19">
    <pivotField showAll="0" defaultSubtotal="0"/>
    <pivotField showAll="0" defaultSubtotal="0"/>
    <pivotField dataField="1" showAll="0"/>
    <pivotField dataField="1" showAll="0"/>
    <pivotField dataField="1" showAll="0"/>
    <pivotField showAll="0"/>
    <pivotField dataField="1"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axis="axisRow" showAll="0" sortType="ascending" defaultSubtotal="0">
      <items count="22">
        <item h="1" x="0"/>
        <item h="1" m="1" x="17"/>
        <item h="1" m="1" x="20"/>
        <item h="1" m="1" x="16"/>
        <item h="1" m="1" x="19"/>
        <item h="1" m="1" x="15"/>
        <item h="1" m="1" x="18"/>
        <item h="1" m="1" x="21"/>
        <item h="1" m="1" x="1"/>
        <item h="1" m="1" x="2"/>
        <item h="1"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</items>
    </pivotField>
    <pivotField showAll="0" defaultSubtotal="0">
      <items count="13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</items>
    </pivotField>
    <pivotField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13"/>
  </rowField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Mín de Fecha inicio" fld="2" subtotal="min" baseField="13" baseItem="0" numFmtId="14"/>
    <dataField name="Máx de Fecha fin" fld="3" subtotal="max" baseField="0" baseItem="0" numFmtId="14"/>
    <dataField name="Suma de Consumo Activa" fld="4" baseField="0" baseItem="0"/>
    <dataField name="Suma de Consumo Reactiva" fld="6" baseField="0" baseItem="0"/>
    <dataField name="Máx de Maxímetro" fld="10" subtotal="max" baseField="0" baseItem="0" numFmtId="1"/>
    <dataField name="Periodos facturados" fld="4" subtotal="count" baseField="0" baseItem="0"/>
    <dataField name="Suma de Días" fld="16" baseField="0" baseItem="0"/>
    <dataField name="Suma de Promedio consumo por día" fld="18" baseField="0" baseItem="0" numFmtId="1"/>
  </dataFields>
  <formats count="48">
    <format dxfId="1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8">
      <pivotArea type="all" dataOnly="0" outline="0" fieldPosition="0"/>
    </format>
    <format dxfId="197">
      <pivotArea type="all" dataOnly="0" outline="0" fieldPosition="0"/>
    </format>
    <format dxfId="196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9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94">
      <pivotArea field="-2" type="button" dataOnly="0" labelOnly="1" outline="0" axis="axisCol" fieldPosition="0"/>
    </format>
    <format dxfId="193">
      <pivotArea type="topRight" dataOnly="0" labelOnly="1" outline="0" fieldPosition="0"/>
    </format>
    <format dxfId="192">
      <pivotArea type="all" dataOnly="0" outline="0" fieldPosition="0"/>
    </format>
    <format dxfId="191">
      <pivotArea type="all" dataOnly="0" outline="0" fieldPosition="0"/>
    </format>
    <format dxfId="190">
      <pivotArea type="all" dataOnly="0" outline="0" fieldPosition="0"/>
    </format>
    <format dxfId="189">
      <pivotArea field="13" type="button" dataOnly="0" labelOnly="1" outline="0" axis="axisRow" fieldPosition="0"/>
    </format>
    <format dxfId="18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87">
      <pivotArea field="13" type="button" dataOnly="0" labelOnly="1" outline="0" axis="axisRow" fieldPosition="0"/>
    </format>
    <format dxfId="18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85">
      <pivotArea dataOnly="0" labelOnly="1" outline="0" fieldPosition="0">
        <references count="1">
          <reference field="4294967294" count="5">
            <x v="2"/>
            <x v="3"/>
            <x v="4"/>
            <x v="5"/>
            <x v="6"/>
          </reference>
        </references>
      </pivotArea>
    </format>
    <format dxfId="18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83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182">
      <pivotArea type="all" dataOnly="0" outline="0" fieldPosition="0"/>
    </format>
    <format dxfId="181">
      <pivotArea outline="0" collapsedLevelsAreSubtotals="1" fieldPosition="0"/>
    </format>
    <format dxfId="180">
      <pivotArea dataOnly="0" labelOnly="1" fieldPosition="0">
        <references count="1">
          <reference field="13" count="0"/>
        </references>
      </pivotArea>
    </format>
    <format dxfId="179">
      <pivotArea type="all" dataOnly="0" outline="0" fieldPosition="0"/>
    </format>
    <format dxfId="178">
      <pivotArea outline="0" collapsedLevelsAreSubtotals="1" fieldPosition="0"/>
    </format>
    <format dxfId="177">
      <pivotArea field="13" type="button" dataOnly="0" labelOnly="1" outline="0" axis="axisRow" fieldPosition="0"/>
    </format>
    <format dxfId="176">
      <pivotArea field="13" type="button" dataOnly="0" labelOnly="1" outline="0" axis="axisRow" fieldPosition="0"/>
    </format>
    <format dxfId="175">
      <pivotArea field="13" type="button" dataOnly="0" labelOnly="1" outline="0" axis="axisRow" fieldPosition="0"/>
    </format>
    <format dxfId="174">
      <pivotArea field="13" type="button" dataOnly="0" labelOnly="1" outline="0" axis="axisRow" fieldPosition="0"/>
    </format>
    <format dxfId="173">
      <pivotArea field="13" type="button" dataOnly="0" labelOnly="1" outline="0" axis="axisRow" fieldPosition="0"/>
    </format>
    <format dxfId="172">
      <pivotArea field="13" type="button" dataOnly="0" labelOnly="1" outline="0" axis="axisRow" fieldPosition="0"/>
    </format>
    <format dxfId="171">
      <pivotArea field="13" type="button" dataOnly="0" labelOnly="1" outline="0" axis="axisRow" fieldPosition="0"/>
    </format>
    <format dxfId="170">
      <pivotArea field="13" type="button" dataOnly="0" labelOnly="1" outline="0" axis="axisRow" fieldPosition="0"/>
    </format>
    <format dxfId="169">
      <pivotArea field="13" type="button" dataOnly="0" labelOnly="1" outline="0" axis="axisRow" fieldPosition="0"/>
    </format>
    <format dxfId="168">
      <pivotArea field="13" type="button" dataOnly="0" labelOnly="1" outline="0" axis="axisRow" fieldPosition="0"/>
    </format>
    <format dxfId="167">
      <pivotArea field="13" type="button" dataOnly="0" labelOnly="1" outline="0" axis="axisRow" fieldPosition="0"/>
    </format>
    <format dxfId="16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65">
      <pivotArea field="13" type="button" dataOnly="0" labelOnly="1" outline="0" axis="axisRow" fieldPosition="0"/>
    </format>
    <format dxfId="16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63">
      <pivotArea field="13" type="button" dataOnly="0" labelOnly="1" outline="0" axis="axisRow" fieldPosition="0"/>
    </format>
    <format dxfId="162">
      <pivotArea field="13" type="button" dataOnly="0" labelOnly="1" outline="0" axis="axisRow" fieldPosition="0"/>
    </format>
    <format dxfId="161">
      <pivotArea field="13" type="button" dataOnly="0" labelOnly="1" outline="0" axis="axisRow" fieldPosition="0"/>
    </format>
    <format dxfId="16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59">
      <pivotArea field="13" type="button" dataOnly="0" labelOnly="1" outline="0" axis="axisRow" fieldPosition="0"/>
    </format>
    <format dxfId="15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57">
      <pivotArea type="all" dataOnly="0" outline="0" fieldPosition="0"/>
    </format>
    <format dxfId="156">
      <pivotArea type="all" dataOnly="0" outline="0" fieldPosition="0"/>
    </format>
    <format dxfId="155">
      <pivotArea type="all" dataOnly="0" outline="0" fieldPosition="0"/>
    </format>
    <format dxfId="154">
      <pivotArea type="origin" dataOnly="0" labelOnly="1" outline="0" fieldPosition="0"/>
    </format>
    <format dxfId="153">
      <pivotArea type="origin" dataOnly="0" labelOnly="1" outline="0" fieldPosition="0"/>
    </format>
    <format dxfId="152">
      <pivotArea dataOnly="0" outline="0" fieldPosition="0">
        <references count="1">
          <reference field="4294967294" count="2">
            <x v="0"/>
            <x v="1"/>
          </reference>
        </references>
      </pivotArea>
    </format>
  </formats>
  <conditionalFormats count="4">
    <conditionalFormat scope="data" priority="3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chartFormats count="5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8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9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9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7"/>
          </reference>
          <reference field="13" count="1" selected="0">
            <x v="14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3" count="1" selected="0">
            <x v="14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1"/>
          </reference>
          <reference field="13" count="1" selected="0">
            <x v="14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2"/>
          </reference>
          <reference field="13" count="1" selected="0">
            <x v="14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3"/>
          </reference>
          <reference field="13" count="1" selected="0">
            <x v="14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4"/>
          </reference>
          <reference field="13" count="1" selected="0">
            <x v="14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5"/>
          </reference>
          <reference field="13" count="1" selected="0">
            <x v="1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6"/>
          </reference>
          <reference field="13" count="1" selected="0">
            <x v="14"/>
          </reference>
        </references>
      </pivotArea>
    </chartFormat>
    <chartFormat chart="2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8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8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8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8" format="8">
      <pivotArea type="data" outline="0" fieldPosition="0">
        <references count="2">
          <reference field="4294967294" count="1" selected="0">
            <x v="1"/>
          </reference>
          <reference field="13" count="1" selected="0">
            <x v="7"/>
          </reference>
        </references>
      </pivotArea>
    </chartFormat>
    <chartFormat chart="28" format="9">
      <pivotArea type="data" outline="0" fieldPosition="0">
        <references count="2">
          <reference field="4294967294" count="1" selected="0">
            <x v="1"/>
          </reference>
          <reference field="13" count="1" selected="0">
            <x v="6"/>
          </reference>
        </references>
      </pivotArea>
    </chartFormat>
    <chartFormat chart="28" format="10">
      <pivotArea type="data" outline="0" fieldPosition="0">
        <references count="2">
          <reference field="4294967294" count="1" selected="0">
            <x v="1"/>
          </reference>
          <reference field="13" count="1" selected="0">
            <x v="9"/>
          </reference>
        </references>
      </pivotArea>
    </chartFormat>
    <chartFormat chart="28" format="11">
      <pivotArea type="data" outline="0" fieldPosition="0">
        <references count="2">
          <reference field="4294967294" count="1" selected="0">
            <x v="1"/>
          </reference>
          <reference field="13" count="1" selected="0">
            <x v="8"/>
          </reference>
        </references>
      </pivotArea>
    </chartFormat>
  </chartFormats>
  <pivotTableStyleInfo name="PivotStyleLight15"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 dinámica2" cacheId="4" applyNumberFormats="0" applyBorderFormats="0" applyFontFormats="0" applyPatternFormats="0" applyAlignmentFormats="0" applyWidthHeightFormats="1" dataCaption="Valores" updatedVersion="8" minRefreshableVersion="3" showCalcMbrs="0" rowGrandTotals="0" itemPrintTitles="1" createdVersion="3" indent="0" outline="1" outlineData="1" multipleFieldFilters="0" chartFormat="93">
  <location ref="A54:D56" firstHeaderRow="1" firstDataRow="2" firstDataCol="1" rowPageCount="2" colPageCount="1"/>
  <pivotFields count="16">
    <pivotField showAll="0" defaultSubtotal="0"/>
    <pivotField showAll="0" defaultSubtotal="0"/>
    <pivotField showAll="0"/>
    <pivotField axis="axisRow" showAll="0" sortType="ascending">
      <items count="2831">
        <item m="1" x="148"/>
        <item x="0"/>
        <item m="1" x="2195"/>
        <item m="1" x="1646"/>
        <item m="1" x="1732"/>
        <item m="1" x="1769"/>
        <item m="1" x="772"/>
        <item m="1" x="980"/>
        <item m="1" x="2625"/>
        <item m="1" x="2662"/>
        <item m="1" x="1330"/>
        <item m="1" x="1441"/>
        <item m="1" x="1768"/>
        <item m="1" x="456"/>
        <item m="1" x="1773"/>
        <item m="1" x="570"/>
        <item m="1" x="718"/>
        <item m="1" x="979"/>
        <item m="1" x="1779"/>
        <item m="1" x="618"/>
        <item m="1" x="2298"/>
        <item m="1" x="1026"/>
        <item m="1" x="1911"/>
        <item m="1" x="625"/>
        <item m="1" x="674"/>
        <item m="1" x="2134"/>
        <item m="1" x="2183"/>
        <item m="1" x="2302"/>
        <item m="1" x="2521"/>
        <item m="1" x="2026"/>
        <item m="1" x="879"/>
        <item m="1" x="1197"/>
        <item m="1" x="2624"/>
        <item m="1" x="792"/>
        <item m="1" x="2244"/>
        <item m="1" x="2313"/>
        <item m="1" x="1090"/>
        <item m="1" x="2465"/>
        <item m="1" x="1370"/>
        <item m="1" x="2255"/>
        <item m="1" x="2424"/>
        <item m="1" x="1328"/>
        <item m="1" x="1404"/>
        <item m="1" x="1437"/>
        <item m="1" x="1000"/>
        <item m="1" x="2377"/>
        <item m="1" x="1151"/>
        <item m="1" x="1297"/>
        <item m="1" x="2668"/>
        <item m="1" x="2710"/>
        <item m="1" x="201"/>
        <item m="1" x="1159"/>
        <item m="1" x="2588"/>
        <item m="1" x="1469"/>
        <item m="1" x="202"/>
        <item m="1" x="1577"/>
        <item m="1" x="2595"/>
        <item m="1" x="2724"/>
        <item m="1" x="2765"/>
        <item m="1" x="1474"/>
        <item m="1" x="1500"/>
        <item m="1" x="243"/>
        <item m="1" x="1561"/>
        <item m="1" x="365"/>
        <item m="1" x="1703"/>
        <item m="1" x="1613"/>
        <item m="1" x="334"/>
        <item m="1" x="426"/>
        <item m="1" x="1733"/>
        <item m="1" x="1770"/>
        <item m="1" x="1858"/>
        <item m="1" x="2066"/>
        <item m="1" x="400"/>
        <item m="1" x="1735"/>
        <item m="1" x="1814"/>
        <item m="1" x="567"/>
        <item m="1" x="1952"/>
        <item m="1" x="2179"/>
        <item m="1" x="2230"/>
        <item m="1" x="1678"/>
        <item m="1" x="532"/>
        <item m="1" x="668"/>
        <item m="1" x="2012"/>
        <item m="1" x="722"/>
        <item m="1" x="1025"/>
        <item m="1" x="1744"/>
        <item m="1" x="576"/>
        <item m="1" x="621"/>
        <item m="1" x="777"/>
        <item m="1" x="2131"/>
        <item m="1" x="2414"/>
        <item m="1" x="2461"/>
        <item m="1" x="1833"/>
        <item m="1" x="583"/>
        <item m="1" x="628"/>
        <item m="1" x="1969"/>
        <item m="1" x="827"/>
        <item m="1" x="2187"/>
        <item m="1" x="927"/>
        <item m="1" x="983"/>
        <item m="1" x="2359"/>
        <item m="1" x="1030"/>
        <item m="1" x="2416"/>
        <item m="1" x="2523"/>
        <item m="1" x="1196"/>
        <item m="1" x="1244"/>
        <item m="1" x="1920"/>
        <item m="1" x="687"/>
        <item m="1" x="2031"/>
        <item m="1" x="740"/>
        <item m="1" x="833"/>
        <item m="1" x="2240"/>
        <item m="1" x="987"/>
        <item m="1" x="2362"/>
        <item m="1" x="2463"/>
        <item m="1" x="2527"/>
        <item m="1" x="2038"/>
        <item m="1" x="840"/>
        <item m="1" x="2199"/>
        <item m="1" x="888"/>
        <item m="1" x="2249"/>
        <item m="1" x="940"/>
        <item m="1" x="1093"/>
        <item m="1" x="2467"/>
        <item m="1" x="2577"/>
        <item m="1" x="2626"/>
        <item m="1" x="2705"/>
        <item m="1" x="1371"/>
        <item m="1" x="2756"/>
        <item m="1" x="2794"/>
        <item m="1" x="2152"/>
        <item m="1" x="896"/>
        <item m="1" x="2259"/>
        <item m="1" x="948"/>
        <item m="1" x="2323"/>
        <item m="1" x="1099"/>
        <item m="1" x="2473"/>
        <item m="1" x="2580"/>
        <item m="1" x="1251"/>
        <item m="1" x="1295"/>
        <item m="1" x="2666"/>
        <item m="1" x="2796"/>
        <item m="1" x="1466"/>
        <item m="1" x="2267"/>
        <item m="1" x="956"/>
        <item m="1" x="1006"/>
        <item m="1" x="1104"/>
        <item m="1" x="2480"/>
        <item m="1" x="1154"/>
        <item m="1" x="2543"/>
        <item m="1" x="1300"/>
        <item m="1" x="1333"/>
        <item m="1" x="2760"/>
        <item m="1" x="2799"/>
        <item m="1" x="181"/>
        <item m="1" x="225"/>
        <item m="1" x="254"/>
        <item m="1" x="2388"/>
        <item m="1" x="2485"/>
        <item m="1" x="1163"/>
        <item m="1" x="2549"/>
        <item m="1" x="1212"/>
        <item m="1" x="2591"/>
        <item m="1" x="1305"/>
        <item m="1" x="1339"/>
        <item m="1" x="2719"/>
        <item m="1" x="1377"/>
        <item m="1" x="1442"/>
        <item m="1" x="183"/>
        <item m="1" x="1471"/>
        <item m="1" x="1578"/>
        <item m="1" x="2492"/>
        <item m="1" x="1217"/>
        <item m="1" x="2600"/>
        <item m="1" x="2642"/>
        <item m="1" x="1344"/>
        <item m="1" x="2728"/>
        <item m="1" x="1381"/>
        <item m="1" x="2769"/>
        <item m="1" x="1414"/>
        <item m="1" x="1477"/>
        <item m="1" x="206"/>
        <item m="1" x="1503"/>
        <item m="1" x="229"/>
        <item m="1" x="307"/>
        <item m="1" x="355"/>
        <item m="1" x="1516"/>
        <item m="1" x="244"/>
        <item m="1" x="1545"/>
        <item m="1" x="279"/>
        <item m="1" x="1591"/>
        <item m="1" x="316"/>
        <item m="1" x="333"/>
        <item m="1" x="1647"/>
        <item m="1" x="397"/>
        <item m="1" x="425"/>
        <item m="1" x="1731"/>
        <item m="1" x="452"/>
        <item m="1" x="1811"/>
        <item m="1" x="524"/>
        <item m="1" x="662"/>
        <item m="1" x="2006"/>
        <item m="1" x="2065"/>
        <item m="1" x="1562"/>
        <item m="1" x="1615"/>
        <item m="1" x="1649"/>
        <item m="1" x="369"/>
        <item m="1" x="1705"/>
        <item m="1" x="1734"/>
        <item m="1" x="453"/>
        <item m="1" x="526"/>
        <item m="1" x="566"/>
        <item m="1" x="1899"/>
        <item m="1" x="612"/>
        <item m="1" x="715"/>
        <item m="1" x="771"/>
        <item m="1" x="2125"/>
        <item m="1" x="1617"/>
        <item m="1" x="1652"/>
        <item m="1" x="372"/>
        <item m="1" x="1675"/>
        <item m="1" x="403"/>
        <item m="1" x="1708"/>
        <item m="1" x="457"/>
        <item m="1" x="1774"/>
        <item m="1" x="495"/>
        <item m="1" x="1817"/>
        <item m="1" x="529"/>
        <item m="1" x="615"/>
        <item m="1" x="1955"/>
        <item m="1" x="2010"/>
        <item m="1" x="719"/>
        <item m="1" x="2126"/>
        <item m="1" x="821"/>
        <item m="1" x="2180"/>
        <item m="1" x="2296"/>
        <item m="1" x="1681"/>
        <item m="1" x="408"/>
        <item m="1" x="1712"/>
        <item m="1" x="430"/>
        <item m="1" x="1780"/>
        <item m="1" x="499"/>
        <item m="1" x="1821"/>
        <item m="1" x="534"/>
        <item m="1" x="1864"/>
        <item m="1" x="1960"/>
        <item m="1" x="2015"/>
        <item m="1" x="2128"/>
        <item m="1" x="2182"/>
        <item m="1" x="875"/>
        <item m="1" x="2357"/>
        <item m="1" x="1027"/>
        <item m="1" x="1747"/>
        <item m="1" x="466"/>
        <item m="1" x="1828"/>
        <item m="1" x="1870"/>
        <item m="1" x="579"/>
        <item m="1" x="1912"/>
        <item m="1" x="675"/>
        <item m="1" x="2020"/>
        <item m="1" x="728"/>
        <item m="1" x="2080"/>
        <item m="1" x="780"/>
        <item m="1" x="2184"/>
        <item m="1" x="2233"/>
        <item m="1" x="925"/>
        <item m="1" x="2303"/>
        <item m="1" x="2415"/>
        <item m="1" x="1138"/>
        <item m="1" x="2522"/>
        <item m="1" x="1875"/>
        <item m="1" x="1916"/>
        <item m="1" x="2027"/>
        <item m="1" x="736"/>
        <item m="1" x="2088"/>
        <item m="1" x="830"/>
        <item m="1" x="880"/>
        <item m="1" x="2237"/>
        <item m="1" x="930"/>
        <item m="1" x="2308"/>
        <item m="1" x="985"/>
        <item m="1" x="2361"/>
        <item m="1" x="2418"/>
        <item m="1" x="1087"/>
        <item m="1" x="2462"/>
        <item m="1" x="2525"/>
        <item m="1" x="1245"/>
        <item m="1" x="1926"/>
        <item m="1" x="639"/>
        <item m="1" x="1982"/>
        <item m="1" x="692"/>
        <item m="1" x="2095"/>
        <item m="1" x="793"/>
        <item m="1" x="2142"/>
        <item m="1" x="837"/>
        <item m="1" x="2196"/>
        <item m="1" x="936"/>
        <item m="1" x="2314"/>
        <item m="1" x="990"/>
        <item m="1" x="2365"/>
        <item m="1" x="1142"/>
        <item m="1" x="2529"/>
        <item m="1" x="1198"/>
        <item m="1" x="2575"/>
        <item m="1" x="1294"/>
        <item m="1" x="1326"/>
        <item m="1" x="2704"/>
        <item m="1" x="2043"/>
        <item m="1" x="798"/>
        <item m="1" x="2148"/>
        <item m="1" x="844"/>
        <item m="1" x="2202"/>
        <item m="1" x="893"/>
        <item m="1" x="993"/>
        <item m="1" x="2372"/>
        <item m="1" x="1042"/>
        <item m="1" x="1145"/>
        <item m="1" x="2533"/>
        <item m="1" x="1202"/>
        <item m="1" x="2628"/>
        <item m="1" x="2664"/>
        <item m="1" x="1329"/>
        <item m="1" x="2707"/>
        <item m="1" x="2757"/>
        <item m="1" x="2795"/>
        <item m="1" x="850"/>
        <item m="1" x="2209"/>
        <item m="1" x="899"/>
        <item m="1" x="2263"/>
        <item m="1" x="1001"/>
        <item m="1" x="2378"/>
        <item m="1" x="1050"/>
        <item m="1" x="2429"/>
        <item m="1" x="1101"/>
        <item m="1" x="2538"/>
        <item m="1" x="1205"/>
        <item m="1" x="2583"/>
        <item m="1" x="2630"/>
        <item m="1" x="1298"/>
        <item m="1" x="2711"/>
        <item m="1" x="1373"/>
        <item m="1" x="2759"/>
        <item m="1" x="180"/>
        <item m="1" x="1467"/>
        <item m="1" x="2272"/>
        <item m="1" x="2336"/>
        <item m="1" x="1058"/>
        <item m="1" x="2434"/>
        <item m="1" x="1107"/>
        <item m="1" x="1160"/>
        <item m="1" x="1261"/>
        <item m="1" x="2634"/>
        <item m="1" x="1301"/>
        <item m="1" x="2673"/>
        <item m="1" x="1374"/>
        <item m="1" x="2763"/>
        <item m="1" x="1406"/>
        <item m="1" x="1439"/>
        <item m="1" x="203"/>
        <item m="1" x="1499"/>
        <item m="1" x="226"/>
        <item m="1" x="1525"/>
        <item m="1" x="255"/>
        <item m="1" x="2394"/>
        <item m="1" x="2440"/>
        <item m="1" x="1168"/>
        <item m="1" x="2553"/>
        <item m="1" x="1268"/>
        <item m="1" x="2639"/>
        <item m="1" x="1309"/>
        <item m="1" x="2677"/>
        <item m="1" x="1342"/>
        <item m="1" x="2725"/>
        <item m="1" x="2766"/>
        <item m="1" x="1411"/>
        <item m="1" x="2806"/>
        <item m="1" x="1443"/>
        <item m="1" x="1501"/>
        <item m="1" x="257"/>
        <item m="1" x="1552"/>
        <item m="1" x="288"/>
        <item m="1" x="1579"/>
        <item m="1" x="2497"/>
        <item m="1" x="1175"/>
        <item m="1" x="1221"/>
        <item m="1" x="2606"/>
        <item m="1" x="1277"/>
        <item m="1" x="2683"/>
        <item m="1" x="1349"/>
        <item m="1" x="2733"/>
        <item m="1" x="1386"/>
        <item m="1" x="2773"/>
        <item m="1" x="2809"/>
        <item m="1" x="1447"/>
        <item m="1" x="185"/>
        <item m="1" x="1480"/>
        <item m="1" x="209"/>
        <item m="1" x="1506"/>
        <item m="1" x="1529"/>
        <item m="1" x="261"/>
        <item m="1" x="1581"/>
        <item m="1" x="308"/>
        <item m="1" x="1639"/>
        <item m="1" x="356"/>
        <item m="1" x="1518"/>
        <item m="1" x="245"/>
        <item m="1" x="1592"/>
        <item m="1" x="317"/>
        <item m="1" x="1614"/>
        <item m="1" x="1648"/>
        <item m="1" x="367"/>
        <item m="1" x="1671"/>
        <item m="1" x="398"/>
        <item m="1" x="1704"/>
        <item m="1" x="427"/>
        <item m="1" x="1771"/>
        <item m="1" x="492"/>
        <item m="1" x="1812"/>
        <item m="1" x="525"/>
        <item m="1" x="1859"/>
        <item m="1" x="565"/>
        <item m="1" x="1898"/>
        <item m="1" x="663"/>
        <item m="1" x="2007"/>
        <item m="1" x="714"/>
        <item m="1" x="2067"/>
        <item m="1" x="296"/>
        <item m="1" x="1594"/>
        <item m="1" x="319"/>
        <item m="1" x="1616"/>
        <item m="1" x="336"/>
        <item m="1" x="1673"/>
        <item m="1" x="401"/>
        <item m="1" x="1707"/>
        <item m="1" x="1736"/>
        <item m="1" x="494"/>
        <item m="1" x="1815"/>
        <item m="1" x="528"/>
        <item m="1" x="1860"/>
        <item m="1" x="568"/>
        <item m="1" x="1953"/>
        <item m="1" x="665"/>
        <item m="1" x="2009"/>
        <item m="1" x="717"/>
        <item m="1" x="2069"/>
        <item m="1" x="773"/>
        <item m="1" x="339"/>
        <item m="1" x="1654"/>
        <item m="1" x="375"/>
        <item m="1" x="1679"/>
        <item m="1" x="405"/>
        <item m="1" x="1739"/>
        <item m="1" x="458"/>
        <item m="1" x="1777"/>
        <item m="1" x="497"/>
        <item m="1" x="1819"/>
        <item m="1" x="572"/>
        <item m="1" x="1902"/>
        <item m="1" x="1958"/>
        <item m="1" x="2072"/>
        <item m="1" x="775"/>
        <item m="1" x="2127"/>
        <item m="1" x="822"/>
        <item m="1" x="2181"/>
        <item m="1" x="923"/>
        <item m="1" x="2297"/>
        <item m="1" x="1684"/>
        <item m="1" x="410"/>
        <item m="1" x="1714"/>
        <item m="1" x="463"/>
        <item m="1" x="1783"/>
        <item m="1" x="503"/>
        <item m="1" x="1824"/>
        <item m="1" x="536"/>
        <item m="1" x="1907"/>
        <item m="1" x="622"/>
        <item m="1" x="1964"/>
        <item m="1" x="673"/>
        <item m="1" x="2016"/>
        <item m="1" x="2132"/>
        <item m="1" x="824"/>
        <item m="1" x="876"/>
        <item m="1" x="2300"/>
        <item m="1" x="981"/>
        <item m="1" x="2358"/>
        <item m="1" x="1028"/>
        <item m="1" x="1750"/>
        <item m="1" x="506"/>
        <item m="1" x="1834"/>
        <item m="1" x="542"/>
        <item m="1" x="1872"/>
        <item m="1" x="584"/>
        <item m="1" x="1970"/>
        <item m="1" x="679"/>
        <item m="1" x="2022"/>
        <item m="1" x="732"/>
        <item m="1" x="2084"/>
        <item m="1" x="828"/>
        <item m="1" x="2188"/>
        <item m="1" x="2235"/>
        <item m="1" x="928"/>
        <item m="1" x="2360"/>
        <item m="1" x="1031"/>
        <item m="1" x="2417"/>
        <item m="1" x="1139"/>
        <item m="1" x="2524"/>
        <item m="1" x="1841"/>
        <item m="1" x="548"/>
        <item m="1" x="1879"/>
        <item m="1" x="590"/>
        <item m="1" x="1921"/>
        <item m="1" x="688"/>
        <item m="1" x="2032"/>
        <item m="1" x="741"/>
        <item m="1" x="2091"/>
        <item m="1" x="788"/>
        <item m="1" x="2191"/>
        <item m="1" x="2241"/>
        <item m="1" x="932"/>
        <item m="1" x="2311"/>
        <item m="1" x="1035"/>
        <item m="1" x="2420"/>
        <item m="1" x="1089"/>
        <item m="1" x="2464"/>
        <item m="1" x="1140"/>
        <item m="1" x="2574"/>
        <item m="1" x="1246"/>
        <item m="1" x="643"/>
        <item m="1" x="747"/>
        <item m="1" x="2101"/>
        <item m="1" x="795"/>
        <item m="1" x="2144"/>
        <item m="1" x="841"/>
        <item m="1" x="2250"/>
        <item m="1" x="941"/>
        <item m="1" x="2317"/>
        <item m="1" x="991"/>
        <item m="1" x="2369"/>
        <item m="1" x="1094"/>
        <item m="1" x="2468"/>
        <item m="1" x="1200"/>
        <item m="1" x="2627"/>
        <item m="1" x="2663"/>
        <item m="1" x="1327"/>
        <item m="1" x="2706"/>
        <item m="1" x="2046"/>
        <item m="1" x="2107"/>
        <item m="1" x="803"/>
        <item m="1" x="2153"/>
        <item m="1" x="846"/>
        <item m="1" x="2206"/>
        <item m="1" x="949"/>
        <item m="1" x="2324"/>
        <item m="1" x="997"/>
        <item m="1" x="2374"/>
        <item m="1" x="1046"/>
        <item m="1" x="2474"/>
        <item m="1" x="1148"/>
        <item m="1" x="1203"/>
        <item m="1" x="2581"/>
        <item m="1" x="1252"/>
        <item m="1" x="1296"/>
        <item m="1" x="1331"/>
        <item m="1" x="1372"/>
        <item m="1" x="2758"/>
        <item m="1" x="2797"/>
        <item m="1" x="2161"/>
        <item m="1" x="854"/>
        <item m="1" x="2213"/>
        <item m="1" x="904"/>
        <item m="1" x="2268"/>
        <item m="1" x="2331"/>
        <item m="1" x="1007"/>
        <item m="1" x="2381"/>
        <item m="1" x="1054"/>
        <item m="1" x="2432"/>
        <item m="1" x="1155"/>
        <item m="1" x="2544"/>
        <item m="1" x="1207"/>
        <item m="1" x="2585"/>
        <item m="1" x="1257"/>
        <item m="1" x="2670"/>
        <item m="1" x="1334"/>
        <item m="1" x="2714"/>
        <item m="1" x="2761"/>
        <item m="1" x="1438"/>
        <item m="1" x="1468"/>
        <item m="1" x="2275"/>
        <item m="1" x="962"/>
        <item m="1" x="2389"/>
        <item m="1" x="1062"/>
        <item m="1" x="2437"/>
        <item m="1" x="1109"/>
        <item m="1" x="2486"/>
        <item m="1" x="1213"/>
        <item m="1" x="2592"/>
        <item m="1" x="1264"/>
        <item m="1" x="2636"/>
        <item m="1" x="1306"/>
        <item m="1" x="2720"/>
        <item m="1" x="1378"/>
        <item m="1" x="1408"/>
        <item m="1" x="2803"/>
        <item m="1" x="1472"/>
        <item m="1" x="204"/>
        <item m="1" x="227"/>
        <item m="1" x="1526"/>
        <item m="1" x="256"/>
        <item m="1" x="2398"/>
        <item m="1" x="1071"/>
        <item m="1" x="2443"/>
        <item m="1" x="1117"/>
        <item m="1" x="2493"/>
        <item m="1" x="1172"/>
        <item m="1" x="2601"/>
        <item m="1" x="1273"/>
        <item m="1" x="2643"/>
        <item m="1" x="1311"/>
        <item m="1" x="2680"/>
        <item m="1" x="1382"/>
        <item m="1" x="2770"/>
        <item m="1" x="1415"/>
        <item m="1" x="1445"/>
        <item m="1" x="207"/>
        <item m="1" x="1504"/>
        <item m="1" x="230"/>
        <item m="1" x="1528"/>
        <item m="1" x="259"/>
        <item m="1" x="1580"/>
        <item m="1" x="2502"/>
        <item m="1" x="2561"/>
        <item m="1" x="1225"/>
        <item m="1" x="2686"/>
        <item m="1" x="1353"/>
        <item m="1" x="2737"/>
        <item m="1" x="2813"/>
        <item m="1" x="1449"/>
        <item m="1" x="187"/>
        <item m="1" x="1483"/>
        <item m="1" x="263"/>
        <item m="1" x="290"/>
        <item m="1" x="1608"/>
        <item m="1" x="1640"/>
        <item m="1" x="357"/>
        <item m="1" x="1519"/>
        <item m="1" x="281"/>
        <item m="1" x="1563"/>
        <item m="1" x="1593"/>
        <item m="1" x="318"/>
        <item m="1" x="335"/>
        <item m="1" x="1650"/>
        <item m="1" x="370"/>
        <item m="1" x="1672"/>
        <item m="1" x="399"/>
        <item m="1" x="1706"/>
        <item m="1" x="454"/>
        <item m="1" x="1772"/>
        <item m="1" x="493"/>
        <item m="1" x="1813"/>
        <item m="1" x="527"/>
        <item m="1" x="1900"/>
        <item m="1" x="613"/>
        <item m="1" x="1951"/>
        <item m="1" x="664"/>
        <item m="1" x="2008"/>
        <item m="1" x="716"/>
        <item m="1" x="2068"/>
        <item m="1" x="1565"/>
        <item m="1" x="297"/>
        <item m="1" x="320"/>
        <item m="1" x="1618"/>
        <item m="1" x="373"/>
        <item m="1" x="1676"/>
        <item m="1" x="404"/>
        <item m="1" x="1709"/>
        <item m="1" x="428"/>
        <item m="1" x="1775"/>
        <item m="1" x="496"/>
        <item m="1" x="1818"/>
        <item m="1" x="530"/>
        <item m="1" x="1861"/>
        <item m="1" x="616"/>
        <item m="1" x="1956"/>
        <item m="1" x="667"/>
        <item m="1" x="2011"/>
        <item m="1" x="720"/>
        <item m="1" x="774"/>
        <item m="1" x="1621"/>
        <item m="1" x="341"/>
        <item m="1" x="1655"/>
        <item m="1" x="377"/>
        <item m="1" x="1682"/>
        <item m="1" x="431"/>
        <item m="1" x="1741"/>
        <item m="1" x="460"/>
        <item m="1" x="1781"/>
        <item m="1" x="500"/>
        <item m="1" x="1865"/>
        <item m="1" x="574"/>
        <item m="1" x="619"/>
        <item m="1" x="1961"/>
        <item m="1" x="723"/>
        <item m="1" x="2074"/>
        <item m="1" x="2129"/>
        <item m="1" x="823"/>
        <item m="1" x="2231"/>
        <item m="1" x="2299"/>
        <item m="1" x="1687"/>
        <item m="1" x="467"/>
        <item m="1" x="1787"/>
        <item m="1" x="504"/>
        <item m="1" x="1829"/>
        <item m="1" x="580"/>
        <item m="1" x="626"/>
        <item m="1" x="1966"/>
        <item m="1" x="676"/>
        <item m="1" x="2081"/>
        <item m="1" x="781"/>
        <item m="1" x="2135"/>
        <item m="1" x="825"/>
        <item m="1" x="2185"/>
        <item m="1" x="926"/>
        <item m="1" x="2304"/>
        <item m="1" x="982"/>
        <item m="1" x="1029"/>
        <item m="1" x="1754"/>
        <item m="1" x="1793"/>
        <item m="1" x="509"/>
        <item m="1" x="1838"/>
        <item m="1" x="545"/>
        <item m="1" x="632"/>
        <item m="1" x="1974"/>
        <item m="1" x="683"/>
        <item m="1" x="2028"/>
        <item m="1" x="737"/>
        <item m="1" x="2137"/>
        <item m="1" x="831"/>
        <item m="1" x="881"/>
        <item m="1" x="2238"/>
        <item m="1" x="986"/>
        <item m="1" x="1033"/>
        <item m="1" x="2419"/>
        <item m="1" x="1088"/>
        <item m="1" x="2526"/>
        <item m="1" x="1846"/>
        <item m="1" x="1884"/>
        <item m="1" x="596"/>
        <item m="1" x="1983"/>
        <item m="1" x="693"/>
        <item m="1" x="2036"/>
        <item m="1" x="744"/>
        <item m="1" x="2096"/>
        <item m="1" x="2197"/>
        <item m="1" x="885"/>
        <item m="1" x="2245"/>
        <item m="1" x="937"/>
        <item m="1" x="2366"/>
        <item m="1" x="1038"/>
        <item m="1" x="2421"/>
        <item m="1" x="1091"/>
        <item m="1" x="2466"/>
        <item m="1" x="1199"/>
        <item m="1" x="2576"/>
        <item m="1" x="1247"/>
        <item m="1" x="1931"/>
        <item m="1" x="647"/>
        <item m="1" x="2044"/>
        <item m="1" x="750"/>
        <item m="1" x="2104"/>
        <item m="1" x="799"/>
        <item m="1" x="2149"/>
        <item m="1" x="894"/>
        <item m="1" x="2256"/>
        <item m="1" x="943"/>
        <item m="1" x="994"/>
        <item m="1" x="2425"/>
        <item m="1" x="1097"/>
        <item m="1" x="2470"/>
        <item m="1" x="1146"/>
        <item m="1" x="1249"/>
        <item m="1" x="2629"/>
        <item m="1" x="2665"/>
        <item m="1" x="2708"/>
        <item m="1" x="2049"/>
        <item m="1" x="758"/>
        <item m="1" x="2112"/>
        <item m="1" x="807"/>
        <item m="1" x="2158"/>
        <item m="1" x="851"/>
        <item m="1" x="2264"/>
        <item m="1" x="954"/>
        <item m="1" x="2328"/>
        <item m="1" x="1002"/>
        <item m="1" x="1102"/>
        <item m="1" x="2478"/>
        <item m="1" x="1152"/>
        <item m="1" x="2539"/>
        <item m="1" x="1206"/>
        <item m="1" x="2631"/>
        <item m="1" x="1299"/>
        <item m="1" x="2669"/>
        <item m="1" x="1332"/>
        <item m="1" x="2712"/>
        <item m="1" x="2798"/>
        <item m="1" x="2162"/>
        <item m="1" x="856"/>
        <item m="1" x="959"/>
        <item m="1" x="2337"/>
        <item m="1" x="1011"/>
        <item m="1" x="2384"/>
        <item m="1" x="1059"/>
        <item m="1" x="2482"/>
        <item m="1" x="1161"/>
        <item m="1" x="1209"/>
        <item m="1" x="1302"/>
        <item m="1" x="2674"/>
        <item m="1" x="1337"/>
        <item m="1" x="2716"/>
        <item m="1" x="1375"/>
        <item m="1" x="2801"/>
        <item m="1" x="1440"/>
        <item m="1" x="182"/>
        <item m="1" x="1470"/>
        <item m="1" x="2279"/>
        <item m="1" x="1017"/>
        <item m="1" x="2395"/>
        <item m="1" x="1067"/>
        <item m="1" x="2441"/>
        <item m="1" x="1113"/>
        <item m="1" x="2554"/>
        <item m="1" x="2596"/>
        <item m="1" x="1269"/>
        <item m="1" x="1343"/>
        <item m="1" x="2726"/>
        <item m="1" x="1379"/>
        <item m="1" x="2767"/>
        <item m="1" x="1412"/>
        <item m="1" x="1475"/>
        <item m="1" x="205"/>
        <item m="1" x="1502"/>
        <item m="1" x="228"/>
        <item m="1" x="1527"/>
        <item m="1" x="258"/>
        <item m="1" x="2402"/>
        <item m="1" x="1075"/>
        <item m="1" x="2446"/>
        <item m="1" x="1119"/>
        <item m="1" x="2498"/>
        <item m="1" x="1222"/>
        <item m="1" x="1278"/>
        <item m="1" x="2645"/>
        <item m="1" x="1314"/>
        <item m="1" x="1350"/>
        <item m="1" x="2734"/>
        <item m="1" x="1387"/>
        <item m="1" x="2774"/>
        <item m="1" x="1417"/>
        <item m="1" x="2810"/>
        <item m="1" x="210"/>
        <item m="1" x="1507"/>
        <item m="1" x="231"/>
        <item m="1" x="1530"/>
        <item m="1" x="289"/>
        <item m="1" x="1582"/>
        <item m="1" x="2505"/>
        <item m="1" x="1180"/>
        <item m="1" x="2564"/>
        <item m="1" x="2652"/>
        <item m="1" x="2689"/>
        <item m="1" x="1357"/>
        <item m="1" x="2781"/>
        <item m="1" x="1424"/>
        <item m="1" x="2816"/>
        <item m="1" x="1451"/>
        <item m="1" x="190"/>
        <item m="1" x="1485"/>
        <item m="1" x="213"/>
        <item m="1" x="1509"/>
        <item m="1" x="234"/>
        <item m="1" x="1532"/>
        <item m="1" x="265"/>
        <item m="1" x="1554"/>
        <item m="1" x="309"/>
        <item m="1" x="1609"/>
        <item m="1" x="328"/>
        <item m="1" x="1641"/>
        <item m="1" x="358"/>
        <item m="1" x="1546"/>
        <item m="1" x="282"/>
        <item m="1" x="1564"/>
        <item m="1" x="1595"/>
        <item m="1" x="337"/>
        <item m="1" x="1651"/>
        <item m="1" x="371"/>
        <item m="1" x="1674"/>
        <item m="1" x="402"/>
        <item m="1" x="1737"/>
        <item m="1" x="455"/>
        <item m="1" x="1816"/>
        <item m="1" x="569"/>
        <item m="1" x="614"/>
        <item m="1" x="1954"/>
        <item m="1" x="666"/>
        <item m="1" x="2070"/>
        <item m="1" x="1567"/>
        <item m="1" x="298"/>
        <item m="1" x="1596"/>
        <item m="1" x="321"/>
        <item m="1" x="376"/>
        <item m="1" x="1680"/>
        <item m="1" x="406"/>
        <item m="1" x="1710"/>
        <item m="1" x="1778"/>
        <item m="1" x="498"/>
        <item m="1" x="1820"/>
        <item m="1" x="533"/>
        <item m="1" x="1903"/>
        <item m="1" x="617"/>
        <item m="1" x="1959"/>
        <item m="1" x="669"/>
        <item m="1" x="2013"/>
        <item m="1" x="776"/>
        <item m="1" x="1624"/>
        <item m="1" x="1658"/>
        <item m="1" x="380"/>
        <item m="1" x="1685"/>
        <item m="1" x="1715"/>
        <item m="1" x="433"/>
        <item m="1" x="1745"/>
        <item m="1" x="464"/>
        <item m="1" x="1784"/>
        <item m="1" x="1825"/>
        <item m="1" x="537"/>
        <item m="1" x="577"/>
        <item m="1" x="1908"/>
        <item m="1" x="623"/>
        <item m="1" x="2017"/>
        <item m="1" x="725"/>
        <item m="1" x="2077"/>
        <item m="1" x="778"/>
        <item m="1" x="2133"/>
        <item m="1" x="877"/>
        <item m="1" x="2232"/>
        <item m="1" x="924"/>
        <item m="1" x="2301"/>
        <item m="1" x="1690"/>
        <item m="1" x="1751"/>
        <item m="1" x="471"/>
        <item m="1" x="1790"/>
        <item m="1" x="507"/>
        <item m="1" x="1835"/>
        <item m="1" x="1873"/>
        <item m="1" x="585"/>
        <item m="1" x="1914"/>
        <item m="1" x="629"/>
        <item m="1" x="1971"/>
        <item m="1" x="733"/>
        <item m="1" x="2085"/>
        <item m="1" x="783"/>
        <item m="1" x="2236"/>
        <item m="1" x="929"/>
        <item m="1" x="2306"/>
        <item m="1" x="984"/>
        <item m="1" x="1032"/>
        <item m="1" x="476"/>
        <item m="1" x="1796"/>
        <item m="1" x="511"/>
        <item m="1" x="1842"/>
        <item m="1" x="549"/>
        <item m="1" x="591"/>
        <item m="1" x="1922"/>
        <item m="1" x="636"/>
        <item m="1" x="1978"/>
        <item m="1" x="689"/>
        <item m="1" x="2033"/>
        <item m="1" x="789"/>
        <item m="1" x="2140"/>
        <item m="1" x="834"/>
        <item m="1" x="2192"/>
        <item m="1" x="884"/>
        <item m="1" x="2242"/>
        <item m="1" x="933"/>
        <item m="1" x="988"/>
        <item m="1" x="2363"/>
        <item m="1" x="1036"/>
        <item m="1" x="1141"/>
        <item m="1" x="2528"/>
        <item m="1" x="1848"/>
        <item m="1" x="553"/>
        <item m="1" x="1888"/>
        <item m="1" x="644"/>
        <item m="1" x="1988"/>
        <item m="1" x="696"/>
        <item m="1" x="2039"/>
        <item m="1" x="1"/>
        <item m="1" x="2145"/>
        <item m="1" x="842"/>
        <item m="1" x="2200"/>
        <item m="1" x="889"/>
        <item m="1" x="2251"/>
        <item m="1" x="2318"/>
        <item m="1" x="992"/>
        <item m="1" x="2370"/>
        <item m="1" x="1040"/>
        <item m="1" x="2422"/>
        <item m="1" x="1095"/>
        <item m="1" x="2531"/>
        <item m="1" x="1201"/>
        <item m="1" x="2578"/>
        <item m="1" x="1248"/>
        <item m="1" x="1936"/>
        <item m="1" x="702"/>
        <item m="1" x="2047"/>
        <item m="1" x="754"/>
        <item m="1" x="2108"/>
        <item m="1" x="804"/>
        <item m="1" x="2207"/>
        <item m="1" x="2"/>
        <item m="1" x="2260"/>
        <item m="1" x="950"/>
        <item m="1" x="2325"/>
        <item m="1" x="1047"/>
        <item m="1" x="2427"/>
        <item m="1" x="2475"/>
        <item m="1" x="1149"/>
        <item m="1" x="2582"/>
        <item m="1" x="1253"/>
        <item m="1" x="2667"/>
        <item m="1" x="2709"/>
        <item m="1" x="2052"/>
        <item m="1" x="761"/>
        <item m="1" x="2114"/>
        <item m="1" x="810"/>
        <item m="1" x="905"/>
        <item m="1" x="2269"/>
        <item m="1" x="3"/>
        <item m="1" x="2332"/>
        <item m="1" x="1008"/>
        <item m="1" x="1105"/>
        <item m="1" x="1156"/>
        <item m="1" x="1258"/>
        <item m="1" x="2633"/>
        <item m="1" x="2671"/>
        <item m="1" x="1335"/>
        <item m="1" x="2762"/>
        <item m="1" x="1405"/>
        <item m="1" x="2800"/>
        <item m="1" x="2165"/>
        <item m="1" x="859"/>
        <item m="1" x="2276"/>
        <item m="1" x="963"/>
        <item m="1" x="2340"/>
        <item m="1" x="4"/>
        <item m="1" x="2390"/>
        <item m="1" x="1063"/>
        <item m="1" x="1110"/>
        <item m="1" x="2487"/>
        <item m="1" x="1164"/>
        <item m="1" x="1214"/>
        <item m="1" x="2637"/>
        <item m="1" x="1307"/>
        <item m="1" x="2675"/>
        <item m="1" x="1340"/>
        <item m="1" x="2721"/>
        <item m="1" x="1409"/>
        <item m="1" x="2804"/>
        <item m="1" x="1473"/>
        <item m="1" x="2345"/>
        <item m="1" x="1018"/>
        <item m="1" x="2399"/>
        <item m="1" x="1072"/>
        <item m="1" x="2444"/>
        <item m="1" x="1173"/>
        <item m="1" x="5"/>
        <item m="1" x="2602"/>
        <item m="1" x="1274"/>
        <item m="1" x="2681"/>
        <item m="1" x="1345"/>
        <item m="1" x="2729"/>
        <item m="1" x="1383"/>
        <item m="1" x="2771"/>
        <item m="1" x="1446"/>
        <item m="1" x="184"/>
        <item m="1" x="1478"/>
        <item m="1" x="208"/>
        <item m="1" x="1505"/>
        <item m="1" x="260"/>
        <item m="1" x="1076"/>
        <item m="1" x="2449"/>
        <item m="1" x="1123"/>
        <item m="1" x="2562"/>
        <item m="1" x="1226"/>
        <item m="1" x="2608"/>
        <item m="1" x="6"/>
        <item m="1" x="2649"/>
        <item m="1" x="1354"/>
        <item m="1" x="2738"/>
        <item m="1" x="1389"/>
        <item m="1" x="2777"/>
        <item m="1" x="1421"/>
        <item m="1" x="188"/>
        <item m="1" x="211"/>
        <item m="1" x="1508"/>
        <item m="1" x="232"/>
        <item m="1" x="1553"/>
        <item m="1" x="291"/>
        <item m="1" x="1583"/>
        <item m="1" x="2508"/>
        <item m="1" x="1184"/>
        <item m="1" x="2613"/>
        <item m="1" x="2653"/>
        <item m="1" x="2693"/>
        <item m="1" x="1361"/>
        <item m="1" x="7"/>
        <item m="1" x="2783"/>
        <item m="1" x="1426"/>
        <item m="1" x="2819"/>
        <item m="1" x="1455"/>
        <item m="1" x="215"/>
        <item m="1" x="236"/>
        <item m="1" x="1534"/>
        <item m="1" x="268"/>
        <item m="1" x="293"/>
        <item m="1" x="310"/>
        <item m="1" x="1610"/>
        <item m="1" x="329"/>
        <item m="1" x="1642"/>
        <item m="1" x="359"/>
        <item m="1" x="246"/>
        <item m="1" x="1547"/>
        <item m="1" x="283"/>
        <item m="1" x="1566"/>
        <item m="1" x="1619"/>
        <item m="1" x="338"/>
        <item m="1" x="1653"/>
        <item m="1" x="374"/>
        <item m="1" x="1677"/>
        <item m="1" x="8"/>
        <item m="1" x="1738"/>
        <item m="1" x="1776"/>
        <item m="1" x="531"/>
        <item m="1" x="1862"/>
        <item m="1" x="571"/>
        <item m="1" x="1901"/>
        <item m="1" x="1957"/>
        <item m="1" x="721"/>
        <item m="1" x="2071"/>
        <item m="1" x="299"/>
        <item m="1" x="1622"/>
        <item m="1" x="342"/>
        <item m="1" x="1656"/>
        <item m="1" x="378"/>
        <item m="1" x="1683"/>
        <item m="1" x="9"/>
        <item m="1" x="1742"/>
        <item m="1" x="461"/>
        <item m="1" x="1782"/>
        <item m="1" x="501"/>
        <item m="1" x="1822"/>
        <item m="1" x="1866"/>
        <item m="1" x="575"/>
        <item m="1" x="1905"/>
        <item m="1" x="620"/>
        <item m="1" x="1962"/>
        <item m="1" x="671"/>
        <item m="1" x="2075"/>
        <item m="1" x="2130"/>
        <item m="1" x="1626"/>
        <item m="1" x="345"/>
        <item m="1" x="1688"/>
        <item m="1" x="412"/>
        <item m="1" x="1717"/>
        <item m="1" x="436"/>
        <item m="1" x="1748"/>
        <item m="1" x="468"/>
        <item m="1" x="10"/>
        <item m="1" x="1830"/>
        <item m="1" x="540"/>
        <item m="1" x="581"/>
        <item m="1" x="1967"/>
        <item m="1" x="677"/>
        <item m="1" x="729"/>
        <item m="1" x="826"/>
        <item m="1" x="2186"/>
        <item m="1" x="878"/>
        <item m="1" x="2234"/>
        <item m="1" x="2305"/>
        <item m="1" x="1694"/>
        <item m="1" x="416"/>
        <item m="1" x="1721"/>
        <item m="1" x="440"/>
        <item m="1" x="546"/>
        <item m="1" x="1876"/>
        <item m="1" x="587"/>
        <item m="1" x="1917"/>
        <item m="1" x="11"/>
        <item m="1" x="1975"/>
        <item m="1" x="684"/>
        <item m="1" x="2029"/>
        <item m="1" x="738"/>
        <item m="1" x="2089"/>
        <item m="1" x="786"/>
        <item m="1" x="2190"/>
        <item m="1" x="882"/>
        <item m="1" x="2239"/>
        <item m="1" x="931"/>
        <item m="1" x="2309"/>
        <item m="1" x="1034"/>
        <item m="1" x="1760"/>
        <item m="1" x="479"/>
        <item m="1" x="1799"/>
        <item m="1" x="514"/>
        <item m="1" x="1885"/>
        <item m="1" x="597"/>
        <item m="1" x="12"/>
        <item m="1" x="640"/>
        <item m="1" x="1984"/>
        <item m="1" x="694"/>
        <item m="1" x="745"/>
        <item m="1" x="2097"/>
        <item m="1" x="2143"/>
        <item m="1" x="838"/>
        <item m="1" x="2246"/>
        <item m="1" x="938"/>
        <item m="1" x="2315"/>
        <item m="1" x="2367"/>
        <item m="1" x="1092"/>
        <item m="1" x="1143"/>
        <item m="1" x="2530"/>
        <item m="1" x="1851"/>
        <item m="1" x="602"/>
        <item m="1" x="1932"/>
        <item m="1" x="648"/>
        <item m="1" x="1991"/>
        <item m="1" x="700"/>
        <item m="1" x="2105"/>
        <item m="1" x="13"/>
        <item m="1" x="2150"/>
        <item m="1" x="845"/>
        <item m="1" x="2203"/>
        <item m="1" x="944"/>
        <item m="1" x="2321"/>
        <item m="1" x="995"/>
        <item m="1" x="1043"/>
        <item m="1" x="2471"/>
        <item m="1" x="1147"/>
        <item m="1" x="2534"/>
        <item m="1" x="2579"/>
        <item m="1" x="1250"/>
        <item m="1" x="1939"/>
        <item m="1" x="653"/>
        <item m="1" x="1996"/>
        <item m="1" x="704"/>
        <item m="1" x="2050"/>
        <item m="1" x="759"/>
        <item m="1" x="14"/>
        <item m="1" x="2159"/>
        <item m="1" x="852"/>
        <item m="1" x="2210"/>
        <item m="1" x="900"/>
        <item m="1" x="2265"/>
        <item m="1" x="1003"/>
        <item m="1" x="2379"/>
        <item m="1" x="1051"/>
        <item m="1" x="2430"/>
        <item m="1" x="2540"/>
        <item m="1" x="2584"/>
        <item m="1" x="1255"/>
        <item m="1" x="2632"/>
        <item m="1" x="2713"/>
        <item m="1" x="763"/>
        <item m="1" x="2117"/>
        <item m="1" x="15"/>
        <item m="1" x="857"/>
        <item m="1" x="2216"/>
        <item m="1" x="909"/>
        <item m="1" x="2273"/>
        <item m="1" x="960"/>
        <item m="1" x="2385"/>
        <item m="1" x="1060"/>
        <item m="1" x="1108"/>
        <item m="1" x="2483"/>
        <item m="1" x="1210"/>
        <item m="1" x="1262"/>
        <item m="1" x="2635"/>
        <item m="1" x="1303"/>
        <item m="1" x="2717"/>
        <item m="1" x="1376"/>
        <item m="1" x="2764"/>
        <item m="1" x="1407"/>
        <item m="1" x="2802"/>
        <item m="1" x="864"/>
        <item m="1" x="2219"/>
        <item m="1" x="912"/>
        <item m="1" x="2280"/>
        <item m="1" x="965"/>
        <item m="1" x="2343"/>
        <item m="1" x="16"/>
        <item m="1" x="1068"/>
        <item m="1" x="2442"/>
        <item m="1" x="1114"/>
        <item m="1" x="2490"/>
        <item m="1" x="1169"/>
        <item m="1" x="2597"/>
        <item m="1" x="1270"/>
        <item m="1" x="1310"/>
        <item m="1" x="1380"/>
        <item m="1" x="1413"/>
        <item m="1" x="1444"/>
        <item m="1" x="1476"/>
        <item m="1" x="2286"/>
        <item m="1" x="968"/>
        <item m="1" x="2348"/>
        <item m="1" x="1019"/>
        <item m="1" x="2403"/>
        <item m="1" x="1120"/>
        <item m="1" x="2499"/>
        <item m="1" x="1176"/>
        <item m="1" x="2559"/>
        <item m="1" x="1223"/>
        <item m="1" x="2646"/>
        <item m="1" x="1315"/>
        <item m="1" x="2684"/>
        <item m="1" x="1351"/>
        <item m="1" x="1418"/>
        <item m="1" x="2811"/>
        <item m="1" x="1448"/>
        <item m="1" x="186"/>
        <item m="1" x="1481"/>
        <item m="1" x="1531"/>
        <item m="1" x="262"/>
        <item m="1" x="1078"/>
        <item m="1" x="1125"/>
        <item m="1" x="2506"/>
        <item m="1" x="1181"/>
        <item m="1" x="2565"/>
        <item m="1" x="1229"/>
        <item m="1" x="2611"/>
        <item m="1" x="17"/>
        <item m="1" x="1319"/>
        <item m="1" x="2690"/>
        <item m="1" x="1358"/>
        <item m="1" x="2742"/>
        <item m="1" x="1391"/>
        <item m="1" x="2817"/>
        <item m="1" x="1452"/>
        <item m="1" x="1486"/>
        <item m="1" x="214"/>
        <item m="1" x="266"/>
        <item m="1" x="292"/>
        <item m="1" x="1584"/>
        <item m="1" x="2568"/>
        <item m="1" x="1232"/>
        <item m="1" x="2615"/>
        <item m="1" x="2656"/>
        <item m="1" x="1363"/>
        <item m="1" x="2747"/>
        <item m="1" x="1395"/>
        <item m="1" x="2786"/>
        <item m="1" x="1429"/>
        <item m="1" x="193"/>
        <item m="1" x="1492"/>
        <item m="1" x="217"/>
        <item m="1" x="238"/>
        <item m="1" x="1556"/>
        <item m="1" x="1586"/>
        <item m="1" x="311"/>
        <item m="1" x="360"/>
        <item m="1" x="247"/>
        <item m="1" x="1548"/>
        <item m="1" x="284"/>
        <item m="1" x="1568"/>
        <item m="1" x="1597"/>
        <item m="1" x="322"/>
        <item m="1" x="1620"/>
        <item m="1" x="340"/>
        <item m="1" x="18"/>
        <item m="1" x="407"/>
        <item m="1" x="1711"/>
        <item m="1" x="429"/>
        <item m="1" x="1740"/>
        <item m="1" x="459"/>
        <item m="1" x="1863"/>
        <item m="1" x="573"/>
        <item m="1" x="1904"/>
        <item m="1" x="670"/>
        <item m="1" x="2014"/>
        <item m="1" x="2073"/>
        <item m="1" x="1569"/>
        <item m="1" x="324"/>
        <item m="1" x="1625"/>
        <item m="1" x="344"/>
        <item m="1" x="1659"/>
        <item m="1" x="381"/>
        <item m="1" x="1716"/>
        <item m="1" x="434"/>
        <item m="1" x="1746"/>
        <item m="1" x="465"/>
        <item m="1" x="1785"/>
        <item m="1" x="1826"/>
        <item m="1" x="538"/>
        <item m="1" x="1868"/>
        <item m="1" x="578"/>
        <item m="1" x="1909"/>
        <item m="1" x="2018"/>
        <item m="1" x="726"/>
        <item m="1" x="2078"/>
        <item m="1" x="779"/>
        <item m="1" x="1628"/>
        <item m="1" x="385"/>
        <item m="1" x="1691"/>
        <item m="1" x="414"/>
        <item m="1" x="1720"/>
        <item m="1" x="438"/>
        <item m="1" x="1791"/>
        <item m="1" x="19"/>
        <item m="1" x="1836"/>
        <item m="1" x="543"/>
        <item m="1" x="630"/>
        <item m="1" x="1972"/>
        <item m="1" x="680"/>
        <item m="1" x="2023"/>
        <item m="1" x="784"/>
        <item m="1" x="2136"/>
        <item m="1" x="829"/>
        <item m="1" x="2189"/>
        <item m="1" x="2307"/>
        <item m="1" x="420"/>
        <item m="1" x="1723"/>
        <item m="1" x="443"/>
        <item m="1" x="1757"/>
        <item m="1" x="512"/>
        <item m="1" x="1843"/>
        <item m="1" x="550"/>
        <item m="1" x="1880"/>
        <item m="1" x="592"/>
        <item m="1" x="1923"/>
        <item m="1" x="1979"/>
        <item m="1" x="690"/>
        <item m="1" x="2034"/>
        <item m="1" x="742"/>
        <item m="1" x="835"/>
        <item m="1" x="2193"/>
        <item m="1" x="2243"/>
        <item m="1" x="934"/>
        <item m="1" x="989"/>
        <item m="1" x="2364"/>
        <item m="1" x="1037"/>
        <item m="1" x="482"/>
        <item m="1" x="1803"/>
        <item m="1" x="554"/>
        <item m="1" x="1889"/>
        <item m="1" x="599"/>
        <item m="1" x="1928"/>
        <item m="1" x="20"/>
        <item m="1" x="2040"/>
        <item m="1" x="748"/>
        <item m="1" x="2102"/>
        <item m="1" x="796"/>
        <item m="1" x="890"/>
        <item m="1" x="2252"/>
        <item m="1" x="2423"/>
        <item m="1" x="1096"/>
        <item m="1" x="2469"/>
        <item m="1" x="1144"/>
        <item m="1" x="2532"/>
        <item m="1" x="1893"/>
        <item m="1" x="606"/>
        <item m="1" x="1937"/>
        <item m="1" x="650"/>
        <item m="1" x="1994"/>
        <item m="1" x="755"/>
        <item m="1" x="2109"/>
        <item m="1" x="805"/>
        <item m="1" x="2154"/>
        <item m="1" x="847"/>
        <item m="1" x="951"/>
        <item m="1" x="998"/>
        <item m="1" x="2375"/>
        <item m="1" x="1100"/>
        <item m="1" x="2476"/>
        <item m="1" x="1150"/>
        <item m="1" x="2536"/>
        <item m="1" x="1204"/>
        <item m="1" x="1254"/>
        <item m="1" x="1942"/>
        <item m="1" x="655"/>
        <item m="1" x="1998"/>
        <item m="1" x="707"/>
        <item m="1" x="2053"/>
        <item m="1" x="2115"/>
        <item m="1" x="811"/>
        <item m="1" x="21"/>
        <item m="1" x="855"/>
        <item m="1" x="2214"/>
        <item m="1" x="906"/>
        <item m="1" x="2333"/>
        <item m="1" x="1009"/>
        <item m="1" x="2382"/>
        <item m="1" x="1055"/>
        <item m="1" x="2433"/>
        <item m="1" x="1208"/>
        <item m="1" x="2586"/>
        <item m="1" x="1259"/>
        <item m="1" x="2672"/>
        <item m="1" x="1336"/>
        <item m="1" x="2715"/>
        <item m="1" x="2056"/>
        <item m="1" x="765"/>
        <item m="1" x="2166"/>
        <item m="1" x="860"/>
        <item m="1" x="911"/>
        <item m="1" x="2277"/>
        <item m="1" x="1014"/>
        <item m="1" x="2391"/>
        <item m="1" x="22"/>
        <item m="1" x="2438"/>
        <item m="1" x="1111"/>
        <item m="1" x="1165"/>
        <item m="1" x="2550"/>
        <item m="1" x="2593"/>
        <item m="1" x="1265"/>
        <item m="1" x="2676"/>
        <item m="1" x="1341"/>
        <item m="1" x="2722"/>
        <item m="1" x="1410"/>
        <item m="1" x="2805"/>
        <item m="1" x="867"/>
        <item m="1" x="2222"/>
        <item m="1" x="2284"/>
        <item m="1" x="23"/>
        <item m="1" x="2400"/>
        <item m="1" x="1073"/>
        <item m="1" x="1118"/>
        <item m="1" x="2494"/>
        <item m="1" x="1218"/>
        <item m="1" x="2603"/>
        <item m="1" x="1312"/>
        <item m="1" x="1346"/>
        <item m="1" x="2730"/>
        <item m="1" x="1384"/>
        <item m="1" x="2772"/>
        <item m="1" x="1416"/>
        <item m="1" x="1479"/>
        <item m="1" x="970"/>
        <item m="1" x="2350"/>
        <item m="1" x="2450"/>
        <item m="1" x="2503"/>
        <item m="1" x="1178"/>
        <item m="1" x="2609"/>
        <item m="1" x="1281"/>
        <item m="1" x="2650"/>
        <item m="1" x="2687"/>
        <item m="1" x="1355"/>
        <item m="1" x="2739"/>
        <item m="1" x="2778"/>
        <item m="1" x="1422"/>
        <item m="1" x="2814"/>
        <item m="1" x="189"/>
        <item m="1" x="212"/>
        <item m="1" x="233"/>
        <item m="1" x="264"/>
        <item m="1" x="1128"/>
        <item m="1" x="1185"/>
        <item m="1" x="2567"/>
        <item m="1" x="1230"/>
        <item m="1" x="2654"/>
        <item m="1" x="24"/>
        <item m="1" x="2694"/>
        <item m="1" x="2744"/>
        <item m="1" x="1427"/>
        <item m="1" x="2820"/>
        <item m="1" x="1456"/>
        <item m="1" x="1489"/>
        <item m="1" x="1535"/>
        <item m="1" x="269"/>
        <item m="1" x="1555"/>
        <item m="1" x="1585"/>
        <item m="1" x="2570"/>
        <item m="1" x="1235"/>
        <item m="1" x="2698"/>
        <item m="1" x="2749"/>
        <item m="1" x="1398"/>
        <item m="1" x="2788"/>
        <item m="1" x="1459"/>
        <item m="1" x="195"/>
        <item m="1" x="1494"/>
        <item m="1" x="240"/>
        <item m="1" x="1538"/>
        <item m="1" x="1558"/>
        <item m="1" x="312"/>
        <item m="1" x="1643"/>
        <item m="1" x="361"/>
        <item m="1" x="1521"/>
        <item m="1" x="1549"/>
        <item m="1" x="1598"/>
        <item m="1" x="323"/>
        <item m="1" x="1623"/>
        <item m="1" x="343"/>
        <item m="1" x="1657"/>
        <item m="1" x="379"/>
        <item m="1" x="25"/>
        <item m="1" x="409"/>
        <item m="1" x="1713"/>
        <item m="1" x="432"/>
        <item m="1" x="1743"/>
        <item m="1" x="462"/>
        <item m="1" x="502"/>
        <item m="1" x="1823"/>
        <item m="1" x="535"/>
        <item m="1" x="1867"/>
        <item m="1" x="1906"/>
        <item m="1" x="1963"/>
        <item m="1" x="672"/>
        <item m="1" x="724"/>
        <item m="1" x="2076"/>
        <item m="1" x="300"/>
        <item m="1" x="1600"/>
        <item m="1" x="1627"/>
        <item m="1" x="383"/>
        <item m="1" x="1718"/>
        <item m="1" x="437"/>
        <item m="1" x="1749"/>
        <item m="1" x="469"/>
        <item m="1" x="1788"/>
        <item m="1" x="1831"/>
        <item m="1" x="541"/>
        <item m="1" x="1871"/>
        <item m="1" x="582"/>
        <item m="1" x="1913"/>
        <item m="1" x="2021"/>
        <item m="1" x="730"/>
        <item m="1" x="2082"/>
        <item m="1" x="782"/>
        <item m="1" x="347"/>
        <item m="1" x="1663"/>
        <item m="1" x="388"/>
        <item m="1" x="1695"/>
        <item m="1" x="417"/>
        <item m="1" x="1755"/>
        <item m="1" x="474"/>
        <item m="1" x="1794"/>
        <item m="1" x="26"/>
        <item m="1" x="1839"/>
        <item m="1" x="1918"/>
        <item m="1" x="633"/>
        <item m="1" x="1976"/>
        <item m="1" x="685"/>
        <item m="1" x="2030"/>
        <item m="1" x="787"/>
        <item m="1" x="2138"/>
        <item m="1" x="832"/>
        <item m="1" x="883"/>
        <item m="1" x="2310"/>
        <item m="1" x="1697"/>
        <item m="1" x="423"/>
        <item m="1" x="1725"/>
        <item m="1" x="446"/>
        <item m="1" x="1761"/>
        <item m="1" x="1800"/>
        <item m="1" x="515"/>
        <item m="1" x="1847"/>
        <item m="1" x="27"/>
        <item m="1" x="1886"/>
        <item m="1" x="641"/>
        <item m="1" x="1985"/>
        <item m="1" x="695"/>
        <item m="1" x="839"/>
        <item m="1" x="2198"/>
        <item m="1" x="886"/>
        <item m="1" x="2247"/>
        <item m="1" x="2368"/>
        <item m="1" x="1039"/>
        <item m="1" x="484"/>
        <item m="1" x="1852"/>
        <item m="1" x="555"/>
        <item m="1" x="1891"/>
        <item m="1" x="603"/>
        <item m="1" x="1933"/>
        <item m="1" x="701"/>
        <item m="1" x="28"/>
        <item m="1" x="751"/>
        <item m="1" x="2106"/>
        <item m="1" x="800"/>
        <item m="1" x="2204"/>
        <item m="1" x="895"/>
        <item m="1" x="2257"/>
        <item m="1" x="945"/>
        <item m="1" x="1044"/>
        <item m="1" x="2426"/>
        <item m="1" x="1098"/>
        <item m="1" x="2472"/>
        <item m="1" x="2535"/>
        <item m="1" x="558"/>
        <item m="1" x="1894"/>
        <item m="1" x="29"/>
        <item m="1" x="1940"/>
        <item m="1" x="2051"/>
        <item m="1" x="760"/>
        <item m="1" x="30"/>
        <item m="1" x="808"/>
        <item m="1" x="901"/>
        <item m="1" x="2266"/>
        <item m="1" x="955"/>
        <item m="1" x="2329"/>
        <item m="1" x="1004"/>
        <item m="1" x="2431"/>
        <item m="1" x="1103"/>
        <item m="1" x="2479"/>
        <item m="1" x="2541"/>
        <item m="1" x="1256"/>
        <item m="1" x="1944"/>
        <item m="1" x="656"/>
        <item m="1" x="1999"/>
        <item m="1" x="709"/>
        <item m="1" x="2118"/>
        <item m="1" x="813"/>
        <item m="1" x="2163"/>
        <item m="1" x="31"/>
        <item m="1" x="2217"/>
        <item m="1" x="961"/>
        <item m="1" x="2338"/>
        <item m="1" x="1012"/>
        <item m="1" x="2386"/>
        <item m="1" x="1061"/>
        <item m="1" x="2435"/>
        <item m="1" x="2484"/>
        <item m="1" x="2546"/>
        <item m="1" x="2589"/>
        <item m="1" x="1304"/>
        <item m="1" x="1338"/>
        <item m="1" x="2718"/>
        <item m="1" x="2057"/>
        <item m="1" x="2120"/>
        <item m="1" x="2168"/>
        <item m="1" x="865"/>
        <item m="1" x="2220"/>
        <item m="1" x="913"/>
        <item m="1" x="2281"/>
        <item m="1" x="2344"/>
        <item m="1" x="32"/>
        <item m="1" x="2396"/>
        <item m="1" x="1069"/>
        <item m="1" x="2491"/>
        <item m="1" x="1170"/>
        <item m="1" x="2555"/>
        <item m="1" x="1216"/>
        <item m="1" x="2598"/>
        <item m="1" x="1271"/>
        <item m="1" x="2640"/>
        <item m="1" x="2678"/>
        <item m="1" x="2768"/>
        <item m="1" x="2807"/>
        <item m="1" x="2172"/>
        <item m="1" x="869"/>
        <item m="1" x="2225"/>
        <item m="1" x="916"/>
        <item m="1" x="33"/>
        <item m="1" x="2404"/>
        <item m="1" x="2447"/>
        <item m="1" x="1121"/>
        <item m="1" x="2560"/>
        <item m="1" x="1224"/>
        <item m="1" x="2607"/>
        <item m="1" x="1279"/>
        <item m="1" x="2647"/>
        <item m="1" x="2735"/>
        <item m="1" x="1388"/>
        <item m="1" x="2775"/>
        <item m="1" x="1419"/>
        <item m="1" x="1482"/>
        <item m="1" x="2290"/>
        <item m="1" x="972"/>
        <item m="1" x="2352"/>
        <item m="1" x="1079"/>
        <item m="1" x="34"/>
        <item m="1" x="1126"/>
        <item m="1" x="2507"/>
        <item m="1" x="1182"/>
        <item m="1" x="2612"/>
        <item m="1" x="1283"/>
        <item m="1" x="1320"/>
        <item m="1" x="2691"/>
        <item m="1" x="1359"/>
        <item m="1" x="1392"/>
        <item m="1" x="2782"/>
        <item m="1" x="2818"/>
        <item m="1" x="1453"/>
        <item m="1" x="1487"/>
        <item m="1" x="1510"/>
        <item m="1" x="235"/>
        <item m="1" x="1533"/>
        <item m="1" x="267"/>
        <item m="1" x="1082"/>
        <item m="1" x="2456"/>
        <item m="1" x="1131"/>
        <item m="1" x="2511"/>
        <item m="1" x="1186"/>
        <item m="1" x="35"/>
        <item m="1" x="1286"/>
        <item m="1" x="2657"/>
        <item m="1" x="1324"/>
        <item m="1" x="2696"/>
        <item m="1" x="1364"/>
        <item m="1" x="2787"/>
        <item m="1" x="1430"/>
        <item m="1" x="2822"/>
        <item m="1" x="1457"/>
        <item m="1" x="1511"/>
        <item m="1" x="239"/>
        <item m="1" x="1537"/>
        <item m="1" x="271"/>
        <item m="1" x="1557"/>
        <item m="1" x="1587"/>
        <item m="1" x="2513"/>
        <item m="1" x="1190"/>
        <item m="1" x="2571"/>
        <item m="1" x="1236"/>
        <item m="1" x="2618"/>
        <item m="1" x="36"/>
        <item m="1" x="1366"/>
        <item m="1" x="2751"/>
        <item m="1" x="2825"/>
        <item m="1" x="1462"/>
        <item m="1" x="197"/>
        <item m="1" x="1495"/>
        <item m="1" x="221"/>
        <item m="1" x="1540"/>
        <item m="1" x="275"/>
        <item m="1" x="1559"/>
        <item m="1" x="313"/>
        <item m="1" x="330"/>
        <item m="1" x="362"/>
        <item m="1" x="248"/>
        <item m="1" x="1570"/>
        <item m="1" x="1599"/>
        <item m="1" x="325"/>
        <item m="1" x="37"/>
        <item m="1" x="382"/>
        <item m="1" x="1686"/>
        <item m="1" x="411"/>
        <item m="1" x="435"/>
        <item m="1" x="1786"/>
        <item m="1" x="1827"/>
        <item m="1" x="539"/>
        <item m="1" x="1869"/>
        <item m="1" x="1910"/>
        <item m="1" x="624"/>
        <item m="1" x="1965"/>
        <item m="1" x="2019"/>
        <item m="1" x="727"/>
        <item m="1" x="2079"/>
        <item m="1" x="302"/>
        <item m="1" x="327"/>
        <item m="1" x="1629"/>
        <item m="1" x="38"/>
        <item m="1" x="1661"/>
        <item m="1" x="386"/>
        <item m="1" x="1692"/>
        <item m="1" x="439"/>
        <item m="1" x="1752"/>
        <item m="1" x="472"/>
        <item m="1" x="508"/>
        <item m="1" x="1837"/>
        <item m="1" x="544"/>
        <item m="1" x="1915"/>
        <item m="1" x="1973"/>
        <item m="1" x="681"/>
        <item m="1" x="2024"/>
        <item m="1" x="734"/>
        <item m="1" x="2086"/>
        <item m="1" x="785"/>
        <item m="1" x="349"/>
        <item m="1" x="1665"/>
        <item m="1" x="391"/>
        <item m="1" x="39"/>
        <item m="1" x="421"/>
        <item m="1" x="444"/>
        <item m="1" x="1758"/>
        <item m="1" x="477"/>
        <item m="1" x="1797"/>
        <item m="1" x="1844"/>
        <item m="1" x="551"/>
        <item m="1" x="1881"/>
        <item m="1" x="593"/>
        <item m="1" x="1924"/>
        <item m="1" x="637"/>
        <item m="1" x="1980"/>
        <item m="1" x="2092"/>
        <item m="1" x="790"/>
        <item m="1" x="2141"/>
        <item m="1" x="836"/>
        <item m="1" x="2194"/>
        <item m="1" x="935"/>
        <item m="1" x="2312"/>
        <item m="1" x="483"/>
        <item m="1" x="1804"/>
        <item m="1" x="516"/>
        <item m="1" x="1849"/>
        <item m="1" x="40"/>
        <item m="1" x="600"/>
        <item m="1" x="1929"/>
        <item m="1" x="645"/>
        <item m="1" x="1989"/>
        <item m="1" x="697"/>
        <item m="1" x="797"/>
        <item m="1" x="2146"/>
        <item m="1" x="843"/>
        <item m="1" x="891"/>
        <item m="1" x="2253"/>
        <item m="1" x="2319"/>
        <item m="1" x="2371"/>
        <item m="1" x="1041"/>
        <item m="1" x="520"/>
        <item m="1" x="1854"/>
        <item m="1" x="557"/>
        <item m="1" x="41"/>
        <item m="1" x="607"/>
        <item m="1" x="651"/>
        <item m="1" x="1995"/>
        <item m="1" x="703"/>
        <item m="1" x="756"/>
        <item m="1" x="2110"/>
        <item m="1" x="2155"/>
        <item m="1" x="848"/>
        <item m="1" x="2208"/>
        <item m="1" x="897"/>
        <item m="1" x="2261"/>
        <item m="1" x="952"/>
        <item m="1" x="2376"/>
        <item m="1" x="1048"/>
        <item m="1" x="2428"/>
        <item m="1" x="2477"/>
        <item m="1" x="2537"/>
        <item m="1" x="1855"/>
        <item m="1" x="560"/>
        <item m="1" x="1896"/>
        <item m="1" x="42"/>
        <item m="1" x="1943"/>
        <item m="1" x="708"/>
        <item m="1" x="2054"/>
        <item m="1" x="762"/>
        <item m="1" x="2116"/>
        <item m="1" x="812"/>
        <item m="1" x="907"/>
        <item m="1" x="2270"/>
        <item m="1" x="957"/>
        <item m="1" x="2334"/>
        <item m="1" x="1056"/>
        <item m="1" x="1106"/>
        <item m="1" x="2481"/>
        <item m="1" x="1157"/>
        <item m="1" x="2587"/>
        <item m="1" x="1260"/>
        <item m="1" x="1947"/>
        <item m="1" x="658"/>
        <item m="1" x="2002"/>
        <item m="1" x="43"/>
        <item m="1" x="2119"/>
        <item m="1" x="816"/>
        <item m="1" x="2167"/>
        <item m="1" x="861"/>
        <item m="1" x="2278"/>
        <item m="1" x="964"/>
        <item m="1" x="2341"/>
        <item m="1" x="1015"/>
        <item m="1" x="2392"/>
        <item m="1" x="1064"/>
        <item m="1" x="2439"/>
        <item m="1" x="1112"/>
        <item m="1" x="2488"/>
        <item m="1" x="1166"/>
        <item m="1" x="2551"/>
        <item m="1" x="1266"/>
        <item m="1" x="2638"/>
        <item m="1" x="1308"/>
        <item m="1" x="2723"/>
        <item m="1" x="767"/>
        <item m="1" x="2122"/>
        <item m="1" x="818"/>
        <item m="1" x="2170"/>
        <item m="1" x="44"/>
        <item m="1" x="2223"/>
        <item m="1" x="967"/>
        <item m="1" x="2346"/>
        <item m="1" x="1074"/>
        <item m="1" x="2495"/>
        <item m="1" x="1174"/>
        <item m="1" x="2557"/>
        <item m="1" x="1219"/>
        <item m="1" x="2604"/>
        <item m="1" x="1275"/>
        <item m="1" x="1313"/>
        <item m="1" x="2682"/>
        <item m="1" x="1347"/>
        <item m="1" x="2731"/>
        <item m="1" x="1385"/>
        <item m="1" x="2808"/>
        <item m="1" x="2174"/>
        <item m="1" x="870"/>
        <item m="1" x="45"/>
        <item m="1" x="2351"/>
        <item m="1" x="1020"/>
        <item m="1" x="2406"/>
        <item m="1" x="2451"/>
        <item m="1" x="1179"/>
        <item m="1" x="2563"/>
        <item m="1" x="1227"/>
        <item m="1" x="2610"/>
        <item m="1" x="1282"/>
        <item m="1" x="2688"/>
        <item m="1" x="1356"/>
        <item m="1" x="2740"/>
        <item m="1" x="1390"/>
        <item m="1" x="2779"/>
        <item m="1" x="1450"/>
        <item m="1" x="1484"/>
        <item m="1" x="2292"/>
        <item m="1" x="973"/>
        <item m="1" x="1022"/>
        <item m="1" x="46"/>
        <item m="1" x="2454"/>
        <item m="1" x="1129"/>
        <item m="1" x="2509"/>
        <item m="1" x="2614"/>
        <item m="1" x="1285"/>
        <item m="1" x="2655"/>
        <item m="1" x="1322"/>
        <item m="1" x="2745"/>
        <item m="1" x="1393"/>
        <item m="1" x="2784"/>
        <item m="1" x="1428"/>
        <item m="1" x="2821"/>
        <item m="1" x="192"/>
        <item m="1" x="1490"/>
        <item m="1" x="216"/>
        <item m="1" x="237"/>
        <item m="1" x="1536"/>
        <item m="1" x="270"/>
        <item m="1" x="2458"/>
        <item m="1" x="1132"/>
        <item m="1" x="1188"/>
        <item m="1" x="47"/>
        <item m="1" x="2617"/>
        <item m="1" x="1288"/>
        <item m="1" x="1325"/>
        <item m="1" x="2699"/>
        <item m="1" x="1399"/>
        <item m="1" x="2789"/>
        <item m="1" x="1432"/>
        <item m="1" x="2823"/>
        <item m="1" x="1460"/>
        <item m="1" x="219"/>
        <item m="1" x="241"/>
        <item m="1" x="1539"/>
        <item m="1" x="273"/>
        <item m="1" x="1588"/>
        <item m="1" x="2514"/>
        <item m="1" x="1192"/>
        <item m="1" x="1238"/>
        <item m="1" x="48"/>
        <item m="1" x="2701"/>
        <item m="1" x="1368"/>
        <item m="1" x="2753"/>
        <item m="1" x="2826"/>
        <item m="1" x="1463"/>
        <item m="1" x="199"/>
        <item m="1" x="1497"/>
        <item m="1" x="1513"/>
        <item m="1" x="1542"/>
        <item m="1" x="278"/>
        <item m="1" x="314"/>
        <item m="1" x="1611"/>
        <item m="1" x="1644"/>
        <item m="1" x="363"/>
        <item m="1" x="285"/>
        <item m="1" x="301"/>
        <item m="1" x="1601"/>
        <item m="1" x="326"/>
        <item m="1" x="49"/>
        <item m="1" x="1660"/>
        <item m="1" x="384"/>
        <item m="1" x="1689"/>
        <item m="1" x="413"/>
        <item m="1" x="1719"/>
        <item m="1" x="470"/>
        <item m="1" x="1789"/>
        <item m="1" x="505"/>
        <item m="1" x="1832"/>
        <item m="1" x="627"/>
        <item m="1" x="1968"/>
        <item m="1" x="678"/>
        <item m="1" x="731"/>
        <item m="1" x="2083"/>
        <item m="1" x="1571"/>
        <item m="1" x="303"/>
        <item m="1" x="1602"/>
        <item m="1" x="50"/>
        <item m="1" x="1631"/>
        <item m="1" x="389"/>
        <item m="1" x="418"/>
        <item m="1" x="1722"/>
        <item m="1" x="441"/>
        <item m="1" x="475"/>
        <item m="1" x="1795"/>
        <item m="1" x="510"/>
        <item m="1" x="1840"/>
        <item m="1" x="547"/>
        <item m="1" x="1877"/>
        <item m="1" x="588"/>
        <item m="1" x="634"/>
        <item m="1" x="1977"/>
        <item m="1" x="686"/>
        <item m="1" x="739"/>
        <item m="1" x="2139"/>
        <item m="1" x="1634"/>
        <item m="1" x="350"/>
        <item m="1" x="1667"/>
        <item m="1" x="393"/>
        <item m="1" x="1726"/>
        <item m="1" x="51"/>
        <item m="1" x="1762"/>
        <item m="1" x="480"/>
        <item m="1" x="1801"/>
        <item m="1" x="552"/>
        <item m="1" x="1887"/>
        <item m="1" x="598"/>
        <item m="1" x="1927"/>
        <item m="1" x="642"/>
        <item m="1" x="1986"/>
        <item m="1" x="2037"/>
        <item m="1" x="746"/>
        <item m="1" x="2098"/>
        <item m="1" x="887"/>
        <item m="1" x="2248"/>
        <item m="1" x="939"/>
        <item m="1" x="2316"/>
        <item m="1" x="448"/>
        <item m="1" x="1764"/>
        <item m="1" x="52"/>
        <item m="1" x="1805"/>
        <item m="1" x="556"/>
        <item m="1" x="1892"/>
        <item m="1" x="604"/>
        <item m="1" x="1934"/>
        <item m="1" x="649"/>
        <item m="1" x="1992"/>
        <item m="1" x="2045"/>
        <item m="1" x="752"/>
        <item m="1" x="801"/>
        <item m="1" x="2205"/>
        <item m="1" x="2258"/>
        <item m="1" x="946"/>
        <item m="1" x="2322"/>
        <item m="1" x="996"/>
        <item m="1" x="2373"/>
        <item m="1" x="1045"/>
        <item m="1" x="1765"/>
        <item m="1" x="487"/>
        <item m="1" x="1807"/>
        <item m="1" x="521"/>
        <item m="1" x="53"/>
        <item m="1" x="559"/>
        <item m="1" x="609"/>
        <item m="1" x="1941"/>
        <item m="1" x="654"/>
        <item m="1" x="1997"/>
        <item m="1" x="705"/>
        <item m="1" x="2113"/>
        <item m="1" x="809"/>
        <item m="1" x="2160"/>
        <item m="1" x="853"/>
        <item m="1" x="2211"/>
        <item m="1" x="902"/>
        <item m="1" x="2330"/>
        <item m="1" x="1005"/>
        <item m="1" x="2380"/>
        <item m="1" x="1052"/>
        <item m="1" x="1153"/>
        <item m="1" x="2542"/>
        <item m="1" x="561"/>
        <item m="1" x="1945"/>
        <item m="1" x="54"/>
        <item m="1" x="2000"/>
        <item m="1" x="710"/>
        <item m="1" x="2055"/>
        <item m="1" x="814"/>
        <item m="1" x="2164"/>
        <item m="1" x="858"/>
        <item m="1" x="2218"/>
        <item m="1" x="910"/>
        <item m="1" x="2274"/>
        <item m="1" x="2387"/>
        <item m="1" x="2436"/>
        <item m="1" x="1162"/>
        <item m="1" x="2547"/>
        <item m="1" x="1211"/>
        <item m="1" x="2590"/>
        <item m="1" x="1263"/>
        <item m="1" x="1948"/>
        <item m="1" x="55"/>
        <item m="1" x="711"/>
        <item m="1" x="2058"/>
        <item m="1" x="766"/>
        <item m="1" x="2121"/>
        <item m="1" x="817"/>
        <item m="1" x="866"/>
        <item m="1" x="2221"/>
        <item m="1" x="914"/>
        <item m="1" x="2282"/>
        <item m="1" x="966"/>
        <item m="1" x="2397"/>
        <item m="1" x="1070"/>
        <item m="1" x="1115"/>
        <item m="1" x="2556"/>
        <item m="1" x="2599"/>
        <item m="1" x="2641"/>
        <item m="1" x="2679"/>
        <item m="1" x="2727"/>
        <item m="1" x="2060"/>
        <item m="1" x="768"/>
        <item m="1" x="2123"/>
        <item m="1" x="56"/>
        <item m="1" x="2173"/>
        <item m="1" x="917"/>
        <item m="1" x="2287"/>
        <item m="1" x="969"/>
        <item m="1" x="2349"/>
        <item m="1" x="2405"/>
        <item m="1" x="2448"/>
        <item m="1" x="1122"/>
        <item m="1" x="2500"/>
        <item m="1" x="1177"/>
        <item m="1" x="1280"/>
        <item m="1" x="2648"/>
        <item m="1" x="1316"/>
        <item m="1" x="2685"/>
        <item m="1" x="2776"/>
        <item m="1" x="1420"/>
        <item m="1" x="2812"/>
        <item m="1" x="2176"/>
        <item m="1" x="871"/>
        <item m="1" x="919"/>
        <item m="1" x="2291"/>
        <item m="1" x="57"/>
        <item m="1" x="2353"/>
        <item m="1" x="1021"/>
        <item m="1" x="2407"/>
        <item m="1" x="2453"/>
        <item m="1" x="1127"/>
        <item m="1" x="1183"/>
        <item m="1" x="2566"/>
        <item m="1" x="1321"/>
        <item m="1" x="2692"/>
        <item m="1" x="1360"/>
        <item m="1" x="2743"/>
        <item m="1" x="1425"/>
        <item m="1" x="1454"/>
        <item m="1" x="191"/>
        <item m="1" x="1488"/>
        <item m="1" x="2293"/>
        <item m="1" x="974"/>
        <item m="1" x="2355"/>
        <item m="1" x="1023"/>
        <item m="1" x="2409"/>
        <item m="1" x="2457"/>
        <item m="1" x="58"/>
        <item m="1" x="2569"/>
        <item m="1" x="1233"/>
        <item m="1" x="2616"/>
        <item m="1" x="1287"/>
        <item m="1" x="2697"/>
        <item m="1" x="1365"/>
        <item m="1" x="2748"/>
        <item m="1" x="1396"/>
        <item m="1" x="1431"/>
        <item m="1" x="1458"/>
        <item m="1" x="194"/>
        <item m="1" x="218"/>
        <item m="1" x="1512"/>
        <item m="1" x="272"/>
        <item m="1" x="2411"/>
        <item m="1" x="1084"/>
        <item m="1" x="2459"/>
        <item m="1" x="1134"/>
        <item m="1" x="1191"/>
        <item m="1" x="59"/>
        <item m="1" x="1237"/>
        <item m="1" x="2619"/>
        <item m="1" x="1289"/>
        <item m="1" x="2659"/>
        <item m="1" x="2700"/>
        <item m="1" x="1367"/>
        <item m="1" x="2752"/>
        <item m="1" x="1401"/>
        <item m="1" x="2790"/>
        <item m="1" x="198"/>
        <item m="1" x="1496"/>
        <item m="1" x="1541"/>
        <item m="1" x="276"/>
        <item m="1" x="1560"/>
        <item m="1" x="1589"/>
        <item m="1" x="2516"/>
        <item m="1" x="1193"/>
        <item m="1" x="1240"/>
        <item m="1" x="2621"/>
        <item m="1" x="1292"/>
        <item m="1" x="60"/>
        <item m="1" x="2703"/>
        <item m="1" x="1402"/>
        <item m="1" x="2792"/>
        <item m="1" x="1435"/>
        <item m="1" x="2828"/>
        <item m="1" x="1464"/>
        <item m="1" x="1498"/>
        <item m="1" x="223"/>
        <item m="1" x="1514"/>
        <item m="1" x="242"/>
        <item m="1" x="331"/>
        <item m="1" x="1645"/>
        <item m="1" x="364"/>
        <item m="1" x="1522"/>
        <item m="1" x="249"/>
        <item m="1" x="1550"/>
        <item m="1" x="286"/>
        <item m="1" x="61"/>
        <item m="1" x="1630"/>
        <item m="1" x="346"/>
        <item m="1" x="1662"/>
        <item m="1" x="387"/>
        <item m="1" x="1693"/>
        <item m="1" x="415"/>
        <item m="1" x="1753"/>
        <item m="1" x="473"/>
        <item m="1" x="1792"/>
        <item m="1" x="1874"/>
        <item m="1" x="586"/>
        <item m="1" x="631"/>
        <item m="1" x="682"/>
        <item m="1" x="2025"/>
        <item m="1" x="735"/>
        <item m="1" x="2087"/>
        <item m="1" x="1573"/>
        <item m="1" x="304"/>
        <item m="1" x="1603"/>
        <item m="1" x="62"/>
        <item m="1" x="1666"/>
        <item m="1" x="392"/>
        <item m="1" x="1696"/>
        <item m="1" x="445"/>
        <item m="1" x="1759"/>
        <item m="1" x="478"/>
        <item m="1" x="1798"/>
        <item m="1" x="513"/>
        <item m="1" x="1845"/>
        <item m="1" x="1882"/>
        <item m="1" x="594"/>
        <item m="1" x="1925"/>
        <item m="1" x="638"/>
        <item m="1" x="1981"/>
        <item m="1" x="691"/>
        <item m="1" x="2035"/>
        <item m="1" x="743"/>
        <item m="1" x="2093"/>
        <item m="1" x="791"/>
        <item m="1" x="1637"/>
        <item m="1" x="63"/>
        <item m="1" x="1668"/>
        <item m="1" x="394"/>
        <item m="1" x="1727"/>
        <item m="1" x="517"/>
        <item m="1" x="1850"/>
        <item m="1" x="1890"/>
        <item m="1" x="601"/>
        <item m="1" x="646"/>
        <item m="1" x="1990"/>
        <item m="1" x="698"/>
        <item m="1" x="2041"/>
        <item m="1" x="749"/>
        <item m="1" x="2103"/>
        <item m="1" x="2147"/>
        <item m="1" x="2201"/>
        <item m="1" x="892"/>
        <item m="1" x="2254"/>
        <item m="1" x="942"/>
        <item m="1" x="2320"/>
        <item m="1" x="1699"/>
        <item m="1" x="1729"/>
        <item m="1" x="450"/>
        <item m="1" x="64"/>
        <item m="1" x="486"/>
        <item m="1" x="1806"/>
        <item m="1" x="608"/>
        <item m="1" x="2048"/>
        <item m="1" x="757"/>
        <item m="1" x="2111"/>
        <item m="1" x="806"/>
        <item m="1" x="2156"/>
        <item m="1" x="849"/>
        <item m="1" x="2262"/>
        <item m="1" x="953"/>
        <item m="1" x="2326"/>
        <item m="1" x="999"/>
        <item m="1" x="1049"/>
        <item m="1" x="1766"/>
        <item m="1" x="488"/>
        <item m="1" x="1808"/>
        <item m="1" x="65"/>
        <item m="1" x="1856"/>
        <item m="1" x="2215"/>
        <item m="1" x="2271"/>
        <item m="1" x="958"/>
        <item m="1" x="2335"/>
        <item m="1" x="2383"/>
        <item m="1" x="1057"/>
        <item m="1" x="1158"/>
        <item m="1" x="2545"/>
        <item m="1" x="1857"/>
        <item m="1" x="562"/>
        <item m="1" x="66"/>
        <item m="1" x="659"/>
        <item m="1" x="2003"/>
        <item m="1" x="862"/>
        <item m="1" x="2342"/>
        <item m="1" x="1016"/>
        <item m="1" x="2393"/>
        <item m="1" x="1065"/>
        <item m="1" x="2489"/>
        <item m="1" x="1167"/>
        <item m="1" x="2552"/>
        <item m="1" x="1215"/>
        <item m="1" x="2594"/>
        <item m="1" x="1267"/>
        <item m="1" x="1949"/>
        <item m="1" x="660"/>
        <item m="1" x="2004"/>
        <item m="1" x="712"/>
        <item m="1" x="67"/>
        <item m="1" x="2171"/>
        <item m="1" x="868"/>
        <item m="1" x="2224"/>
        <item m="1" x="2285"/>
        <item m="1" x="2347"/>
        <item m="1" x="2401"/>
        <item m="1" x="2445"/>
        <item m="1" x="2558"/>
        <item m="1" x="1220"/>
        <item m="1" x="2605"/>
        <item m="1" x="1276"/>
        <item m="1" x="2644"/>
        <item m="1" x="1348"/>
        <item m="1" x="2732"/>
        <item m="1" x="2061"/>
        <item m="1" x="769"/>
        <item m="1" x="2124"/>
        <item m="1" x="820"/>
        <item m="1" x="2175"/>
        <item m="1" x="68"/>
        <item m="1" x="2226"/>
        <item m="1" x="2289"/>
        <item m="1" x="971"/>
        <item m="1" x="1077"/>
        <item m="1" x="2452"/>
        <item m="1" x="1124"/>
        <item m="1" x="2504"/>
        <item m="1" x="2651"/>
        <item m="1" x="1318"/>
        <item m="1" x="2780"/>
        <item m="1" x="1423"/>
        <item m="1" x="2815"/>
        <item m="1" x="872"/>
        <item m="1" x="2228"/>
        <item m="1" x="920"/>
        <item m="1" x="69"/>
        <item m="1" x="2354"/>
        <item m="1" x="2408"/>
        <item m="1" x="1081"/>
        <item m="1" x="2455"/>
        <item m="1" x="1130"/>
        <item m="1" x="2510"/>
        <item m="1" x="1231"/>
        <item m="1" x="1323"/>
        <item m="1" x="1362"/>
        <item m="1" x="2746"/>
        <item m="1" x="1394"/>
        <item m="1" x="2785"/>
        <item m="1" x="1491"/>
        <item m="1" x="976"/>
        <item m="1" x="2356"/>
        <item m="1" x="1024"/>
        <item m="1" x="70"/>
        <item m="1" x="1083"/>
        <item m="1" x="1133"/>
        <item m="1" x="2512"/>
        <item m="1" x="1189"/>
        <item m="1" x="2658"/>
        <item m="1" x="1400"/>
        <item m="1" x="2824"/>
        <item m="1" x="1461"/>
        <item m="1" x="196"/>
        <item m="1" x="220"/>
        <item m="1" x="274"/>
        <item m="1" x="2412"/>
        <item m="1" x="1085"/>
        <item m="1" x="2515"/>
        <item m="1" x="71"/>
        <item m="1" x="1239"/>
        <item m="1" x="2620"/>
        <item m="1" x="1291"/>
        <item m="1" x="2661"/>
        <item m="1" x="2702"/>
        <item m="1" x="2754"/>
        <item m="1" x="2791"/>
        <item m="1" x="1434"/>
        <item m="1" x="222"/>
        <item m="1" x="1543"/>
        <item m="1" x="294"/>
        <item m="1" x="1590"/>
        <item m="1" x="2518"/>
        <item m="1" x="2572"/>
        <item m="1" x="1293"/>
        <item m="1" x="72"/>
        <item m="1" x="1403"/>
        <item m="1" x="2793"/>
        <item m="1" x="1436"/>
        <item m="1" x="2829"/>
        <item m="1" x="224"/>
        <item m="1" x="1515"/>
        <item m="1" x="315"/>
        <item m="1" x="1612"/>
        <item m="1" x="332"/>
        <item m="1" x="366"/>
        <item m="1" x="1523"/>
        <item m="1" x="250"/>
        <item m="1" x="1551"/>
        <item m="1" x="287"/>
        <item m="1" x="1572"/>
        <item m="1" x="73"/>
        <item m="1" x="1632"/>
        <item m="1" x="348"/>
        <item m="1" x="1664"/>
        <item m="1" x="390"/>
        <item m="1" x="419"/>
        <item m="1" x="442"/>
        <item m="1" x="1756"/>
        <item m="1" x="1878"/>
        <item m="1" x="589"/>
        <item m="1" x="1919"/>
        <item m="1" x="635"/>
        <item m="1" x="2090"/>
        <item m="1" x="1574"/>
        <item m="1" x="305"/>
        <item m="1" x="1635"/>
        <item m="1" x="351"/>
        <item m="1" x="74"/>
        <item m="1" x="447"/>
        <item m="1" x="1763"/>
        <item m="1" x="481"/>
        <item m="1" x="1802"/>
        <item m="1" x="1987"/>
        <item m="1" x="2099"/>
        <item m="1" x="794"/>
        <item m="1" x="395"/>
        <item m="1" x="1698"/>
        <item m="1" x="75"/>
        <item m="1" x="1728"/>
        <item m="1" x="449"/>
        <item m="1" x="485"/>
        <item m="1" x="1853"/>
        <item m="1" x="605"/>
        <item m="1" x="1935"/>
        <item m="1" x="1993"/>
        <item m="1" x="753"/>
        <item m="1" x="802"/>
        <item m="1" x="2151"/>
        <item m="1" x="947"/>
        <item m="1" x="1701"/>
        <item m="1" x="1730"/>
        <item m="1" x="76"/>
        <item m="1" x="1895"/>
        <item m="1" x="706"/>
        <item m="1" x="2212"/>
        <item m="1" x="903"/>
        <item m="1" x="1053"/>
        <item m="1" x="1767"/>
        <item m="1" x="489"/>
        <item m="1" x="1809"/>
        <item m="1" x="77"/>
        <item m="1" x="1946"/>
        <item m="1" x="657"/>
        <item m="1" x="764"/>
        <item m="1" x="815"/>
        <item m="1" x="2339"/>
        <item m="1" x="1013"/>
        <item m="1" x="2548"/>
        <item m="1" x="1897"/>
        <item m="1" x="610"/>
        <item m="1" x="78"/>
        <item m="1" x="2059"/>
        <item m="1" x="2169"/>
        <item m="1" x="2283"/>
        <item m="1" x="1116"/>
        <item m="1" x="1272"/>
        <item m="1" x="1950"/>
        <item m="1" x="661"/>
        <item m="1" x="79"/>
        <item m="1" x="819"/>
        <item m="1" x="918"/>
        <item m="1" x="2288"/>
        <item m="1" x="2501"/>
        <item m="1" x="1317"/>
        <item m="1" x="1352"/>
        <item m="1" x="2736"/>
        <item m="1" x="2062"/>
        <item m="1" x="80"/>
        <item m="1" x="81"/>
        <item m="1" x="2227"/>
        <item m="1" x="1080"/>
        <item m="1" x="1284"/>
        <item m="1" x="2177"/>
        <item m="1" x="873"/>
        <item m="1" x="2229"/>
        <item m="1" x="82"/>
        <item m="1" x="975"/>
        <item m="1" x="2410"/>
        <item m="1" x="1187"/>
        <item m="1" x="1234"/>
        <item m="1" x="1397"/>
        <item m="1" x="1493"/>
        <item m="1" x="83"/>
        <item m="1" x="977"/>
        <item m="1" x="2460"/>
        <item m="1" x="1135"/>
        <item m="1" x="1290"/>
        <item m="1" x="2660"/>
        <item m="1" x="1433"/>
        <item m="1" x="277"/>
        <item m="1" x="84"/>
        <item m="1" x="1136"/>
        <item m="1" x="2517"/>
        <item m="1" x="1241"/>
        <item m="1" x="2622"/>
        <item m="1" x="1369"/>
        <item m="1" x="1465"/>
        <item m="1" x="85"/>
        <item m="1" x="1194"/>
        <item m="1" x="1242"/>
        <item m="1" x="2623"/>
        <item m="1" x="2755"/>
        <item m="1" x="200"/>
        <item m="1" x="295"/>
        <item m="1" x="86"/>
        <item m="1" x="1524"/>
        <item m="1" x="251"/>
        <item m="1" x="1604"/>
        <item m="1" x="1633"/>
        <item m="1" x="422"/>
        <item m="1" x="1724"/>
        <item m="1" x="1883"/>
        <item m="1" x="595"/>
        <item m="1" x="87"/>
        <item m="1" x="2094"/>
        <item m="1" x="1606"/>
        <item m="1" x="424"/>
        <item m="1" x="518"/>
        <item m="1" x="699"/>
        <item m="1" x="2042"/>
        <item m="1" x="88"/>
        <item m="1" x="1669"/>
        <item m="1" x="396"/>
        <item m="1" x="1700"/>
        <item m="1" x="652"/>
        <item m="1" x="2157"/>
        <item m="1" x="898"/>
        <item m="1" x="89"/>
        <item m="1" x="2327"/>
        <item m="1" x="451"/>
        <item m="1" x="908"/>
        <item m="1" x="1010"/>
        <item m="1" x="90"/>
        <item m="1" x="490"/>
        <item m="1" x="563"/>
        <item m="1" x="863"/>
        <item m="1" x="1066"/>
        <item m="1" x="91"/>
        <item m="1" x="564"/>
        <item m="1" x="611"/>
        <item m="1" x="2496"/>
        <item m="1" x="92"/>
        <item m="1" x="2005"/>
        <item m="1" x="1228"/>
        <item m="1" x="93"/>
        <item m="1" x="2741"/>
        <item m="1" x="2063"/>
        <item m="1" x="2695"/>
        <item m="1" x="94"/>
        <item m="1" x="2178"/>
        <item m="1" x="874"/>
        <item m="1" x="921"/>
        <item m="1" x="2750"/>
        <item m="1" x="95"/>
        <item m="1" x="2294"/>
        <item m="1" x="978"/>
        <item m="1" x="2827"/>
        <item m="1" x="96"/>
        <item m="1" x="1137"/>
        <item m="1" x="2519"/>
        <item m="1" x="1544"/>
        <item m="1" x="97"/>
        <item m="1" x="2520"/>
        <item m="1" x="2573"/>
        <item m="1" x="1243"/>
        <item m="1" x="280"/>
        <item m="1" x="368"/>
        <item m="1" x="98"/>
        <item m="1" x="252"/>
        <item m="1" x="1605"/>
        <item m="1" x="1636"/>
        <item m="1" x="352"/>
        <item m="1" x="2100"/>
        <item m="1" x="99"/>
        <item m="1" x="1607"/>
        <item m="1" x="100"/>
        <item m="1" x="1670"/>
        <item m="1" x="101"/>
        <item m="1" x="1702"/>
        <item m="1" x="149"/>
        <item m="1" x="102"/>
        <item m="1" x="1810"/>
        <item m="1" x="1171"/>
        <item m="1" x="103"/>
        <item m="1" x="104"/>
        <item m="1" x="150"/>
        <item m="1" x="2064"/>
        <item m="1" x="105"/>
        <item m="1" x="106"/>
        <item m="1" x="107"/>
        <item m="1" x="151"/>
        <item m="1" x="108"/>
        <item m="1" x="2413"/>
        <item m="1" x="1517"/>
        <item m="1" x="109"/>
        <item m="1" x="152"/>
        <item m="1" x="1520"/>
        <item m="1" x="153"/>
        <item m="1" x="110"/>
        <item m="1" x="1930"/>
        <item m="1" x="111"/>
        <item m="1" x="1575"/>
        <item m="1" x="1938"/>
        <item m="1" x="154"/>
        <item m="1" x="112"/>
        <item m="1" x="353"/>
        <item m="1" x="155"/>
        <item m="1" x="113"/>
        <item m="1" x="491"/>
        <item m="1" x="156"/>
        <item m="1" x="114"/>
        <item m="1" x="115"/>
        <item m="1" x="116"/>
        <item m="1" x="157"/>
        <item m="1" x="117"/>
        <item m="1" x="118"/>
        <item m="1" x="119"/>
        <item m="1" x="158"/>
        <item m="1" x="120"/>
        <item m="1" x="121"/>
        <item m="1" x="159"/>
        <item m="1" x="122"/>
        <item m="1" x="519"/>
        <item m="1" x="123"/>
        <item m="1" x="160"/>
        <item m="1" x="1576"/>
        <item m="1" x="522"/>
        <item m="1" x="124"/>
        <item m="1" x="1638"/>
        <item m="1" x="2001"/>
        <item m="1" x="125"/>
        <item m="1" x="915"/>
        <item m="1" x="161"/>
        <item m="1" x="523"/>
        <item m="1" x="126"/>
        <item m="1" x="162"/>
        <item m="1" x="127"/>
        <item m="1" x="163"/>
        <item m="1" x="713"/>
        <item m="1" x="128"/>
        <item m="1" x="770"/>
        <item m="1" x="129"/>
        <item m="1" x="164"/>
        <item m="1" x="922"/>
        <item m="1" x="165"/>
        <item m="1" x="2295"/>
        <item m="1" x="130"/>
        <item m="1" x="131"/>
        <item m="1" x="1086"/>
        <item m="1" x="132"/>
        <item m="1" x="166"/>
        <item m="1" x="1195"/>
        <item m="1" x="133"/>
        <item m="1" x="253"/>
        <item m="1" x="167"/>
        <item m="1" x="134"/>
        <item m="1" x="168"/>
        <item m="1" x="306"/>
        <item m="1" x="135"/>
        <item m="1" x="354"/>
        <item m="1" x="169"/>
        <item m="1" x="136"/>
        <item m="1" x="137"/>
        <item m="1" x="170"/>
        <item m="1" x="138"/>
        <item m="1" x="171"/>
        <item m="1" x="172"/>
        <item m="1" x="139"/>
        <item m="1" x="140"/>
        <item m="1" x="173"/>
        <item m="1" x="141"/>
        <item m="1" x="174"/>
        <item m="1" x="142"/>
        <item m="1" x="175"/>
        <item m="1" x="176"/>
        <item m="1" x="143"/>
        <item m="1" x="144"/>
        <item m="1" x="177"/>
        <item m="1" x="145"/>
        <item m="1" x="178"/>
        <item m="1" x="146"/>
        <item m="1" x="179"/>
        <item m="1" x="147"/>
        <item t="default"/>
      </items>
    </pivotField>
    <pivotField showAll="0"/>
    <pivotField dataField="1" showAll="0"/>
    <pivotField showAll="0"/>
    <pivotField dataField="1"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axis="axisPage" multipleItemSelectionAllowed="1" showAll="0" includeNewItemsInFilter="1" defaultSubtotal="0">
      <items count="22">
        <item m="1" x="16"/>
        <item m="1" x="19"/>
        <item m="1" x="15"/>
        <item h="1" m="1" x="18"/>
        <item h="1" m="1" x="21"/>
        <item h="1" m="1" x="1"/>
        <item h="1" m="1" x="2"/>
        <item h="1" m="1" x="3"/>
        <item m="1" x="4"/>
        <item m="1" x="5"/>
        <item m="1" x="6"/>
        <item x="0"/>
        <item h="1" m="1" x="20"/>
        <item m="1" x="7"/>
        <item m="1" x="17"/>
        <item m="1" x="8"/>
        <item m="1" x="9"/>
        <item m="1" x="10"/>
        <item m="1" x="11"/>
        <item m="1" x="12"/>
        <item m="1" x="13"/>
        <item m="1" x="14"/>
      </items>
    </pivotField>
    <pivotField axis="axisPage" multipleItemSelectionAllowed="1" showAll="0" defaultSubtotal="0">
      <items count="13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</items>
    </pivotField>
    <pivotField showAll="0" defaultSubtotal="0"/>
  </pivotFields>
  <rowFields count="1">
    <field x="3"/>
  </rowFields>
  <rowItems count="1">
    <i>
      <x v="1"/>
    </i>
  </rowItems>
  <colFields count="1">
    <field x="-2"/>
  </colFields>
  <colItems count="3">
    <i>
      <x/>
    </i>
    <i i="1">
      <x v="1"/>
    </i>
    <i i="2">
      <x v="2"/>
    </i>
  </colItems>
  <pageFields count="2">
    <pageField fld="13" hier="-1"/>
    <pageField fld="14" hier="-1"/>
  </pageFields>
  <dataFields count="3">
    <dataField name="Suma de Promedio Activa" fld="5" baseField="0" baseItem="0"/>
    <dataField name="Suma de Promedio Reactiva" fld="7" baseField="3" baseItem="0"/>
    <dataField name="Suma de Maxímetro" fld="10" baseField="3" baseItem="0"/>
  </dataFields>
  <formats count="8">
    <format dxfId="207">
      <pivotArea type="all" dataOnly="0" outline="0" fieldPosition="0"/>
    </format>
    <format dxfId="206">
      <pivotArea type="all" dataOnly="0" outline="0" fieldPosition="0"/>
    </format>
    <format dxfId="205">
      <pivotArea field="3" type="button" dataOnly="0" labelOnly="1" outline="0" axis="axisRow" fieldPosition="0"/>
    </format>
    <format dxfId="20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0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0">
      <pivotArea outline="0" fieldPosition="0">
        <references count="1">
          <reference field="4294967294" count="1">
            <x v="0"/>
          </reference>
        </references>
      </pivotArea>
    </format>
  </formats>
  <chartFormats count="13">
    <chartFormat chart="12" format="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7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1">
      <pivotArea type="data" outline="0" fieldPosition="0">
        <references count="2">
          <reference field="4294967294" count="1" selected="0">
            <x v="0"/>
          </reference>
          <reference field="3" count="1" selected="0">
            <x v="1548"/>
          </reference>
        </references>
      </pivotArea>
    </chartFormat>
    <chartFormat chart="21" format="75">
      <pivotArea type="data" outline="0" fieldPosition="0">
        <references count="2">
          <reference field="4294967294" count="1" selected="0">
            <x v="0"/>
          </reference>
          <reference field="3" count="1" selected="0">
            <x v="1146"/>
          </reference>
        </references>
      </pivotArea>
    </chartFormat>
    <chartFormat chart="5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430"/>
          </reference>
        </references>
      </pivotArea>
    </chartFormat>
    <chartFormat chart="62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7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7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2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7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1" format="7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 dinámica3" cacheId="3" applyNumberFormats="0" applyBorderFormats="0" applyFontFormats="0" applyPatternFormats="0" applyAlignmentFormats="0" applyWidthHeightFormats="1" dataCaption="Valores" updatedVersion="8" minRefreshableVersion="3" showCalcMbrs="0" useAutoFormatting="1" rowGrandTotals="0" colGrandTotals="0" itemPrintTitles="1" createdVersion="3" indent="0" outline="1" outlineData="1" multipleFieldFilters="0" chartFormat="30">
  <location ref="E54:H56" firstHeaderRow="1" firstDataRow="2" firstDataCol="1" rowPageCount="2" colPageCount="1"/>
  <pivotFields count="28">
    <pivotField showAll="0"/>
    <pivotField showAll="0"/>
    <pivotField showAll="0"/>
    <pivotField axis="axisRow" showAll="0" sortType="ascending">
      <items count="794">
        <item m="1" x="148"/>
        <item x="0"/>
        <item m="1" x="527"/>
        <item m="1" x="544"/>
        <item m="1" x="307"/>
        <item m="1" x="364"/>
        <item m="1" x="608"/>
        <item m="1" x="639"/>
        <item m="1" x="667"/>
        <item m="1" x="433"/>
        <item m="1" x="686"/>
        <item m="1" x="379"/>
        <item m="1" x="728"/>
        <item m="1" x="443"/>
        <item m="1" x="777"/>
        <item m="1" x="477"/>
        <item m="1" x="201"/>
        <item m="1" x="559"/>
        <item m="1" x="244"/>
        <item m="1" x="607"/>
        <item m="1" x="293"/>
        <item m="1" x="596"/>
        <item m="1" x="622"/>
        <item m="1" x="629"/>
        <item m="1" x="377"/>
        <item m="1" x="563"/>
        <item m="1" x="320"/>
        <item m="1" x="365"/>
        <item m="1" x="566"/>
        <item m="1" x="334"/>
        <item m="1" x="708"/>
        <item m="1" x="418"/>
        <item m="1" x="699"/>
        <item m="1" x="395"/>
        <item m="1" x="711"/>
        <item m="1" x="449"/>
        <item m="1" x="325"/>
        <item m="1" x="420"/>
        <item m="1" x="786"/>
        <item m="1" x="766"/>
        <item m="1" x="183"/>
        <item m="1" x="714"/>
        <item m="1" x="461"/>
        <item m="1" x="490"/>
        <item m="1" x="484"/>
        <item m="1" x="515"/>
        <item m="1" x="524"/>
        <item m="1" x="235"/>
        <item m="1" x="620"/>
        <item m="1" x="252"/>
        <item m="1" x="266"/>
        <item m="1" x="308"/>
        <item m="1" x="267"/>
        <item m="1" x="609"/>
        <item m="1" x="309"/>
        <item m="1" x="599"/>
        <item m="1" x="349"/>
        <item m="1" x="246"/>
        <item m="1" x="261"/>
        <item m="1" x="630"/>
        <item m="1" x="322"/>
        <item m="1" x="366"/>
        <item m="1" x="378"/>
        <item m="1" x="1"/>
        <item m="1" x="656"/>
        <item m="1" x="393"/>
        <item m="1" x="419"/>
        <item m="1" x="739"/>
        <item m="1" x="588"/>
        <item m="1" x="2"/>
        <item m="1" x="380"/>
        <item m="1" x="700"/>
        <item m="1" x="709"/>
        <item m="1" x="434"/>
        <item m="1" x="756"/>
        <item m="1" x="301"/>
        <item m="1" x="3"/>
        <item m="1" x="407"/>
        <item m="1" x="757"/>
        <item m="1" x="785"/>
        <item m="1" x="635"/>
        <item m="1" x="326"/>
        <item m="1" x="4"/>
        <item m="1" x="751"/>
        <item m="1" x="444"/>
        <item m="1" x="458"/>
        <item m="1" x="680"/>
        <item m="1" x="373"/>
        <item m="1" x="5"/>
        <item m="1" x="767"/>
        <item m="1" x="476"/>
        <item m="1" x="184"/>
        <item m="1" x="703"/>
        <item m="1" x="6"/>
        <item m="1" x="780"/>
        <item m="1" x="462"/>
        <item m="1" x="185"/>
        <item m="1" x="503"/>
        <item m="1" x="506"/>
        <item m="1" x="7"/>
        <item m="1" x="471"/>
        <item m="1" x="186"/>
        <item m="1" x="204"/>
        <item m="1" x="211"/>
        <item m="1" x="525"/>
        <item m="1" x="498"/>
        <item m="1" x="8"/>
        <item m="1" x="573"/>
        <item m="1" x="595"/>
        <item m="1" x="294"/>
        <item m="1" x="516"/>
        <item m="1" x="9"/>
        <item m="1" x="560"/>
        <item m="1" x="282"/>
        <item m="1" x="628"/>
        <item m="1" x="518"/>
        <item m="1" x="533"/>
        <item m="1" x="10"/>
        <item m="1" x="598"/>
        <item m="1" x="284"/>
        <item m="1" x="638"/>
        <item m="1" x="653"/>
        <item m="1" x="535"/>
        <item m="1" x="11"/>
        <item m="1" x="296"/>
        <item m="1" x="310"/>
        <item m="1" x="350"/>
        <item m="1" x="666"/>
        <item m="1" x="547"/>
        <item m="1" x="552"/>
        <item m="1" x="12"/>
        <item m="1" x="632"/>
        <item m="1" x="323"/>
        <item m="1" x="685"/>
        <item m="1" x="724"/>
        <item m="1" x="272"/>
        <item m="1" x="13"/>
        <item m="1" x="642"/>
        <item m="1" x="671"/>
        <item m="1" x="406"/>
        <item m="1" x="725"/>
        <item m="1" x="740"/>
        <item m="1" x="590"/>
        <item m="1" x="14"/>
        <item m="1" x="689"/>
        <item m="1" x="726"/>
        <item m="1" x="435"/>
        <item m="1" x="750"/>
        <item m="1" x="764"/>
        <item m="1" x="15"/>
        <item m="1" x="712"/>
        <item m="1" x="421"/>
        <item m="1" x="765"/>
        <item m="1" x="776"/>
        <item m="1" x="328"/>
        <item m="1" x="340"/>
        <item m="1" x="16"/>
        <item m="1" x="439"/>
        <item m="1" x="445"/>
        <item m="1" x="460"/>
        <item m="1" x="469"/>
        <item m="1" x="357"/>
        <item m="1" x="450"/>
        <item m="1" x="180"/>
        <item m="1" x="491"/>
        <item m="1" x="399"/>
        <item m="1" x="716"/>
        <item m="1" x="17"/>
        <item m="1" x="470"/>
        <item m="1" x="197"/>
        <item m="1" x="735"/>
        <item m="1" x="465"/>
        <item m="1" x="480"/>
        <item m="1" x="507"/>
        <item m="1" x="499"/>
        <item m="1" x="18"/>
        <item m="1" x="545"/>
        <item m="1" x="236"/>
        <item m="1" x="583"/>
        <item m="1" x="281"/>
        <item m="1" x="621"/>
        <item m="1" x="549"/>
        <item m="1" x="574"/>
        <item m="1" x="610"/>
        <item m="1" x="295"/>
        <item m="1" x="220"/>
        <item m="1" x="228"/>
        <item m="1" x="19"/>
        <item m="1" x="600"/>
        <item m="1" x="319"/>
        <item m="1" x="540"/>
        <item m="1" x="297"/>
        <item m="1" x="654"/>
        <item m="1" x="684"/>
        <item m="1" x="238"/>
        <item m="1" x="20"/>
        <item m="1" x="311"/>
        <item m="1" x="657"/>
        <item m="1" x="698"/>
        <item m="1" x="394"/>
        <item m="1" x="580"/>
        <item m="1" x="352"/>
        <item m="1" x="710"/>
        <item m="1" x="592"/>
        <item m="1" x="274"/>
        <item m="1" x="21"/>
        <item m="1" x="676"/>
        <item m="1" x="382"/>
        <item m="1" x="741"/>
        <item m="1" x="302"/>
        <item m="1" x="22"/>
        <item m="1" x="409"/>
        <item m="1" x="730"/>
        <item m="1" x="459"/>
        <item m="1" x="329"/>
        <item m="1" x="647"/>
        <item m="1" x="23"/>
        <item m="1" x="743"/>
        <item m="1" x="768"/>
        <item m="1" x="455"/>
        <item m="1" x="778"/>
        <item m="1" x="358"/>
        <item m="1" x="451"/>
        <item m="1" x="191"/>
        <item m="1" x="412"/>
        <item m="1" x="24"/>
        <item m="1" x="790"/>
        <item m="1" x="479"/>
        <item m="1" x="198"/>
        <item m="1" x="762"/>
        <item m="1" x="482"/>
        <item m="1" x="493"/>
        <item m="1" x="500"/>
        <item m="1" x="509"/>
        <item m="1" x="517"/>
        <item m="1" x="25"/>
        <item m="1" x="237"/>
        <item m="1" x="253"/>
        <item m="1" x="597"/>
        <item m="1" x="283"/>
        <item m="1" x="539"/>
        <item m="1" x="255"/>
        <item m="1" x="612"/>
        <item m="1" x="528"/>
        <item m="1" x="26"/>
        <item m="1" x="269"/>
        <item m="1" x="285"/>
        <item m="1" x="321"/>
        <item m="1" x="553"/>
        <item m="1" x="27"/>
        <item m="1" x="324"/>
        <item m="1" x="640"/>
        <item m="1" x="568"/>
        <item m="1" x="263"/>
        <item m="1" x="28"/>
        <item m="1" x="643"/>
        <item m="1" x="335"/>
        <item m="1" x="396"/>
        <item m="1" x="29"/>
        <item m="1" x="30"/>
        <item m="1" x="354"/>
        <item m="1" x="436"/>
        <item m="1" x="275"/>
        <item m="1" x="31"/>
        <item m="1" x="356"/>
        <item m="1" x="369"/>
        <item m="1" x="692"/>
        <item m="1" x="701"/>
        <item m="1" x="742"/>
        <item m="1" x="627"/>
        <item m="1" x="32"/>
        <item m="1" x="732"/>
        <item m="1" x="422"/>
        <item m="1" x="440"/>
        <item m="1" x="636"/>
        <item m="1" x="330"/>
        <item m="1" x="649"/>
        <item m="1" x="33"/>
        <item m="1" x="744"/>
        <item m="1" x="779"/>
        <item m="1" x="662"/>
        <item m="1" x="682"/>
        <item m="1" x="34"/>
        <item m="1" x="760"/>
        <item m="1" x="781"/>
        <item m="1" x="389"/>
        <item m="1" x="401"/>
        <item m="1" x="717"/>
        <item m="1" x="35"/>
        <item m="1" x="447"/>
        <item m="1" x="466"/>
        <item m="1" x="791"/>
        <item m="1" x="492"/>
        <item m="1" x="413"/>
        <item m="1" x="736"/>
        <item m="1" x="36"/>
        <item m="1" x="483"/>
        <item m="1" x="495"/>
        <item m="1" x="510"/>
        <item m="1" x="37"/>
        <item m="1" x="226"/>
        <item m="1" x="254"/>
        <item m="1" x="611"/>
        <item m="1" x="213"/>
        <item m="1" x="38"/>
        <item m="1" x="534"/>
        <item m="1" x="562"/>
        <item m="1" x="601"/>
        <item m="1" x="530"/>
        <item m="1" x="39"/>
        <item m="1" x="229"/>
        <item m="1" x="565"/>
        <item m="1" x="584"/>
        <item m="1" x="271"/>
        <item m="1" x="631"/>
        <item m="1" x="668"/>
        <item m="1" x="239"/>
        <item m="1" x="40"/>
        <item m="1" x="633"/>
        <item m="1" x="669"/>
        <item m="1" x="249"/>
        <item m="1" x="570"/>
        <item m="1" x="41"/>
        <item m="1" x="300"/>
        <item m="1" x="644"/>
        <item m="1" x="688"/>
        <item m="1" x="381"/>
        <item m="1" x="571"/>
        <item m="1" x="256"/>
        <item m="1" x="42"/>
        <item m="1" x="338"/>
        <item m="1" x="355"/>
        <item m="1" x="437"/>
        <item m="1" x="277"/>
        <item m="1" x="43"/>
        <item m="1" x="678"/>
        <item m="1" x="371"/>
        <item m="1" x="384"/>
        <item m="1" x="752"/>
        <item m="1" x="303"/>
        <item m="1" x="317"/>
        <item m="1" x="44"/>
        <item m="1" x="411"/>
        <item m="1" x="423"/>
        <item m="1" x="787"/>
        <item m="1" x="331"/>
        <item m="1" x="45"/>
        <item m="1" x="425"/>
        <item m="1" x="745"/>
        <item m="1" x="456"/>
        <item m="1" x="478"/>
        <item m="1" x="374"/>
        <item m="1" x="46"/>
        <item m="1" x="771"/>
        <item m="1" x="782"/>
        <item m="1" x="705"/>
        <item m="1" x="402"/>
        <item m="1" x="47"/>
        <item m="1" x="448"/>
        <item m="1" x="783"/>
        <item m="1" x="188"/>
        <item m="1" x="494"/>
        <item m="1" x="719"/>
        <item m="1" x="414"/>
        <item m="1" x="48"/>
        <item m="1" x="474"/>
        <item m="1" x="496"/>
        <item m="1" x="202"/>
        <item m="1" x="207"/>
        <item m="1" x="49"/>
        <item m="1" x="219"/>
        <item m="1" x="227"/>
        <item m="1" x="245"/>
        <item m="1" x="561"/>
        <item m="1" x="208"/>
        <item m="1" x="50"/>
        <item m="1" x="222"/>
        <item m="1" x="550"/>
        <item m="1" x="564"/>
        <item m="1" x="520"/>
        <item m="1" x="531"/>
        <item m="1" x="223"/>
        <item m="1" x="51"/>
        <item m="1" x="262"/>
        <item m="1" x="585"/>
        <item m="1" x="655"/>
        <item m="1" x="233"/>
        <item m="1" x="52"/>
        <item m="1" x="579"/>
        <item m="1" x="614"/>
        <item m="1" x="312"/>
        <item m="1" x="672"/>
        <item m="1" x="367"/>
        <item m="1" x="687"/>
        <item m="1" x="555"/>
        <item m="1" x="53"/>
        <item m="1" x="591"/>
        <item m="1" x="315"/>
        <item m="1" x="675"/>
        <item m="1" x="690"/>
        <item m="1" x="727"/>
        <item m="1" x="257"/>
        <item m="1" x="54"/>
        <item m="1" x="646"/>
        <item m="1" x="659"/>
        <item m="1" x="408"/>
        <item m="1" x="438"/>
        <item m="1" x="55"/>
        <item m="1" x="290"/>
        <item m="1" x="341"/>
        <item m="1" x="693"/>
        <item m="1" x="733"/>
        <item m="1" x="758"/>
        <item m="1" x="304"/>
        <item m="1" x="56"/>
        <item m="1" x="343"/>
        <item m="1" x="681"/>
        <item m="1" x="398"/>
        <item m="1" x="759"/>
        <item m="1" x="788"/>
        <item m="1" x="345"/>
        <item m="1" x="663"/>
        <item m="1" x="57"/>
        <item m="1" x="400"/>
        <item m="1" x="734"/>
        <item m="1" x="452"/>
        <item m="1" x="464"/>
        <item m="1" x="375"/>
        <item m="1" x="58"/>
        <item m="1" x="746"/>
        <item m="1" x="453"/>
        <item m="1" x="472"/>
        <item m="1" x="187"/>
        <item m="1" x="696"/>
        <item m="1" x="390"/>
        <item m="1" x="706"/>
        <item m="1" x="59"/>
        <item m="1" x="747"/>
        <item m="1" x="763"/>
        <item m="1" x="181"/>
        <item m="1" x="199"/>
        <item m="1" x="415"/>
        <item m="1" x="429"/>
        <item m="1" x="60"/>
        <item m="1" x="468"/>
        <item m="1" x="192"/>
        <item m="1" x="526"/>
        <item m="1" x="488"/>
        <item m="1" x="501"/>
        <item m="1" x="61"/>
        <item m="1" x="221"/>
        <item m="1" x="575"/>
        <item m="1" x="268"/>
        <item m="1" x="623"/>
        <item m="1" x="209"/>
        <item m="1" x="62"/>
        <item m="1" x="231"/>
        <item m="1" x="551"/>
        <item m="1" x="576"/>
        <item m="1" x="602"/>
        <item m="1" x="286"/>
        <item m="1" x="298"/>
        <item m="1" x="63"/>
        <item m="1" x="567"/>
        <item m="1" x="578"/>
        <item m="1" x="287"/>
        <item m="1" x="641"/>
        <item m="1" x="670"/>
        <item m="1" x="542"/>
        <item m="1" x="64"/>
        <item m="1" x="240"/>
        <item m="1" x="314"/>
        <item m="1" x="353"/>
        <item m="1" x="673"/>
        <item m="1" x="556"/>
        <item m="1" x="65"/>
        <item m="1" x="658"/>
        <item m="1" x="691"/>
        <item m="1" x="383"/>
        <item m="1" x="572"/>
        <item m="1" x="66"/>
        <item m="1" x="278"/>
        <item m="1" x="679"/>
        <item m="1" x="372"/>
        <item m="1" x="385"/>
        <item m="1" x="731"/>
        <item m="1" x="279"/>
        <item m="1" x="605"/>
        <item m="1" x="291"/>
        <item m="1" x="67"/>
        <item m="1" x="648"/>
        <item m="1" x="694"/>
        <item m="1" x="702"/>
        <item m="1" x="424"/>
        <item m="1" x="616"/>
        <item m="1" x="305"/>
        <item m="1" x="68"/>
        <item m="1" x="661"/>
        <item m="1" x="359"/>
        <item m="1" x="704"/>
        <item m="1" x="753"/>
        <item m="1" x="463"/>
        <item m="1" x="789"/>
        <item m="1" x="651"/>
        <item m="1" x="346"/>
        <item m="1" x="69"/>
        <item m="1" x="388"/>
        <item m="1" x="427"/>
        <item m="1" x="772"/>
        <item m="1" x="361"/>
        <item m="1" x="683"/>
        <item m="1" x="376"/>
        <item m="1" x="70"/>
        <item m="1" x="718"/>
        <item m="1" x="754"/>
        <item m="1" x="473"/>
        <item m="1" x="189"/>
        <item m="1" x="391"/>
        <item m="1" x="720"/>
        <item m="1" x="71"/>
        <item m="1" x="442"/>
        <item m="1" x="774"/>
        <item m="1" x="190"/>
        <item m="1" x="205"/>
        <item m="1" x="508"/>
        <item m="1" x="737"/>
        <item m="1" x="72"/>
        <item m="1" x="784"/>
        <item m="1" x="485"/>
        <item m="1" x="212"/>
        <item m="1" x="214"/>
        <item m="1" x="193"/>
        <item m="1" x="502"/>
        <item m="1" x="203"/>
        <item m="1" x="73"/>
        <item m="1" x="529"/>
        <item m="1" x="546"/>
        <item m="1" x="260"/>
        <item m="1" x="270"/>
        <item m="1" x="624"/>
        <item m="1" x="521"/>
        <item m="1" x="74"/>
        <item m="1" x="232"/>
        <item m="1" x="554"/>
        <item m="1" x="603"/>
        <item m="1" x="224"/>
        <item m="1" x="536"/>
        <item m="1" x="75"/>
        <item m="1" x="569"/>
        <item m="1" x="587"/>
        <item m="1" x="299"/>
        <item m="1" x="313"/>
        <item m="1" x="351"/>
        <item m="1" x="543"/>
        <item m="1" x="76"/>
        <item m="1" x="581"/>
        <item m="1" x="289"/>
        <item m="1" x="645"/>
        <item m="1" x="337"/>
        <item m="1" x="548"/>
        <item m="1" x="241"/>
        <item m="1" x="557"/>
        <item m="1" x="77"/>
        <item m="1" x="593"/>
        <item m="1" x="276"/>
        <item m="1" x="316"/>
        <item m="1" x="677"/>
        <item m="1" x="370"/>
        <item m="1" x="729"/>
        <item m="1" x="582"/>
        <item m="1" x="264"/>
        <item m="1" x="78"/>
        <item m="1" x="615"/>
        <item m="1" x="660"/>
        <item m="1" x="397"/>
        <item m="1" x="594"/>
        <item m="1" x="280"/>
        <item m="1" x="79"/>
        <item m="1" x="318"/>
        <item m="1" x="344"/>
        <item m="1" x="715"/>
        <item m="1" x="446"/>
        <item m="1" x="769"/>
        <item m="1" x="617"/>
        <item m="1" x="80"/>
        <item m="1" x="81"/>
        <item m="1" x="650"/>
        <item m="1" x="387"/>
        <item m="1" x="441"/>
        <item m="1" x="332"/>
        <item m="1" x="652"/>
        <item m="1" x="82"/>
        <item m="1" x="360"/>
        <item m="1" x="695"/>
        <item m="1" x="428"/>
        <item m="1" x="457"/>
        <item m="1" x="481"/>
        <item m="1" x="83"/>
        <item m="1" x="362"/>
        <item m="1" x="707"/>
        <item m="1" x="403"/>
        <item m="1" x="755"/>
        <item m="1" x="467"/>
        <item m="1" x="84"/>
        <item m="1" x="404"/>
        <item m="1" x="721"/>
        <item m="1" x="430"/>
        <item m="1" x="748"/>
        <item m="1" x="454"/>
        <item m="1" x="475"/>
        <item m="1" x="85"/>
        <item m="1" x="416"/>
        <item m="1" x="431"/>
        <item m="1" x="749"/>
        <item m="1" x="775"/>
        <item m="1" x="182"/>
        <item m="1" x="206"/>
        <item m="1" x="86"/>
        <item m="1" x="489"/>
        <item m="1" x="194"/>
        <item m="1" x="511"/>
        <item m="1" x="519"/>
        <item m="1" x="541"/>
        <item m="1" x="577"/>
        <item m="1" x="87"/>
        <item m="1" x="625"/>
        <item m="1" x="513"/>
        <item m="1" x="230"/>
        <item m="1" x="247"/>
        <item m="1" x="288"/>
        <item m="1" x="613"/>
        <item m="1" x="88"/>
        <item m="1" x="225"/>
        <item m="1" x="537"/>
        <item m="1" x="273"/>
        <item m="1" x="634"/>
        <item m="1" x="336"/>
        <item m="1" x="89"/>
        <item m="1" x="674"/>
        <item m="1" x="234"/>
        <item m="1" x="339"/>
        <item m="1" x="368"/>
        <item m="1" x="90"/>
        <item m="1" x="242"/>
        <item m="1" x="258"/>
        <item m="1" x="327"/>
        <item m="1" x="386"/>
        <item m="1" x="91"/>
        <item m="1" x="259"/>
        <item m="1" x="265"/>
        <item m="1" x="713"/>
        <item m="1" x="92"/>
        <item m="1" x="606"/>
        <item m="1" x="426"/>
        <item m="1" x="93"/>
        <item m="1" x="770"/>
        <item m="1" x="618"/>
        <item m="1" x="761"/>
        <item m="1" x="94"/>
        <item m="1" x="637"/>
        <item m="1" x="333"/>
        <item m="1" x="347"/>
        <item m="1" x="773"/>
        <item m="1" x="95"/>
        <item m="1" x="664"/>
        <item m="1" x="363"/>
        <item m="1" x="792"/>
        <item m="1" x="96"/>
        <item m="1" x="405"/>
        <item m="1" x="722"/>
        <item m="1" x="497"/>
        <item m="1" x="97"/>
        <item m="1" x="723"/>
        <item m="1" x="738"/>
        <item m="1" x="432"/>
        <item m="1" x="200"/>
        <item m="1" x="218"/>
        <item m="1" x="98"/>
        <item m="1" x="195"/>
        <item m="1" x="512"/>
        <item m="1" x="522"/>
        <item m="1" x="215"/>
        <item m="1" x="626"/>
        <item m="1" x="99"/>
        <item m="1" x="514"/>
        <item m="1" x="100"/>
        <item m="1" x="532"/>
        <item m="1" x="101"/>
        <item m="1" x="538"/>
        <item m="1" x="149"/>
        <item m="1" x="102"/>
        <item m="1" x="558"/>
        <item m="1" x="410"/>
        <item m="1" x="103"/>
        <item m="1" x="104"/>
        <item m="1" x="150"/>
        <item m="1" x="619"/>
        <item m="1" x="105"/>
        <item m="1" x="106"/>
        <item m="1" x="107"/>
        <item m="1" x="151"/>
        <item m="1" x="108"/>
        <item m="1" x="697"/>
        <item m="1" x="486"/>
        <item m="1" x="109"/>
        <item m="1" x="152"/>
        <item m="1" x="487"/>
        <item m="1" x="153"/>
        <item m="1" x="110"/>
        <item m="1" x="586"/>
        <item m="1" x="111"/>
        <item m="1" x="504"/>
        <item m="1" x="589"/>
        <item m="1" x="154"/>
        <item m="1" x="112"/>
        <item m="1" x="216"/>
        <item m="1" x="155"/>
        <item m="1" x="113"/>
        <item m="1" x="243"/>
        <item m="1" x="156"/>
        <item m="1" x="114"/>
        <item m="1" x="115"/>
        <item m="1" x="116"/>
        <item m="1" x="157"/>
        <item m="1" x="117"/>
        <item m="1" x="118"/>
        <item m="1" x="119"/>
        <item m="1" x="158"/>
        <item m="1" x="120"/>
        <item m="1" x="121"/>
        <item m="1" x="159"/>
        <item m="1" x="122"/>
        <item m="1" x="248"/>
        <item m="1" x="123"/>
        <item m="1" x="160"/>
        <item m="1" x="505"/>
        <item m="1" x="250"/>
        <item m="1" x="124"/>
        <item m="1" x="523"/>
        <item m="1" x="604"/>
        <item m="1" x="125"/>
        <item m="1" x="342"/>
        <item m="1" x="161"/>
        <item m="1" x="251"/>
        <item m="1" x="126"/>
        <item m="1" x="162"/>
        <item m="1" x="127"/>
        <item m="1" x="163"/>
        <item m="1" x="292"/>
        <item m="1" x="128"/>
        <item m="1" x="306"/>
        <item m="1" x="129"/>
        <item m="1" x="164"/>
        <item m="1" x="348"/>
        <item m="1" x="165"/>
        <item m="1" x="665"/>
        <item m="1" x="130"/>
        <item m="1" x="131"/>
        <item m="1" x="392"/>
        <item m="1" x="132"/>
        <item m="1" x="166"/>
        <item m="1" x="417"/>
        <item m="1" x="133"/>
        <item m="1" x="196"/>
        <item m="1" x="167"/>
        <item m="1" x="134"/>
        <item m="1" x="168"/>
        <item m="1" x="210"/>
        <item m="1" x="135"/>
        <item m="1" x="217"/>
        <item m="1" x="169"/>
        <item m="1" x="136"/>
        <item m="1" x="137"/>
        <item m="1" x="170"/>
        <item m="1" x="138"/>
        <item m="1" x="171"/>
        <item m="1" x="172"/>
        <item m="1" x="139"/>
        <item m="1" x="140"/>
        <item m="1" x="173"/>
        <item m="1" x="141"/>
        <item m="1" x="174"/>
        <item m="1" x="142"/>
        <item m="1" x="175"/>
        <item m="1" x="176"/>
        <item m="1" x="143"/>
        <item m="1" x="144"/>
        <item m="1" x="177"/>
        <item m="1" x="145"/>
        <item m="1" x="178"/>
        <item m="1" x="146"/>
        <item m="1" x="179"/>
        <item m="1" x="147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0">
        <item x="0"/>
        <item h="1" m="1" x="1"/>
        <item h="1" m="1" x="2"/>
        <item h="1" m="1" x="3"/>
        <item m="1" x="4"/>
        <item m="1" x="5"/>
        <item m="1" x="6"/>
        <item m="1" x="7"/>
        <item m="1" x="8"/>
        <item m="1" x="15"/>
        <item h="1" m="1" x="17"/>
        <item h="1" m="1" x="16"/>
        <item h="1" m="1" x="18"/>
        <item m="1" x="9"/>
        <item m="1" x="10"/>
        <item m="1" x="11"/>
        <item m="1" x="12"/>
        <item m="1" x="13"/>
        <item m="1" x="14"/>
        <item t="default"/>
      </items>
    </pivotField>
    <pivotField axis="axisPage" showAll="0">
      <items count="14">
        <item x="0"/>
        <item m="1" x="1"/>
        <item m="1" x="2"/>
        <item m="1" x="3"/>
        <item m="1" x="5"/>
        <item m="1" x="6"/>
        <item m="1" x="7"/>
        <item m="1" x="8"/>
        <item m="1" x="10"/>
        <item m="1" x="11"/>
        <item m="1" x="4"/>
        <item m="1" x="9"/>
        <item m="1" x="12"/>
        <item t="default"/>
      </items>
    </pivotField>
    <pivotField showAll="0"/>
    <pivotField showAll="0"/>
    <pivotField showAll="0"/>
    <pivotField showAll="0" defaultSubtotal="0"/>
    <pivotField dataField="1"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dataField="1" showAll="0" defaultSubtotal="0"/>
    <pivotField showAll="0" defaultSubtotal="0"/>
  </pivotFields>
  <rowFields count="1">
    <field x="3"/>
  </rowFields>
  <rowItems count="1">
    <i>
      <x v="1"/>
    </i>
  </rowItems>
  <colFields count="1">
    <field x="-2"/>
  </colFields>
  <colItems count="3">
    <i>
      <x/>
    </i>
    <i i="1">
      <x v="1"/>
    </i>
    <i i="2">
      <x v="2"/>
    </i>
  </colItems>
  <pageFields count="2">
    <pageField fld="13" hier="-1"/>
    <pageField fld="14" hier="-1"/>
  </pageFields>
  <dataFields count="3">
    <dataField name="Suma de Promedio Activa" fld="5" baseField="3" baseItem="1"/>
    <dataField name="Suma de AB - A" fld="19" baseField="3" baseItem="0"/>
    <dataField name="Suma de AB - C" fld="26" baseField="3" baseItem="0"/>
  </dataFields>
  <formats count="7">
    <format dxfId="214">
      <pivotArea field="3" type="button" dataOnly="0" labelOnly="1" outline="0" axis="axisRow" fieldPosition="0"/>
    </format>
    <format dxfId="21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1">
      <pivotArea grandRow="1" outline="0" collapsedLevelsAreSubtotals="1" fieldPosition="0"/>
    </format>
    <format dxfId="210">
      <pivotArea dataOnly="0" labelOnly="1" grandRow="1" outline="0" fieldPosition="0"/>
    </format>
    <format dxfId="209">
      <pivotArea outline="0" collapsedLevelsAreSubtotals="1" fieldPosition="0"/>
    </format>
    <format dxfId="208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5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2"/>
          </reference>
          <reference field="3" count="1" selected="0">
            <x v="127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" cacheId="4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5" indent="0" outline="1" outlineData="1" multipleFieldFilters="0">
  <location ref="A54:B55" firstHeaderRow="1" firstDataRow="2" firstDataCol="1"/>
  <pivotFields count="1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Col" showAll="0" sortType="ascending" defaultSubtotal="0">
      <items count="22">
        <item h="1" x="0"/>
        <item h="1" m="1" x="17"/>
        <item h="1" m="1" x="20"/>
        <item h="1" m="1" x="16"/>
        <item h="1" m="1" x="19"/>
        <item h="1" m="1" x="15"/>
        <item h="1" m="1" x="18"/>
        <item h="1" m="1" x="21"/>
        <item h="1" m="1" x="1"/>
        <item h="1" m="1" x="2"/>
        <item h="1"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</items>
    </pivotField>
    <pivotField axis="axisRow" showAll="0" sortType="ascending" defaultSubtotal="0">
      <items count="13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</items>
    </pivotField>
    <pivotField showAll="0" defaultSubtotal="0"/>
  </pivotFields>
  <rowFields count="1">
    <field x="14"/>
  </rowFields>
  <colFields count="1">
    <field x="13"/>
  </colFields>
  <dataFields count="1">
    <dataField name="Suma de Maxímetro" fld="10" baseField="14" baseItem="12" numFmtId="1"/>
  </dataFields>
  <formats count="5">
    <format dxfId="91">
      <pivotArea outline="0" collapsedLevelsAreSubtotals="1" fieldPosition="0"/>
    </format>
    <format dxfId="90">
      <pivotArea dataOnly="0" labelOnly="1" fieldPosition="0">
        <references count="1">
          <reference field="13" count="10"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89">
      <pivotArea dataOnly="0" labelOnly="1" fieldPosition="0">
        <references count="1">
          <reference field="13" count="11"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88">
      <pivotArea dataOnly="0" labelOnly="1" fieldPosition="0">
        <references count="1">
          <reference field="13" count="11"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87">
      <pivotArea type="all" dataOnly="0" outline="0" fieldPosition="0"/>
    </format>
  </formats>
  <conditionalFormats count="1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Dinámica1" cacheId="5" applyNumberFormats="0" applyBorderFormats="0" applyFontFormats="0" applyPatternFormats="0" applyAlignmentFormats="0" applyWidthHeightFormats="1" dataCaption="Valores" missingCaption="NA" updatedVersion="8" minRefreshableVersion="3" colGrandTotals="0" itemPrintTitles="1" createdVersion="6" indent="0" compact="0" outline="1" outlineData="1" compactData="0" multipleFieldFilters="0">
  <location ref="A37:B39" firstHeaderRow="1" firstDataRow="2" firstDataCol="1"/>
  <pivotFields count="19"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dataField="1"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axis="axisCol" compact="0" showAll="0" insertBlankRow="1" sortType="ascending">
      <items count="23">
        <item h="1" x="0"/>
        <item h="1" m="1" x="17"/>
        <item h="1" m="1" x="20"/>
        <item h="1" m="1" x="16"/>
        <item h="1" m="1" x="19"/>
        <item h="1" m="1" x="15"/>
        <item h="1" m="1" x="18"/>
        <item h="1" m="1" x="21"/>
        <item h="1" m="1" x="1"/>
        <item h="1" m="1" x="2"/>
        <item h="1"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t="default"/>
      </items>
    </pivotField>
    <pivotField axis="axisRow" compact="0" showAll="0" insertBlankRow="1" sortType="ascending">
      <items count="14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  <item t="default"/>
      </items>
    </pivotField>
    <pivotField compact="0" showAll="0" defaultSubtotal="0"/>
    <pivotField compact="0" showAll="0" defaultSubtotal="0"/>
    <pivotField compact="0" showAll="0" defaultSubtotal="0"/>
    <pivotField compact="0" dragToRow="0" dragToCol="0" dragToPage="0" showAll="0" defaultSubtotal="0"/>
  </pivotFields>
  <rowFields count="1">
    <field x="14"/>
  </rowFields>
  <rowItems count="1">
    <i t="grand">
      <x/>
    </i>
  </rowItems>
  <colFields count="1">
    <field x="13"/>
  </colFields>
  <dataFields count="1">
    <dataField name="Suma de Promedio Activa" fld="5" baseField="14" baseItem="4" numFmtId="1"/>
  </dataFields>
  <formats count="28">
    <format dxfId="119">
      <pivotArea outline="0" collapsedLevelsAreSubtotals="1" fieldPosition="0"/>
    </format>
    <format dxfId="118">
      <pivotArea outline="0" collapsedLevelsAreSubtotals="1" fieldPosition="0"/>
    </format>
    <format dxfId="117">
      <pivotArea outline="0" collapsedLevelsAreSubtotals="1" fieldPosition="0"/>
    </format>
    <format dxfId="116">
      <pivotArea outline="0" collapsedLevelsAreSubtotals="1" fieldPosition="0"/>
    </format>
    <format dxfId="115">
      <pivotArea outline="0" collapsedLevelsAreSubtotals="1" fieldPosition="0"/>
    </format>
    <format dxfId="114">
      <pivotArea outline="0" collapsedLevelsAreSubtotals="1" fieldPosition="0"/>
    </format>
    <format dxfId="113">
      <pivotArea outline="0" collapsedLevelsAreSubtotals="1" fieldPosition="0"/>
    </format>
    <format dxfId="112">
      <pivotArea type="origin" dataOnly="0" labelOnly="1" outline="0" fieldPosition="0"/>
    </format>
    <format dxfId="111">
      <pivotArea field="14" type="button" dataOnly="0" labelOnly="1" outline="0" axis="axisRow" fieldPosition="0"/>
    </format>
    <format dxfId="110">
      <pivotArea dataOnly="0" labelOnly="1" outline="0" fieldPosition="0">
        <references count="1">
          <reference field="14" count="0"/>
        </references>
      </pivotArea>
    </format>
    <format dxfId="109">
      <pivotArea dataOnly="0" labelOnly="1" grandRow="1" outline="0" fieldPosition="0"/>
    </format>
    <format dxfId="108">
      <pivotArea outline="0" collapsedLevelsAreSubtotals="1" fieldPosition="0"/>
    </format>
    <format dxfId="107">
      <pivotArea field="13" type="button" dataOnly="0" labelOnly="1" outline="0" axis="axisCol" fieldPosition="0"/>
    </format>
    <format dxfId="106">
      <pivotArea type="topRight" dataOnly="0" labelOnly="1" outline="0" fieldPosition="0"/>
    </format>
    <format dxfId="105">
      <pivotArea dataOnly="0" labelOnly="1" outline="0" fieldPosition="0">
        <references count="1">
          <reference field="13" count="0"/>
        </references>
      </pivotArea>
    </format>
    <format dxfId="104">
      <pivotArea outline="0" fieldPosition="0">
        <references count="1">
          <reference field="4294967294" count="1">
            <x v="0"/>
          </reference>
        </references>
      </pivotArea>
    </format>
    <format dxfId="103">
      <pivotArea outline="0" fieldPosition="0">
        <references count="1">
          <reference field="4294967294" count="1">
            <x v="0"/>
          </reference>
        </references>
      </pivotArea>
    </format>
    <format dxfId="102">
      <pivotArea collapsedLevelsAreSubtotals="1" fieldPosition="0">
        <references count="1">
          <reference field="1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01">
      <pivotArea grandRow="1" outline="0" collapsedLevelsAreSubtotals="1" fieldPosition="0"/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dataOnly="0" labelOnly="1" outline="0" fieldPosition="0">
        <references count="1">
          <reference field="14" count="11">
            <x v="0"/>
            <x v="1"/>
            <x v="2"/>
            <x v="3"/>
            <x v="5"/>
            <x v="6"/>
            <x v="7"/>
            <x v="8"/>
            <x v="9"/>
            <x v="10"/>
            <x v="11"/>
          </reference>
        </references>
      </pivotArea>
    </format>
    <format dxfId="97">
      <pivotArea dataOnly="0" labelOnly="1" grandRow="1" outline="0" fieldPosition="0"/>
    </format>
    <format dxfId="96">
      <pivotArea dataOnly="0" labelOnly="1" outline="0" fieldPosition="0">
        <references count="1">
          <reference field="13" count="0"/>
        </references>
      </pivotArea>
    </format>
    <format dxfId="95">
      <pivotArea dataOnly="0" labelOnly="1" fieldPosition="0">
        <references count="1">
          <reference field="14" count="0"/>
        </references>
      </pivotArea>
    </format>
    <format dxfId="94">
      <pivotArea type="all" dataOnly="0" outline="0" fieldPosition="0"/>
    </format>
    <format dxfId="93">
      <pivotArea dataOnly="0" labelOnly="1" outline="0" fieldPosition="0">
        <references count="1">
          <reference field="13" count="10"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92">
      <pivotArea type="all" dataOnly="0" outline="0" fieldPosition="0"/>
    </format>
  </formats>
  <conditionalFormats count="2">
    <conditionalFormat priority="7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Dinámica3" cacheId="3" applyNumberFormats="0" applyBorderFormats="0" applyFontFormats="0" applyPatternFormats="0" applyAlignmentFormats="0" applyWidthHeightFormats="1" dataCaption="Valores" missingCaption="NA" updatedVersion="8" minRefreshableVersion="3" colGrandTotals="0" itemPrintTitles="1" createdVersion="6" indent="0" outline="1" outlineData="1" multipleFieldFilters="0" chartFormat="1">
  <location ref="A20:B22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 sortType="ascending">
      <items count="20">
        <item h="1" x="0"/>
        <item h="1" m="1" x="15"/>
        <item h="1" m="1" x="17"/>
        <item h="1" m="1" x="16"/>
        <item h="1" m="1" x="18"/>
        <item h="1" m="1" x="1"/>
        <item h="1" m="1" x="2"/>
        <item h="1"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t="default"/>
      </items>
    </pivotField>
    <pivotField axis="axisRow" showAll="0" sortType="ascending">
      <items count="14">
        <item x="0"/>
        <item m="1" x="9"/>
        <item m="1" x="10"/>
        <item m="1" x="11"/>
        <item m="1" x="1"/>
        <item m="1" x="2"/>
        <item m="1" x="3"/>
        <item m="1" x="4"/>
        <item m="1" x="5"/>
        <item m="1" x="6"/>
        <item m="1" x="7"/>
        <item m="1" x="8"/>
        <item m="1" x="12"/>
        <item t="default"/>
      </items>
    </pivotField>
    <pivotField showAll="0"/>
    <pivotField numFmtId="1" showAll="0" defaultSubtotal="0"/>
    <pivotField showAll="0" defaultSubtotal="0"/>
    <pivotField showAll="0" defaultSubtotal="0"/>
    <pivotField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showAll="0" defaultSubtotal="0"/>
    <pivotField dataField="1" showAll="0" defaultSubtotal="0"/>
  </pivotFields>
  <rowFields count="1">
    <field x="14"/>
  </rowFields>
  <rowItems count="1">
    <i t="grand">
      <x/>
    </i>
  </rowItems>
  <colFields count="1">
    <field x="13"/>
  </colFields>
  <dataFields count="1">
    <dataField name="Suma de A + B + C" fld="27" baseField="14" baseItem="6"/>
  </dataFields>
  <formats count="14">
    <format dxfId="133">
      <pivotArea type="origin" dataOnly="0" labelOnly="1" outline="0" fieldPosition="0"/>
    </format>
    <format dxfId="132">
      <pivotArea field="14" type="button" dataOnly="0" labelOnly="1" outline="0" axis="axisRow" fieldPosition="0"/>
    </format>
    <format dxfId="131">
      <pivotArea dataOnly="0" labelOnly="1" fieldPosition="0">
        <references count="1">
          <reference field="14" count="0"/>
        </references>
      </pivotArea>
    </format>
    <format dxfId="130">
      <pivotArea dataOnly="0" labelOnly="1" grandRow="1" outline="0" fieldPosition="0"/>
    </format>
    <format dxfId="129">
      <pivotArea outline="0" collapsedLevelsAreSubtotals="1" fieldPosition="0"/>
    </format>
    <format dxfId="128">
      <pivotArea field="13" type="button" dataOnly="0" labelOnly="1" outline="0" axis="axisCol" fieldPosition="0"/>
    </format>
    <format dxfId="127">
      <pivotArea type="topRight" dataOnly="0" labelOnly="1" outline="0" fieldPosition="0"/>
    </format>
    <format dxfId="126">
      <pivotArea dataOnly="0" labelOnly="1" fieldPosition="0">
        <references count="1">
          <reference field="13" count="0"/>
        </references>
      </pivotArea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dataOnly="0" labelOnly="1" grandRow="1" outline="0" fieldPosition="0"/>
    </format>
    <format dxfId="122">
      <pivotArea dataOnly="0" labelOnly="1" fieldPosition="0">
        <references count="1">
          <reference field="13" count="0"/>
        </references>
      </pivotArea>
    </format>
    <format dxfId="121">
      <pivotArea dataOnly="0" labelOnly="1" fieldPosition="0">
        <references count="1">
          <reference field="14" count="0"/>
        </references>
      </pivotArea>
    </format>
    <format dxfId="120">
      <pivotArea type="all" dataOnly="0" outline="0" fieldPosition="0"/>
    </format>
  </formats>
  <conditionalFormats count="1">
    <conditionalFormat priority="1">
      <pivotAreas count="1">
        <pivotArea type="all" outline="0" fieldPosition="0"/>
      </pivotAreas>
    </conditionalFormat>
  </conditionalFormats>
  <pivotTableStyleInfo name="PivotStyleLight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3" cacheId="5" applyNumberFormats="0" applyBorderFormats="0" applyFontFormats="0" applyPatternFormats="0" applyAlignmentFormats="0" applyWidthHeightFormats="1" dataCaption="Valores" missingCaption="NA" updatedVersion="8" minRefreshableVersion="3" showCalcMbrs="0" colGrandTotals="0" itemPrintTitles="1" createdVersion="3" indent="0" compact="0" outline="1" outlineData="1" compactData="0" multipleFieldFilters="0" chartFormat="2">
  <location ref="A3:B5" firstHeaderRow="1" firstDataRow="2" firstDataCol="1"/>
  <pivotFields count="19"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Col" compact="0" multipleItemSelectionAllowed="1" showAll="0" sortType="ascending">
      <items count="23">
        <item h="1" x="0"/>
        <item h="1" m="1" x="17"/>
        <item h="1" m="1" x="20"/>
        <item h="1" m="1" x="16"/>
        <item h="1" m="1" x="19"/>
        <item h="1" m="1" x="15"/>
        <item h="1" m="1" x="18"/>
        <item h="1" m="1" x="21"/>
        <item h="1" m="1" x="1"/>
        <item h="1" m="1" x="2"/>
        <item h="1"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t="default"/>
      </items>
    </pivotField>
    <pivotField axis="axisRow" compact="0" showAll="0" sortType="ascending">
      <items count="14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  <item t="default"/>
      </items>
    </pivotField>
    <pivotField compact="0" showAll="0" defaultSubtotal="0"/>
    <pivotField compact="0" showAll="0" defaultSubtotal="0"/>
    <pivotField compact="0" showAll="0" defaultSubtotal="0"/>
    <pivotField compact="0" dragToRow="0" dragToCol="0" dragToPage="0" showAll="0" defaultSubtotal="0"/>
  </pivotFields>
  <rowFields count="1">
    <field x="14"/>
  </rowFields>
  <rowItems count="1">
    <i t="grand">
      <x/>
    </i>
  </rowItems>
  <colFields count="1">
    <field x="13"/>
  </colFields>
  <dataFields count="1">
    <dataField name="Suma de Consumo Activa" fld="4" baseField="0" baseItem="0"/>
  </dataFields>
  <formats count="18">
    <format dxfId="151">
      <pivotArea outline="0" collapsedLevelsAreSubtotals="1" fieldPosition="0"/>
    </format>
    <format dxfId="150">
      <pivotArea type="origin" dataOnly="0" labelOnly="1" outline="0" fieldPosition="0"/>
    </format>
    <format dxfId="149">
      <pivotArea field="14" type="button" dataOnly="0" labelOnly="1" outline="0" axis="axisRow" fieldPosition="0"/>
    </format>
    <format dxfId="148">
      <pivotArea dataOnly="0" labelOnly="1" outline="0" fieldPosition="0">
        <references count="1">
          <reference field="14" count="0"/>
        </references>
      </pivotArea>
    </format>
    <format dxfId="147">
      <pivotArea dataOnly="0" labelOnly="1" grandRow="1" outline="0" fieldPosition="0"/>
    </format>
    <format dxfId="146">
      <pivotArea outline="0" collapsedLevelsAreSubtotals="1" fieldPosition="0"/>
    </format>
    <format dxfId="145">
      <pivotArea field="13" type="button" dataOnly="0" labelOnly="1" outline="0" axis="axisCol" fieldPosition="0"/>
    </format>
    <format dxfId="144">
      <pivotArea type="topRight" dataOnly="0" labelOnly="1" outline="0" fieldPosition="0"/>
    </format>
    <format dxfId="143">
      <pivotArea dataOnly="0" labelOnly="1" outline="0" fieldPosition="0">
        <references count="1">
          <reference field="13" count="0"/>
        </references>
      </pivotArea>
    </format>
    <format dxfId="142">
      <pivotArea type="all" dataOnly="0" outline="0" fieldPosition="0"/>
    </format>
    <format dxfId="141">
      <pivotArea outline="0" collapsedLevelsAreSubtotals="1" fieldPosition="0"/>
    </format>
    <format dxfId="140">
      <pivotArea dataOnly="0" labelOnly="1" outline="0" fieldPosition="0">
        <references count="1">
          <reference field="14" count="11">
            <x v="0"/>
            <x v="1"/>
            <x v="2"/>
            <x v="3"/>
            <x v="5"/>
            <x v="6"/>
            <x v="7"/>
            <x v="8"/>
            <x v="9"/>
            <x v="10"/>
            <x v="11"/>
          </reference>
        </references>
      </pivotArea>
    </format>
    <format dxfId="139">
      <pivotArea dataOnly="0" labelOnly="1" grandRow="1" outline="0" fieldPosition="0"/>
    </format>
    <format dxfId="138">
      <pivotArea dataOnly="0" labelOnly="1" outline="0" fieldPosition="0">
        <references count="1">
          <reference field="13" count="0"/>
        </references>
      </pivotArea>
    </format>
    <format dxfId="137">
      <pivotArea dataOnly="0" labelOnly="1" fieldPosition="0">
        <references count="1">
          <reference field="14" count="0"/>
        </references>
      </pivotArea>
    </format>
    <format dxfId="136">
      <pivotArea type="all" dataOnly="0" outline="0" fieldPosition="0"/>
    </format>
    <format dxfId="135">
      <pivotArea dataOnly="0" labelOnly="1" outline="0" fieldPosition="0">
        <references count="1">
          <reference field="13" count="10"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34">
      <pivotArea type="all" dataOnly="0" outline="0" fieldPosition="0"/>
    </format>
  </formats>
  <conditionalFormats count="4">
    <conditionalFormat type="all" priority="2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4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chartFormats count="11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7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8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9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1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2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3"/>
          </reference>
        </references>
      </pivotArea>
    </chartFormat>
  </chartFormats>
  <pivotTableStyleInfo name="PivotStyleLight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Dinámica1" cacheId="5" applyNumberFormats="0" applyBorderFormats="0" applyFontFormats="0" applyPatternFormats="0" applyAlignmentFormats="0" applyWidthHeightFormats="1" dataCaption="Valores" missingCaption="NA" updatedVersion="8" minRefreshableVersion="3" showCalcMbrs="0" colGrandTotals="0" itemPrintTitles="1" createdVersion="3" indent="0" compact="0" outline="1" outlineData="1" compactData="0" multipleFieldFilters="0" chartFormat="2">
  <location ref="A55:B57" firstHeaderRow="1" firstDataRow="2" firstDataCol="1"/>
  <pivotFields count="19"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Col" compact="0" multipleItemSelectionAllowed="1" showAll="0" sortType="ascending">
      <items count="23">
        <item h="1" x="0"/>
        <item h="1" m="1" x="17"/>
        <item h="1" m="1" x="20"/>
        <item h="1" m="1" x="16"/>
        <item h="1" m="1" x="19"/>
        <item h="1" m="1" x="15"/>
        <item h="1" m="1" x="18"/>
        <item h="1" m="1" x="21"/>
        <item h="1" m="1" x="1"/>
        <item h="1" m="1" x="2"/>
        <item h="1"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t="default"/>
      </items>
    </pivotField>
    <pivotField axis="axisRow" compact="0" showAll="0" sortType="ascending">
      <items count="14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  <item t="default"/>
      </items>
    </pivotField>
    <pivotField compact="0" showAll="0" defaultSubtotal="0"/>
    <pivotField compact="0" showAll="0" defaultSubtotal="0"/>
    <pivotField compact="0" showAll="0" defaultSubtotal="0"/>
    <pivotField compact="0" dragToRow="0" dragToCol="0" dragToPage="0" showAll="0" defaultSubtotal="0"/>
  </pivotFields>
  <rowFields count="1">
    <field x="14"/>
  </rowFields>
  <rowItems count="1">
    <i t="grand">
      <x/>
    </i>
  </rowItems>
  <colFields count="1">
    <field x="13"/>
  </colFields>
  <dataFields count="1">
    <dataField name="Suma de Consumo Activa" fld="4" baseField="0" baseItem="0"/>
  </dataFields>
  <formats count="28">
    <format dxfId="51">
      <pivotArea outline="0" collapsedLevelsAreSubtotals="1" fieldPosition="0"/>
    </format>
    <format dxfId="50">
      <pivotArea type="origin" dataOnly="0" labelOnly="1" outline="0" fieldPosition="0"/>
    </format>
    <format dxfId="49">
      <pivotArea field="14" type="button" dataOnly="0" labelOnly="1" outline="0" axis="axisRow" fieldPosition="0"/>
    </format>
    <format dxfId="48">
      <pivotArea dataOnly="0" labelOnly="1" outline="0" fieldPosition="0">
        <references count="1">
          <reference field="14" count="0"/>
        </references>
      </pivotArea>
    </format>
    <format dxfId="47">
      <pivotArea dataOnly="0" labelOnly="1" grandRow="1" outline="0" fieldPosition="0"/>
    </format>
    <format dxfId="46">
      <pivotArea outline="0" collapsedLevelsAreSubtotals="1" fieldPosition="0"/>
    </format>
    <format dxfId="45">
      <pivotArea field="13" type="button" dataOnly="0" labelOnly="1" outline="0" axis="axisCol" fieldPosition="0"/>
    </format>
    <format dxfId="44">
      <pivotArea type="topRight" dataOnly="0" labelOnly="1" outline="0" fieldPosition="0"/>
    </format>
    <format dxfId="43">
      <pivotArea dataOnly="0" labelOnly="1" outline="0" fieldPosition="0">
        <references count="1">
          <reference field="13" count="0"/>
        </references>
      </pivotArea>
    </format>
    <format dxfId="42">
      <pivotArea dataOnly="0" labelOnly="1" grandRow="1" outline="0" fieldPosition="0"/>
    </format>
    <format dxfId="41">
      <pivotArea grandRow="1" outline="0" collapsedLevelsAreSubtotals="1" fieldPosition="0"/>
    </format>
    <format dxfId="40">
      <pivotArea dataOnly="0" labelOnly="1" grandRow="1" outline="0" fieldPosition="0"/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dataOnly="0" labelOnly="1" outline="0" fieldPosition="0">
        <references count="1">
          <reference field="14" count="11">
            <x v="0"/>
            <x v="1"/>
            <x v="2"/>
            <x v="3"/>
            <x v="5"/>
            <x v="6"/>
            <x v="7"/>
            <x v="8"/>
            <x v="9"/>
            <x v="10"/>
            <x v="11"/>
          </reference>
        </references>
      </pivotArea>
    </format>
    <format dxfId="36">
      <pivotArea dataOnly="0" labelOnly="1" grandRow="1" outline="0" fieldPosition="0"/>
    </format>
    <format dxfId="35">
      <pivotArea dataOnly="0" labelOnly="1" outline="0" fieldPosition="0">
        <references count="1">
          <reference field="13" count="0"/>
        </references>
      </pivotArea>
    </format>
    <format dxfId="34">
      <pivotArea type="all" dataOnly="0" outline="0" fieldPosition="0"/>
    </format>
    <format dxfId="33">
      <pivotArea dataOnly="0" labelOnly="1" grandRow="1" outline="0" fieldPosition="0"/>
    </format>
    <format dxfId="32">
      <pivotArea dataOnly="0" fieldPosition="0">
        <references count="1">
          <reference field="14" count="1">
            <x v="12"/>
          </reference>
        </references>
      </pivotArea>
    </format>
    <format dxfId="31">
      <pivotArea fieldPosition="0">
        <references count="1">
          <reference field="14" count="1">
            <x v="12"/>
          </reference>
        </references>
      </pivotArea>
    </format>
    <format dxfId="30">
      <pivotArea fieldPosition="0">
        <references count="1">
          <reference field="14" count="1">
            <x v="12"/>
          </reference>
        </references>
      </pivotArea>
    </format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type="all" dataOnly="0" outline="0" fieldPosition="0"/>
    </format>
    <format dxfId="26">
      <pivotArea dataOnly="0" labelOnly="1" outline="0" fieldPosition="0">
        <references count="1">
          <reference field="13" count="0"/>
        </references>
      </pivotArea>
    </format>
    <format dxfId="25">
      <pivotArea type="topRight" dataOnly="0" labelOnly="1" outline="0" fieldPosition="0"/>
    </format>
    <format dxfId="24">
      <pivotArea dataOnly="0" labelOnly="1" outline="0" fieldPosition="0">
        <references count="1">
          <reference field="13" count="6">
            <x v="10"/>
            <x v="11"/>
            <x v="12"/>
            <x v="13"/>
            <x v="14"/>
            <x v="15"/>
          </reference>
        </references>
      </pivotArea>
    </format>
  </formats>
  <conditionalFormats count="3">
    <conditionalFormat type="all" priority="1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4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chartFormats count="11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7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8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9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1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2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3"/>
          </reference>
        </references>
      </pivotArea>
    </chartFormat>
  </chartFormats>
  <pivotTableStyleInfo name="PivotStyleLight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Dinámica5" cacheId="5" applyNumberFormats="0" applyBorderFormats="0" applyFontFormats="0" applyPatternFormats="0" applyAlignmentFormats="0" applyWidthHeightFormats="1" dataCaption="Valores" updatedVersion="8" minRefreshableVersion="3" showCalcMbrs="0" rowGrandTotals="0" itemPrintTitles="1" createdVersion="3" indent="0" outline="1" outlineData="1" multipleFieldFilters="0" chartFormat="4" rowHeaderCaption="Año">
  <location ref="B3:J4" firstHeaderRow="1" firstDataRow="2" firstDataCol="1"/>
  <pivotFields count="19">
    <pivotField showAll="0" defaultSubtotal="0"/>
    <pivotField showAll="0" defaultSubtotal="0"/>
    <pivotField dataField="1" showAll="0"/>
    <pivotField dataField="1" showAll="0"/>
    <pivotField dataField="1" showAll="0"/>
    <pivotField showAll="0"/>
    <pivotField dataField="1"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axis="axisRow" showAll="0" sortType="ascending" defaultSubtotal="0">
      <items count="22">
        <item h="1" x="0"/>
        <item h="1" m="1" x="17"/>
        <item h="1" m="1" x="20"/>
        <item h="1" m="1" x="16"/>
        <item h="1" m="1" x="19"/>
        <item h="1" m="1" x="15"/>
        <item h="1" m="1" x="18"/>
        <item h="1" m="1" x="21"/>
        <item h="1" m="1" x="1"/>
        <item h="1" m="1" x="2"/>
        <item h="1"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</items>
    </pivotField>
    <pivotField showAll="0" defaultSubtotal="0"/>
    <pivotField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13"/>
  </rowField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Mín de Fecha inicio" fld="2" subtotal="min" baseField="13" baseItem="0" numFmtId="14"/>
    <dataField name="Máx de Fecha fin" fld="3" subtotal="max" baseField="0" baseItem="0" numFmtId="14"/>
    <dataField name="Suma de Consumo Activa" fld="4" baseField="0" baseItem="0"/>
    <dataField name="Suma de Consumo Reactiva" fld="6" baseField="0" baseItem="0"/>
    <dataField name="Máx de Maxímetro" fld="10" subtotal="max" baseField="0" baseItem="0" numFmtId="1"/>
    <dataField name="Periodos facturados" fld="4" subtotal="count" baseField="0" baseItem="0"/>
    <dataField name="Suma de Días" fld="16" baseField="0" baseItem="0"/>
    <dataField name="Suma de Promedio consumo por día" fld="18" baseField="0" baseItem="0" numFmtId="1"/>
  </dataFields>
  <formats count="35">
    <format dxfId="8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85">
      <pivotArea type="all" dataOnly="0" outline="0" fieldPosition="0"/>
    </format>
    <format dxfId="84">
      <pivotArea type="all" dataOnly="0" outline="0" fieldPosition="0"/>
    </format>
    <format dxfId="8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8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81">
      <pivotArea type="origin" dataOnly="0" labelOnly="1" outline="0" fieldPosition="0"/>
    </format>
    <format dxfId="80">
      <pivotArea field="-2" type="button" dataOnly="0" labelOnly="1" outline="0" axis="axisCol" fieldPosition="0"/>
    </format>
    <format dxfId="79">
      <pivotArea type="topRight" dataOnly="0" labelOnly="1" outline="0" fieldPosition="0"/>
    </format>
    <format dxfId="78">
      <pivotArea field="13" type="button" dataOnly="0" labelOnly="1" outline="0" axis="axisRow" fieldPosition="0"/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dataOnly="0" labelOnly="1" fieldPosition="0">
        <references count="1">
          <reference field="13" count="0"/>
        </references>
      </pivotArea>
    </format>
    <format dxfId="7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3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72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8">
      <pivotArea field="13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6">
      <pivotArea dataOnly="0" labelOnly="1" fieldPosition="0">
        <references count="1">
          <reference field="4294967294" count="0"/>
        </references>
      </pivotArea>
    </format>
    <format dxfId="65">
      <pivotArea field="-2" type="button" dataOnly="0" labelOnly="1" outline="0" axis="axisCol" fieldPosition="0"/>
    </format>
    <format dxfId="64">
      <pivotArea field="13" type="button" dataOnly="0" labelOnly="1" outline="0" axis="axisRow" fieldPosition="0"/>
    </format>
    <format dxfId="63">
      <pivotArea field="13" type="button" dataOnly="0" labelOnly="1" outline="0" axis="axisRow" fieldPosition="0"/>
    </format>
    <format dxfId="62">
      <pivotArea field="13" type="button" dataOnly="0" labelOnly="1" outline="0" axis="axisRow" fieldPosition="0"/>
    </format>
    <format dxfId="61">
      <pivotArea field="13" type="button" dataOnly="0" labelOnly="1" outline="0" axis="axisRow" fieldPosition="0"/>
    </format>
    <format dxfId="60">
      <pivotArea field="13" type="button" dataOnly="0" labelOnly="1" outline="0" axis="axisRow" fieldPosition="0"/>
    </format>
    <format dxfId="59">
      <pivotArea field="13" type="button" dataOnly="0" labelOnly="1" outline="0" axis="axisRow" fieldPosition="0"/>
    </format>
    <format dxfId="58">
      <pivotArea field="13" type="button" dataOnly="0" labelOnly="1" outline="0" axis="axisRow" fieldPosition="0"/>
    </format>
    <format dxfId="5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6">
      <pivotArea dataOnly="0" fieldPosition="0">
        <references count="1">
          <reference field="13" count="0"/>
        </references>
      </pivotArea>
    </format>
    <format dxfId="55">
      <pivotArea field="13" type="button" dataOnly="0" labelOnly="1" outline="0" axis="axisRow" fieldPosition="0"/>
    </format>
    <format dxfId="5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3">
      <pivotArea type="all" dataOnly="0" outline="0" fieldPosition="0"/>
    </format>
    <format dxfId="52">
      <pivotArea type="all" dataOnly="0" outline="0" fieldPosition="0"/>
    </format>
  </formats>
  <conditionalFormats count="4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scope="data" priority="3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</conditional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00000000-0013-0000-FFFF-FFFF01000000}" sourceName="Mes">
  <pivotTables>
    <pivotTable tabId="10" name="Tabla dinámica1"/>
  </pivotTables>
  <data>
    <tabular pivotCacheId="3">
      <items count="13">
        <i x="5" s="1" nd="1"/>
        <i x="2" s="1" nd="1"/>
        <i x="6" s="1" nd="1"/>
        <i x="11" s="1" nd="1"/>
        <i x="1" s="1" nd="1"/>
        <i x="3" s="1" nd="1"/>
        <i x="4" s="1" nd="1"/>
        <i x="7" s="1" nd="1"/>
        <i x="8" s="1" nd="1"/>
        <i x="9" s="1" nd="1"/>
        <i x="10" s="1" nd="1"/>
        <i x="12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00000000-0014-0000-FFFF-FFFF01000000}" cache="SegmentaciónDeDatos_Mes" caption="Mes" columnCount="4" style="SlicerStyleOther1" rowHeight="180000"/>
</slicer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6"/>
  </sheetPr>
  <dimension ref="G2:H148"/>
  <sheetViews>
    <sheetView tabSelected="1" workbookViewId="0">
      <selection activeCell="F9" sqref="F9"/>
    </sheetView>
  </sheetViews>
  <sheetFormatPr baseColWidth="10" defaultColWidth="10.77734375" defaultRowHeight="14.4" x14ac:dyDescent="0.3"/>
  <cols>
    <col min="5" max="5" width="44.5546875" customWidth="1"/>
    <col min="6" max="6" width="52.77734375" customWidth="1"/>
  </cols>
  <sheetData>
    <row r="2" spans="7:8" x14ac:dyDescent="0.3">
      <c r="G2" s="18"/>
      <c r="H2" s="18"/>
    </row>
    <row r="3" spans="7:8" x14ac:dyDescent="0.3">
      <c r="G3" s="18"/>
      <c r="H3" s="18"/>
    </row>
    <row r="4" spans="7:8" x14ac:dyDescent="0.3">
      <c r="G4" s="18"/>
      <c r="H4" s="18"/>
    </row>
    <row r="5" spans="7:8" x14ac:dyDescent="0.3">
      <c r="G5" s="18"/>
      <c r="H5" s="18"/>
    </row>
    <row r="6" spans="7:8" x14ac:dyDescent="0.3">
      <c r="G6" s="18"/>
      <c r="H6" s="18"/>
    </row>
    <row r="7" spans="7:8" x14ac:dyDescent="0.3">
      <c r="G7" s="18"/>
      <c r="H7" s="18"/>
    </row>
    <row r="8" spans="7:8" x14ac:dyDescent="0.3">
      <c r="G8" s="18"/>
      <c r="H8" s="18"/>
    </row>
    <row r="9" spans="7:8" x14ac:dyDescent="0.3">
      <c r="G9" s="18"/>
      <c r="H9" s="18"/>
    </row>
    <row r="10" spans="7:8" x14ac:dyDescent="0.3">
      <c r="G10" s="18"/>
      <c r="H10" s="18"/>
    </row>
    <row r="11" spans="7:8" x14ac:dyDescent="0.3">
      <c r="G11" s="18"/>
      <c r="H11" s="18"/>
    </row>
    <row r="12" spans="7:8" x14ac:dyDescent="0.3">
      <c r="G12" s="18"/>
      <c r="H12" s="18"/>
    </row>
    <row r="13" spans="7:8" x14ac:dyDescent="0.3">
      <c r="G13" s="18"/>
      <c r="H13" s="18"/>
    </row>
    <row r="14" spans="7:8" x14ac:dyDescent="0.3">
      <c r="G14" s="18"/>
      <c r="H14" s="18"/>
    </row>
    <row r="15" spans="7:8" x14ac:dyDescent="0.3">
      <c r="G15" s="18"/>
      <c r="H15" s="18"/>
    </row>
    <row r="16" spans="7:8" x14ac:dyDescent="0.3">
      <c r="G16" s="18"/>
      <c r="H16" s="18"/>
    </row>
    <row r="17" spans="7:8" x14ac:dyDescent="0.3">
      <c r="G17" s="18"/>
      <c r="H17" s="18"/>
    </row>
    <row r="18" spans="7:8" x14ac:dyDescent="0.3">
      <c r="G18" s="18"/>
      <c r="H18" s="18"/>
    </row>
    <row r="19" spans="7:8" x14ac:dyDescent="0.3">
      <c r="G19" s="18"/>
      <c r="H19" s="18"/>
    </row>
    <row r="20" spans="7:8" x14ac:dyDescent="0.3">
      <c r="G20" s="18"/>
      <c r="H20" s="18"/>
    </row>
    <row r="21" spans="7:8" x14ac:dyDescent="0.3">
      <c r="G21" s="18"/>
      <c r="H21" s="18"/>
    </row>
    <row r="22" spans="7:8" x14ac:dyDescent="0.3">
      <c r="G22" s="18"/>
      <c r="H22" s="18"/>
    </row>
    <row r="23" spans="7:8" x14ac:dyDescent="0.3">
      <c r="G23" s="18"/>
      <c r="H23" s="18"/>
    </row>
    <row r="24" spans="7:8" x14ac:dyDescent="0.3">
      <c r="G24" s="18"/>
      <c r="H24" s="18"/>
    </row>
    <row r="25" spans="7:8" x14ac:dyDescent="0.3">
      <c r="G25" s="18"/>
      <c r="H25" s="18"/>
    </row>
    <row r="26" spans="7:8" x14ac:dyDescent="0.3">
      <c r="G26" s="18"/>
      <c r="H26" s="18"/>
    </row>
    <row r="27" spans="7:8" x14ac:dyDescent="0.3">
      <c r="G27" s="18"/>
      <c r="H27" s="18"/>
    </row>
    <row r="28" spans="7:8" x14ac:dyDescent="0.3">
      <c r="G28" s="18"/>
      <c r="H28" s="18"/>
    </row>
    <row r="29" spans="7:8" x14ac:dyDescent="0.3">
      <c r="G29" s="18"/>
      <c r="H29" s="18"/>
    </row>
    <row r="30" spans="7:8" x14ac:dyDescent="0.3">
      <c r="G30" s="18"/>
      <c r="H30" s="18"/>
    </row>
    <row r="31" spans="7:8" x14ac:dyDescent="0.3">
      <c r="G31" s="18"/>
      <c r="H31" s="18"/>
    </row>
    <row r="32" spans="7:8" x14ac:dyDescent="0.3">
      <c r="G32" s="18"/>
      <c r="H32" s="18"/>
    </row>
    <row r="33" spans="7:8" x14ac:dyDescent="0.3">
      <c r="G33" s="18"/>
      <c r="H33" s="18"/>
    </row>
    <row r="34" spans="7:8" x14ac:dyDescent="0.3">
      <c r="G34" s="18"/>
      <c r="H34" s="18"/>
    </row>
    <row r="35" spans="7:8" x14ac:dyDescent="0.3">
      <c r="G35" s="18"/>
      <c r="H35" s="18"/>
    </row>
    <row r="36" spans="7:8" x14ac:dyDescent="0.3">
      <c r="G36" s="18"/>
      <c r="H36" s="18"/>
    </row>
    <row r="37" spans="7:8" x14ac:dyDescent="0.3">
      <c r="G37" s="18"/>
      <c r="H37" s="18"/>
    </row>
    <row r="38" spans="7:8" x14ac:dyDescent="0.3">
      <c r="G38" s="18"/>
      <c r="H38" s="18"/>
    </row>
    <row r="39" spans="7:8" x14ac:dyDescent="0.3">
      <c r="G39" s="18"/>
      <c r="H39" s="18"/>
    </row>
    <row r="40" spans="7:8" x14ac:dyDescent="0.3">
      <c r="G40" s="18"/>
      <c r="H40" s="18"/>
    </row>
    <row r="41" spans="7:8" x14ac:dyDescent="0.3">
      <c r="G41" s="18"/>
      <c r="H41" s="18"/>
    </row>
    <row r="42" spans="7:8" x14ac:dyDescent="0.3">
      <c r="G42" s="18"/>
      <c r="H42" s="18"/>
    </row>
    <row r="43" spans="7:8" x14ac:dyDescent="0.3">
      <c r="G43" s="18"/>
      <c r="H43" s="18"/>
    </row>
    <row r="44" spans="7:8" x14ac:dyDescent="0.3">
      <c r="G44" s="18"/>
      <c r="H44" s="18"/>
    </row>
    <row r="45" spans="7:8" x14ac:dyDescent="0.3">
      <c r="G45" s="18"/>
      <c r="H45" s="18"/>
    </row>
    <row r="46" spans="7:8" x14ac:dyDescent="0.3">
      <c r="G46" s="18"/>
      <c r="H46" s="18"/>
    </row>
    <row r="47" spans="7:8" x14ac:dyDescent="0.3">
      <c r="G47" s="18"/>
      <c r="H47" s="18"/>
    </row>
    <row r="48" spans="7:8" x14ac:dyDescent="0.3">
      <c r="G48" s="18"/>
      <c r="H48" s="18"/>
    </row>
    <row r="49" spans="7:8" x14ac:dyDescent="0.3">
      <c r="G49" s="18"/>
      <c r="H49" s="18"/>
    </row>
    <row r="50" spans="7:8" x14ac:dyDescent="0.3">
      <c r="G50" s="18"/>
      <c r="H50" s="18"/>
    </row>
    <row r="51" spans="7:8" x14ac:dyDescent="0.3">
      <c r="G51" s="18"/>
      <c r="H51" s="18"/>
    </row>
    <row r="52" spans="7:8" x14ac:dyDescent="0.3">
      <c r="G52" s="18"/>
      <c r="H52" s="18"/>
    </row>
    <row r="53" spans="7:8" x14ac:dyDescent="0.3">
      <c r="G53" s="18"/>
      <c r="H53" s="18"/>
    </row>
    <row r="54" spans="7:8" x14ac:dyDescent="0.3">
      <c r="G54" s="18"/>
      <c r="H54" s="18"/>
    </row>
    <row r="55" spans="7:8" x14ac:dyDescent="0.3">
      <c r="G55" s="18"/>
      <c r="H55" s="18"/>
    </row>
    <row r="56" spans="7:8" x14ac:dyDescent="0.3">
      <c r="G56" s="18"/>
      <c r="H56" s="18"/>
    </row>
    <row r="57" spans="7:8" x14ac:dyDescent="0.3">
      <c r="G57" s="18"/>
      <c r="H57" s="18"/>
    </row>
    <row r="58" spans="7:8" x14ac:dyDescent="0.3">
      <c r="G58" s="18"/>
      <c r="H58" s="18"/>
    </row>
    <row r="59" spans="7:8" x14ac:dyDescent="0.3">
      <c r="G59" s="18"/>
      <c r="H59" s="18"/>
    </row>
    <row r="60" spans="7:8" x14ac:dyDescent="0.3">
      <c r="G60" s="18"/>
      <c r="H60" s="18"/>
    </row>
    <row r="61" spans="7:8" x14ac:dyDescent="0.3">
      <c r="G61" s="18"/>
      <c r="H61" s="18"/>
    </row>
    <row r="62" spans="7:8" x14ac:dyDescent="0.3">
      <c r="G62" s="18"/>
      <c r="H62" s="18"/>
    </row>
    <row r="63" spans="7:8" x14ac:dyDescent="0.3">
      <c r="G63" s="18"/>
      <c r="H63" s="18"/>
    </row>
    <row r="64" spans="7:8" x14ac:dyDescent="0.3">
      <c r="G64" s="18"/>
      <c r="H64" s="18"/>
    </row>
    <row r="65" spans="7:8" x14ac:dyDescent="0.3">
      <c r="G65" s="18"/>
      <c r="H65" s="18"/>
    </row>
    <row r="66" spans="7:8" x14ac:dyDescent="0.3">
      <c r="G66" s="18"/>
      <c r="H66" s="18"/>
    </row>
    <row r="67" spans="7:8" x14ac:dyDescent="0.3">
      <c r="G67" s="18"/>
      <c r="H67" s="18"/>
    </row>
    <row r="68" spans="7:8" x14ac:dyDescent="0.3">
      <c r="G68" s="18"/>
      <c r="H68" s="18"/>
    </row>
    <row r="69" spans="7:8" x14ac:dyDescent="0.3">
      <c r="G69" s="18"/>
      <c r="H69" s="18"/>
    </row>
    <row r="70" spans="7:8" x14ac:dyDescent="0.3">
      <c r="G70" s="18"/>
      <c r="H70" s="18"/>
    </row>
    <row r="71" spans="7:8" x14ac:dyDescent="0.3">
      <c r="G71" s="18"/>
      <c r="H71" s="18"/>
    </row>
    <row r="72" spans="7:8" x14ac:dyDescent="0.3">
      <c r="G72" s="18"/>
      <c r="H72" s="18"/>
    </row>
    <row r="73" spans="7:8" x14ac:dyDescent="0.3">
      <c r="G73" s="18"/>
      <c r="H73" s="18"/>
    </row>
    <row r="74" spans="7:8" x14ac:dyDescent="0.3">
      <c r="G74" s="18"/>
      <c r="H74" s="18"/>
    </row>
    <row r="75" spans="7:8" x14ac:dyDescent="0.3">
      <c r="G75" s="18"/>
      <c r="H75" s="18"/>
    </row>
    <row r="76" spans="7:8" x14ac:dyDescent="0.3">
      <c r="G76" s="18"/>
      <c r="H76" s="18"/>
    </row>
    <row r="77" spans="7:8" x14ac:dyDescent="0.3">
      <c r="G77" s="18"/>
      <c r="H77" s="18"/>
    </row>
    <row r="78" spans="7:8" x14ac:dyDescent="0.3">
      <c r="G78" s="18"/>
      <c r="H78" s="18"/>
    </row>
    <row r="79" spans="7:8" x14ac:dyDescent="0.3">
      <c r="G79" s="18"/>
      <c r="H79" s="18"/>
    </row>
    <row r="80" spans="7:8" x14ac:dyDescent="0.3">
      <c r="G80" s="18"/>
      <c r="H80" s="18"/>
    </row>
    <row r="81" spans="7:8" x14ac:dyDescent="0.3">
      <c r="G81" s="18"/>
      <c r="H81" s="18"/>
    </row>
    <row r="82" spans="7:8" x14ac:dyDescent="0.3">
      <c r="G82" s="18"/>
      <c r="H82" s="18"/>
    </row>
    <row r="83" spans="7:8" x14ac:dyDescent="0.3">
      <c r="G83" s="18"/>
      <c r="H83" s="18"/>
    </row>
    <row r="84" spans="7:8" x14ac:dyDescent="0.3">
      <c r="G84" s="18"/>
      <c r="H84" s="18"/>
    </row>
    <row r="85" spans="7:8" x14ac:dyDescent="0.3">
      <c r="G85" s="18"/>
      <c r="H85" s="18"/>
    </row>
    <row r="86" spans="7:8" x14ac:dyDescent="0.3">
      <c r="G86" s="18"/>
      <c r="H86" s="18"/>
    </row>
    <row r="87" spans="7:8" x14ac:dyDescent="0.3">
      <c r="G87" s="18"/>
      <c r="H87" s="18"/>
    </row>
    <row r="88" spans="7:8" x14ac:dyDescent="0.3">
      <c r="G88" s="18"/>
      <c r="H88" s="18"/>
    </row>
    <row r="89" spans="7:8" x14ac:dyDescent="0.3">
      <c r="G89" s="18"/>
      <c r="H89" s="18"/>
    </row>
    <row r="90" spans="7:8" x14ac:dyDescent="0.3">
      <c r="G90" s="18"/>
      <c r="H90" s="18"/>
    </row>
    <row r="91" spans="7:8" x14ac:dyDescent="0.3">
      <c r="G91" s="18"/>
      <c r="H91" s="18"/>
    </row>
    <row r="92" spans="7:8" x14ac:dyDescent="0.3">
      <c r="G92" s="18"/>
      <c r="H92" s="18"/>
    </row>
    <row r="93" spans="7:8" x14ac:dyDescent="0.3">
      <c r="G93" s="18"/>
      <c r="H93" s="18"/>
    </row>
    <row r="94" spans="7:8" x14ac:dyDescent="0.3">
      <c r="G94" s="18"/>
      <c r="H94" s="18"/>
    </row>
    <row r="95" spans="7:8" x14ac:dyDescent="0.3">
      <c r="G95" s="18"/>
      <c r="H95" s="18"/>
    </row>
    <row r="96" spans="7:8" x14ac:dyDescent="0.3">
      <c r="G96" s="18"/>
      <c r="H96" s="18"/>
    </row>
    <row r="97" spans="7:8" x14ac:dyDescent="0.3">
      <c r="G97" s="18"/>
      <c r="H97" s="18"/>
    </row>
    <row r="98" spans="7:8" x14ac:dyDescent="0.3">
      <c r="G98" s="18"/>
      <c r="H98" s="18"/>
    </row>
    <row r="99" spans="7:8" x14ac:dyDescent="0.3">
      <c r="G99" s="18"/>
      <c r="H99" s="18"/>
    </row>
    <row r="100" spans="7:8" x14ac:dyDescent="0.3">
      <c r="G100" s="18"/>
      <c r="H100" s="18"/>
    </row>
    <row r="101" spans="7:8" x14ac:dyDescent="0.3">
      <c r="G101" s="18"/>
      <c r="H101" s="18"/>
    </row>
    <row r="102" spans="7:8" x14ac:dyDescent="0.3">
      <c r="G102" s="18"/>
      <c r="H102" s="18"/>
    </row>
    <row r="103" spans="7:8" x14ac:dyDescent="0.3">
      <c r="G103" s="18"/>
      <c r="H103" s="18"/>
    </row>
    <row r="104" spans="7:8" x14ac:dyDescent="0.3">
      <c r="G104" s="18"/>
      <c r="H104" s="18"/>
    </row>
    <row r="105" spans="7:8" x14ac:dyDescent="0.3">
      <c r="G105" s="18"/>
      <c r="H105" s="18"/>
    </row>
    <row r="106" spans="7:8" x14ac:dyDescent="0.3">
      <c r="G106" s="18"/>
      <c r="H106" s="18"/>
    </row>
    <row r="107" spans="7:8" x14ac:dyDescent="0.3">
      <c r="G107" s="18"/>
      <c r="H107" s="18"/>
    </row>
    <row r="108" spans="7:8" x14ac:dyDescent="0.3">
      <c r="G108" s="18"/>
      <c r="H108" s="18"/>
    </row>
    <row r="109" spans="7:8" x14ac:dyDescent="0.3">
      <c r="G109" s="18"/>
      <c r="H109" s="18"/>
    </row>
    <row r="110" spans="7:8" x14ac:dyDescent="0.3">
      <c r="G110" s="18"/>
      <c r="H110" s="18"/>
    </row>
    <row r="111" spans="7:8" x14ac:dyDescent="0.3">
      <c r="G111" s="18"/>
      <c r="H111" s="18"/>
    </row>
    <row r="112" spans="7:8" x14ac:dyDescent="0.3">
      <c r="G112" s="18"/>
      <c r="H112" s="18"/>
    </row>
    <row r="113" spans="7:8" x14ac:dyDescent="0.3">
      <c r="G113" s="18"/>
      <c r="H113" s="18"/>
    </row>
    <row r="114" spans="7:8" x14ac:dyDescent="0.3">
      <c r="G114" s="18"/>
      <c r="H114" s="18"/>
    </row>
    <row r="115" spans="7:8" x14ac:dyDescent="0.3">
      <c r="G115" s="18"/>
      <c r="H115" s="18"/>
    </row>
    <row r="116" spans="7:8" x14ac:dyDescent="0.3">
      <c r="G116" s="18"/>
      <c r="H116" s="18"/>
    </row>
    <row r="117" spans="7:8" x14ac:dyDescent="0.3">
      <c r="G117" s="18"/>
      <c r="H117" s="18"/>
    </row>
    <row r="118" spans="7:8" x14ac:dyDescent="0.3">
      <c r="G118" s="18"/>
      <c r="H118" s="18"/>
    </row>
    <row r="119" spans="7:8" x14ac:dyDescent="0.3">
      <c r="G119" s="18"/>
      <c r="H119" s="18"/>
    </row>
    <row r="120" spans="7:8" x14ac:dyDescent="0.3">
      <c r="G120" s="18"/>
      <c r="H120" s="18"/>
    </row>
    <row r="121" spans="7:8" x14ac:dyDescent="0.3">
      <c r="G121" s="18"/>
      <c r="H121" s="18"/>
    </row>
    <row r="122" spans="7:8" x14ac:dyDescent="0.3">
      <c r="G122" s="18"/>
      <c r="H122" s="18"/>
    </row>
    <row r="123" spans="7:8" x14ac:dyDescent="0.3">
      <c r="G123" s="18"/>
      <c r="H123" s="18"/>
    </row>
    <row r="124" spans="7:8" x14ac:dyDescent="0.3">
      <c r="G124" s="18"/>
      <c r="H124" s="18"/>
    </row>
    <row r="125" spans="7:8" x14ac:dyDescent="0.3">
      <c r="G125" s="18"/>
      <c r="H125" s="18"/>
    </row>
    <row r="126" spans="7:8" x14ac:dyDescent="0.3">
      <c r="G126" s="18"/>
      <c r="H126" s="18"/>
    </row>
    <row r="127" spans="7:8" x14ac:dyDescent="0.3">
      <c r="G127" s="18"/>
      <c r="H127" s="18"/>
    </row>
    <row r="128" spans="7:8" x14ac:dyDescent="0.3">
      <c r="G128" s="18"/>
      <c r="H128" s="18"/>
    </row>
    <row r="129" spans="7:8" x14ac:dyDescent="0.3">
      <c r="G129" s="18"/>
      <c r="H129" s="18"/>
    </row>
    <row r="130" spans="7:8" x14ac:dyDescent="0.3">
      <c r="G130" s="18"/>
      <c r="H130" s="18"/>
    </row>
    <row r="131" spans="7:8" x14ac:dyDescent="0.3">
      <c r="G131" s="18"/>
      <c r="H131" s="18"/>
    </row>
    <row r="132" spans="7:8" x14ac:dyDescent="0.3">
      <c r="G132" s="18"/>
      <c r="H132" s="18"/>
    </row>
    <row r="133" spans="7:8" x14ac:dyDescent="0.3">
      <c r="G133" s="18"/>
      <c r="H133" s="18"/>
    </row>
    <row r="134" spans="7:8" x14ac:dyDescent="0.3">
      <c r="G134" s="18"/>
      <c r="H134" s="18"/>
    </row>
    <row r="135" spans="7:8" x14ac:dyDescent="0.3">
      <c r="G135" s="18"/>
      <c r="H135" s="18"/>
    </row>
    <row r="136" spans="7:8" x14ac:dyDescent="0.3">
      <c r="G136" s="18"/>
      <c r="H136" s="18"/>
    </row>
    <row r="137" spans="7:8" x14ac:dyDescent="0.3">
      <c r="G137" s="18"/>
      <c r="H137" s="18"/>
    </row>
    <row r="138" spans="7:8" x14ac:dyDescent="0.3">
      <c r="G138" s="18"/>
      <c r="H138" s="18"/>
    </row>
    <row r="139" spans="7:8" x14ac:dyDescent="0.3">
      <c r="G139" s="18"/>
      <c r="H139" s="18"/>
    </row>
    <row r="140" spans="7:8" x14ac:dyDescent="0.3">
      <c r="G140" s="18"/>
      <c r="H140" s="18"/>
    </row>
    <row r="141" spans="7:8" x14ac:dyDescent="0.3">
      <c r="G141" s="18"/>
      <c r="H141" s="18"/>
    </row>
    <row r="142" spans="7:8" x14ac:dyDescent="0.3">
      <c r="G142" s="18"/>
      <c r="H142" s="18"/>
    </row>
    <row r="143" spans="7:8" x14ac:dyDescent="0.3">
      <c r="G143" s="18"/>
      <c r="H143" s="18"/>
    </row>
    <row r="144" spans="7:8" x14ac:dyDescent="0.3">
      <c r="G144" s="18"/>
      <c r="H144" s="18"/>
    </row>
    <row r="145" spans="7:8" ht="14.25" customHeight="1" x14ac:dyDescent="0.3">
      <c r="G145" s="18"/>
      <c r="H145" s="18"/>
    </row>
    <row r="146" spans="7:8" ht="14.25" customHeight="1" x14ac:dyDescent="0.3">
      <c r="G146" s="18"/>
      <c r="H146" s="18"/>
    </row>
    <row r="147" spans="7:8" ht="14.25" customHeight="1" x14ac:dyDescent="0.3">
      <c r="G147" s="18"/>
      <c r="H147" s="18"/>
    </row>
    <row r="148" spans="7:8" ht="14.25" customHeight="1" x14ac:dyDescent="0.3">
      <c r="G148" s="18"/>
      <c r="H148" s="18"/>
    </row>
  </sheetData>
  <autoFilter ref="F1:F148" xr:uid="{00000000-0001-0000-0000-000000000000}"/>
  <phoneticPr fontId="32" type="noConversion"/>
  <conditionalFormatting sqref="F1:F1048576">
    <cfRule type="cellIs" dxfId="23" priority="6" operator="equal">
      <formula>"s"</formula>
    </cfRule>
  </conditionalFormatting>
  <conditionalFormatting sqref="G109:G110">
    <cfRule type="duplicateValues" dxfId="22" priority="4"/>
  </conditionalFormatting>
  <conditionalFormatting sqref="G111:G1048576 G1:G108">
    <cfRule type="duplicateValues" dxfId="21" priority="11"/>
  </conditionalFormatting>
  <conditionalFormatting sqref="G146:G148">
    <cfRule type="duplicateValues" dxfId="20" priority="1"/>
  </conditionalFormatting>
  <conditionalFormatting sqref="G109:H110">
    <cfRule type="duplicateValues" dxfId="19" priority="8"/>
  </conditionalFormatting>
  <conditionalFormatting sqref="G111:H1048576 G1:H108">
    <cfRule type="duplicateValues" dxfId="18" priority="13"/>
  </conditionalFormatting>
  <conditionalFormatting sqref="H109:H110">
    <cfRule type="duplicateValues" dxfId="17" priority="5"/>
  </conditionalFormatting>
  <conditionalFormatting sqref="H111:H1048576 H1:H108">
    <cfRule type="duplicateValues" dxfId="16" priority="12"/>
  </conditionalFormatting>
  <conditionalFormatting sqref="Q1:Q1048576">
    <cfRule type="cellIs" dxfId="15" priority="7" operator="lessThan">
      <formula>0</formula>
    </cfRule>
  </conditionalFormatting>
  <conditionalFormatting sqref="AB2:AG170">
    <cfRule type="cellIs" dxfId="14" priority="2" operator="greaterThan">
      <formula>0</formula>
    </cfRule>
  </conditionalFormatting>
  <conditionalFormatting sqref="AH2:AM170">
    <cfRule type="cellIs" dxfId="13" priority="3" operator="lessThan">
      <formula>0</formula>
    </cfRule>
    <cfRule type="cellIs" dxfId="12" priority="9" operator="equal">
      <formula>0</formula>
    </cfRule>
    <cfRule type="cellIs" dxfId="11" priority="10" operator="greaterThan">
      <formula>0</formula>
    </cfRule>
  </conditionalFormatting>
  <dataValidations count="2">
    <dataValidation type="custom" operator="equal" allowBlank="1" showInputMessage="1" showErrorMessage="1" sqref="F2:F46 F48:F1048576" xr:uid="{5F7FA10C-E6B3-4B66-AB3B-B697C8E53966}">
      <formula1>"S"</formula1>
    </dataValidation>
    <dataValidation type="list" allowBlank="1" showInputMessage="1" showErrorMessage="1" sqref="F47" xr:uid="{9505D592-31BB-4FA3-95CE-8D845C92C6A8}">
      <formula1>$F:$F</formula1>
    </dataValidation>
  </dataValidations>
  <pageMargins left="0.7" right="0.7" top="0.75" bottom="0.75" header="0.3" footer="0.3"/>
  <pageSetup paperSize="9" orientation="portrait" r:id="rId1"/>
  <headerFooter>
    <oddHeader>&amp;C&amp;"Arial"&amp;8&amp;K000000INTERNAL&amp;1#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D200"/>
  <sheetViews>
    <sheetView workbookViewId="0">
      <selection activeCell="AY2" sqref="AY2"/>
    </sheetView>
  </sheetViews>
  <sheetFormatPr baseColWidth="10" defaultColWidth="10.77734375" defaultRowHeight="14.4" x14ac:dyDescent="0.3"/>
  <cols>
    <col min="1" max="1" width="23.44140625" bestFit="1" customWidth="1"/>
    <col min="2" max="2" width="23.44140625" customWidth="1"/>
    <col min="3" max="3" width="25.44140625" bestFit="1" customWidth="1"/>
    <col min="4" max="4" width="19.88671875" bestFit="1" customWidth="1"/>
    <col min="5" max="5" width="12" style="18" bestFit="1" customWidth="1"/>
    <col min="6" max="6" width="11.33203125" style="18" bestFit="1" customWidth="1"/>
    <col min="7" max="7" width="18.6640625" bestFit="1" customWidth="1"/>
    <col min="8" max="8" width="25" bestFit="1" customWidth="1"/>
    <col min="9" max="9" width="23.44140625" bestFit="1" customWidth="1"/>
    <col min="10" max="10" width="18" bestFit="1" customWidth="1"/>
    <col min="11" max="11" width="17.21875" bestFit="1" customWidth="1"/>
    <col min="12" max="12" width="17.109375" bestFit="1" customWidth="1"/>
    <col min="13" max="13" width="22.33203125" bestFit="1" customWidth="1"/>
    <col min="14" max="15" width="11.88671875" bestFit="1" customWidth="1"/>
    <col min="16" max="16" width="11.88671875" style="17" customWidth="1"/>
    <col min="17" max="22" width="18.33203125" bestFit="1" customWidth="1"/>
    <col min="23" max="23" width="18.33203125" style="17" customWidth="1"/>
    <col min="24" max="24" width="29.77734375" bestFit="1" customWidth="1"/>
    <col min="25" max="25" width="29" bestFit="1" customWidth="1"/>
    <col min="26" max="26" width="28.77734375" bestFit="1" customWidth="1"/>
    <col min="27" max="29" width="23.6640625" bestFit="1" customWidth="1"/>
    <col min="30" max="30" width="23.6640625" style="17" customWidth="1"/>
    <col min="31" max="31" width="26.33203125" bestFit="1" customWidth="1"/>
    <col min="32" max="32" width="25.5546875" bestFit="1" customWidth="1"/>
    <col min="33" max="33" width="25.44140625" bestFit="1" customWidth="1"/>
    <col min="34" max="36" width="20.21875" bestFit="1" customWidth="1"/>
    <col min="37" max="37" width="20.21875" style="17" customWidth="1"/>
    <col min="38" max="38" width="19.33203125" bestFit="1" customWidth="1"/>
    <col min="39" max="39" width="19" bestFit="1" customWidth="1"/>
    <col min="40" max="40" width="18.77734375" bestFit="1" customWidth="1"/>
    <col min="41" max="43" width="12.109375" bestFit="1" customWidth="1"/>
    <col min="44" max="45" width="11.44140625" style="17"/>
    <col min="47" max="47" width="11.88671875" bestFit="1" customWidth="1"/>
  </cols>
  <sheetData>
    <row r="1" spans="1:56" x14ac:dyDescent="0.3">
      <c r="A1">
        <f>MAX('Entrada datos'!B3:B200)</f>
        <v>0</v>
      </c>
      <c r="P1" s="17" t="s">
        <v>15</v>
      </c>
      <c r="W1" s="17" t="s">
        <v>16</v>
      </c>
      <c r="AD1" s="17" t="s">
        <v>17</v>
      </c>
      <c r="AK1" s="17" t="s">
        <v>18</v>
      </c>
      <c r="AR1" s="17" t="s">
        <v>20</v>
      </c>
      <c r="AS1" s="17" t="s">
        <v>29</v>
      </c>
      <c r="AT1" s="1" t="s">
        <v>25</v>
      </c>
      <c r="AU1" s="1" t="s">
        <v>28</v>
      </c>
      <c r="AV1" s="1" t="s">
        <v>101</v>
      </c>
      <c r="AW1" s="1" t="s">
        <v>34</v>
      </c>
      <c r="AX1" s="1" t="s">
        <v>102</v>
      </c>
      <c r="AY1" t="s">
        <v>103</v>
      </c>
      <c r="AZ1" s="1" t="s">
        <v>106</v>
      </c>
      <c r="BA1" s="1" t="s">
        <v>104</v>
      </c>
      <c r="BB1" s="1" t="s">
        <v>105</v>
      </c>
      <c r="BC1" s="1" t="s">
        <v>107</v>
      </c>
      <c r="BD1" s="1" t="s">
        <v>109</v>
      </c>
    </row>
    <row r="2" spans="1:56" x14ac:dyDescent="0.3">
      <c r="A2">
        <f>'Entrada datos'!A2</f>
        <v>0</v>
      </c>
      <c r="B2">
        <f>'Entrada datos'!B2</f>
        <v>0</v>
      </c>
      <c r="C2">
        <f>'Entrada datos'!C2</f>
        <v>0</v>
      </c>
      <c r="D2">
        <f>'Entrada datos'!D2</f>
        <v>0</v>
      </c>
      <c r="E2" s="18">
        <f>'Entrada datos'!G2</f>
        <v>0</v>
      </c>
      <c r="F2" s="18">
        <f>'Entrada datos'!H2</f>
        <v>0</v>
      </c>
      <c r="G2">
        <f>'Entrada datos'!J2</f>
        <v>0</v>
      </c>
      <c r="H2">
        <f>'Entrada datos'!L2</f>
        <v>0</v>
      </c>
      <c r="I2">
        <f>'Entrada datos'!O2</f>
        <v>0</v>
      </c>
      <c r="J2">
        <f>'Entrada datos'!P2</f>
        <v>0</v>
      </c>
      <c r="K2">
        <f>'Entrada datos'!Q2</f>
        <v>0</v>
      </c>
      <c r="L2">
        <f>'Entrada datos'!R2</f>
        <v>0</v>
      </c>
      <c r="M2">
        <f>'Entrada datos'!S2</f>
        <v>0</v>
      </c>
      <c r="N2">
        <f>'Entrada datos'!T2</f>
        <v>0</v>
      </c>
      <c r="O2">
        <f>'Entrada datos'!U2</f>
        <v>0</v>
      </c>
      <c r="P2" s="17">
        <f>SUM(J2:O2)</f>
        <v>0</v>
      </c>
      <c r="Q2">
        <f>'Entrada datos'!V2</f>
        <v>0</v>
      </c>
      <c r="R2">
        <f>'Entrada datos'!W2</f>
        <v>0</v>
      </c>
      <c r="S2">
        <f>'Entrada datos'!X2</f>
        <v>0</v>
      </c>
      <c r="T2">
        <f>'Entrada datos'!Y2</f>
        <v>0</v>
      </c>
      <c r="U2">
        <f>'Entrada datos'!Z2</f>
        <v>0</v>
      </c>
      <c r="V2">
        <f>'Entrada datos'!AA2</f>
        <v>0</v>
      </c>
      <c r="W2" s="17">
        <f t="shared" ref="W2:W67" si="0">SUM(Q2:V2)</f>
        <v>0</v>
      </c>
      <c r="X2">
        <f>'Entrada datos'!AB2</f>
        <v>0</v>
      </c>
      <c r="Y2">
        <f>'Entrada datos'!AC2</f>
        <v>0</v>
      </c>
      <c r="Z2">
        <f>'Entrada datos'!AD2</f>
        <v>0</v>
      </c>
      <c r="AA2">
        <f>'Entrada datos'!AE2</f>
        <v>0</v>
      </c>
      <c r="AB2">
        <f>'Entrada datos'!AF2</f>
        <v>0</v>
      </c>
      <c r="AC2">
        <f>'Entrada datos'!AG2</f>
        <v>0</v>
      </c>
      <c r="AD2" s="17">
        <f>SUM(X2:AC2)</f>
        <v>0</v>
      </c>
      <c r="AE2">
        <f>'Entrada datos'!AH2</f>
        <v>0</v>
      </c>
      <c r="AF2">
        <f>'Entrada datos'!AI2</f>
        <v>0</v>
      </c>
      <c r="AG2">
        <f>'Entrada datos'!AJ2</f>
        <v>0</v>
      </c>
      <c r="AH2">
        <f>'Entrada datos'!AK2</f>
        <v>0</v>
      </c>
      <c r="AI2">
        <f>'Entrada datos'!AL2</f>
        <v>0</v>
      </c>
      <c r="AJ2">
        <f>'Entrada datos'!AM2</f>
        <v>0</v>
      </c>
      <c r="AK2" s="17">
        <f>SUM(AE2:AJ2)</f>
        <v>0</v>
      </c>
      <c r="AL2">
        <f>'Entrada datos'!AN2</f>
        <v>0</v>
      </c>
      <c r="AM2">
        <f>'Entrada datos'!AO2</f>
        <v>0</v>
      </c>
      <c r="AN2">
        <f>'Entrada datos'!AP2</f>
        <v>0</v>
      </c>
      <c r="AO2">
        <f>'Entrada datos'!AQ2</f>
        <v>0</v>
      </c>
      <c r="AP2">
        <f>'Entrada datos'!AR2</f>
        <v>0</v>
      </c>
      <c r="AQ2">
        <f>'Entrada datos'!AS2</f>
        <v>0</v>
      </c>
      <c r="AR2" s="17">
        <f>MAX(AL2:AQ2)</f>
        <v>0</v>
      </c>
      <c r="AS2" s="23">
        <f>IF(AR2&gt;900,AR2/1000,AR2)</f>
        <v>0</v>
      </c>
      <c r="AT2">
        <f>YEAR(E2)</f>
        <v>1900</v>
      </c>
      <c r="AU2" s="41" t="str">
        <f>TEXT(E2,"mmmm")</f>
        <v>enero</v>
      </c>
      <c r="AV2">
        <f>SUM(AD2,P2)</f>
        <v>0</v>
      </c>
      <c r="AW2">
        <f>F2-E2</f>
        <v>0</v>
      </c>
      <c r="AX2" s="24">
        <f>IFERROR(P2/AW2,0)</f>
        <v>0</v>
      </c>
      <c r="AY2" s="24">
        <f>IFERROR(AV2/AW2,0)</f>
        <v>0</v>
      </c>
      <c r="AZ2" s="24">
        <f>AY2-AX2</f>
        <v>0</v>
      </c>
      <c r="BA2">
        <f>P2+AK2</f>
        <v>0</v>
      </c>
      <c r="BB2">
        <f>IFERROR(BA2/AW2,0)</f>
        <v>0</v>
      </c>
      <c r="BC2" s="24">
        <f>IFERROR(BB2-AX2,0)</f>
        <v>0</v>
      </c>
      <c r="BD2">
        <f>P2+AD2+AK2</f>
        <v>0</v>
      </c>
    </row>
    <row r="3" spans="1:56" x14ac:dyDescent="0.3">
      <c r="A3">
        <f>'Entrada datos'!A3</f>
        <v>0</v>
      </c>
      <c r="B3">
        <f>'Entrada datos'!B3</f>
        <v>0</v>
      </c>
      <c r="C3">
        <f>'Entrada datos'!C3</f>
        <v>0</v>
      </c>
      <c r="D3">
        <f>'Entrada datos'!D3</f>
        <v>0</v>
      </c>
      <c r="E3" s="18">
        <f>'Entrada datos'!G3</f>
        <v>0</v>
      </c>
      <c r="F3" s="18">
        <f>'Entrada datos'!H3</f>
        <v>0</v>
      </c>
      <c r="G3">
        <f>'Entrada datos'!J3</f>
        <v>0</v>
      </c>
      <c r="H3">
        <f>'Entrada datos'!L3</f>
        <v>0</v>
      </c>
      <c r="I3">
        <f>'Entrada datos'!O3</f>
        <v>0</v>
      </c>
      <c r="J3">
        <f>'Entrada datos'!P3</f>
        <v>0</v>
      </c>
      <c r="K3">
        <f>'Entrada datos'!Q3</f>
        <v>0</v>
      </c>
      <c r="L3">
        <f>'Entrada datos'!R3</f>
        <v>0</v>
      </c>
      <c r="M3">
        <f>'Entrada datos'!S3</f>
        <v>0</v>
      </c>
      <c r="N3">
        <f>'Entrada datos'!T3</f>
        <v>0</v>
      </c>
      <c r="O3">
        <f>'Entrada datos'!U3</f>
        <v>0</v>
      </c>
      <c r="P3" s="17">
        <f>SUM(J3:O3)</f>
        <v>0</v>
      </c>
      <c r="Q3">
        <f>'Entrada datos'!V3</f>
        <v>0</v>
      </c>
      <c r="R3">
        <f>'Entrada datos'!W3</f>
        <v>0</v>
      </c>
      <c r="S3">
        <f>'Entrada datos'!X3</f>
        <v>0</v>
      </c>
      <c r="T3">
        <f>'Entrada datos'!Y3</f>
        <v>0</v>
      </c>
      <c r="U3">
        <f>'Entrada datos'!Z3</f>
        <v>0</v>
      </c>
      <c r="V3">
        <f>'Entrada datos'!AA3</f>
        <v>0</v>
      </c>
      <c r="W3" s="17">
        <f t="shared" si="0"/>
        <v>0</v>
      </c>
      <c r="X3">
        <f>'Entrada datos'!AB3</f>
        <v>0</v>
      </c>
      <c r="Y3">
        <f>'Entrada datos'!AC3</f>
        <v>0</v>
      </c>
      <c r="Z3">
        <f>'Entrada datos'!AD3</f>
        <v>0</v>
      </c>
      <c r="AA3">
        <f>'Entrada datos'!AE3</f>
        <v>0</v>
      </c>
      <c r="AB3">
        <f>'Entrada datos'!AF3</f>
        <v>0</v>
      </c>
      <c r="AC3">
        <f>'Entrada datos'!AG3</f>
        <v>0</v>
      </c>
      <c r="AD3" s="17">
        <f>SUM(X3:AC3)</f>
        <v>0</v>
      </c>
      <c r="AE3">
        <f>'Entrada datos'!AH3</f>
        <v>0</v>
      </c>
      <c r="AF3">
        <f>'Entrada datos'!AI3</f>
        <v>0</v>
      </c>
      <c r="AG3">
        <f>'Entrada datos'!AJ3</f>
        <v>0</v>
      </c>
      <c r="AH3">
        <f>'Entrada datos'!AK3</f>
        <v>0</v>
      </c>
      <c r="AI3">
        <f>'Entrada datos'!AL3</f>
        <v>0</v>
      </c>
      <c r="AJ3">
        <f>'Entrada datos'!AM3</f>
        <v>0</v>
      </c>
      <c r="AK3" s="17">
        <f>SUM(AE3:AJ3)</f>
        <v>0</v>
      </c>
      <c r="AL3">
        <f>'Entrada datos'!AN3</f>
        <v>0</v>
      </c>
      <c r="AM3">
        <f>'Entrada datos'!AO3</f>
        <v>0</v>
      </c>
      <c r="AN3">
        <f>'Entrada datos'!AP3</f>
        <v>0</v>
      </c>
      <c r="AO3">
        <f>'Entrada datos'!AQ3</f>
        <v>0</v>
      </c>
      <c r="AP3">
        <f>'Entrada datos'!AR3</f>
        <v>0</v>
      </c>
      <c r="AQ3">
        <f>'Entrada datos'!AS3</f>
        <v>0</v>
      </c>
      <c r="AR3" s="17">
        <f>MAX(AL3:AQ3)</f>
        <v>0</v>
      </c>
      <c r="AS3" s="23">
        <f>IF(AR3&gt;900,AR3/1000,AR3)</f>
        <v>0</v>
      </c>
      <c r="AT3">
        <f>YEAR(E3)</f>
        <v>1900</v>
      </c>
      <c r="AU3" s="41" t="str">
        <f>TEXT(E3,"mmmm")</f>
        <v>enero</v>
      </c>
      <c r="AV3">
        <f>SUM(AD3,P3)</f>
        <v>0</v>
      </c>
      <c r="AW3">
        <f>F3-E3</f>
        <v>0</v>
      </c>
      <c r="AX3" s="24">
        <f t="shared" ref="AX3:AX66" si="1">IFERROR(P3/AW3,0)</f>
        <v>0</v>
      </c>
      <c r="AY3" s="24">
        <f t="shared" ref="AY3:AY66" si="2">IFERROR(AV3/AW3,0)</f>
        <v>0</v>
      </c>
      <c r="AZ3" s="24">
        <f>AY3-AX3</f>
        <v>0</v>
      </c>
      <c r="BA3">
        <f>P3+AK3</f>
        <v>0</v>
      </c>
      <c r="BB3">
        <f t="shared" ref="BB3:BB66" si="3">IFERROR(BA3/AW3,0)</f>
        <v>0</v>
      </c>
      <c r="BC3" s="24">
        <f t="shared" ref="BC3:BC66" si="4">IFERROR(BB3-AX3,0)</f>
        <v>0</v>
      </c>
      <c r="BD3">
        <f>P3+AD3+AK3</f>
        <v>0</v>
      </c>
    </row>
    <row r="4" spans="1:56" x14ac:dyDescent="0.3">
      <c r="A4">
        <f>'Entrada datos'!A4</f>
        <v>0</v>
      </c>
      <c r="B4">
        <f>'Entrada datos'!B4</f>
        <v>0</v>
      </c>
      <c r="C4">
        <f>'Entrada datos'!C4</f>
        <v>0</v>
      </c>
      <c r="D4">
        <f>'Entrada datos'!D4</f>
        <v>0</v>
      </c>
      <c r="E4" s="18">
        <f>'Entrada datos'!G4</f>
        <v>0</v>
      </c>
      <c r="F4" s="18">
        <f>'Entrada datos'!H4</f>
        <v>0</v>
      </c>
      <c r="G4">
        <f>'Entrada datos'!J4</f>
        <v>0</v>
      </c>
      <c r="H4">
        <f>'Entrada datos'!L4</f>
        <v>0</v>
      </c>
      <c r="I4">
        <f>'Entrada datos'!O4</f>
        <v>0</v>
      </c>
      <c r="J4">
        <f>'Entrada datos'!P4</f>
        <v>0</v>
      </c>
      <c r="K4">
        <f>'Entrada datos'!Q4</f>
        <v>0</v>
      </c>
      <c r="L4">
        <f>'Entrada datos'!R4</f>
        <v>0</v>
      </c>
      <c r="M4">
        <f>'Entrada datos'!S4</f>
        <v>0</v>
      </c>
      <c r="N4">
        <f>'Entrada datos'!T4</f>
        <v>0</v>
      </c>
      <c r="O4">
        <f>'Entrada datos'!U4</f>
        <v>0</v>
      </c>
      <c r="P4" s="17">
        <f t="shared" ref="P4:P67" si="5">SUM(J4:O4)</f>
        <v>0</v>
      </c>
      <c r="Q4">
        <f>'Entrada datos'!V4</f>
        <v>0</v>
      </c>
      <c r="R4">
        <f>'Entrada datos'!W4</f>
        <v>0</v>
      </c>
      <c r="S4">
        <f>'Entrada datos'!X4</f>
        <v>0</v>
      </c>
      <c r="T4">
        <f>'Entrada datos'!Y4</f>
        <v>0</v>
      </c>
      <c r="U4">
        <f>'Entrada datos'!Z4</f>
        <v>0</v>
      </c>
      <c r="V4">
        <f>'Entrada datos'!AA4</f>
        <v>0</v>
      </c>
      <c r="W4" s="17">
        <f t="shared" si="0"/>
        <v>0</v>
      </c>
      <c r="X4">
        <f>'Entrada datos'!AB4</f>
        <v>0</v>
      </c>
      <c r="Y4">
        <f>'Entrada datos'!AC4</f>
        <v>0</v>
      </c>
      <c r="Z4">
        <f>'Entrada datos'!AD4</f>
        <v>0</v>
      </c>
      <c r="AA4">
        <f>'Entrada datos'!AE4</f>
        <v>0</v>
      </c>
      <c r="AB4">
        <f>'Entrada datos'!AF4</f>
        <v>0</v>
      </c>
      <c r="AC4">
        <f>'Entrada datos'!AG4</f>
        <v>0</v>
      </c>
      <c r="AD4" s="17">
        <f t="shared" ref="AD4:AD67" si="6">SUM(X4:AC4)</f>
        <v>0</v>
      </c>
      <c r="AE4">
        <f>'Entrada datos'!AH4</f>
        <v>0</v>
      </c>
      <c r="AF4">
        <f>'Entrada datos'!AI4</f>
        <v>0</v>
      </c>
      <c r="AG4">
        <f>'Entrada datos'!AJ4</f>
        <v>0</v>
      </c>
      <c r="AH4">
        <f>'Entrada datos'!AK4</f>
        <v>0</v>
      </c>
      <c r="AI4">
        <f>'Entrada datos'!AL4</f>
        <v>0</v>
      </c>
      <c r="AJ4">
        <f>'Entrada datos'!AM4</f>
        <v>0</v>
      </c>
      <c r="AK4" s="17">
        <f t="shared" ref="AK4:AK67" si="7">SUM(AE4:AJ4)</f>
        <v>0</v>
      </c>
      <c r="AL4">
        <f>'Entrada datos'!AN4</f>
        <v>0</v>
      </c>
      <c r="AM4">
        <f>'Entrada datos'!AO4</f>
        <v>0</v>
      </c>
      <c r="AN4">
        <f>'Entrada datos'!AP4</f>
        <v>0</v>
      </c>
      <c r="AO4">
        <f>'Entrada datos'!AQ4</f>
        <v>0</v>
      </c>
      <c r="AP4">
        <f>'Entrada datos'!AR4</f>
        <v>0</v>
      </c>
      <c r="AQ4">
        <f>'Entrada datos'!AS4</f>
        <v>0</v>
      </c>
      <c r="AR4" s="17">
        <f t="shared" ref="AR4:AR67" si="8">MAX(AL4:AQ4)</f>
        <v>0</v>
      </c>
      <c r="AS4" s="23">
        <f t="shared" ref="AS4:AS67" si="9">IF(AR4&gt;900,AR4/1000,AR4)</f>
        <v>0</v>
      </c>
      <c r="AT4">
        <f t="shared" ref="AT4:AT67" si="10">YEAR(E4)</f>
        <v>1900</v>
      </c>
      <c r="AU4" s="41" t="str">
        <f t="shared" ref="AU4:AU67" si="11">TEXT(E4,"mmmm")</f>
        <v>enero</v>
      </c>
      <c r="AV4">
        <f t="shared" ref="AV4:AV67" si="12">SUM(AD4,P4)</f>
        <v>0</v>
      </c>
      <c r="AW4">
        <f t="shared" ref="AW4:AW67" si="13">F4-E4</f>
        <v>0</v>
      </c>
      <c r="AX4" s="24">
        <f t="shared" si="1"/>
        <v>0</v>
      </c>
      <c r="AY4" s="24">
        <f t="shared" si="2"/>
        <v>0</v>
      </c>
      <c r="AZ4" s="24">
        <f t="shared" ref="AZ4:AZ67" si="14">AY4-AX4</f>
        <v>0</v>
      </c>
      <c r="BA4">
        <f t="shared" ref="BA4:BA67" si="15">P4+AK4</f>
        <v>0</v>
      </c>
      <c r="BB4">
        <f t="shared" si="3"/>
        <v>0</v>
      </c>
      <c r="BC4" s="24">
        <f t="shared" si="4"/>
        <v>0</v>
      </c>
      <c r="BD4">
        <f t="shared" ref="BD4:BD67" si="16">P4+AD4+AK4</f>
        <v>0</v>
      </c>
    </row>
    <row r="5" spans="1:56" x14ac:dyDescent="0.3">
      <c r="A5">
        <f>'Entrada datos'!A5</f>
        <v>0</v>
      </c>
      <c r="B5">
        <f>'Entrada datos'!B5</f>
        <v>0</v>
      </c>
      <c r="C5">
        <f>'Entrada datos'!C5</f>
        <v>0</v>
      </c>
      <c r="D5">
        <f>'Entrada datos'!D5</f>
        <v>0</v>
      </c>
      <c r="E5" s="18">
        <f>'Entrada datos'!G5</f>
        <v>0</v>
      </c>
      <c r="F5" s="18">
        <f>'Entrada datos'!H5</f>
        <v>0</v>
      </c>
      <c r="G5">
        <f>'Entrada datos'!J5</f>
        <v>0</v>
      </c>
      <c r="H5">
        <f>'Entrada datos'!L5</f>
        <v>0</v>
      </c>
      <c r="I5">
        <f>'Entrada datos'!O5</f>
        <v>0</v>
      </c>
      <c r="J5">
        <f>'Entrada datos'!P5</f>
        <v>0</v>
      </c>
      <c r="K5">
        <f>'Entrada datos'!Q5</f>
        <v>0</v>
      </c>
      <c r="L5">
        <f>'Entrada datos'!R5</f>
        <v>0</v>
      </c>
      <c r="M5">
        <f>'Entrada datos'!S5</f>
        <v>0</v>
      </c>
      <c r="N5">
        <f>'Entrada datos'!T5</f>
        <v>0</v>
      </c>
      <c r="O5">
        <f>'Entrada datos'!U5</f>
        <v>0</v>
      </c>
      <c r="P5" s="17">
        <f t="shared" si="5"/>
        <v>0</v>
      </c>
      <c r="Q5">
        <f>'Entrada datos'!V5</f>
        <v>0</v>
      </c>
      <c r="R5">
        <f>'Entrada datos'!W5</f>
        <v>0</v>
      </c>
      <c r="S5">
        <f>'Entrada datos'!X5</f>
        <v>0</v>
      </c>
      <c r="T5">
        <f>'Entrada datos'!Y5</f>
        <v>0</v>
      </c>
      <c r="U5">
        <f>'Entrada datos'!Z5</f>
        <v>0</v>
      </c>
      <c r="V5">
        <f>'Entrada datos'!AA5</f>
        <v>0</v>
      </c>
      <c r="W5" s="17">
        <f t="shared" si="0"/>
        <v>0</v>
      </c>
      <c r="X5">
        <f>'Entrada datos'!AB5</f>
        <v>0</v>
      </c>
      <c r="Y5">
        <f>'Entrada datos'!AC5</f>
        <v>0</v>
      </c>
      <c r="Z5">
        <f>'Entrada datos'!AD5</f>
        <v>0</v>
      </c>
      <c r="AA5">
        <f>'Entrada datos'!AE5</f>
        <v>0</v>
      </c>
      <c r="AB5">
        <f>'Entrada datos'!AF5</f>
        <v>0</v>
      </c>
      <c r="AC5">
        <f>'Entrada datos'!AG5</f>
        <v>0</v>
      </c>
      <c r="AD5" s="17">
        <f t="shared" si="6"/>
        <v>0</v>
      </c>
      <c r="AE5">
        <f>'Entrada datos'!AH5</f>
        <v>0</v>
      </c>
      <c r="AF5">
        <f>'Entrada datos'!AI5</f>
        <v>0</v>
      </c>
      <c r="AG5">
        <f>'Entrada datos'!AJ5</f>
        <v>0</v>
      </c>
      <c r="AH5">
        <f>'Entrada datos'!AK5</f>
        <v>0</v>
      </c>
      <c r="AI5">
        <f>'Entrada datos'!AL5</f>
        <v>0</v>
      </c>
      <c r="AJ5">
        <f>'Entrada datos'!AM5</f>
        <v>0</v>
      </c>
      <c r="AK5" s="17">
        <f t="shared" si="7"/>
        <v>0</v>
      </c>
      <c r="AL5">
        <f>'Entrada datos'!AN5</f>
        <v>0</v>
      </c>
      <c r="AM5">
        <f>'Entrada datos'!AO5</f>
        <v>0</v>
      </c>
      <c r="AN5">
        <f>'Entrada datos'!AP5</f>
        <v>0</v>
      </c>
      <c r="AO5">
        <f>'Entrada datos'!AQ5</f>
        <v>0</v>
      </c>
      <c r="AP5">
        <f>'Entrada datos'!AR5</f>
        <v>0</v>
      </c>
      <c r="AQ5">
        <f>'Entrada datos'!AS5</f>
        <v>0</v>
      </c>
      <c r="AR5" s="17">
        <f t="shared" si="8"/>
        <v>0</v>
      </c>
      <c r="AS5" s="23">
        <f t="shared" si="9"/>
        <v>0</v>
      </c>
      <c r="AT5">
        <f t="shared" si="10"/>
        <v>1900</v>
      </c>
      <c r="AU5" s="41" t="str">
        <f t="shared" si="11"/>
        <v>enero</v>
      </c>
      <c r="AV5">
        <f t="shared" si="12"/>
        <v>0</v>
      </c>
      <c r="AW5">
        <f t="shared" si="13"/>
        <v>0</v>
      </c>
      <c r="AX5" s="24">
        <f t="shared" si="1"/>
        <v>0</v>
      </c>
      <c r="AY5" s="24">
        <f t="shared" si="2"/>
        <v>0</v>
      </c>
      <c r="AZ5" s="24">
        <f t="shared" si="14"/>
        <v>0</v>
      </c>
      <c r="BA5">
        <f t="shared" si="15"/>
        <v>0</v>
      </c>
      <c r="BB5">
        <f t="shared" si="3"/>
        <v>0</v>
      </c>
      <c r="BC5" s="24">
        <f t="shared" si="4"/>
        <v>0</v>
      </c>
      <c r="BD5">
        <f t="shared" si="16"/>
        <v>0</v>
      </c>
    </row>
    <row r="6" spans="1:56" x14ac:dyDescent="0.3">
      <c r="A6">
        <f>'Entrada datos'!A6</f>
        <v>0</v>
      </c>
      <c r="B6">
        <f>'Entrada datos'!B6</f>
        <v>0</v>
      </c>
      <c r="C6">
        <f>'Entrada datos'!C6</f>
        <v>0</v>
      </c>
      <c r="D6">
        <f>'Entrada datos'!D6</f>
        <v>0</v>
      </c>
      <c r="E6" s="18">
        <f>'Entrada datos'!G6</f>
        <v>0</v>
      </c>
      <c r="F6" s="18">
        <f>'Entrada datos'!H6</f>
        <v>0</v>
      </c>
      <c r="G6">
        <f>'Entrada datos'!J6</f>
        <v>0</v>
      </c>
      <c r="H6">
        <f>'Entrada datos'!L6</f>
        <v>0</v>
      </c>
      <c r="I6">
        <f>'Entrada datos'!O6</f>
        <v>0</v>
      </c>
      <c r="J6">
        <f>'Entrada datos'!P6</f>
        <v>0</v>
      </c>
      <c r="K6">
        <f>'Entrada datos'!Q6</f>
        <v>0</v>
      </c>
      <c r="L6">
        <f>'Entrada datos'!R6</f>
        <v>0</v>
      </c>
      <c r="M6">
        <f>'Entrada datos'!S6</f>
        <v>0</v>
      </c>
      <c r="N6">
        <f>'Entrada datos'!T6</f>
        <v>0</v>
      </c>
      <c r="O6">
        <f>'Entrada datos'!U6</f>
        <v>0</v>
      </c>
      <c r="P6" s="17">
        <f t="shared" si="5"/>
        <v>0</v>
      </c>
      <c r="Q6">
        <f>'Entrada datos'!V6</f>
        <v>0</v>
      </c>
      <c r="R6">
        <f>'Entrada datos'!W6</f>
        <v>0</v>
      </c>
      <c r="S6">
        <f>'Entrada datos'!X6</f>
        <v>0</v>
      </c>
      <c r="T6">
        <f>'Entrada datos'!Y6</f>
        <v>0</v>
      </c>
      <c r="U6">
        <f>'Entrada datos'!Z6</f>
        <v>0</v>
      </c>
      <c r="V6">
        <f>'Entrada datos'!AA6</f>
        <v>0</v>
      </c>
      <c r="W6" s="17">
        <f t="shared" si="0"/>
        <v>0</v>
      </c>
      <c r="X6">
        <f>'Entrada datos'!AB6</f>
        <v>0</v>
      </c>
      <c r="Y6">
        <f>'Entrada datos'!AC6</f>
        <v>0</v>
      </c>
      <c r="Z6">
        <f>'Entrada datos'!AD6</f>
        <v>0</v>
      </c>
      <c r="AA6">
        <f>'Entrada datos'!AE6</f>
        <v>0</v>
      </c>
      <c r="AB6">
        <f>'Entrada datos'!AF6</f>
        <v>0</v>
      </c>
      <c r="AC6">
        <f>'Entrada datos'!AG6</f>
        <v>0</v>
      </c>
      <c r="AD6" s="17">
        <f t="shared" si="6"/>
        <v>0</v>
      </c>
      <c r="AE6">
        <f>'Entrada datos'!AH6</f>
        <v>0</v>
      </c>
      <c r="AF6">
        <f>'Entrada datos'!AI6</f>
        <v>0</v>
      </c>
      <c r="AG6">
        <f>'Entrada datos'!AJ6</f>
        <v>0</v>
      </c>
      <c r="AH6">
        <f>'Entrada datos'!AK6</f>
        <v>0</v>
      </c>
      <c r="AI6">
        <f>'Entrada datos'!AL6</f>
        <v>0</v>
      </c>
      <c r="AJ6">
        <f>'Entrada datos'!AM6</f>
        <v>0</v>
      </c>
      <c r="AK6" s="17">
        <f t="shared" si="7"/>
        <v>0</v>
      </c>
      <c r="AL6">
        <f>'Entrada datos'!AN6</f>
        <v>0</v>
      </c>
      <c r="AM6">
        <f>'Entrada datos'!AO6</f>
        <v>0</v>
      </c>
      <c r="AN6">
        <f>'Entrada datos'!AP6</f>
        <v>0</v>
      </c>
      <c r="AO6">
        <f>'Entrada datos'!AQ6</f>
        <v>0</v>
      </c>
      <c r="AP6">
        <f>'Entrada datos'!AR6</f>
        <v>0</v>
      </c>
      <c r="AQ6">
        <f>'Entrada datos'!AS6</f>
        <v>0</v>
      </c>
      <c r="AR6" s="17">
        <f t="shared" si="8"/>
        <v>0</v>
      </c>
      <c r="AS6" s="23">
        <f t="shared" si="9"/>
        <v>0</v>
      </c>
      <c r="AT6">
        <f t="shared" si="10"/>
        <v>1900</v>
      </c>
      <c r="AU6" s="41" t="str">
        <f t="shared" si="11"/>
        <v>enero</v>
      </c>
      <c r="AV6">
        <f t="shared" si="12"/>
        <v>0</v>
      </c>
      <c r="AW6">
        <f t="shared" si="13"/>
        <v>0</v>
      </c>
      <c r="AX6" s="24">
        <f t="shared" si="1"/>
        <v>0</v>
      </c>
      <c r="AY6" s="24">
        <f t="shared" si="2"/>
        <v>0</v>
      </c>
      <c r="AZ6" s="24">
        <f t="shared" si="14"/>
        <v>0</v>
      </c>
      <c r="BA6">
        <f t="shared" si="15"/>
        <v>0</v>
      </c>
      <c r="BB6">
        <f t="shared" si="3"/>
        <v>0</v>
      </c>
      <c r="BC6" s="24">
        <f t="shared" si="4"/>
        <v>0</v>
      </c>
      <c r="BD6">
        <f t="shared" si="16"/>
        <v>0</v>
      </c>
    </row>
    <row r="7" spans="1:56" x14ac:dyDescent="0.3">
      <c r="A7">
        <f>'Entrada datos'!A7</f>
        <v>0</v>
      </c>
      <c r="B7">
        <f>'Entrada datos'!B7</f>
        <v>0</v>
      </c>
      <c r="C7">
        <f>'Entrada datos'!C7</f>
        <v>0</v>
      </c>
      <c r="D7">
        <f>'Entrada datos'!D7</f>
        <v>0</v>
      </c>
      <c r="E7" s="18">
        <f>'Entrada datos'!G7</f>
        <v>0</v>
      </c>
      <c r="F7" s="18">
        <f>'Entrada datos'!H7</f>
        <v>0</v>
      </c>
      <c r="G7">
        <f>'Entrada datos'!J7</f>
        <v>0</v>
      </c>
      <c r="H7">
        <f>'Entrada datos'!L7</f>
        <v>0</v>
      </c>
      <c r="I7">
        <f>'Entrada datos'!O7</f>
        <v>0</v>
      </c>
      <c r="J7">
        <f>'Entrada datos'!P7</f>
        <v>0</v>
      </c>
      <c r="K7">
        <f>'Entrada datos'!Q7</f>
        <v>0</v>
      </c>
      <c r="L7">
        <f>'Entrada datos'!R7</f>
        <v>0</v>
      </c>
      <c r="M7">
        <f>'Entrada datos'!S7</f>
        <v>0</v>
      </c>
      <c r="N7">
        <f>'Entrada datos'!T7</f>
        <v>0</v>
      </c>
      <c r="O7">
        <f>'Entrada datos'!U7</f>
        <v>0</v>
      </c>
      <c r="P7" s="17">
        <f t="shared" si="5"/>
        <v>0</v>
      </c>
      <c r="Q7">
        <f>'Entrada datos'!V7</f>
        <v>0</v>
      </c>
      <c r="R7">
        <f>'Entrada datos'!W7</f>
        <v>0</v>
      </c>
      <c r="S7">
        <f>'Entrada datos'!X7</f>
        <v>0</v>
      </c>
      <c r="T7">
        <f>'Entrada datos'!Y7</f>
        <v>0</v>
      </c>
      <c r="U7">
        <f>'Entrada datos'!Z7</f>
        <v>0</v>
      </c>
      <c r="V7">
        <f>'Entrada datos'!AA7</f>
        <v>0</v>
      </c>
      <c r="W7" s="17">
        <f t="shared" si="0"/>
        <v>0</v>
      </c>
      <c r="X7">
        <f>'Entrada datos'!AB7</f>
        <v>0</v>
      </c>
      <c r="Y7">
        <f>'Entrada datos'!AC7</f>
        <v>0</v>
      </c>
      <c r="Z7">
        <f>'Entrada datos'!AD7</f>
        <v>0</v>
      </c>
      <c r="AA7">
        <f>'Entrada datos'!AE7</f>
        <v>0</v>
      </c>
      <c r="AB7">
        <f>'Entrada datos'!AF7</f>
        <v>0</v>
      </c>
      <c r="AC7">
        <f>'Entrada datos'!AG7</f>
        <v>0</v>
      </c>
      <c r="AD7" s="17">
        <f t="shared" si="6"/>
        <v>0</v>
      </c>
      <c r="AE7">
        <f>'Entrada datos'!AH7</f>
        <v>0</v>
      </c>
      <c r="AF7">
        <f>'Entrada datos'!AI7</f>
        <v>0</v>
      </c>
      <c r="AG7">
        <f>'Entrada datos'!AJ7</f>
        <v>0</v>
      </c>
      <c r="AH7">
        <f>'Entrada datos'!AK7</f>
        <v>0</v>
      </c>
      <c r="AI7">
        <f>'Entrada datos'!AL7</f>
        <v>0</v>
      </c>
      <c r="AJ7">
        <f>'Entrada datos'!AM7</f>
        <v>0</v>
      </c>
      <c r="AK7" s="17">
        <f t="shared" si="7"/>
        <v>0</v>
      </c>
      <c r="AL7">
        <f>'Entrada datos'!AN7</f>
        <v>0</v>
      </c>
      <c r="AM7">
        <f>'Entrada datos'!AO7</f>
        <v>0</v>
      </c>
      <c r="AN7">
        <f>'Entrada datos'!AP7</f>
        <v>0</v>
      </c>
      <c r="AO7">
        <f>'Entrada datos'!AQ7</f>
        <v>0</v>
      </c>
      <c r="AP7">
        <f>'Entrada datos'!AR7</f>
        <v>0</v>
      </c>
      <c r="AQ7">
        <f>'Entrada datos'!AS7</f>
        <v>0</v>
      </c>
      <c r="AR7" s="17">
        <f t="shared" si="8"/>
        <v>0</v>
      </c>
      <c r="AS7" s="23">
        <f t="shared" si="9"/>
        <v>0</v>
      </c>
      <c r="AT7">
        <f t="shared" si="10"/>
        <v>1900</v>
      </c>
      <c r="AU7" s="41" t="str">
        <f t="shared" si="11"/>
        <v>enero</v>
      </c>
      <c r="AV7">
        <f t="shared" si="12"/>
        <v>0</v>
      </c>
      <c r="AW7">
        <f t="shared" si="13"/>
        <v>0</v>
      </c>
      <c r="AX7" s="24">
        <f t="shared" si="1"/>
        <v>0</v>
      </c>
      <c r="AY7" s="24">
        <f t="shared" si="2"/>
        <v>0</v>
      </c>
      <c r="AZ7" s="24">
        <f t="shared" si="14"/>
        <v>0</v>
      </c>
      <c r="BA7">
        <f t="shared" si="15"/>
        <v>0</v>
      </c>
      <c r="BB7">
        <f t="shared" si="3"/>
        <v>0</v>
      </c>
      <c r="BC7" s="24">
        <f t="shared" si="4"/>
        <v>0</v>
      </c>
      <c r="BD7">
        <f t="shared" si="16"/>
        <v>0</v>
      </c>
    </row>
    <row r="8" spans="1:56" x14ac:dyDescent="0.3">
      <c r="A8">
        <f>'Entrada datos'!A8</f>
        <v>0</v>
      </c>
      <c r="B8">
        <f>'Entrada datos'!B8</f>
        <v>0</v>
      </c>
      <c r="C8">
        <f>'Entrada datos'!C8</f>
        <v>0</v>
      </c>
      <c r="D8">
        <f>'Entrada datos'!D8</f>
        <v>0</v>
      </c>
      <c r="E8" s="18">
        <f>'Entrada datos'!G8</f>
        <v>0</v>
      </c>
      <c r="F8" s="18">
        <f>'Entrada datos'!H8</f>
        <v>0</v>
      </c>
      <c r="G8">
        <f>'Entrada datos'!J8</f>
        <v>0</v>
      </c>
      <c r="H8">
        <f>'Entrada datos'!L8</f>
        <v>0</v>
      </c>
      <c r="I8">
        <f>'Entrada datos'!O8</f>
        <v>0</v>
      </c>
      <c r="J8">
        <f>'Entrada datos'!P8</f>
        <v>0</v>
      </c>
      <c r="K8">
        <f>'Entrada datos'!Q8</f>
        <v>0</v>
      </c>
      <c r="L8">
        <f>'Entrada datos'!R8</f>
        <v>0</v>
      </c>
      <c r="M8">
        <f>'Entrada datos'!S8</f>
        <v>0</v>
      </c>
      <c r="N8">
        <f>'Entrada datos'!T8</f>
        <v>0</v>
      </c>
      <c r="O8">
        <f>'Entrada datos'!U8</f>
        <v>0</v>
      </c>
      <c r="P8" s="17">
        <f t="shared" si="5"/>
        <v>0</v>
      </c>
      <c r="Q8">
        <f>'Entrada datos'!V8</f>
        <v>0</v>
      </c>
      <c r="R8">
        <f>'Entrada datos'!W8</f>
        <v>0</v>
      </c>
      <c r="S8">
        <f>'Entrada datos'!X8</f>
        <v>0</v>
      </c>
      <c r="T8">
        <f>'Entrada datos'!Y8</f>
        <v>0</v>
      </c>
      <c r="U8">
        <f>'Entrada datos'!Z8</f>
        <v>0</v>
      </c>
      <c r="V8">
        <f>'Entrada datos'!AA8</f>
        <v>0</v>
      </c>
      <c r="W8" s="17">
        <f t="shared" si="0"/>
        <v>0</v>
      </c>
      <c r="X8">
        <f>'Entrada datos'!AB8</f>
        <v>0</v>
      </c>
      <c r="Y8">
        <f>'Entrada datos'!AC8</f>
        <v>0</v>
      </c>
      <c r="Z8">
        <f>'Entrada datos'!AD8</f>
        <v>0</v>
      </c>
      <c r="AA8">
        <f>'Entrada datos'!AE8</f>
        <v>0</v>
      </c>
      <c r="AB8">
        <f>'Entrada datos'!AF8</f>
        <v>0</v>
      </c>
      <c r="AC8">
        <f>'Entrada datos'!AG8</f>
        <v>0</v>
      </c>
      <c r="AD8" s="17">
        <f t="shared" si="6"/>
        <v>0</v>
      </c>
      <c r="AE8">
        <f>'Entrada datos'!AH8</f>
        <v>0</v>
      </c>
      <c r="AF8">
        <f>'Entrada datos'!AI8</f>
        <v>0</v>
      </c>
      <c r="AG8">
        <f>'Entrada datos'!AJ8</f>
        <v>0</v>
      </c>
      <c r="AH8">
        <f>'Entrada datos'!AK8</f>
        <v>0</v>
      </c>
      <c r="AI8">
        <f>'Entrada datos'!AL8</f>
        <v>0</v>
      </c>
      <c r="AJ8">
        <f>'Entrada datos'!AM8</f>
        <v>0</v>
      </c>
      <c r="AK8" s="17">
        <f t="shared" si="7"/>
        <v>0</v>
      </c>
      <c r="AL8">
        <f>'Entrada datos'!AN8</f>
        <v>0</v>
      </c>
      <c r="AM8">
        <f>'Entrada datos'!AO8</f>
        <v>0</v>
      </c>
      <c r="AN8">
        <f>'Entrada datos'!AP8</f>
        <v>0</v>
      </c>
      <c r="AO8">
        <f>'Entrada datos'!AQ8</f>
        <v>0</v>
      </c>
      <c r="AP8">
        <f>'Entrada datos'!AR8</f>
        <v>0</v>
      </c>
      <c r="AQ8">
        <f>'Entrada datos'!AS8</f>
        <v>0</v>
      </c>
      <c r="AR8" s="17">
        <f t="shared" si="8"/>
        <v>0</v>
      </c>
      <c r="AS8" s="23">
        <f t="shared" si="9"/>
        <v>0</v>
      </c>
      <c r="AT8">
        <f t="shared" si="10"/>
        <v>1900</v>
      </c>
      <c r="AU8" s="41" t="str">
        <f t="shared" si="11"/>
        <v>enero</v>
      </c>
      <c r="AV8">
        <f t="shared" si="12"/>
        <v>0</v>
      </c>
      <c r="AW8">
        <f t="shared" si="13"/>
        <v>0</v>
      </c>
      <c r="AX8" s="24">
        <f t="shared" si="1"/>
        <v>0</v>
      </c>
      <c r="AY8" s="24">
        <f t="shared" si="2"/>
        <v>0</v>
      </c>
      <c r="AZ8" s="24">
        <f t="shared" si="14"/>
        <v>0</v>
      </c>
      <c r="BA8">
        <f t="shared" si="15"/>
        <v>0</v>
      </c>
      <c r="BB8">
        <f t="shared" si="3"/>
        <v>0</v>
      </c>
      <c r="BC8" s="24">
        <f t="shared" si="4"/>
        <v>0</v>
      </c>
      <c r="BD8">
        <f t="shared" si="16"/>
        <v>0</v>
      </c>
    </row>
    <row r="9" spans="1:56" x14ac:dyDescent="0.3">
      <c r="A9">
        <f>'Entrada datos'!A9</f>
        <v>0</v>
      </c>
      <c r="B9">
        <f>'Entrada datos'!B9</f>
        <v>0</v>
      </c>
      <c r="C9">
        <f>'Entrada datos'!C9</f>
        <v>0</v>
      </c>
      <c r="D9">
        <f>'Entrada datos'!D9</f>
        <v>0</v>
      </c>
      <c r="E9" s="18">
        <f>'Entrada datos'!G9</f>
        <v>0</v>
      </c>
      <c r="F9" s="18">
        <f>'Entrada datos'!H9</f>
        <v>0</v>
      </c>
      <c r="G9">
        <f>'Entrada datos'!J9</f>
        <v>0</v>
      </c>
      <c r="H9">
        <f>'Entrada datos'!L9</f>
        <v>0</v>
      </c>
      <c r="I9">
        <f>'Entrada datos'!O9</f>
        <v>0</v>
      </c>
      <c r="J9">
        <f>'Entrada datos'!P9</f>
        <v>0</v>
      </c>
      <c r="K9">
        <f>'Entrada datos'!Q9</f>
        <v>0</v>
      </c>
      <c r="L9">
        <f>'Entrada datos'!R9</f>
        <v>0</v>
      </c>
      <c r="M9">
        <f>'Entrada datos'!S9</f>
        <v>0</v>
      </c>
      <c r="N9">
        <f>'Entrada datos'!T9</f>
        <v>0</v>
      </c>
      <c r="O9">
        <f>'Entrada datos'!U9</f>
        <v>0</v>
      </c>
      <c r="P9" s="17">
        <f t="shared" si="5"/>
        <v>0</v>
      </c>
      <c r="Q9">
        <f>'Entrada datos'!V9</f>
        <v>0</v>
      </c>
      <c r="R9">
        <f>'Entrada datos'!W9</f>
        <v>0</v>
      </c>
      <c r="S9">
        <f>'Entrada datos'!X9</f>
        <v>0</v>
      </c>
      <c r="T9">
        <f>'Entrada datos'!Y9</f>
        <v>0</v>
      </c>
      <c r="U9">
        <f>'Entrada datos'!Z9</f>
        <v>0</v>
      </c>
      <c r="V9">
        <f>'Entrada datos'!AA9</f>
        <v>0</v>
      </c>
      <c r="W9" s="17">
        <f t="shared" si="0"/>
        <v>0</v>
      </c>
      <c r="X9">
        <f>'Entrada datos'!AB9</f>
        <v>0</v>
      </c>
      <c r="Y9">
        <f>'Entrada datos'!AC9</f>
        <v>0</v>
      </c>
      <c r="Z9">
        <f>'Entrada datos'!AD9</f>
        <v>0</v>
      </c>
      <c r="AA9">
        <f>'Entrada datos'!AE9</f>
        <v>0</v>
      </c>
      <c r="AB9">
        <f>'Entrada datos'!AF9</f>
        <v>0</v>
      </c>
      <c r="AC9">
        <f>'Entrada datos'!AG9</f>
        <v>0</v>
      </c>
      <c r="AD9" s="17">
        <f t="shared" si="6"/>
        <v>0</v>
      </c>
      <c r="AE9">
        <f>'Entrada datos'!AH9</f>
        <v>0</v>
      </c>
      <c r="AF9">
        <f>'Entrada datos'!AI9</f>
        <v>0</v>
      </c>
      <c r="AG9">
        <f>'Entrada datos'!AJ9</f>
        <v>0</v>
      </c>
      <c r="AH9">
        <f>'Entrada datos'!AK9</f>
        <v>0</v>
      </c>
      <c r="AI9">
        <f>'Entrada datos'!AL9</f>
        <v>0</v>
      </c>
      <c r="AJ9">
        <f>'Entrada datos'!AM9</f>
        <v>0</v>
      </c>
      <c r="AK9" s="17">
        <f t="shared" si="7"/>
        <v>0</v>
      </c>
      <c r="AL9">
        <f>'Entrada datos'!AN9</f>
        <v>0</v>
      </c>
      <c r="AM9">
        <f>'Entrada datos'!AO9</f>
        <v>0</v>
      </c>
      <c r="AN9">
        <f>'Entrada datos'!AP9</f>
        <v>0</v>
      </c>
      <c r="AO9">
        <f>'Entrada datos'!AQ9</f>
        <v>0</v>
      </c>
      <c r="AP9">
        <f>'Entrada datos'!AR9</f>
        <v>0</v>
      </c>
      <c r="AQ9">
        <f>'Entrada datos'!AS9</f>
        <v>0</v>
      </c>
      <c r="AR9" s="17">
        <f t="shared" si="8"/>
        <v>0</v>
      </c>
      <c r="AS9" s="23">
        <f t="shared" si="9"/>
        <v>0</v>
      </c>
      <c r="AT9">
        <f t="shared" si="10"/>
        <v>1900</v>
      </c>
      <c r="AU9" s="41" t="str">
        <f t="shared" si="11"/>
        <v>enero</v>
      </c>
      <c r="AV9">
        <f t="shared" si="12"/>
        <v>0</v>
      </c>
      <c r="AW9">
        <f t="shared" si="13"/>
        <v>0</v>
      </c>
      <c r="AX9" s="24">
        <f t="shared" si="1"/>
        <v>0</v>
      </c>
      <c r="AY9" s="24">
        <f t="shared" si="2"/>
        <v>0</v>
      </c>
      <c r="AZ9" s="24">
        <f t="shared" si="14"/>
        <v>0</v>
      </c>
      <c r="BA9">
        <f t="shared" si="15"/>
        <v>0</v>
      </c>
      <c r="BB9">
        <f t="shared" si="3"/>
        <v>0</v>
      </c>
      <c r="BC9" s="24">
        <f t="shared" si="4"/>
        <v>0</v>
      </c>
      <c r="BD9">
        <f t="shared" si="16"/>
        <v>0</v>
      </c>
    </row>
    <row r="10" spans="1:56" x14ac:dyDescent="0.3">
      <c r="A10">
        <f>'Entrada datos'!A10</f>
        <v>0</v>
      </c>
      <c r="B10">
        <f>'Entrada datos'!B10</f>
        <v>0</v>
      </c>
      <c r="C10">
        <f>'Entrada datos'!C10</f>
        <v>0</v>
      </c>
      <c r="D10">
        <f>'Entrada datos'!D10</f>
        <v>0</v>
      </c>
      <c r="E10" s="18">
        <f>'Entrada datos'!G10</f>
        <v>0</v>
      </c>
      <c r="F10" s="18">
        <f>'Entrada datos'!H10</f>
        <v>0</v>
      </c>
      <c r="G10">
        <f>'Entrada datos'!J10</f>
        <v>0</v>
      </c>
      <c r="H10">
        <f>'Entrada datos'!L10</f>
        <v>0</v>
      </c>
      <c r="I10">
        <f>'Entrada datos'!O10</f>
        <v>0</v>
      </c>
      <c r="J10">
        <f>'Entrada datos'!P10</f>
        <v>0</v>
      </c>
      <c r="K10">
        <f>'Entrada datos'!Q10</f>
        <v>0</v>
      </c>
      <c r="L10">
        <f>'Entrada datos'!R10</f>
        <v>0</v>
      </c>
      <c r="M10">
        <f>'Entrada datos'!S10</f>
        <v>0</v>
      </c>
      <c r="N10">
        <f>'Entrada datos'!T10</f>
        <v>0</v>
      </c>
      <c r="O10">
        <f>'Entrada datos'!U10</f>
        <v>0</v>
      </c>
      <c r="P10" s="17">
        <f t="shared" si="5"/>
        <v>0</v>
      </c>
      <c r="Q10">
        <f>'Entrada datos'!V10</f>
        <v>0</v>
      </c>
      <c r="R10">
        <f>'Entrada datos'!W10</f>
        <v>0</v>
      </c>
      <c r="S10">
        <f>'Entrada datos'!X10</f>
        <v>0</v>
      </c>
      <c r="T10">
        <f>'Entrada datos'!Y10</f>
        <v>0</v>
      </c>
      <c r="U10">
        <f>'Entrada datos'!Z10</f>
        <v>0</v>
      </c>
      <c r="V10">
        <f>'Entrada datos'!AA10</f>
        <v>0</v>
      </c>
      <c r="W10" s="17">
        <f t="shared" si="0"/>
        <v>0</v>
      </c>
      <c r="X10">
        <f>'Entrada datos'!AB10</f>
        <v>0</v>
      </c>
      <c r="Y10">
        <f>'Entrada datos'!AC10</f>
        <v>0</v>
      </c>
      <c r="Z10">
        <f>'Entrada datos'!AD10</f>
        <v>0</v>
      </c>
      <c r="AA10">
        <f>'Entrada datos'!AE10</f>
        <v>0</v>
      </c>
      <c r="AB10">
        <f>'Entrada datos'!AF10</f>
        <v>0</v>
      </c>
      <c r="AC10">
        <f>'Entrada datos'!AG10</f>
        <v>0</v>
      </c>
      <c r="AD10" s="17">
        <f t="shared" si="6"/>
        <v>0</v>
      </c>
      <c r="AE10">
        <f>'Entrada datos'!AH10</f>
        <v>0</v>
      </c>
      <c r="AF10">
        <f>'Entrada datos'!AI10</f>
        <v>0</v>
      </c>
      <c r="AG10">
        <f>'Entrada datos'!AJ10</f>
        <v>0</v>
      </c>
      <c r="AH10">
        <f>'Entrada datos'!AK10</f>
        <v>0</v>
      </c>
      <c r="AI10">
        <f>'Entrada datos'!AL10</f>
        <v>0</v>
      </c>
      <c r="AJ10">
        <f>'Entrada datos'!AM10</f>
        <v>0</v>
      </c>
      <c r="AK10" s="17">
        <f t="shared" si="7"/>
        <v>0</v>
      </c>
      <c r="AL10">
        <f>'Entrada datos'!AN10</f>
        <v>0</v>
      </c>
      <c r="AM10">
        <f>'Entrada datos'!AO10</f>
        <v>0</v>
      </c>
      <c r="AN10">
        <f>'Entrada datos'!AP10</f>
        <v>0</v>
      </c>
      <c r="AO10">
        <f>'Entrada datos'!AQ10</f>
        <v>0</v>
      </c>
      <c r="AP10">
        <f>'Entrada datos'!AR10</f>
        <v>0</v>
      </c>
      <c r="AQ10">
        <f>'Entrada datos'!AS10</f>
        <v>0</v>
      </c>
      <c r="AR10" s="17">
        <f t="shared" si="8"/>
        <v>0</v>
      </c>
      <c r="AS10" s="23">
        <f t="shared" si="9"/>
        <v>0</v>
      </c>
      <c r="AT10">
        <f t="shared" si="10"/>
        <v>1900</v>
      </c>
      <c r="AU10" s="41" t="str">
        <f t="shared" si="11"/>
        <v>enero</v>
      </c>
      <c r="AV10">
        <f t="shared" si="12"/>
        <v>0</v>
      </c>
      <c r="AW10">
        <f t="shared" si="13"/>
        <v>0</v>
      </c>
      <c r="AX10" s="24">
        <f t="shared" si="1"/>
        <v>0</v>
      </c>
      <c r="AY10" s="24">
        <f t="shared" si="2"/>
        <v>0</v>
      </c>
      <c r="AZ10" s="24">
        <f t="shared" si="14"/>
        <v>0</v>
      </c>
      <c r="BA10">
        <f t="shared" si="15"/>
        <v>0</v>
      </c>
      <c r="BB10">
        <f t="shared" si="3"/>
        <v>0</v>
      </c>
      <c r="BC10" s="24">
        <f t="shared" si="4"/>
        <v>0</v>
      </c>
      <c r="BD10">
        <f t="shared" si="16"/>
        <v>0</v>
      </c>
    </row>
    <row r="11" spans="1:56" x14ac:dyDescent="0.3">
      <c r="A11">
        <f>'Entrada datos'!A11</f>
        <v>0</v>
      </c>
      <c r="B11">
        <f>'Entrada datos'!B11</f>
        <v>0</v>
      </c>
      <c r="C11">
        <f>'Entrada datos'!C11</f>
        <v>0</v>
      </c>
      <c r="D11">
        <f>'Entrada datos'!D11</f>
        <v>0</v>
      </c>
      <c r="E11" s="18">
        <f>'Entrada datos'!G11</f>
        <v>0</v>
      </c>
      <c r="F11" s="18">
        <f>'Entrada datos'!H11</f>
        <v>0</v>
      </c>
      <c r="G11">
        <f>'Entrada datos'!J11</f>
        <v>0</v>
      </c>
      <c r="H11">
        <f>'Entrada datos'!L11</f>
        <v>0</v>
      </c>
      <c r="I11">
        <f>'Entrada datos'!O11</f>
        <v>0</v>
      </c>
      <c r="J11">
        <f>'Entrada datos'!P11</f>
        <v>0</v>
      </c>
      <c r="K11">
        <f>'Entrada datos'!Q11</f>
        <v>0</v>
      </c>
      <c r="L11">
        <f>'Entrada datos'!R11</f>
        <v>0</v>
      </c>
      <c r="M11">
        <f>'Entrada datos'!S11</f>
        <v>0</v>
      </c>
      <c r="N11">
        <f>'Entrada datos'!T11</f>
        <v>0</v>
      </c>
      <c r="O11">
        <f>'Entrada datos'!U11</f>
        <v>0</v>
      </c>
      <c r="P11" s="17">
        <f t="shared" si="5"/>
        <v>0</v>
      </c>
      <c r="Q11">
        <f>'Entrada datos'!V11</f>
        <v>0</v>
      </c>
      <c r="R11">
        <f>'Entrada datos'!W11</f>
        <v>0</v>
      </c>
      <c r="S11">
        <f>'Entrada datos'!X11</f>
        <v>0</v>
      </c>
      <c r="T11">
        <f>'Entrada datos'!Y11</f>
        <v>0</v>
      </c>
      <c r="U11">
        <f>'Entrada datos'!Z11</f>
        <v>0</v>
      </c>
      <c r="V11">
        <f>'Entrada datos'!AA11</f>
        <v>0</v>
      </c>
      <c r="W11" s="17">
        <f t="shared" si="0"/>
        <v>0</v>
      </c>
      <c r="X11">
        <f>'Entrada datos'!AB11</f>
        <v>0</v>
      </c>
      <c r="Y11">
        <f>'Entrada datos'!AC11</f>
        <v>0</v>
      </c>
      <c r="Z11">
        <f>'Entrada datos'!AD11</f>
        <v>0</v>
      </c>
      <c r="AA11">
        <f>'Entrada datos'!AE11</f>
        <v>0</v>
      </c>
      <c r="AB11">
        <f>'Entrada datos'!AF11</f>
        <v>0</v>
      </c>
      <c r="AC11">
        <f>'Entrada datos'!AG11</f>
        <v>0</v>
      </c>
      <c r="AD11" s="17">
        <f t="shared" si="6"/>
        <v>0</v>
      </c>
      <c r="AE11">
        <f>'Entrada datos'!AH11</f>
        <v>0</v>
      </c>
      <c r="AF11">
        <f>'Entrada datos'!AI11</f>
        <v>0</v>
      </c>
      <c r="AG11">
        <f>'Entrada datos'!AJ11</f>
        <v>0</v>
      </c>
      <c r="AH11">
        <f>'Entrada datos'!AK11</f>
        <v>0</v>
      </c>
      <c r="AI11">
        <f>'Entrada datos'!AL11</f>
        <v>0</v>
      </c>
      <c r="AJ11">
        <f>'Entrada datos'!AM11</f>
        <v>0</v>
      </c>
      <c r="AK11" s="17">
        <f t="shared" si="7"/>
        <v>0</v>
      </c>
      <c r="AL11">
        <f>'Entrada datos'!AN11</f>
        <v>0</v>
      </c>
      <c r="AM11">
        <f>'Entrada datos'!AO11</f>
        <v>0</v>
      </c>
      <c r="AN11">
        <f>'Entrada datos'!AP11</f>
        <v>0</v>
      </c>
      <c r="AO11">
        <f>'Entrada datos'!AQ11</f>
        <v>0</v>
      </c>
      <c r="AP11">
        <f>'Entrada datos'!AR11</f>
        <v>0</v>
      </c>
      <c r="AQ11">
        <f>'Entrada datos'!AS11</f>
        <v>0</v>
      </c>
      <c r="AR11" s="17">
        <f t="shared" si="8"/>
        <v>0</v>
      </c>
      <c r="AS11" s="23">
        <f t="shared" si="9"/>
        <v>0</v>
      </c>
      <c r="AT11">
        <f t="shared" si="10"/>
        <v>1900</v>
      </c>
      <c r="AU11" s="41" t="str">
        <f t="shared" si="11"/>
        <v>enero</v>
      </c>
      <c r="AV11">
        <f t="shared" si="12"/>
        <v>0</v>
      </c>
      <c r="AW11">
        <f t="shared" si="13"/>
        <v>0</v>
      </c>
      <c r="AX11" s="24">
        <f t="shared" si="1"/>
        <v>0</v>
      </c>
      <c r="AY11" s="24">
        <f t="shared" si="2"/>
        <v>0</v>
      </c>
      <c r="AZ11" s="24">
        <f t="shared" si="14"/>
        <v>0</v>
      </c>
      <c r="BA11">
        <f t="shared" si="15"/>
        <v>0</v>
      </c>
      <c r="BB11">
        <f t="shared" si="3"/>
        <v>0</v>
      </c>
      <c r="BC11" s="24">
        <f t="shared" si="4"/>
        <v>0</v>
      </c>
      <c r="BD11">
        <f t="shared" si="16"/>
        <v>0</v>
      </c>
    </row>
    <row r="12" spans="1:56" x14ac:dyDescent="0.3">
      <c r="A12">
        <f>'Entrada datos'!A12</f>
        <v>0</v>
      </c>
      <c r="B12">
        <f>'Entrada datos'!B12</f>
        <v>0</v>
      </c>
      <c r="C12">
        <f>'Entrada datos'!C12</f>
        <v>0</v>
      </c>
      <c r="D12">
        <f>'Entrada datos'!D12</f>
        <v>0</v>
      </c>
      <c r="E12" s="18">
        <f>'Entrada datos'!G12</f>
        <v>0</v>
      </c>
      <c r="F12" s="18">
        <f>'Entrada datos'!H12</f>
        <v>0</v>
      </c>
      <c r="G12">
        <f>'Entrada datos'!J12</f>
        <v>0</v>
      </c>
      <c r="H12">
        <f>'Entrada datos'!L12</f>
        <v>0</v>
      </c>
      <c r="I12">
        <f>'Entrada datos'!O12</f>
        <v>0</v>
      </c>
      <c r="J12">
        <f>'Entrada datos'!P12</f>
        <v>0</v>
      </c>
      <c r="K12">
        <f>'Entrada datos'!Q12</f>
        <v>0</v>
      </c>
      <c r="L12">
        <f>'Entrada datos'!R12</f>
        <v>0</v>
      </c>
      <c r="M12">
        <f>'Entrada datos'!S12</f>
        <v>0</v>
      </c>
      <c r="N12">
        <f>'Entrada datos'!T12</f>
        <v>0</v>
      </c>
      <c r="O12">
        <f>'Entrada datos'!U12</f>
        <v>0</v>
      </c>
      <c r="P12" s="17">
        <f t="shared" si="5"/>
        <v>0</v>
      </c>
      <c r="Q12">
        <f>'Entrada datos'!V12</f>
        <v>0</v>
      </c>
      <c r="R12">
        <f>'Entrada datos'!W12</f>
        <v>0</v>
      </c>
      <c r="S12">
        <f>'Entrada datos'!X12</f>
        <v>0</v>
      </c>
      <c r="T12">
        <f>'Entrada datos'!Y12</f>
        <v>0</v>
      </c>
      <c r="U12">
        <f>'Entrada datos'!Z12</f>
        <v>0</v>
      </c>
      <c r="V12">
        <f>'Entrada datos'!AA12</f>
        <v>0</v>
      </c>
      <c r="W12" s="17">
        <f t="shared" si="0"/>
        <v>0</v>
      </c>
      <c r="X12">
        <f>'Entrada datos'!AB12</f>
        <v>0</v>
      </c>
      <c r="Y12">
        <f>'Entrada datos'!AC12</f>
        <v>0</v>
      </c>
      <c r="Z12">
        <f>'Entrada datos'!AD12</f>
        <v>0</v>
      </c>
      <c r="AA12">
        <f>'Entrada datos'!AE12</f>
        <v>0</v>
      </c>
      <c r="AB12">
        <f>'Entrada datos'!AF12</f>
        <v>0</v>
      </c>
      <c r="AC12">
        <f>'Entrada datos'!AG12</f>
        <v>0</v>
      </c>
      <c r="AD12" s="17">
        <f t="shared" si="6"/>
        <v>0</v>
      </c>
      <c r="AE12">
        <f>'Entrada datos'!AH12</f>
        <v>0</v>
      </c>
      <c r="AF12">
        <f>'Entrada datos'!AI12</f>
        <v>0</v>
      </c>
      <c r="AG12">
        <f>'Entrada datos'!AJ12</f>
        <v>0</v>
      </c>
      <c r="AH12">
        <f>'Entrada datos'!AK12</f>
        <v>0</v>
      </c>
      <c r="AI12">
        <f>'Entrada datos'!AL12</f>
        <v>0</v>
      </c>
      <c r="AJ12">
        <f>'Entrada datos'!AM12</f>
        <v>0</v>
      </c>
      <c r="AK12" s="17">
        <f t="shared" si="7"/>
        <v>0</v>
      </c>
      <c r="AL12">
        <f>'Entrada datos'!AN12</f>
        <v>0</v>
      </c>
      <c r="AM12">
        <f>'Entrada datos'!AO12</f>
        <v>0</v>
      </c>
      <c r="AN12">
        <f>'Entrada datos'!AP12</f>
        <v>0</v>
      </c>
      <c r="AO12">
        <f>'Entrada datos'!AQ12</f>
        <v>0</v>
      </c>
      <c r="AP12">
        <f>'Entrada datos'!AR12</f>
        <v>0</v>
      </c>
      <c r="AQ12">
        <f>'Entrada datos'!AS12</f>
        <v>0</v>
      </c>
      <c r="AR12" s="17">
        <f t="shared" si="8"/>
        <v>0</v>
      </c>
      <c r="AS12" s="23">
        <f t="shared" si="9"/>
        <v>0</v>
      </c>
      <c r="AT12">
        <f t="shared" si="10"/>
        <v>1900</v>
      </c>
      <c r="AU12" s="41" t="str">
        <f t="shared" si="11"/>
        <v>enero</v>
      </c>
      <c r="AV12">
        <f t="shared" si="12"/>
        <v>0</v>
      </c>
      <c r="AW12">
        <f t="shared" si="13"/>
        <v>0</v>
      </c>
      <c r="AX12" s="24">
        <f t="shared" si="1"/>
        <v>0</v>
      </c>
      <c r="AY12" s="24">
        <f t="shared" si="2"/>
        <v>0</v>
      </c>
      <c r="AZ12" s="24">
        <f t="shared" si="14"/>
        <v>0</v>
      </c>
      <c r="BA12">
        <f t="shared" si="15"/>
        <v>0</v>
      </c>
      <c r="BB12">
        <f t="shared" si="3"/>
        <v>0</v>
      </c>
      <c r="BC12" s="24">
        <f t="shared" si="4"/>
        <v>0</v>
      </c>
      <c r="BD12">
        <f t="shared" si="16"/>
        <v>0</v>
      </c>
    </row>
    <row r="13" spans="1:56" x14ac:dyDescent="0.3">
      <c r="A13">
        <f>'Entrada datos'!A13</f>
        <v>0</v>
      </c>
      <c r="B13">
        <f>'Entrada datos'!B13</f>
        <v>0</v>
      </c>
      <c r="C13">
        <f>'Entrada datos'!C13</f>
        <v>0</v>
      </c>
      <c r="D13">
        <f>'Entrada datos'!D13</f>
        <v>0</v>
      </c>
      <c r="E13" s="18">
        <f>'Entrada datos'!G13</f>
        <v>0</v>
      </c>
      <c r="F13" s="18">
        <f>'Entrada datos'!H13</f>
        <v>0</v>
      </c>
      <c r="G13">
        <f>'Entrada datos'!J13</f>
        <v>0</v>
      </c>
      <c r="H13">
        <f>'Entrada datos'!L13</f>
        <v>0</v>
      </c>
      <c r="I13">
        <f>'Entrada datos'!O13</f>
        <v>0</v>
      </c>
      <c r="J13">
        <f>'Entrada datos'!P13</f>
        <v>0</v>
      </c>
      <c r="K13">
        <f>'Entrada datos'!Q13</f>
        <v>0</v>
      </c>
      <c r="L13">
        <f>'Entrada datos'!R13</f>
        <v>0</v>
      </c>
      <c r="M13">
        <f>'Entrada datos'!S13</f>
        <v>0</v>
      </c>
      <c r="N13">
        <f>'Entrada datos'!T13</f>
        <v>0</v>
      </c>
      <c r="O13">
        <f>'Entrada datos'!U13</f>
        <v>0</v>
      </c>
      <c r="P13" s="17">
        <f t="shared" si="5"/>
        <v>0</v>
      </c>
      <c r="Q13">
        <f>'Entrada datos'!V13</f>
        <v>0</v>
      </c>
      <c r="R13">
        <f>'Entrada datos'!W13</f>
        <v>0</v>
      </c>
      <c r="S13">
        <f>'Entrada datos'!X13</f>
        <v>0</v>
      </c>
      <c r="T13">
        <f>'Entrada datos'!Y13</f>
        <v>0</v>
      </c>
      <c r="U13">
        <f>'Entrada datos'!Z13</f>
        <v>0</v>
      </c>
      <c r="V13">
        <f>'Entrada datos'!AA13</f>
        <v>0</v>
      </c>
      <c r="W13" s="17">
        <f t="shared" si="0"/>
        <v>0</v>
      </c>
      <c r="X13">
        <f>'Entrada datos'!AB13</f>
        <v>0</v>
      </c>
      <c r="Y13">
        <f>'Entrada datos'!AC13</f>
        <v>0</v>
      </c>
      <c r="Z13">
        <f>'Entrada datos'!AD13</f>
        <v>0</v>
      </c>
      <c r="AA13">
        <f>'Entrada datos'!AE13</f>
        <v>0</v>
      </c>
      <c r="AB13">
        <f>'Entrada datos'!AF13</f>
        <v>0</v>
      </c>
      <c r="AC13">
        <f>'Entrada datos'!AG13</f>
        <v>0</v>
      </c>
      <c r="AD13" s="17">
        <f t="shared" si="6"/>
        <v>0</v>
      </c>
      <c r="AE13">
        <f>'Entrada datos'!AH13</f>
        <v>0</v>
      </c>
      <c r="AF13">
        <f>'Entrada datos'!AI13</f>
        <v>0</v>
      </c>
      <c r="AG13">
        <f>'Entrada datos'!AJ13</f>
        <v>0</v>
      </c>
      <c r="AH13">
        <f>'Entrada datos'!AK13</f>
        <v>0</v>
      </c>
      <c r="AI13">
        <f>'Entrada datos'!AL13</f>
        <v>0</v>
      </c>
      <c r="AJ13">
        <f>'Entrada datos'!AM13</f>
        <v>0</v>
      </c>
      <c r="AK13" s="17">
        <f t="shared" si="7"/>
        <v>0</v>
      </c>
      <c r="AL13">
        <f>'Entrada datos'!AN13</f>
        <v>0</v>
      </c>
      <c r="AM13">
        <f>'Entrada datos'!AO13</f>
        <v>0</v>
      </c>
      <c r="AN13">
        <f>'Entrada datos'!AP13</f>
        <v>0</v>
      </c>
      <c r="AO13">
        <f>'Entrada datos'!AQ13</f>
        <v>0</v>
      </c>
      <c r="AP13">
        <f>'Entrada datos'!AR13</f>
        <v>0</v>
      </c>
      <c r="AQ13">
        <f>'Entrada datos'!AS13</f>
        <v>0</v>
      </c>
      <c r="AR13" s="17">
        <f t="shared" si="8"/>
        <v>0</v>
      </c>
      <c r="AS13" s="23">
        <f t="shared" si="9"/>
        <v>0</v>
      </c>
      <c r="AT13">
        <f t="shared" si="10"/>
        <v>1900</v>
      </c>
      <c r="AU13" s="41" t="str">
        <f t="shared" si="11"/>
        <v>enero</v>
      </c>
      <c r="AV13">
        <f t="shared" si="12"/>
        <v>0</v>
      </c>
      <c r="AW13">
        <f t="shared" si="13"/>
        <v>0</v>
      </c>
      <c r="AX13" s="24">
        <f t="shared" si="1"/>
        <v>0</v>
      </c>
      <c r="AY13" s="24">
        <f t="shared" si="2"/>
        <v>0</v>
      </c>
      <c r="AZ13" s="24">
        <f t="shared" si="14"/>
        <v>0</v>
      </c>
      <c r="BA13">
        <f t="shared" si="15"/>
        <v>0</v>
      </c>
      <c r="BB13">
        <f t="shared" si="3"/>
        <v>0</v>
      </c>
      <c r="BC13" s="24">
        <f t="shared" si="4"/>
        <v>0</v>
      </c>
      <c r="BD13">
        <f t="shared" si="16"/>
        <v>0</v>
      </c>
    </row>
    <row r="14" spans="1:56" x14ac:dyDescent="0.3">
      <c r="A14">
        <f>'Entrada datos'!A14</f>
        <v>0</v>
      </c>
      <c r="B14">
        <f>'Entrada datos'!B14</f>
        <v>0</v>
      </c>
      <c r="C14">
        <f>'Entrada datos'!C14</f>
        <v>0</v>
      </c>
      <c r="D14">
        <f>'Entrada datos'!D14</f>
        <v>0</v>
      </c>
      <c r="E14" s="18">
        <f>'Entrada datos'!G14</f>
        <v>0</v>
      </c>
      <c r="F14" s="18">
        <f>'Entrada datos'!H14</f>
        <v>0</v>
      </c>
      <c r="G14">
        <f>'Entrada datos'!J14</f>
        <v>0</v>
      </c>
      <c r="H14">
        <f>'Entrada datos'!L14</f>
        <v>0</v>
      </c>
      <c r="I14">
        <f>'Entrada datos'!O14</f>
        <v>0</v>
      </c>
      <c r="J14">
        <f>'Entrada datos'!P14</f>
        <v>0</v>
      </c>
      <c r="K14">
        <f>'Entrada datos'!Q14</f>
        <v>0</v>
      </c>
      <c r="L14">
        <f>'Entrada datos'!R14</f>
        <v>0</v>
      </c>
      <c r="M14">
        <f>'Entrada datos'!S14</f>
        <v>0</v>
      </c>
      <c r="N14">
        <f>'Entrada datos'!T14</f>
        <v>0</v>
      </c>
      <c r="O14">
        <f>'Entrada datos'!U14</f>
        <v>0</v>
      </c>
      <c r="P14" s="17">
        <f t="shared" si="5"/>
        <v>0</v>
      </c>
      <c r="Q14">
        <f>'Entrada datos'!V14</f>
        <v>0</v>
      </c>
      <c r="R14">
        <f>'Entrada datos'!W14</f>
        <v>0</v>
      </c>
      <c r="S14">
        <f>'Entrada datos'!X14</f>
        <v>0</v>
      </c>
      <c r="T14">
        <f>'Entrada datos'!Y14</f>
        <v>0</v>
      </c>
      <c r="U14">
        <f>'Entrada datos'!Z14</f>
        <v>0</v>
      </c>
      <c r="V14">
        <f>'Entrada datos'!AA14</f>
        <v>0</v>
      </c>
      <c r="W14" s="17">
        <f t="shared" si="0"/>
        <v>0</v>
      </c>
      <c r="X14">
        <f>'Entrada datos'!AB14</f>
        <v>0</v>
      </c>
      <c r="Y14">
        <f>'Entrada datos'!AC14</f>
        <v>0</v>
      </c>
      <c r="Z14">
        <f>'Entrada datos'!AD14</f>
        <v>0</v>
      </c>
      <c r="AA14">
        <f>'Entrada datos'!AE14</f>
        <v>0</v>
      </c>
      <c r="AB14">
        <f>'Entrada datos'!AF14</f>
        <v>0</v>
      </c>
      <c r="AC14">
        <f>'Entrada datos'!AG14</f>
        <v>0</v>
      </c>
      <c r="AD14" s="17">
        <f t="shared" si="6"/>
        <v>0</v>
      </c>
      <c r="AE14">
        <f>'Entrada datos'!AH14</f>
        <v>0</v>
      </c>
      <c r="AF14">
        <f>'Entrada datos'!AI14</f>
        <v>0</v>
      </c>
      <c r="AG14">
        <f>'Entrada datos'!AJ14</f>
        <v>0</v>
      </c>
      <c r="AH14">
        <f>'Entrada datos'!AK14</f>
        <v>0</v>
      </c>
      <c r="AI14">
        <f>'Entrada datos'!AL14</f>
        <v>0</v>
      </c>
      <c r="AJ14">
        <f>'Entrada datos'!AM14</f>
        <v>0</v>
      </c>
      <c r="AK14" s="17">
        <f t="shared" si="7"/>
        <v>0</v>
      </c>
      <c r="AL14">
        <f>'Entrada datos'!AN14</f>
        <v>0</v>
      </c>
      <c r="AM14">
        <f>'Entrada datos'!AO14</f>
        <v>0</v>
      </c>
      <c r="AN14">
        <f>'Entrada datos'!AP14</f>
        <v>0</v>
      </c>
      <c r="AO14">
        <f>'Entrada datos'!AQ14</f>
        <v>0</v>
      </c>
      <c r="AP14">
        <f>'Entrada datos'!AR14</f>
        <v>0</v>
      </c>
      <c r="AQ14">
        <f>'Entrada datos'!AS14</f>
        <v>0</v>
      </c>
      <c r="AR14" s="17">
        <f t="shared" si="8"/>
        <v>0</v>
      </c>
      <c r="AS14" s="23">
        <f t="shared" si="9"/>
        <v>0</v>
      </c>
      <c r="AT14">
        <f t="shared" si="10"/>
        <v>1900</v>
      </c>
      <c r="AU14" s="41" t="str">
        <f t="shared" si="11"/>
        <v>enero</v>
      </c>
      <c r="AV14">
        <f t="shared" si="12"/>
        <v>0</v>
      </c>
      <c r="AW14">
        <f t="shared" si="13"/>
        <v>0</v>
      </c>
      <c r="AX14" s="24">
        <f t="shared" si="1"/>
        <v>0</v>
      </c>
      <c r="AY14" s="24">
        <f t="shared" si="2"/>
        <v>0</v>
      </c>
      <c r="AZ14" s="24">
        <f t="shared" si="14"/>
        <v>0</v>
      </c>
      <c r="BA14">
        <f t="shared" si="15"/>
        <v>0</v>
      </c>
      <c r="BB14">
        <f t="shared" si="3"/>
        <v>0</v>
      </c>
      <c r="BC14" s="24">
        <f t="shared" si="4"/>
        <v>0</v>
      </c>
      <c r="BD14">
        <f t="shared" si="16"/>
        <v>0</v>
      </c>
    </row>
    <row r="15" spans="1:56" x14ac:dyDescent="0.3">
      <c r="A15">
        <f>'Entrada datos'!A15</f>
        <v>0</v>
      </c>
      <c r="B15">
        <f>'Entrada datos'!B15</f>
        <v>0</v>
      </c>
      <c r="C15">
        <f>'Entrada datos'!C15</f>
        <v>0</v>
      </c>
      <c r="D15">
        <f>'Entrada datos'!D15</f>
        <v>0</v>
      </c>
      <c r="E15" s="18">
        <f>'Entrada datos'!G15</f>
        <v>0</v>
      </c>
      <c r="F15" s="18">
        <f>'Entrada datos'!H15</f>
        <v>0</v>
      </c>
      <c r="G15">
        <f>'Entrada datos'!J15</f>
        <v>0</v>
      </c>
      <c r="H15">
        <f>'Entrada datos'!L15</f>
        <v>0</v>
      </c>
      <c r="I15">
        <f>'Entrada datos'!O15</f>
        <v>0</v>
      </c>
      <c r="J15">
        <f>'Entrada datos'!P15</f>
        <v>0</v>
      </c>
      <c r="K15">
        <f>'Entrada datos'!Q15</f>
        <v>0</v>
      </c>
      <c r="L15">
        <f>'Entrada datos'!R15</f>
        <v>0</v>
      </c>
      <c r="M15">
        <f>'Entrada datos'!S15</f>
        <v>0</v>
      </c>
      <c r="N15">
        <f>'Entrada datos'!T15</f>
        <v>0</v>
      </c>
      <c r="O15">
        <f>'Entrada datos'!U15</f>
        <v>0</v>
      </c>
      <c r="P15" s="17">
        <f t="shared" si="5"/>
        <v>0</v>
      </c>
      <c r="Q15">
        <f>'Entrada datos'!V15</f>
        <v>0</v>
      </c>
      <c r="R15">
        <f>'Entrada datos'!W15</f>
        <v>0</v>
      </c>
      <c r="S15">
        <f>'Entrada datos'!X15</f>
        <v>0</v>
      </c>
      <c r="T15">
        <f>'Entrada datos'!Y15</f>
        <v>0</v>
      </c>
      <c r="U15">
        <f>'Entrada datos'!Z15</f>
        <v>0</v>
      </c>
      <c r="V15">
        <f>'Entrada datos'!AA15</f>
        <v>0</v>
      </c>
      <c r="W15" s="17">
        <f t="shared" si="0"/>
        <v>0</v>
      </c>
      <c r="X15">
        <f>'Entrada datos'!AB15</f>
        <v>0</v>
      </c>
      <c r="Y15">
        <f>'Entrada datos'!AC15</f>
        <v>0</v>
      </c>
      <c r="Z15">
        <f>'Entrada datos'!AD15</f>
        <v>0</v>
      </c>
      <c r="AA15">
        <f>'Entrada datos'!AE15</f>
        <v>0</v>
      </c>
      <c r="AB15">
        <f>'Entrada datos'!AF15</f>
        <v>0</v>
      </c>
      <c r="AC15">
        <f>'Entrada datos'!AG15</f>
        <v>0</v>
      </c>
      <c r="AD15" s="17">
        <f t="shared" si="6"/>
        <v>0</v>
      </c>
      <c r="AE15">
        <f>'Entrada datos'!AH15</f>
        <v>0</v>
      </c>
      <c r="AF15">
        <f>'Entrada datos'!AI15</f>
        <v>0</v>
      </c>
      <c r="AG15">
        <f>'Entrada datos'!AJ15</f>
        <v>0</v>
      </c>
      <c r="AH15">
        <f>'Entrada datos'!AK15</f>
        <v>0</v>
      </c>
      <c r="AI15">
        <f>'Entrada datos'!AL15</f>
        <v>0</v>
      </c>
      <c r="AJ15">
        <f>'Entrada datos'!AM15</f>
        <v>0</v>
      </c>
      <c r="AK15" s="17">
        <f t="shared" si="7"/>
        <v>0</v>
      </c>
      <c r="AL15">
        <f>'Entrada datos'!AN15</f>
        <v>0</v>
      </c>
      <c r="AM15">
        <f>'Entrada datos'!AO15</f>
        <v>0</v>
      </c>
      <c r="AN15">
        <f>'Entrada datos'!AP15</f>
        <v>0</v>
      </c>
      <c r="AO15">
        <f>'Entrada datos'!AQ15</f>
        <v>0</v>
      </c>
      <c r="AP15">
        <f>'Entrada datos'!AR15</f>
        <v>0</v>
      </c>
      <c r="AQ15">
        <f>'Entrada datos'!AS15</f>
        <v>0</v>
      </c>
      <c r="AR15" s="17">
        <f t="shared" si="8"/>
        <v>0</v>
      </c>
      <c r="AS15" s="23">
        <f t="shared" si="9"/>
        <v>0</v>
      </c>
      <c r="AT15">
        <f t="shared" si="10"/>
        <v>1900</v>
      </c>
      <c r="AU15" s="41" t="str">
        <f t="shared" si="11"/>
        <v>enero</v>
      </c>
      <c r="AV15">
        <f t="shared" si="12"/>
        <v>0</v>
      </c>
      <c r="AW15">
        <f t="shared" si="13"/>
        <v>0</v>
      </c>
      <c r="AX15" s="24">
        <f t="shared" si="1"/>
        <v>0</v>
      </c>
      <c r="AY15" s="24">
        <f t="shared" si="2"/>
        <v>0</v>
      </c>
      <c r="AZ15" s="24">
        <f t="shared" si="14"/>
        <v>0</v>
      </c>
      <c r="BA15">
        <f t="shared" si="15"/>
        <v>0</v>
      </c>
      <c r="BB15">
        <f t="shared" si="3"/>
        <v>0</v>
      </c>
      <c r="BC15" s="24">
        <f t="shared" si="4"/>
        <v>0</v>
      </c>
      <c r="BD15">
        <f t="shared" si="16"/>
        <v>0</v>
      </c>
    </row>
    <row r="16" spans="1:56" x14ac:dyDescent="0.3">
      <c r="A16">
        <f>'Entrada datos'!A16</f>
        <v>0</v>
      </c>
      <c r="B16">
        <f>'Entrada datos'!B16</f>
        <v>0</v>
      </c>
      <c r="C16">
        <f>'Entrada datos'!C16</f>
        <v>0</v>
      </c>
      <c r="D16">
        <f>'Entrada datos'!D16</f>
        <v>0</v>
      </c>
      <c r="E16" s="18">
        <f>'Entrada datos'!G16</f>
        <v>0</v>
      </c>
      <c r="F16" s="18">
        <f>'Entrada datos'!H16</f>
        <v>0</v>
      </c>
      <c r="G16">
        <f>'Entrada datos'!J16</f>
        <v>0</v>
      </c>
      <c r="H16">
        <f>'Entrada datos'!L16</f>
        <v>0</v>
      </c>
      <c r="I16">
        <f>'Entrada datos'!O16</f>
        <v>0</v>
      </c>
      <c r="J16">
        <f>'Entrada datos'!P16</f>
        <v>0</v>
      </c>
      <c r="K16">
        <f>'Entrada datos'!Q16</f>
        <v>0</v>
      </c>
      <c r="L16">
        <f>'Entrada datos'!R16</f>
        <v>0</v>
      </c>
      <c r="M16">
        <f>'Entrada datos'!S16</f>
        <v>0</v>
      </c>
      <c r="N16">
        <f>'Entrada datos'!T16</f>
        <v>0</v>
      </c>
      <c r="O16">
        <f>'Entrada datos'!U16</f>
        <v>0</v>
      </c>
      <c r="P16" s="17">
        <f t="shared" si="5"/>
        <v>0</v>
      </c>
      <c r="Q16">
        <f>'Entrada datos'!V16</f>
        <v>0</v>
      </c>
      <c r="R16">
        <f>'Entrada datos'!W16</f>
        <v>0</v>
      </c>
      <c r="S16">
        <f>'Entrada datos'!X16</f>
        <v>0</v>
      </c>
      <c r="T16">
        <f>'Entrada datos'!Y16</f>
        <v>0</v>
      </c>
      <c r="U16">
        <f>'Entrada datos'!Z16</f>
        <v>0</v>
      </c>
      <c r="V16">
        <f>'Entrada datos'!AA16</f>
        <v>0</v>
      </c>
      <c r="W16" s="17">
        <f t="shared" si="0"/>
        <v>0</v>
      </c>
      <c r="X16">
        <f>'Entrada datos'!AB16</f>
        <v>0</v>
      </c>
      <c r="Y16">
        <f>'Entrada datos'!AC16</f>
        <v>0</v>
      </c>
      <c r="Z16">
        <f>'Entrada datos'!AD16</f>
        <v>0</v>
      </c>
      <c r="AA16">
        <f>'Entrada datos'!AE16</f>
        <v>0</v>
      </c>
      <c r="AB16">
        <f>'Entrada datos'!AF16</f>
        <v>0</v>
      </c>
      <c r="AC16">
        <f>'Entrada datos'!AG16</f>
        <v>0</v>
      </c>
      <c r="AD16" s="17">
        <f t="shared" si="6"/>
        <v>0</v>
      </c>
      <c r="AE16">
        <f>'Entrada datos'!AH16</f>
        <v>0</v>
      </c>
      <c r="AF16">
        <f>'Entrada datos'!AI16</f>
        <v>0</v>
      </c>
      <c r="AG16">
        <f>'Entrada datos'!AJ16</f>
        <v>0</v>
      </c>
      <c r="AH16">
        <f>'Entrada datos'!AK16</f>
        <v>0</v>
      </c>
      <c r="AI16">
        <f>'Entrada datos'!AL16</f>
        <v>0</v>
      </c>
      <c r="AJ16">
        <f>'Entrada datos'!AM16</f>
        <v>0</v>
      </c>
      <c r="AK16" s="17">
        <f t="shared" si="7"/>
        <v>0</v>
      </c>
      <c r="AL16">
        <f>'Entrada datos'!AN16</f>
        <v>0</v>
      </c>
      <c r="AM16">
        <f>'Entrada datos'!AO16</f>
        <v>0</v>
      </c>
      <c r="AN16">
        <f>'Entrada datos'!AP16</f>
        <v>0</v>
      </c>
      <c r="AO16">
        <f>'Entrada datos'!AQ16</f>
        <v>0</v>
      </c>
      <c r="AP16">
        <f>'Entrada datos'!AR16</f>
        <v>0</v>
      </c>
      <c r="AQ16">
        <f>'Entrada datos'!AS16</f>
        <v>0</v>
      </c>
      <c r="AR16" s="17">
        <f t="shared" si="8"/>
        <v>0</v>
      </c>
      <c r="AS16" s="23">
        <f t="shared" si="9"/>
        <v>0</v>
      </c>
      <c r="AT16">
        <f t="shared" si="10"/>
        <v>1900</v>
      </c>
      <c r="AU16" s="41" t="str">
        <f t="shared" si="11"/>
        <v>enero</v>
      </c>
      <c r="AV16">
        <f t="shared" si="12"/>
        <v>0</v>
      </c>
      <c r="AW16">
        <f t="shared" si="13"/>
        <v>0</v>
      </c>
      <c r="AX16" s="24">
        <f t="shared" si="1"/>
        <v>0</v>
      </c>
      <c r="AY16" s="24">
        <f t="shared" si="2"/>
        <v>0</v>
      </c>
      <c r="AZ16" s="24">
        <f t="shared" si="14"/>
        <v>0</v>
      </c>
      <c r="BA16">
        <f t="shared" si="15"/>
        <v>0</v>
      </c>
      <c r="BB16">
        <f t="shared" si="3"/>
        <v>0</v>
      </c>
      <c r="BC16" s="24">
        <f t="shared" si="4"/>
        <v>0</v>
      </c>
      <c r="BD16">
        <f t="shared" si="16"/>
        <v>0</v>
      </c>
    </row>
    <row r="17" spans="1:56" x14ac:dyDescent="0.3">
      <c r="A17">
        <f>'Entrada datos'!A17</f>
        <v>0</v>
      </c>
      <c r="B17">
        <f>'Entrada datos'!B17</f>
        <v>0</v>
      </c>
      <c r="C17">
        <f>'Entrada datos'!C17</f>
        <v>0</v>
      </c>
      <c r="D17">
        <f>'Entrada datos'!D17</f>
        <v>0</v>
      </c>
      <c r="E17" s="18">
        <f>'Entrada datos'!G17</f>
        <v>0</v>
      </c>
      <c r="F17" s="18">
        <f>'Entrada datos'!H17</f>
        <v>0</v>
      </c>
      <c r="G17">
        <f>'Entrada datos'!J17</f>
        <v>0</v>
      </c>
      <c r="H17">
        <f>'Entrada datos'!L17</f>
        <v>0</v>
      </c>
      <c r="I17">
        <f>'Entrada datos'!O17</f>
        <v>0</v>
      </c>
      <c r="J17">
        <f>'Entrada datos'!P17</f>
        <v>0</v>
      </c>
      <c r="K17">
        <f>'Entrada datos'!Q17</f>
        <v>0</v>
      </c>
      <c r="L17">
        <f>'Entrada datos'!R17</f>
        <v>0</v>
      </c>
      <c r="M17">
        <f>'Entrada datos'!S17</f>
        <v>0</v>
      </c>
      <c r="N17">
        <f>'Entrada datos'!T17</f>
        <v>0</v>
      </c>
      <c r="O17">
        <f>'Entrada datos'!U17</f>
        <v>0</v>
      </c>
      <c r="P17" s="17">
        <f t="shared" si="5"/>
        <v>0</v>
      </c>
      <c r="Q17">
        <f>'Entrada datos'!V17</f>
        <v>0</v>
      </c>
      <c r="R17">
        <f>'Entrada datos'!W17</f>
        <v>0</v>
      </c>
      <c r="S17">
        <f>'Entrada datos'!X17</f>
        <v>0</v>
      </c>
      <c r="T17">
        <f>'Entrada datos'!Y17</f>
        <v>0</v>
      </c>
      <c r="U17">
        <f>'Entrada datos'!Z17</f>
        <v>0</v>
      </c>
      <c r="V17">
        <f>'Entrada datos'!AA17</f>
        <v>0</v>
      </c>
      <c r="W17" s="17">
        <f t="shared" si="0"/>
        <v>0</v>
      </c>
      <c r="X17">
        <f>'Entrada datos'!AB17</f>
        <v>0</v>
      </c>
      <c r="Y17">
        <f>'Entrada datos'!AC17</f>
        <v>0</v>
      </c>
      <c r="Z17">
        <f>'Entrada datos'!AD17</f>
        <v>0</v>
      </c>
      <c r="AA17">
        <f>'Entrada datos'!AE17</f>
        <v>0</v>
      </c>
      <c r="AB17">
        <f>'Entrada datos'!AF17</f>
        <v>0</v>
      </c>
      <c r="AC17">
        <f>'Entrada datos'!AG17</f>
        <v>0</v>
      </c>
      <c r="AD17" s="17">
        <f t="shared" si="6"/>
        <v>0</v>
      </c>
      <c r="AE17">
        <f>'Entrada datos'!AH17</f>
        <v>0</v>
      </c>
      <c r="AF17">
        <f>'Entrada datos'!AI17</f>
        <v>0</v>
      </c>
      <c r="AG17">
        <f>'Entrada datos'!AJ17</f>
        <v>0</v>
      </c>
      <c r="AH17">
        <f>'Entrada datos'!AK17</f>
        <v>0</v>
      </c>
      <c r="AI17">
        <f>'Entrada datos'!AL17</f>
        <v>0</v>
      </c>
      <c r="AJ17">
        <f>'Entrada datos'!AM17</f>
        <v>0</v>
      </c>
      <c r="AK17" s="17">
        <f t="shared" si="7"/>
        <v>0</v>
      </c>
      <c r="AL17">
        <f>'Entrada datos'!AN17</f>
        <v>0</v>
      </c>
      <c r="AM17">
        <f>'Entrada datos'!AO17</f>
        <v>0</v>
      </c>
      <c r="AN17">
        <f>'Entrada datos'!AP17</f>
        <v>0</v>
      </c>
      <c r="AO17">
        <f>'Entrada datos'!AQ17</f>
        <v>0</v>
      </c>
      <c r="AP17">
        <f>'Entrada datos'!AR17</f>
        <v>0</v>
      </c>
      <c r="AQ17">
        <f>'Entrada datos'!AS17</f>
        <v>0</v>
      </c>
      <c r="AR17" s="17">
        <f t="shared" si="8"/>
        <v>0</v>
      </c>
      <c r="AS17" s="23">
        <f t="shared" si="9"/>
        <v>0</v>
      </c>
      <c r="AT17">
        <f t="shared" si="10"/>
        <v>1900</v>
      </c>
      <c r="AU17" s="41" t="str">
        <f t="shared" si="11"/>
        <v>enero</v>
      </c>
      <c r="AV17">
        <f t="shared" si="12"/>
        <v>0</v>
      </c>
      <c r="AW17">
        <f t="shared" si="13"/>
        <v>0</v>
      </c>
      <c r="AX17" s="24">
        <f t="shared" si="1"/>
        <v>0</v>
      </c>
      <c r="AY17" s="24">
        <f t="shared" si="2"/>
        <v>0</v>
      </c>
      <c r="AZ17" s="24">
        <f t="shared" si="14"/>
        <v>0</v>
      </c>
      <c r="BA17">
        <f t="shared" si="15"/>
        <v>0</v>
      </c>
      <c r="BB17">
        <f t="shared" si="3"/>
        <v>0</v>
      </c>
      <c r="BC17" s="24">
        <f t="shared" si="4"/>
        <v>0</v>
      </c>
      <c r="BD17">
        <f t="shared" si="16"/>
        <v>0</v>
      </c>
    </row>
    <row r="18" spans="1:56" x14ac:dyDescent="0.3">
      <c r="A18">
        <f>'Entrada datos'!A18</f>
        <v>0</v>
      </c>
      <c r="B18">
        <f>'Entrada datos'!B18</f>
        <v>0</v>
      </c>
      <c r="C18">
        <f>'Entrada datos'!C18</f>
        <v>0</v>
      </c>
      <c r="D18">
        <f>'Entrada datos'!D18</f>
        <v>0</v>
      </c>
      <c r="E18" s="18">
        <f>'Entrada datos'!G18</f>
        <v>0</v>
      </c>
      <c r="F18" s="18">
        <f>'Entrada datos'!H18</f>
        <v>0</v>
      </c>
      <c r="G18">
        <f>'Entrada datos'!J18</f>
        <v>0</v>
      </c>
      <c r="H18">
        <f>'Entrada datos'!L18</f>
        <v>0</v>
      </c>
      <c r="I18">
        <f>'Entrada datos'!O18</f>
        <v>0</v>
      </c>
      <c r="J18">
        <f>'Entrada datos'!P18</f>
        <v>0</v>
      </c>
      <c r="K18">
        <f>'Entrada datos'!Q18</f>
        <v>0</v>
      </c>
      <c r="L18">
        <f>'Entrada datos'!R18</f>
        <v>0</v>
      </c>
      <c r="M18">
        <f>'Entrada datos'!S18</f>
        <v>0</v>
      </c>
      <c r="N18">
        <f>'Entrada datos'!T18</f>
        <v>0</v>
      </c>
      <c r="O18">
        <f>'Entrada datos'!U18</f>
        <v>0</v>
      </c>
      <c r="P18" s="17">
        <f t="shared" si="5"/>
        <v>0</v>
      </c>
      <c r="Q18">
        <f>'Entrada datos'!V18</f>
        <v>0</v>
      </c>
      <c r="R18">
        <f>'Entrada datos'!W18</f>
        <v>0</v>
      </c>
      <c r="S18">
        <f>'Entrada datos'!X18</f>
        <v>0</v>
      </c>
      <c r="T18">
        <f>'Entrada datos'!Y18</f>
        <v>0</v>
      </c>
      <c r="U18">
        <f>'Entrada datos'!Z18</f>
        <v>0</v>
      </c>
      <c r="V18">
        <f>'Entrada datos'!AA18</f>
        <v>0</v>
      </c>
      <c r="W18" s="17">
        <f t="shared" si="0"/>
        <v>0</v>
      </c>
      <c r="X18">
        <f>'Entrada datos'!AB18</f>
        <v>0</v>
      </c>
      <c r="Y18">
        <f>'Entrada datos'!AC18</f>
        <v>0</v>
      </c>
      <c r="Z18">
        <f>'Entrada datos'!AD18</f>
        <v>0</v>
      </c>
      <c r="AA18">
        <f>'Entrada datos'!AE18</f>
        <v>0</v>
      </c>
      <c r="AB18">
        <f>'Entrada datos'!AF18</f>
        <v>0</v>
      </c>
      <c r="AC18">
        <f>'Entrada datos'!AG18</f>
        <v>0</v>
      </c>
      <c r="AD18" s="17">
        <f t="shared" si="6"/>
        <v>0</v>
      </c>
      <c r="AE18">
        <f>'Entrada datos'!AH18</f>
        <v>0</v>
      </c>
      <c r="AF18">
        <f>'Entrada datos'!AI18</f>
        <v>0</v>
      </c>
      <c r="AG18">
        <f>'Entrada datos'!AJ18</f>
        <v>0</v>
      </c>
      <c r="AH18">
        <f>'Entrada datos'!AK18</f>
        <v>0</v>
      </c>
      <c r="AI18">
        <f>'Entrada datos'!AL18</f>
        <v>0</v>
      </c>
      <c r="AJ18">
        <f>'Entrada datos'!AM18</f>
        <v>0</v>
      </c>
      <c r="AK18" s="17">
        <f t="shared" si="7"/>
        <v>0</v>
      </c>
      <c r="AL18">
        <f>'Entrada datos'!AN18</f>
        <v>0</v>
      </c>
      <c r="AM18">
        <f>'Entrada datos'!AO18</f>
        <v>0</v>
      </c>
      <c r="AN18">
        <f>'Entrada datos'!AP18</f>
        <v>0</v>
      </c>
      <c r="AO18">
        <f>'Entrada datos'!AQ18</f>
        <v>0</v>
      </c>
      <c r="AP18">
        <f>'Entrada datos'!AR18</f>
        <v>0</v>
      </c>
      <c r="AQ18">
        <f>'Entrada datos'!AS18</f>
        <v>0</v>
      </c>
      <c r="AR18" s="17">
        <f t="shared" si="8"/>
        <v>0</v>
      </c>
      <c r="AS18" s="23">
        <f t="shared" si="9"/>
        <v>0</v>
      </c>
      <c r="AT18">
        <f t="shared" si="10"/>
        <v>1900</v>
      </c>
      <c r="AU18" s="41" t="str">
        <f t="shared" si="11"/>
        <v>enero</v>
      </c>
      <c r="AV18">
        <f t="shared" si="12"/>
        <v>0</v>
      </c>
      <c r="AW18">
        <f t="shared" si="13"/>
        <v>0</v>
      </c>
      <c r="AX18" s="24">
        <f t="shared" si="1"/>
        <v>0</v>
      </c>
      <c r="AY18" s="24">
        <f t="shared" si="2"/>
        <v>0</v>
      </c>
      <c r="AZ18" s="24">
        <f t="shared" si="14"/>
        <v>0</v>
      </c>
      <c r="BA18">
        <f t="shared" si="15"/>
        <v>0</v>
      </c>
      <c r="BB18">
        <f t="shared" si="3"/>
        <v>0</v>
      </c>
      <c r="BC18" s="24">
        <f t="shared" si="4"/>
        <v>0</v>
      </c>
      <c r="BD18">
        <f t="shared" si="16"/>
        <v>0</v>
      </c>
    </row>
    <row r="19" spans="1:56" x14ac:dyDescent="0.3">
      <c r="A19">
        <f>'Entrada datos'!A19</f>
        <v>0</v>
      </c>
      <c r="B19">
        <f>'Entrada datos'!B19</f>
        <v>0</v>
      </c>
      <c r="C19">
        <f>'Entrada datos'!C19</f>
        <v>0</v>
      </c>
      <c r="D19">
        <f>'Entrada datos'!D19</f>
        <v>0</v>
      </c>
      <c r="E19" s="18">
        <f>'Entrada datos'!G19</f>
        <v>0</v>
      </c>
      <c r="F19" s="18">
        <f>'Entrada datos'!H19</f>
        <v>0</v>
      </c>
      <c r="G19">
        <f>'Entrada datos'!J19</f>
        <v>0</v>
      </c>
      <c r="H19">
        <f>'Entrada datos'!L19</f>
        <v>0</v>
      </c>
      <c r="I19">
        <f>'Entrada datos'!O19</f>
        <v>0</v>
      </c>
      <c r="J19">
        <f>'Entrada datos'!P19</f>
        <v>0</v>
      </c>
      <c r="K19">
        <f>'Entrada datos'!Q19</f>
        <v>0</v>
      </c>
      <c r="L19">
        <f>'Entrada datos'!R19</f>
        <v>0</v>
      </c>
      <c r="M19">
        <f>'Entrada datos'!S19</f>
        <v>0</v>
      </c>
      <c r="N19">
        <f>'Entrada datos'!T19</f>
        <v>0</v>
      </c>
      <c r="O19">
        <f>'Entrada datos'!U19</f>
        <v>0</v>
      </c>
      <c r="P19" s="17">
        <f t="shared" si="5"/>
        <v>0</v>
      </c>
      <c r="Q19">
        <f>'Entrada datos'!V19</f>
        <v>0</v>
      </c>
      <c r="R19">
        <f>'Entrada datos'!W19</f>
        <v>0</v>
      </c>
      <c r="S19">
        <f>'Entrada datos'!X19</f>
        <v>0</v>
      </c>
      <c r="T19">
        <f>'Entrada datos'!Y19</f>
        <v>0</v>
      </c>
      <c r="U19">
        <f>'Entrada datos'!Z19</f>
        <v>0</v>
      </c>
      <c r="V19">
        <f>'Entrada datos'!AA19</f>
        <v>0</v>
      </c>
      <c r="W19" s="17">
        <f t="shared" si="0"/>
        <v>0</v>
      </c>
      <c r="X19">
        <f>'Entrada datos'!AB19</f>
        <v>0</v>
      </c>
      <c r="Y19">
        <f>'Entrada datos'!AC19</f>
        <v>0</v>
      </c>
      <c r="Z19">
        <f>'Entrada datos'!AD19</f>
        <v>0</v>
      </c>
      <c r="AA19">
        <f>'Entrada datos'!AE19</f>
        <v>0</v>
      </c>
      <c r="AB19">
        <f>'Entrada datos'!AF19</f>
        <v>0</v>
      </c>
      <c r="AC19">
        <f>'Entrada datos'!AG19</f>
        <v>0</v>
      </c>
      <c r="AD19" s="17">
        <f t="shared" si="6"/>
        <v>0</v>
      </c>
      <c r="AE19">
        <f>'Entrada datos'!AH19</f>
        <v>0</v>
      </c>
      <c r="AF19">
        <f>'Entrada datos'!AI19</f>
        <v>0</v>
      </c>
      <c r="AG19">
        <f>'Entrada datos'!AJ19</f>
        <v>0</v>
      </c>
      <c r="AH19">
        <f>'Entrada datos'!AK19</f>
        <v>0</v>
      </c>
      <c r="AI19">
        <f>'Entrada datos'!AL19</f>
        <v>0</v>
      </c>
      <c r="AJ19">
        <f>'Entrada datos'!AM19</f>
        <v>0</v>
      </c>
      <c r="AK19" s="17">
        <f t="shared" si="7"/>
        <v>0</v>
      </c>
      <c r="AL19">
        <f>'Entrada datos'!AN19</f>
        <v>0</v>
      </c>
      <c r="AM19">
        <f>'Entrada datos'!AO19</f>
        <v>0</v>
      </c>
      <c r="AN19">
        <f>'Entrada datos'!AP19</f>
        <v>0</v>
      </c>
      <c r="AO19">
        <f>'Entrada datos'!AQ19</f>
        <v>0</v>
      </c>
      <c r="AP19">
        <f>'Entrada datos'!AR19</f>
        <v>0</v>
      </c>
      <c r="AQ19">
        <f>'Entrada datos'!AS19</f>
        <v>0</v>
      </c>
      <c r="AR19" s="17">
        <f t="shared" si="8"/>
        <v>0</v>
      </c>
      <c r="AS19" s="23">
        <f t="shared" si="9"/>
        <v>0</v>
      </c>
      <c r="AT19">
        <f t="shared" si="10"/>
        <v>1900</v>
      </c>
      <c r="AU19" s="41" t="str">
        <f t="shared" si="11"/>
        <v>enero</v>
      </c>
      <c r="AV19">
        <f t="shared" si="12"/>
        <v>0</v>
      </c>
      <c r="AW19">
        <f t="shared" si="13"/>
        <v>0</v>
      </c>
      <c r="AX19" s="24">
        <f t="shared" si="1"/>
        <v>0</v>
      </c>
      <c r="AY19" s="24">
        <f t="shared" si="2"/>
        <v>0</v>
      </c>
      <c r="AZ19" s="24">
        <f t="shared" si="14"/>
        <v>0</v>
      </c>
      <c r="BA19">
        <f t="shared" si="15"/>
        <v>0</v>
      </c>
      <c r="BB19">
        <f t="shared" si="3"/>
        <v>0</v>
      </c>
      <c r="BC19" s="24">
        <f t="shared" si="4"/>
        <v>0</v>
      </c>
      <c r="BD19">
        <f t="shared" si="16"/>
        <v>0</v>
      </c>
    </row>
    <row r="20" spans="1:56" x14ac:dyDescent="0.3">
      <c r="A20">
        <f>'Entrada datos'!A20</f>
        <v>0</v>
      </c>
      <c r="B20">
        <f>'Entrada datos'!B20</f>
        <v>0</v>
      </c>
      <c r="C20">
        <f>'Entrada datos'!C20</f>
        <v>0</v>
      </c>
      <c r="D20">
        <f>'Entrada datos'!D20</f>
        <v>0</v>
      </c>
      <c r="E20" s="18">
        <f>'Entrada datos'!G20</f>
        <v>0</v>
      </c>
      <c r="F20" s="18">
        <f>'Entrada datos'!H20</f>
        <v>0</v>
      </c>
      <c r="G20">
        <f>'Entrada datos'!J20</f>
        <v>0</v>
      </c>
      <c r="H20">
        <f>'Entrada datos'!L20</f>
        <v>0</v>
      </c>
      <c r="I20">
        <f>'Entrada datos'!O20</f>
        <v>0</v>
      </c>
      <c r="J20">
        <f>'Entrada datos'!P20</f>
        <v>0</v>
      </c>
      <c r="K20">
        <f>'Entrada datos'!Q20</f>
        <v>0</v>
      </c>
      <c r="L20">
        <f>'Entrada datos'!R20</f>
        <v>0</v>
      </c>
      <c r="M20">
        <f>'Entrada datos'!S20</f>
        <v>0</v>
      </c>
      <c r="N20">
        <f>'Entrada datos'!T20</f>
        <v>0</v>
      </c>
      <c r="O20">
        <f>'Entrada datos'!U20</f>
        <v>0</v>
      </c>
      <c r="P20" s="17">
        <f t="shared" si="5"/>
        <v>0</v>
      </c>
      <c r="Q20">
        <f>'Entrada datos'!V20</f>
        <v>0</v>
      </c>
      <c r="R20">
        <f>'Entrada datos'!W20</f>
        <v>0</v>
      </c>
      <c r="S20">
        <f>'Entrada datos'!X20</f>
        <v>0</v>
      </c>
      <c r="T20">
        <f>'Entrada datos'!Y20</f>
        <v>0</v>
      </c>
      <c r="U20">
        <f>'Entrada datos'!Z20</f>
        <v>0</v>
      </c>
      <c r="V20">
        <f>'Entrada datos'!AA20</f>
        <v>0</v>
      </c>
      <c r="W20" s="17">
        <f t="shared" si="0"/>
        <v>0</v>
      </c>
      <c r="X20">
        <f>'Entrada datos'!AB20</f>
        <v>0</v>
      </c>
      <c r="Y20">
        <f>'Entrada datos'!AC20</f>
        <v>0</v>
      </c>
      <c r="Z20">
        <f>'Entrada datos'!AD20</f>
        <v>0</v>
      </c>
      <c r="AA20">
        <f>'Entrada datos'!AE20</f>
        <v>0</v>
      </c>
      <c r="AB20">
        <f>'Entrada datos'!AF20</f>
        <v>0</v>
      </c>
      <c r="AC20">
        <f>'Entrada datos'!AG20</f>
        <v>0</v>
      </c>
      <c r="AD20" s="17">
        <f t="shared" si="6"/>
        <v>0</v>
      </c>
      <c r="AE20">
        <f>'Entrada datos'!AH20</f>
        <v>0</v>
      </c>
      <c r="AF20">
        <f>'Entrada datos'!AI20</f>
        <v>0</v>
      </c>
      <c r="AG20">
        <f>'Entrada datos'!AJ20</f>
        <v>0</v>
      </c>
      <c r="AH20">
        <f>'Entrada datos'!AK20</f>
        <v>0</v>
      </c>
      <c r="AI20">
        <f>'Entrada datos'!AL20</f>
        <v>0</v>
      </c>
      <c r="AJ20">
        <f>'Entrada datos'!AM20</f>
        <v>0</v>
      </c>
      <c r="AK20" s="17">
        <f t="shared" si="7"/>
        <v>0</v>
      </c>
      <c r="AL20">
        <f>'Entrada datos'!AN20</f>
        <v>0</v>
      </c>
      <c r="AM20">
        <f>'Entrada datos'!AO20</f>
        <v>0</v>
      </c>
      <c r="AN20">
        <f>'Entrada datos'!AP20</f>
        <v>0</v>
      </c>
      <c r="AO20">
        <f>'Entrada datos'!AQ20</f>
        <v>0</v>
      </c>
      <c r="AP20">
        <f>'Entrada datos'!AR20</f>
        <v>0</v>
      </c>
      <c r="AQ20">
        <f>'Entrada datos'!AS20</f>
        <v>0</v>
      </c>
      <c r="AR20" s="17">
        <f t="shared" si="8"/>
        <v>0</v>
      </c>
      <c r="AS20" s="23">
        <f t="shared" si="9"/>
        <v>0</v>
      </c>
      <c r="AT20">
        <f t="shared" si="10"/>
        <v>1900</v>
      </c>
      <c r="AU20" s="41" t="str">
        <f t="shared" si="11"/>
        <v>enero</v>
      </c>
      <c r="AV20">
        <f t="shared" si="12"/>
        <v>0</v>
      </c>
      <c r="AW20">
        <f t="shared" si="13"/>
        <v>0</v>
      </c>
      <c r="AX20" s="24">
        <f t="shared" si="1"/>
        <v>0</v>
      </c>
      <c r="AY20" s="24">
        <f t="shared" si="2"/>
        <v>0</v>
      </c>
      <c r="AZ20" s="24">
        <f t="shared" si="14"/>
        <v>0</v>
      </c>
      <c r="BA20">
        <f t="shared" si="15"/>
        <v>0</v>
      </c>
      <c r="BB20">
        <f t="shared" si="3"/>
        <v>0</v>
      </c>
      <c r="BC20" s="24">
        <f t="shared" si="4"/>
        <v>0</v>
      </c>
      <c r="BD20">
        <f t="shared" si="16"/>
        <v>0</v>
      </c>
    </row>
    <row r="21" spans="1:56" x14ac:dyDescent="0.3">
      <c r="A21">
        <f>'Entrada datos'!A21</f>
        <v>0</v>
      </c>
      <c r="B21">
        <f>'Entrada datos'!B21</f>
        <v>0</v>
      </c>
      <c r="C21">
        <f>'Entrada datos'!C21</f>
        <v>0</v>
      </c>
      <c r="D21">
        <f>'Entrada datos'!D21</f>
        <v>0</v>
      </c>
      <c r="E21" s="18">
        <f>'Entrada datos'!G21</f>
        <v>0</v>
      </c>
      <c r="F21" s="18">
        <f>'Entrada datos'!H21</f>
        <v>0</v>
      </c>
      <c r="G21">
        <f>'Entrada datos'!J21</f>
        <v>0</v>
      </c>
      <c r="H21">
        <f>'Entrada datos'!L21</f>
        <v>0</v>
      </c>
      <c r="I21">
        <f>'Entrada datos'!O21</f>
        <v>0</v>
      </c>
      <c r="J21">
        <f>'Entrada datos'!P21</f>
        <v>0</v>
      </c>
      <c r="K21">
        <f>'Entrada datos'!Q21</f>
        <v>0</v>
      </c>
      <c r="L21">
        <f>'Entrada datos'!R21</f>
        <v>0</v>
      </c>
      <c r="M21">
        <f>'Entrada datos'!S21</f>
        <v>0</v>
      </c>
      <c r="N21">
        <f>'Entrada datos'!T21</f>
        <v>0</v>
      </c>
      <c r="O21">
        <f>'Entrada datos'!U21</f>
        <v>0</v>
      </c>
      <c r="P21" s="17">
        <f t="shared" si="5"/>
        <v>0</v>
      </c>
      <c r="Q21">
        <f>'Entrada datos'!V21</f>
        <v>0</v>
      </c>
      <c r="R21">
        <f>'Entrada datos'!W21</f>
        <v>0</v>
      </c>
      <c r="S21">
        <f>'Entrada datos'!X21</f>
        <v>0</v>
      </c>
      <c r="T21">
        <f>'Entrada datos'!Y21</f>
        <v>0</v>
      </c>
      <c r="U21">
        <f>'Entrada datos'!Z21</f>
        <v>0</v>
      </c>
      <c r="V21">
        <f>'Entrada datos'!AA21</f>
        <v>0</v>
      </c>
      <c r="W21" s="17">
        <f t="shared" si="0"/>
        <v>0</v>
      </c>
      <c r="X21">
        <f>'Entrada datos'!AB21</f>
        <v>0</v>
      </c>
      <c r="Y21">
        <f>'Entrada datos'!AC21</f>
        <v>0</v>
      </c>
      <c r="Z21">
        <f>'Entrada datos'!AD21</f>
        <v>0</v>
      </c>
      <c r="AA21">
        <f>'Entrada datos'!AE21</f>
        <v>0</v>
      </c>
      <c r="AB21">
        <f>'Entrada datos'!AF21</f>
        <v>0</v>
      </c>
      <c r="AC21">
        <f>'Entrada datos'!AG21</f>
        <v>0</v>
      </c>
      <c r="AD21" s="17">
        <f t="shared" si="6"/>
        <v>0</v>
      </c>
      <c r="AE21">
        <f>'Entrada datos'!AH21</f>
        <v>0</v>
      </c>
      <c r="AF21">
        <f>'Entrada datos'!AI21</f>
        <v>0</v>
      </c>
      <c r="AG21">
        <f>'Entrada datos'!AJ21</f>
        <v>0</v>
      </c>
      <c r="AH21">
        <f>'Entrada datos'!AK21</f>
        <v>0</v>
      </c>
      <c r="AI21">
        <f>'Entrada datos'!AL21</f>
        <v>0</v>
      </c>
      <c r="AJ21">
        <f>'Entrada datos'!AM21</f>
        <v>0</v>
      </c>
      <c r="AK21" s="17">
        <f t="shared" si="7"/>
        <v>0</v>
      </c>
      <c r="AL21">
        <f>'Entrada datos'!AN21</f>
        <v>0</v>
      </c>
      <c r="AM21">
        <f>'Entrada datos'!AO21</f>
        <v>0</v>
      </c>
      <c r="AN21">
        <f>'Entrada datos'!AP21</f>
        <v>0</v>
      </c>
      <c r="AO21">
        <f>'Entrada datos'!AQ21</f>
        <v>0</v>
      </c>
      <c r="AP21">
        <f>'Entrada datos'!AR21</f>
        <v>0</v>
      </c>
      <c r="AQ21">
        <f>'Entrada datos'!AS21</f>
        <v>0</v>
      </c>
      <c r="AR21" s="17">
        <f t="shared" si="8"/>
        <v>0</v>
      </c>
      <c r="AS21" s="23">
        <f t="shared" si="9"/>
        <v>0</v>
      </c>
      <c r="AT21">
        <f t="shared" si="10"/>
        <v>1900</v>
      </c>
      <c r="AU21" s="41" t="str">
        <f t="shared" si="11"/>
        <v>enero</v>
      </c>
      <c r="AV21">
        <f t="shared" si="12"/>
        <v>0</v>
      </c>
      <c r="AW21">
        <f t="shared" si="13"/>
        <v>0</v>
      </c>
      <c r="AX21" s="24">
        <f t="shared" si="1"/>
        <v>0</v>
      </c>
      <c r="AY21" s="24">
        <f t="shared" si="2"/>
        <v>0</v>
      </c>
      <c r="AZ21" s="24">
        <f t="shared" si="14"/>
        <v>0</v>
      </c>
      <c r="BA21">
        <f t="shared" si="15"/>
        <v>0</v>
      </c>
      <c r="BB21">
        <f t="shared" si="3"/>
        <v>0</v>
      </c>
      <c r="BC21" s="24">
        <f t="shared" si="4"/>
        <v>0</v>
      </c>
      <c r="BD21">
        <f t="shared" si="16"/>
        <v>0</v>
      </c>
    </row>
    <row r="22" spans="1:56" x14ac:dyDescent="0.3">
      <c r="A22">
        <f>'Entrada datos'!A22</f>
        <v>0</v>
      </c>
      <c r="B22">
        <f>'Entrada datos'!B22</f>
        <v>0</v>
      </c>
      <c r="C22">
        <f>'Entrada datos'!C22</f>
        <v>0</v>
      </c>
      <c r="D22">
        <f>'Entrada datos'!D22</f>
        <v>0</v>
      </c>
      <c r="E22" s="18">
        <f>'Entrada datos'!G22</f>
        <v>0</v>
      </c>
      <c r="F22" s="18">
        <f>'Entrada datos'!H22</f>
        <v>0</v>
      </c>
      <c r="G22">
        <f>'Entrada datos'!J22</f>
        <v>0</v>
      </c>
      <c r="H22">
        <f>'Entrada datos'!L22</f>
        <v>0</v>
      </c>
      <c r="I22">
        <f>'Entrada datos'!O22</f>
        <v>0</v>
      </c>
      <c r="J22">
        <f>'Entrada datos'!P22</f>
        <v>0</v>
      </c>
      <c r="K22">
        <f>'Entrada datos'!Q22</f>
        <v>0</v>
      </c>
      <c r="L22">
        <f>'Entrada datos'!R22</f>
        <v>0</v>
      </c>
      <c r="M22">
        <f>'Entrada datos'!S22</f>
        <v>0</v>
      </c>
      <c r="N22">
        <f>'Entrada datos'!T22</f>
        <v>0</v>
      </c>
      <c r="O22">
        <f>'Entrada datos'!U22</f>
        <v>0</v>
      </c>
      <c r="P22" s="17">
        <f t="shared" si="5"/>
        <v>0</v>
      </c>
      <c r="Q22">
        <f>'Entrada datos'!V22</f>
        <v>0</v>
      </c>
      <c r="R22">
        <f>'Entrada datos'!W22</f>
        <v>0</v>
      </c>
      <c r="S22">
        <f>'Entrada datos'!X22</f>
        <v>0</v>
      </c>
      <c r="T22">
        <f>'Entrada datos'!Y22</f>
        <v>0</v>
      </c>
      <c r="U22">
        <f>'Entrada datos'!Z22</f>
        <v>0</v>
      </c>
      <c r="V22">
        <f>'Entrada datos'!AA22</f>
        <v>0</v>
      </c>
      <c r="W22" s="17">
        <f t="shared" si="0"/>
        <v>0</v>
      </c>
      <c r="X22">
        <f>'Entrada datos'!AB22</f>
        <v>0</v>
      </c>
      <c r="Y22">
        <f>'Entrada datos'!AC22</f>
        <v>0</v>
      </c>
      <c r="Z22">
        <f>'Entrada datos'!AD22</f>
        <v>0</v>
      </c>
      <c r="AA22">
        <f>'Entrada datos'!AE22</f>
        <v>0</v>
      </c>
      <c r="AB22">
        <f>'Entrada datos'!AF22</f>
        <v>0</v>
      </c>
      <c r="AC22">
        <f>'Entrada datos'!AG22</f>
        <v>0</v>
      </c>
      <c r="AD22" s="17">
        <f t="shared" si="6"/>
        <v>0</v>
      </c>
      <c r="AE22">
        <f>'Entrada datos'!AH22</f>
        <v>0</v>
      </c>
      <c r="AF22">
        <f>'Entrada datos'!AI22</f>
        <v>0</v>
      </c>
      <c r="AG22">
        <f>'Entrada datos'!AJ22</f>
        <v>0</v>
      </c>
      <c r="AH22">
        <f>'Entrada datos'!AK22</f>
        <v>0</v>
      </c>
      <c r="AI22">
        <f>'Entrada datos'!AL22</f>
        <v>0</v>
      </c>
      <c r="AJ22">
        <f>'Entrada datos'!AM22</f>
        <v>0</v>
      </c>
      <c r="AK22" s="17">
        <f t="shared" si="7"/>
        <v>0</v>
      </c>
      <c r="AL22">
        <f>'Entrada datos'!AN22</f>
        <v>0</v>
      </c>
      <c r="AM22">
        <f>'Entrada datos'!AO22</f>
        <v>0</v>
      </c>
      <c r="AN22">
        <f>'Entrada datos'!AP22</f>
        <v>0</v>
      </c>
      <c r="AO22">
        <f>'Entrada datos'!AQ22</f>
        <v>0</v>
      </c>
      <c r="AP22">
        <f>'Entrada datos'!AR22</f>
        <v>0</v>
      </c>
      <c r="AQ22">
        <f>'Entrada datos'!AS22</f>
        <v>0</v>
      </c>
      <c r="AR22" s="17">
        <f t="shared" si="8"/>
        <v>0</v>
      </c>
      <c r="AS22" s="23">
        <f t="shared" si="9"/>
        <v>0</v>
      </c>
      <c r="AT22">
        <f t="shared" si="10"/>
        <v>1900</v>
      </c>
      <c r="AU22" s="41" t="str">
        <f t="shared" si="11"/>
        <v>enero</v>
      </c>
      <c r="AV22">
        <f t="shared" si="12"/>
        <v>0</v>
      </c>
      <c r="AW22">
        <f t="shared" si="13"/>
        <v>0</v>
      </c>
      <c r="AX22" s="24">
        <f t="shared" si="1"/>
        <v>0</v>
      </c>
      <c r="AY22" s="24">
        <f t="shared" si="2"/>
        <v>0</v>
      </c>
      <c r="AZ22" s="24">
        <f t="shared" si="14"/>
        <v>0</v>
      </c>
      <c r="BA22">
        <f t="shared" si="15"/>
        <v>0</v>
      </c>
      <c r="BB22">
        <f t="shared" si="3"/>
        <v>0</v>
      </c>
      <c r="BC22" s="24">
        <f t="shared" si="4"/>
        <v>0</v>
      </c>
      <c r="BD22">
        <f t="shared" si="16"/>
        <v>0</v>
      </c>
    </row>
    <row r="23" spans="1:56" x14ac:dyDescent="0.3">
      <c r="A23">
        <f>'Entrada datos'!A23</f>
        <v>0</v>
      </c>
      <c r="B23">
        <f>'Entrada datos'!B23</f>
        <v>0</v>
      </c>
      <c r="C23">
        <f>'Entrada datos'!C23</f>
        <v>0</v>
      </c>
      <c r="D23">
        <f>'Entrada datos'!D23</f>
        <v>0</v>
      </c>
      <c r="E23" s="18">
        <f>'Entrada datos'!G23</f>
        <v>0</v>
      </c>
      <c r="F23" s="18">
        <f>'Entrada datos'!H23</f>
        <v>0</v>
      </c>
      <c r="G23">
        <f>'Entrada datos'!J23</f>
        <v>0</v>
      </c>
      <c r="H23">
        <f>'Entrada datos'!L23</f>
        <v>0</v>
      </c>
      <c r="I23">
        <f>'Entrada datos'!O23</f>
        <v>0</v>
      </c>
      <c r="J23">
        <f>'Entrada datos'!P23</f>
        <v>0</v>
      </c>
      <c r="K23">
        <f>'Entrada datos'!Q23</f>
        <v>0</v>
      </c>
      <c r="L23">
        <f>'Entrada datos'!R23</f>
        <v>0</v>
      </c>
      <c r="M23">
        <f>'Entrada datos'!S23</f>
        <v>0</v>
      </c>
      <c r="N23">
        <f>'Entrada datos'!T23</f>
        <v>0</v>
      </c>
      <c r="O23">
        <f>'Entrada datos'!U23</f>
        <v>0</v>
      </c>
      <c r="P23" s="17">
        <f t="shared" si="5"/>
        <v>0</v>
      </c>
      <c r="Q23">
        <f>'Entrada datos'!V23</f>
        <v>0</v>
      </c>
      <c r="R23">
        <f>'Entrada datos'!W23</f>
        <v>0</v>
      </c>
      <c r="S23">
        <f>'Entrada datos'!X23</f>
        <v>0</v>
      </c>
      <c r="T23">
        <f>'Entrada datos'!Y23</f>
        <v>0</v>
      </c>
      <c r="U23">
        <f>'Entrada datos'!Z23</f>
        <v>0</v>
      </c>
      <c r="V23">
        <f>'Entrada datos'!AA23</f>
        <v>0</v>
      </c>
      <c r="W23" s="17">
        <f t="shared" si="0"/>
        <v>0</v>
      </c>
      <c r="X23">
        <f>'Entrada datos'!AB23</f>
        <v>0</v>
      </c>
      <c r="Y23">
        <f>'Entrada datos'!AC23</f>
        <v>0</v>
      </c>
      <c r="Z23">
        <f>'Entrada datos'!AD23</f>
        <v>0</v>
      </c>
      <c r="AA23">
        <f>'Entrada datos'!AE23</f>
        <v>0</v>
      </c>
      <c r="AB23">
        <f>'Entrada datos'!AF23</f>
        <v>0</v>
      </c>
      <c r="AC23">
        <f>'Entrada datos'!AG23</f>
        <v>0</v>
      </c>
      <c r="AD23" s="17">
        <f t="shared" si="6"/>
        <v>0</v>
      </c>
      <c r="AE23">
        <f>'Entrada datos'!AH23</f>
        <v>0</v>
      </c>
      <c r="AF23">
        <f>'Entrada datos'!AI23</f>
        <v>0</v>
      </c>
      <c r="AG23">
        <f>'Entrada datos'!AJ23</f>
        <v>0</v>
      </c>
      <c r="AH23">
        <f>'Entrada datos'!AK23</f>
        <v>0</v>
      </c>
      <c r="AI23">
        <f>'Entrada datos'!AL23</f>
        <v>0</v>
      </c>
      <c r="AJ23">
        <f>'Entrada datos'!AM23</f>
        <v>0</v>
      </c>
      <c r="AK23" s="17">
        <f t="shared" si="7"/>
        <v>0</v>
      </c>
      <c r="AL23">
        <f>'Entrada datos'!AN23</f>
        <v>0</v>
      </c>
      <c r="AM23">
        <f>'Entrada datos'!AO23</f>
        <v>0</v>
      </c>
      <c r="AN23">
        <f>'Entrada datos'!AP23</f>
        <v>0</v>
      </c>
      <c r="AO23">
        <f>'Entrada datos'!AQ23</f>
        <v>0</v>
      </c>
      <c r="AP23">
        <f>'Entrada datos'!AR23</f>
        <v>0</v>
      </c>
      <c r="AQ23">
        <f>'Entrada datos'!AS23</f>
        <v>0</v>
      </c>
      <c r="AR23" s="17">
        <f t="shared" si="8"/>
        <v>0</v>
      </c>
      <c r="AS23" s="23">
        <f t="shared" si="9"/>
        <v>0</v>
      </c>
      <c r="AT23">
        <f t="shared" si="10"/>
        <v>1900</v>
      </c>
      <c r="AU23" s="41" t="str">
        <f t="shared" si="11"/>
        <v>enero</v>
      </c>
      <c r="AV23">
        <f t="shared" si="12"/>
        <v>0</v>
      </c>
      <c r="AW23">
        <f t="shared" si="13"/>
        <v>0</v>
      </c>
      <c r="AX23" s="24">
        <f t="shared" si="1"/>
        <v>0</v>
      </c>
      <c r="AY23" s="24">
        <f t="shared" si="2"/>
        <v>0</v>
      </c>
      <c r="AZ23" s="24">
        <f t="shared" si="14"/>
        <v>0</v>
      </c>
      <c r="BA23">
        <f t="shared" si="15"/>
        <v>0</v>
      </c>
      <c r="BB23">
        <f t="shared" si="3"/>
        <v>0</v>
      </c>
      <c r="BC23" s="24">
        <f t="shared" si="4"/>
        <v>0</v>
      </c>
      <c r="BD23">
        <f t="shared" si="16"/>
        <v>0</v>
      </c>
    </row>
    <row r="24" spans="1:56" x14ac:dyDescent="0.3">
      <c r="A24">
        <f>'Entrada datos'!A24</f>
        <v>0</v>
      </c>
      <c r="B24">
        <f>'Entrada datos'!B24</f>
        <v>0</v>
      </c>
      <c r="C24">
        <f>'Entrada datos'!C24</f>
        <v>0</v>
      </c>
      <c r="D24">
        <f>'Entrada datos'!D24</f>
        <v>0</v>
      </c>
      <c r="E24" s="18">
        <f>'Entrada datos'!G24</f>
        <v>0</v>
      </c>
      <c r="F24" s="18">
        <f>'Entrada datos'!H24</f>
        <v>0</v>
      </c>
      <c r="G24">
        <f>'Entrada datos'!J24</f>
        <v>0</v>
      </c>
      <c r="H24">
        <f>'Entrada datos'!L24</f>
        <v>0</v>
      </c>
      <c r="I24">
        <f>'Entrada datos'!O24</f>
        <v>0</v>
      </c>
      <c r="J24">
        <f>'Entrada datos'!P24</f>
        <v>0</v>
      </c>
      <c r="K24">
        <f>'Entrada datos'!Q24</f>
        <v>0</v>
      </c>
      <c r="L24">
        <f>'Entrada datos'!R24</f>
        <v>0</v>
      </c>
      <c r="M24">
        <f>'Entrada datos'!S24</f>
        <v>0</v>
      </c>
      <c r="N24">
        <f>'Entrada datos'!T24</f>
        <v>0</v>
      </c>
      <c r="O24">
        <f>'Entrada datos'!U24</f>
        <v>0</v>
      </c>
      <c r="P24" s="17">
        <f t="shared" si="5"/>
        <v>0</v>
      </c>
      <c r="Q24">
        <f>'Entrada datos'!V24</f>
        <v>0</v>
      </c>
      <c r="R24">
        <f>'Entrada datos'!W24</f>
        <v>0</v>
      </c>
      <c r="S24">
        <f>'Entrada datos'!X24</f>
        <v>0</v>
      </c>
      <c r="T24">
        <f>'Entrada datos'!Y24</f>
        <v>0</v>
      </c>
      <c r="U24">
        <f>'Entrada datos'!Z24</f>
        <v>0</v>
      </c>
      <c r="V24">
        <f>'Entrada datos'!AA24</f>
        <v>0</v>
      </c>
      <c r="W24" s="17">
        <f t="shared" si="0"/>
        <v>0</v>
      </c>
      <c r="X24">
        <f>'Entrada datos'!AB24</f>
        <v>0</v>
      </c>
      <c r="Y24">
        <f>'Entrada datos'!AC24</f>
        <v>0</v>
      </c>
      <c r="Z24">
        <f>'Entrada datos'!AD24</f>
        <v>0</v>
      </c>
      <c r="AA24">
        <f>'Entrada datos'!AE24</f>
        <v>0</v>
      </c>
      <c r="AB24">
        <f>'Entrada datos'!AF24</f>
        <v>0</v>
      </c>
      <c r="AC24">
        <f>'Entrada datos'!AG24</f>
        <v>0</v>
      </c>
      <c r="AD24" s="17">
        <f t="shared" si="6"/>
        <v>0</v>
      </c>
      <c r="AE24">
        <f>'Entrada datos'!AH24</f>
        <v>0</v>
      </c>
      <c r="AF24">
        <f>'Entrada datos'!AI24</f>
        <v>0</v>
      </c>
      <c r="AG24">
        <f>'Entrada datos'!AJ24</f>
        <v>0</v>
      </c>
      <c r="AH24">
        <f>'Entrada datos'!AK24</f>
        <v>0</v>
      </c>
      <c r="AI24">
        <f>'Entrada datos'!AL24</f>
        <v>0</v>
      </c>
      <c r="AJ24">
        <f>'Entrada datos'!AM24</f>
        <v>0</v>
      </c>
      <c r="AK24" s="17">
        <f t="shared" si="7"/>
        <v>0</v>
      </c>
      <c r="AL24">
        <f>'Entrada datos'!AN24</f>
        <v>0</v>
      </c>
      <c r="AM24">
        <f>'Entrada datos'!AO24</f>
        <v>0</v>
      </c>
      <c r="AN24">
        <f>'Entrada datos'!AP24</f>
        <v>0</v>
      </c>
      <c r="AO24">
        <f>'Entrada datos'!AQ24</f>
        <v>0</v>
      </c>
      <c r="AP24">
        <f>'Entrada datos'!AR24</f>
        <v>0</v>
      </c>
      <c r="AQ24">
        <f>'Entrada datos'!AS24</f>
        <v>0</v>
      </c>
      <c r="AR24" s="17">
        <f t="shared" si="8"/>
        <v>0</v>
      </c>
      <c r="AS24" s="23">
        <f t="shared" si="9"/>
        <v>0</v>
      </c>
      <c r="AT24">
        <f t="shared" si="10"/>
        <v>1900</v>
      </c>
      <c r="AU24" s="41" t="str">
        <f t="shared" si="11"/>
        <v>enero</v>
      </c>
      <c r="AV24">
        <f t="shared" si="12"/>
        <v>0</v>
      </c>
      <c r="AW24">
        <f t="shared" si="13"/>
        <v>0</v>
      </c>
      <c r="AX24" s="24">
        <f t="shared" si="1"/>
        <v>0</v>
      </c>
      <c r="AY24" s="24">
        <f t="shared" si="2"/>
        <v>0</v>
      </c>
      <c r="AZ24" s="24">
        <f t="shared" si="14"/>
        <v>0</v>
      </c>
      <c r="BA24">
        <f t="shared" si="15"/>
        <v>0</v>
      </c>
      <c r="BB24">
        <f t="shared" si="3"/>
        <v>0</v>
      </c>
      <c r="BC24" s="24">
        <f t="shared" si="4"/>
        <v>0</v>
      </c>
      <c r="BD24">
        <f t="shared" si="16"/>
        <v>0</v>
      </c>
    </row>
    <row r="25" spans="1:56" x14ac:dyDescent="0.3">
      <c r="A25">
        <f>'Entrada datos'!A25</f>
        <v>0</v>
      </c>
      <c r="B25">
        <f>'Entrada datos'!B25</f>
        <v>0</v>
      </c>
      <c r="C25">
        <f>'Entrada datos'!C25</f>
        <v>0</v>
      </c>
      <c r="D25">
        <f>'Entrada datos'!D25</f>
        <v>0</v>
      </c>
      <c r="E25" s="18">
        <f>'Entrada datos'!G25</f>
        <v>0</v>
      </c>
      <c r="F25" s="18">
        <f>'Entrada datos'!H25</f>
        <v>0</v>
      </c>
      <c r="G25">
        <f>'Entrada datos'!J25</f>
        <v>0</v>
      </c>
      <c r="H25">
        <f>'Entrada datos'!L25</f>
        <v>0</v>
      </c>
      <c r="I25">
        <f>'Entrada datos'!O25</f>
        <v>0</v>
      </c>
      <c r="J25">
        <f>'Entrada datos'!P25</f>
        <v>0</v>
      </c>
      <c r="K25">
        <f>'Entrada datos'!Q25</f>
        <v>0</v>
      </c>
      <c r="L25">
        <f>'Entrada datos'!R25</f>
        <v>0</v>
      </c>
      <c r="M25">
        <f>'Entrada datos'!S25</f>
        <v>0</v>
      </c>
      <c r="N25">
        <f>'Entrada datos'!T25</f>
        <v>0</v>
      </c>
      <c r="O25">
        <f>'Entrada datos'!U25</f>
        <v>0</v>
      </c>
      <c r="P25" s="17">
        <f t="shared" si="5"/>
        <v>0</v>
      </c>
      <c r="Q25">
        <f>'Entrada datos'!V25</f>
        <v>0</v>
      </c>
      <c r="R25">
        <f>'Entrada datos'!W25</f>
        <v>0</v>
      </c>
      <c r="S25">
        <f>'Entrada datos'!X25</f>
        <v>0</v>
      </c>
      <c r="T25">
        <f>'Entrada datos'!Y25</f>
        <v>0</v>
      </c>
      <c r="U25">
        <f>'Entrada datos'!Z25</f>
        <v>0</v>
      </c>
      <c r="V25">
        <f>'Entrada datos'!AA25</f>
        <v>0</v>
      </c>
      <c r="W25" s="17">
        <f t="shared" si="0"/>
        <v>0</v>
      </c>
      <c r="X25">
        <f>'Entrada datos'!AB25</f>
        <v>0</v>
      </c>
      <c r="Y25">
        <f>'Entrada datos'!AC25</f>
        <v>0</v>
      </c>
      <c r="Z25">
        <f>'Entrada datos'!AD25</f>
        <v>0</v>
      </c>
      <c r="AA25">
        <f>'Entrada datos'!AE25</f>
        <v>0</v>
      </c>
      <c r="AB25">
        <f>'Entrada datos'!AF25</f>
        <v>0</v>
      </c>
      <c r="AC25">
        <f>'Entrada datos'!AG25</f>
        <v>0</v>
      </c>
      <c r="AD25" s="17">
        <f t="shared" si="6"/>
        <v>0</v>
      </c>
      <c r="AE25">
        <f>'Entrada datos'!AH25</f>
        <v>0</v>
      </c>
      <c r="AF25">
        <f>'Entrada datos'!AI25</f>
        <v>0</v>
      </c>
      <c r="AG25">
        <f>'Entrada datos'!AJ25</f>
        <v>0</v>
      </c>
      <c r="AH25">
        <f>'Entrada datos'!AK25</f>
        <v>0</v>
      </c>
      <c r="AI25">
        <f>'Entrada datos'!AL25</f>
        <v>0</v>
      </c>
      <c r="AJ25">
        <f>'Entrada datos'!AM25</f>
        <v>0</v>
      </c>
      <c r="AK25" s="17">
        <f t="shared" si="7"/>
        <v>0</v>
      </c>
      <c r="AL25">
        <f>'Entrada datos'!AN25</f>
        <v>0</v>
      </c>
      <c r="AM25">
        <f>'Entrada datos'!AO25</f>
        <v>0</v>
      </c>
      <c r="AN25">
        <f>'Entrada datos'!AP25</f>
        <v>0</v>
      </c>
      <c r="AO25">
        <f>'Entrada datos'!AQ25</f>
        <v>0</v>
      </c>
      <c r="AP25">
        <f>'Entrada datos'!AR25</f>
        <v>0</v>
      </c>
      <c r="AQ25">
        <f>'Entrada datos'!AS25</f>
        <v>0</v>
      </c>
      <c r="AR25" s="17">
        <f t="shared" si="8"/>
        <v>0</v>
      </c>
      <c r="AS25" s="23">
        <f t="shared" si="9"/>
        <v>0</v>
      </c>
      <c r="AT25">
        <f t="shared" si="10"/>
        <v>1900</v>
      </c>
      <c r="AU25" s="41" t="str">
        <f t="shared" si="11"/>
        <v>enero</v>
      </c>
      <c r="AV25">
        <f t="shared" si="12"/>
        <v>0</v>
      </c>
      <c r="AW25">
        <f t="shared" si="13"/>
        <v>0</v>
      </c>
      <c r="AX25" s="24">
        <f t="shared" si="1"/>
        <v>0</v>
      </c>
      <c r="AY25" s="24">
        <f t="shared" si="2"/>
        <v>0</v>
      </c>
      <c r="AZ25" s="24">
        <f t="shared" si="14"/>
        <v>0</v>
      </c>
      <c r="BA25">
        <f t="shared" si="15"/>
        <v>0</v>
      </c>
      <c r="BB25">
        <f t="shared" si="3"/>
        <v>0</v>
      </c>
      <c r="BC25" s="24">
        <f t="shared" si="4"/>
        <v>0</v>
      </c>
      <c r="BD25">
        <f t="shared" si="16"/>
        <v>0</v>
      </c>
    </row>
    <row r="26" spans="1:56" x14ac:dyDescent="0.3">
      <c r="A26">
        <f>'Entrada datos'!A26</f>
        <v>0</v>
      </c>
      <c r="B26">
        <f>'Entrada datos'!B26</f>
        <v>0</v>
      </c>
      <c r="C26">
        <f>'Entrada datos'!C26</f>
        <v>0</v>
      </c>
      <c r="D26">
        <f>'Entrada datos'!D26</f>
        <v>0</v>
      </c>
      <c r="E26" s="18">
        <f>'Entrada datos'!G26</f>
        <v>0</v>
      </c>
      <c r="F26" s="18">
        <f>'Entrada datos'!H26</f>
        <v>0</v>
      </c>
      <c r="G26">
        <f>'Entrada datos'!J26</f>
        <v>0</v>
      </c>
      <c r="H26">
        <f>'Entrada datos'!L26</f>
        <v>0</v>
      </c>
      <c r="I26">
        <f>'Entrada datos'!O26</f>
        <v>0</v>
      </c>
      <c r="J26">
        <f>'Entrada datos'!P26</f>
        <v>0</v>
      </c>
      <c r="K26">
        <f>'Entrada datos'!Q26</f>
        <v>0</v>
      </c>
      <c r="L26">
        <f>'Entrada datos'!R26</f>
        <v>0</v>
      </c>
      <c r="M26">
        <f>'Entrada datos'!S26</f>
        <v>0</v>
      </c>
      <c r="N26">
        <f>'Entrada datos'!T26</f>
        <v>0</v>
      </c>
      <c r="O26">
        <f>'Entrada datos'!U26</f>
        <v>0</v>
      </c>
      <c r="P26" s="17">
        <f t="shared" si="5"/>
        <v>0</v>
      </c>
      <c r="Q26">
        <f>'Entrada datos'!V26</f>
        <v>0</v>
      </c>
      <c r="R26">
        <f>'Entrada datos'!W26</f>
        <v>0</v>
      </c>
      <c r="S26">
        <f>'Entrada datos'!X26</f>
        <v>0</v>
      </c>
      <c r="T26">
        <f>'Entrada datos'!Y26</f>
        <v>0</v>
      </c>
      <c r="U26">
        <f>'Entrada datos'!Z26</f>
        <v>0</v>
      </c>
      <c r="V26">
        <f>'Entrada datos'!AA26</f>
        <v>0</v>
      </c>
      <c r="W26" s="17">
        <f t="shared" si="0"/>
        <v>0</v>
      </c>
      <c r="X26">
        <f>'Entrada datos'!AB26</f>
        <v>0</v>
      </c>
      <c r="Y26">
        <f>'Entrada datos'!AC26</f>
        <v>0</v>
      </c>
      <c r="Z26">
        <f>'Entrada datos'!AD26</f>
        <v>0</v>
      </c>
      <c r="AA26">
        <f>'Entrada datos'!AE26</f>
        <v>0</v>
      </c>
      <c r="AB26">
        <f>'Entrada datos'!AF26</f>
        <v>0</v>
      </c>
      <c r="AC26">
        <f>'Entrada datos'!AG26</f>
        <v>0</v>
      </c>
      <c r="AD26" s="17">
        <f t="shared" si="6"/>
        <v>0</v>
      </c>
      <c r="AE26">
        <f>'Entrada datos'!AH26</f>
        <v>0</v>
      </c>
      <c r="AF26">
        <f>'Entrada datos'!AI26</f>
        <v>0</v>
      </c>
      <c r="AG26">
        <f>'Entrada datos'!AJ26</f>
        <v>0</v>
      </c>
      <c r="AH26">
        <f>'Entrada datos'!AK26</f>
        <v>0</v>
      </c>
      <c r="AI26">
        <f>'Entrada datos'!AL26</f>
        <v>0</v>
      </c>
      <c r="AJ26">
        <f>'Entrada datos'!AM26</f>
        <v>0</v>
      </c>
      <c r="AK26" s="17">
        <f t="shared" si="7"/>
        <v>0</v>
      </c>
      <c r="AL26">
        <f>'Entrada datos'!AN26</f>
        <v>0</v>
      </c>
      <c r="AM26">
        <f>'Entrada datos'!AO26</f>
        <v>0</v>
      </c>
      <c r="AN26">
        <f>'Entrada datos'!AP26</f>
        <v>0</v>
      </c>
      <c r="AO26">
        <f>'Entrada datos'!AQ26</f>
        <v>0</v>
      </c>
      <c r="AP26">
        <f>'Entrada datos'!AR26</f>
        <v>0</v>
      </c>
      <c r="AQ26">
        <f>'Entrada datos'!AS26</f>
        <v>0</v>
      </c>
      <c r="AR26" s="17">
        <f t="shared" si="8"/>
        <v>0</v>
      </c>
      <c r="AS26" s="23">
        <f t="shared" si="9"/>
        <v>0</v>
      </c>
      <c r="AT26">
        <f t="shared" si="10"/>
        <v>1900</v>
      </c>
      <c r="AU26" s="41" t="str">
        <f t="shared" si="11"/>
        <v>enero</v>
      </c>
      <c r="AV26">
        <f t="shared" si="12"/>
        <v>0</v>
      </c>
      <c r="AW26">
        <f t="shared" si="13"/>
        <v>0</v>
      </c>
      <c r="AX26" s="24">
        <f t="shared" si="1"/>
        <v>0</v>
      </c>
      <c r="AY26" s="24">
        <f t="shared" si="2"/>
        <v>0</v>
      </c>
      <c r="AZ26" s="24">
        <f t="shared" si="14"/>
        <v>0</v>
      </c>
      <c r="BA26">
        <f t="shared" si="15"/>
        <v>0</v>
      </c>
      <c r="BB26">
        <f t="shared" si="3"/>
        <v>0</v>
      </c>
      <c r="BC26" s="24">
        <f t="shared" si="4"/>
        <v>0</v>
      </c>
      <c r="BD26">
        <f t="shared" si="16"/>
        <v>0</v>
      </c>
    </row>
    <row r="27" spans="1:56" x14ac:dyDescent="0.3">
      <c r="A27">
        <f>'Entrada datos'!A27</f>
        <v>0</v>
      </c>
      <c r="B27">
        <f>'Entrada datos'!B27</f>
        <v>0</v>
      </c>
      <c r="C27">
        <f>'Entrada datos'!C27</f>
        <v>0</v>
      </c>
      <c r="D27">
        <f>'Entrada datos'!D27</f>
        <v>0</v>
      </c>
      <c r="E27" s="18">
        <f>'Entrada datos'!G27</f>
        <v>0</v>
      </c>
      <c r="F27" s="18">
        <f>'Entrada datos'!H27</f>
        <v>0</v>
      </c>
      <c r="G27">
        <f>'Entrada datos'!J27</f>
        <v>0</v>
      </c>
      <c r="H27">
        <f>'Entrada datos'!L27</f>
        <v>0</v>
      </c>
      <c r="I27">
        <f>'Entrada datos'!O27</f>
        <v>0</v>
      </c>
      <c r="J27">
        <f>'Entrada datos'!P27</f>
        <v>0</v>
      </c>
      <c r="K27">
        <f>'Entrada datos'!Q27</f>
        <v>0</v>
      </c>
      <c r="L27">
        <f>'Entrada datos'!R27</f>
        <v>0</v>
      </c>
      <c r="M27">
        <f>'Entrada datos'!S27</f>
        <v>0</v>
      </c>
      <c r="N27">
        <f>'Entrada datos'!T27</f>
        <v>0</v>
      </c>
      <c r="O27">
        <f>'Entrada datos'!U27</f>
        <v>0</v>
      </c>
      <c r="P27" s="17">
        <f t="shared" si="5"/>
        <v>0</v>
      </c>
      <c r="Q27">
        <f>'Entrada datos'!V27</f>
        <v>0</v>
      </c>
      <c r="R27">
        <f>'Entrada datos'!W27</f>
        <v>0</v>
      </c>
      <c r="S27">
        <f>'Entrada datos'!X27</f>
        <v>0</v>
      </c>
      <c r="T27">
        <f>'Entrada datos'!Y27</f>
        <v>0</v>
      </c>
      <c r="U27">
        <f>'Entrada datos'!Z27</f>
        <v>0</v>
      </c>
      <c r="V27">
        <f>'Entrada datos'!AA27</f>
        <v>0</v>
      </c>
      <c r="W27" s="17">
        <f t="shared" si="0"/>
        <v>0</v>
      </c>
      <c r="X27">
        <f>'Entrada datos'!AB27</f>
        <v>0</v>
      </c>
      <c r="Y27">
        <f>'Entrada datos'!AC27</f>
        <v>0</v>
      </c>
      <c r="Z27">
        <f>'Entrada datos'!AD27</f>
        <v>0</v>
      </c>
      <c r="AA27">
        <f>'Entrada datos'!AE27</f>
        <v>0</v>
      </c>
      <c r="AB27">
        <f>'Entrada datos'!AF27</f>
        <v>0</v>
      </c>
      <c r="AC27">
        <f>'Entrada datos'!AG27</f>
        <v>0</v>
      </c>
      <c r="AD27" s="17">
        <f t="shared" si="6"/>
        <v>0</v>
      </c>
      <c r="AE27">
        <f>'Entrada datos'!AH27</f>
        <v>0</v>
      </c>
      <c r="AF27">
        <f>'Entrada datos'!AI27</f>
        <v>0</v>
      </c>
      <c r="AG27">
        <f>'Entrada datos'!AJ27</f>
        <v>0</v>
      </c>
      <c r="AH27">
        <f>'Entrada datos'!AK27</f>
        <v>0</v>
      </c>
      <c r="AI27">
        <f>'Entrada datos'!AL27</f>
        <v>0</v>
      </c>
      <c r="AJ27">
        <f>'Entrada datos'!AM27</f>
        <v>0</v>
      </c>
      <c r="AK27" s="17">
        <f t="shared" si="7"/>
        <v>0</v>
      </c>
      <c r="AL27">
        <f>'Entrada datos'!AN27</f>
        <v>0</v>
      </c>
      <c r="AM27">
        <f>'Entrada datos'!AO27</f>
        <v>0</v>
      </c>
      <c r="AN27">
        <f>'Entrada datos'!AP27</f>
        <v>0</v>
      </c>
      <c r="AO27">
        <f>'Entrada datos'!AQ27</f>
        <v>0</v>
      </c>
      <c r="AP27">
        <f>'Entrada datos'!AR27</f>
        <v>0</v>
      </c>
      <c r="AQ27">
        <f>'Entrada datos'!AS27</f>
        <v>0</v>
      </c>
      <c r="AR27" s="17">
        <f t="shared" si="8"/>
        <v>0</v>
      </c>
      <c r="AS27" s="23">
        <f t="shared" si="9"/>
        <v>0</v>
      </c>
      <c r="AT27">
        <f t="shared" si="10"/>
        <v>1900</v>
      </c>
      <c r="AU27" s="41" t="str">
        <f t="shared" si="11"/>
        <v>enero</v>
      </c>
      <c r="AV27">
        <f t="shared" si="12"/>
        <v>0</v>
      </c>
      <c r="AW27">
        <f t="shared" si="13"/>
        <v>0</v>
      </c>
      <c r="AX27" s="24">
        <f t="shared" si="1"/>
        <v>0</v>
      </c>
      <c r="AY27" s="24">
        <f t="shared" si="2"/>
        <v>0</v>
      </c>
      <c r="AZ27" s="24">
        <f t="shared" si="14"/>
        <v>0</v>
      </c>
      <c r="BA27">
        <f t="shared" si="15"/>
        <v>0</v>
      </c>
      <c r="BB27">
        <f t="shared" si="3"/>
        <v>0</v>
      </c>
      <c r="BC27" s="24">
        <f t="shared" si="4"/>
        <v>0</v>
      </c>
      <c r="BD27">
        <f t="shared" si="16"/>
        <v>0</v>
      </c>
    </row>
    <row r="28" spans="1:56" x14ac:dyDescent="0.3">
      <c r="A28">
        <f>'Entrada datos'!A28</f>
        <v>0</v>
      </c>
      <c r="B28">
        <f>'Entrada datos'!B28</f>
        <v>0</v>
      </c>
      <c r="C28">
        <f>'Entrada datos'!C28</f>
        <v>0</v>
      </c>
      <c r="D28">
        <f>'Entrada datos'!D28</f>
        <v>0</v>
      </c>
      <c r="E28" s="18">
        <f>'Entrada datos'!G28</f>
        <v>0</v>
      </c>
      <c r="F28" s="18">
        <f>'Entrada datos'!H28</f>
        <v>0</v>
      </c>
      <c r="G28">
        <f>'Entrada datos'!J28</f>
        <v>0</v>
      </c>
      <c r="H28">
        <f>'Entrada datos'!L28</f>
        <v>0</v>
      </c>
      <c r="I28">
        <f>'Entrada datos'!O28</f>
        <v>0</v>
      </c>
      <c r="J28">
        <f>'Entrada datos'!P28</f>
        <v>0</v>
      </c>
      <c r="K28">
        <f>'Entrada datos'!Q28</f>
        <v>0</v>
      </c>
      <c r="L28">
        <f>'Entrada datos'!R28</f>
        <v>0</v>
      </c>
      <c r="M28">
        <f>'Entrada datos'!S28</f>
        <v>0</v>
      </c>
      <c r="N28">
        <f>'Entrada datos'!T28</f>
        <v>0</v>
      </c>
      <c r="O28">
        <f>'Entrada datos'!U28</f>
        <v>0</v>
      </c>
      <c r="P28" s="17">
        <f t="shared" si="5"/>
        <v>0</v>
      </c>
      <c r="Q28">
        <f>'Entrada datos'!V28</f>
        <v>0</v>
      </c>
      <c r="R28">
        <f>'Entrada datos'!W28</f>
        <v>0</v>
      </c>
      <c r="S28">
        <f>'Entrada datos'!X28</f>
        <v>0</v>
      </c>
      <c r="T28">
        <f>'Entrada datos'!Y28</f>
        <v>0</v>
      </c>
      <c r="U28">
        <f>'Entrada datos'!Z28</f>
        <v>0</v>
      </c>
      <c r="V28">
        <f>'Entrada datos'!AA28</f>
        <v>0</v>
      </c>
      <c r="W28" s="17">
        <f t="shared" si="0"/>
        <v>0</v>
      </c>
      <c r="X28">
        <f>'Entrada datos'!AB28</f>
        <v>0</v>
      </c>
      <c r="Y28">
        <f>'Entrada datos'!AC28</f>
        <v>0</v>
      </c>
      <c r="Z28">
        <f>'Entrada datos'!AD28</f>
        <v>0</v>
      </c>
      <c r="AA28">
        <f>'Entrada datos'!AE28</f>
        <v>0</v>
      </c>
      <c r="AB28">
        <f>'Entrada datos'!AF28</f>
        <v>0</v>
      </c>
      <c r="AC28">
        <f>'Entrada datos'!AG28</f>
        <v>0</v>
      </c>
      <c r="AD28" s="17">
        <f t="shared" si="6"/>
        <v>0</v>
      </c>
      <c r="AE28">
        <f>'Entrada datos'!AH28</f>
        <v>0</v>
      </c>
      <c r="AF28">
        <f>'Entrada datos'!AI28</f>
        <v>0</v>
      </c>
      <c r="AG28">
        <f>'Entrada datos'!AJ28</f>
        <v>0</v>
      </c>
      <c r="AH28">
        <f>'Entrada datos'!AK28</f>
        <v>0</v>
      </c>
      <c r="AI28">
        <f>'Entrada datos'!AL28</f>
        <v>0</v>
      </c>
      <c r="AJ28">
        <f>'Entrada datos'!AM28</f>
        <v>0</v>
      </c>
      <c r="AK28" s="17">
        <f t="shared" si="7"/>
        <v>0</v>
      </c>
      <c r="AL28">
        <f>'Entrada datos'!AN28</f>
        <v>0</v>
      </c>
      <c r="AM28">
        <f>'Entrada datos'!AO28</f>
        <v>0</v>
      </c>
      <c r="AN28">
        <f>'Entrada datos'!AP28</f>
        <v>0</v>
      </c>
      <c r="AO28">
        <f>'Entrada datos'!AQ28</f>
        <v>0</v>
      </c>
      <c r="AP28">
        <f>'Entrada datos'!AR28</f>
        <v>0</v>
      </c>
      <c r="AQ28">
        <f>'Entrada datos'!AS28</f>
        <v>0</v>
      </c>
      <c r="AR28" s="17">
        <f t="shared" si="8"/>
        <v>0</v>
      </c>
      <c r="AS28" s="23">
        <f t="shared" si="9"/>
        <v>0</v>
      </c>
      <c r="AT28">
        <f t="shared" si="10"/>
        <v>1900</v>
      </c>
      <c r="AU28" s="41" t="str">
        <f t="shared" si="11"/>
        <v>enero</v>
      </c>
      <c r="AV28">
        <f t="shared" si="12"/>
        <v>0</v>
      </c>
      <c r="AW28">
        <f t="shared" si="13"/>
        <v>0</v>
      </c>
      <c r="AX28" s="24">
        <f t="shared" si="1"/>
        <v>0</v>
      </c>
      <c r="AY28" s="24">
        <f t="shared" si="2"/>
        <v>0</v>
      </c>
      <c r="AZ28" s="24">
        <f t="shared" si="14"/>
        <v>0</v>
      </c>
      <c r="BA28">
        <f t="shared" si="15"/>
        <v>0</v>
      </c>
      <c r="BB28">
        <f t="shared" si="3"/>
        <v>0</v>
      </c>
      <c r="BC28" s="24">
        <f t="shared" si="4"/>
        <v>0</v>
      </c>
      <c r="BD28">
        <f t="shared" si="16"/>
        <v>0</v>
      </c>
    </row>
    <row r="29" spans="1:56" x14ac:dyDescent="0.3">
      <c r="A29">
        <f>'Entrada datos'!A29</f>
        <v>0</v>
      </c>
      <c r="B29">
        <f>'Entrada datos'!B29</f>
        <v>0</v>
      </c>
      <c r="C29">
        <f>'Entrada datos'!C29</f>
        <v>0</v>
      </c>
      <c r="D29">
        <f>'Entrada datos'!D29</f>
        <v>0</v>
      </c>
      <c r="E29" s="18">
        <f>'Entrada datos'!G29</f>
        <v>0</v>
      </c>
      <c r="F29" s="18">
        <f>'Entrada datos'!H29</f>
        <v>0</v>
      </c>
      <c r="G29">
        <f>'Entrada datos'!J29</f>
        <v>0</v>
      </c>
      <c r="H29">
        <f>'Entrada datos'!L29</f>
        <v>0</v>
      </c>
      <c r="I29">
        <f>'Entrada datos'!O29</f>
        <v>0</v>
      </c>
      <c r="J29">
        <f>'Entrada datos'!P29</f>
        <v>0</v>
      </c>
      <c r="K29">
        <f>'Entrada datos'!Q29</f>
        <v>0</v>
      </c>
      <c r="L29">
        <f>'Entrada datos'!R29</f>
        <v>0</v>
      </c>
      <c r="M29">
        <f>'Entrada datos'!S29</f>
        <v>0</v>
      </c>
      <c r="N29">
        <f>'Entrada datos'!T29</f>
        <v>0</v>
      </c>
      <c r="O29">
        <f>'Entrada datos'!U29</f>
        <v>0</v>
      </c>
      <c r="P29" s="17">
        <f t="shared" si="5"/>
        <v>0</v>
      </c>
      <c r="Q29">
        <f>'Entrada datos'!V29</f>
        <v>0</v>
      </c>
      <c r="R29">
        <f>'Entrada datos'!W29</f>
        <v>0</v>
      </c>
      <c r="S29">
        <f>'Entrada datos'!X29</f>
        <v>0</v>
      </c>
      <c r="T29">
        <f>'Entrada datos'!Y29</f>
        <v>0</v>
      </c>
      <c r="U29">
        <f>'Entrada datos'!Z29</f>
        <v>0</v>
      </c>
      <c r="V29">
        <f>'Entrada datos'!AA29</f>
        <v>0</v>
      </c>
      <c r="W29" s="17">
        <f t="shared" si="0"/>
        <v>0</v>
      </c>
      <c r="X29">
        <f>'Entrada datos'!AB29</f>
        <v>0</v>
      </c>
      <c r="Y29">
        <f>'Entrada datos'!AC29</f>
        <v>0</v>
      </c>
      <c r="Z29">
        <f>'Entrada datos'!AD29</f>
        <v>0</v>
      </c>
      <c r="AA29">
        <f>'Entrada datos'!AE29</f>
        <v>0</v>
      </c>
      <c r="AB29">
        <f>'Entrada datos'!AF29</f>
        <v>0</v>
      </c>
      <c r="AC29">
        <f>'Entrada datos'!AG29</f>
        <v>0</v>
      </c>
      <c r="AD29" s="17">
        <f t="shared" si="6"/>
        <v>0</v>
      </c>
      <c r="AE29">
        <f>'Entrada datos'!AH29</f>
        <v>0</v>
      </c>
      <c r="AF29">
        <f>'Entrada datos'!AI29</f>
        <v>0</v>
      </c>
      <c r="AG29">
        <f>'Entrada datos'!AJ29</f>
        <v>0</v>
      </c>
      <c r="AH29">
        <f>'Entrada datos'!AK29</f>
        <v>0</v>
      </c>
      <c r="AI29">
        <f>'Entrada datos'!AL29</f>
        <v>0</v>
      </c>
      <c r="AJ29">
        <f>'Entrada datos'!AM29</f>
        <v>0</v>
      </c>
      <c r="AK29" s="17">
        <f t="shared" si="7"/>
        <v>0</v>
      </c>
      <c r="AL29">
        <f>'Entrada datos'!AN29</f>
        <v>0</v>
      </c>
      <c r="AM29">
        <f>'Entrada datos'!AO29</f>
        <v>0</v>
      </c>
      <c r="AN29">
        <f>'Entrada datos'!AP29</f>
        <v>0</v>
      </c>
      <c r="AO29">
        <f>'Entrada datos'!AQ29</f>
        <v>0</v>
      </c>
      <c r="AP29">
        <f>'Entrada datos'!AR29</f>
        <v>0</v>
      </c>
      <c r="AQ29">
        <f>'Entrada datos'!AS29</f>
        <v>0</v>
      </c>
      <c r="AR29" s="17">
        <f t="shared" si="8"/>
        <v>0</v>
      </c>
      <c r="AS29" s="23">
        <f t="shared" si="9"/>
        <v>0</v>
      </c>
      <c r="AT29">
        <f t="shared" si="10"/>
        <v>1900</v>
      </c>
      <c r="AU29" s="41" t="str">
        <f t="shared" si="11"/>
        <v>enero</v>
      </c>
      <c r="AV29">
        <f t="shared" si="12"/>
        <v>0</v>
      </c>
      <c r="AW29">
        <f t="shared" si="13"/>
        <v>0</v>
      </c>
      <c r="AX29" s="24">
        <f t="shared" si="1"/>
        <v>0</v>
      </c>
      <c r="AY29" s="24">
        <f t="shared" si="2"/>
        <v>0</v>
      </c>
      <c r="AZ29" s="24">
        <f t="shared" si="14"/>
        <v>0</v>
      </c>
      <c r="BA29">
        <f t="shared" si="15"/>
        <v>0</v>
      </c>
      <c r="BB29">
        <f t="shared" si="3"/>
        <v>0</v>
      </c>
      <c r="BC29" s="24">
        <f t="shared" si="4"/>
        <v>0</v>
      </c>
      <c r="BD29">
        <f t="shared" si="16"/>
        <v>0</v>
      </c>
    </row>
    <row r="30" spans="1:56" x14ac:dyDescent="0.3">
      <c r="A30">
        <f>'Entrada datos'!A30</f>
        <v>0</v>
      </c>
      <c r="B30">
        <f>'Entrada datos'!B30</f>
        <v>0</v>
      </c>
      <c r="C30">
        <f>'Entrada datos'!C30</f>
        <v>0</v>
      </c>
      <c r="D30">
        <f>'Entrada datos'!D30</f>
        <v>0</v>
      </c>
      <c r="E30" s="18">
        <f>'Entrada datos'!G30</f>
        <v>0</v>
      </c>
      <c r="F30" s="18">
        <f>'Entrada datos'!H30</f>
        <v>0</v>
      </c>
      <c r="G30">
        <f>'Entrada datos'!J30</f>
        <v>0</v>
      </c>
      <c r="H30">
        <f>'Entrada datos'!L30</f>
        <v>0</v>
      </c>
      <c r="I30">
        <f>'Entrada datos'!O30</f>
        <v>0</v>
      </c>
      <c r="J30">
        <f>'Entrada datos'!P30</f>
        <v>0</v>
      </c>
      <c r="K30">
        <f>'Entrada datos'!Q30</f>
        <v>0</v>
      </c>
      <c r="L30">
        <f>'Entrada datos'!R30</f>
        <v>0</v>
      </c>
      <c r="M30">
        <f>'Entrada datos'!S30</f>
        <v>0</v>
      </c>
      <c r="N30">
        <f>'Entrada datos'!T30</f>
        <v>0</v>
      </c>
      <c r="O30">
        <f>'Entrada datos'!U30</f>
        <v>0</v>
      </c>
      <c r="P30" s="17">
        <f t="shared" si="5"/>
        <v>0</v>
      </c>
      <c r="Q30">
        <f>'Entrada datos'!V30</f>
        <v>0</v>
      </c>
      <c r="R30">
        <f>'Entrada datos'!W30</f>
        <v>0</v>
      </c>
      <c r="S30">
        <f>'Entrada datos'!X30</f>
        <v>0</v>
      </c>
      <c r="T30">
        <f>'Entrada datos'!Y30</f>
        <v>0</v>
      </c>
      <c r="U30">
        <f>'Entrada datos'!Z30</f>
        <v>0</v>
      </c>
      <c r="V30">
        <f>'Entrada datos'!AA30</f>
        <v>0</v>
      </c>
      <c r="W30" s="17">
        <f t="shared" si="0"/>
        <v>0</v>
      </c>
      <c r="X30">
        <f>'Entrada datos'!AB30</f>
        <v>0</v>
      </c>
      <c r="Y30">
        <f>'Entrada datos'!AC30</f>
        <v>0</v>
      </c>
      <c r="Z30">
        <f>'Entrada datos'!AD30</f>
        <v>0</v>
      </c>
      <c r="AA30">
        <f>'Entrada datos'!AE30</f>
        <v>0</v>
      </c>
      <c r="AB30">
        <f>'Entrada datos'!AF30</f>
        <v>0</v>
      </c>
      <c r="AC30">
        <f>'Entrada datos'!AG30</f>
        <v>0</v>
      </c>
      <c r="AD30" s="17">
        <f t="shared" si="6"/>
        <v>0</v>
      </c>
      <c r="AE30">
        <f>'Entrada datos'!AH30</f>
        <v>0</v>
      </c>
      <c r="AF30">
        <f>'Entrada datos'!AI30</f>
        <v>0</v>
      </c>
      <c r="AG30">
        <f>'Entrada datos'!AJ30</f>
        <v>0</v>
      </c>
      <c r="AH30">
        <f>'Entrada datos'!AK30</f>
        <v>0</v>
      </c>
      <c r="AI30">
        <f>'Entrada datos'!AL30</f>
        <v>0</v>
      </c>
      <c r="AJ30">
        <f>'Entrada datos'!AM30</f>
        <v>0</v>
      </c>
      <c r="AK30" s="17">
        <f t="shared" si="7"/>
        <v>0</v>
      </c>
      <c r="AL30">
        <f>'Entrada datos'!AN30</f>
        <v>0</v>
      </c>
      <c r="AM30">
        <f>'Entrada datos'!AO30</f>
        <v>0</v>
      </c>
      <c r="AN30">
        <f>'Entrada datos'!AP30</f>
        <v>0</v>
      </c>
      <c r="AO30">
        <f>'Entrada datos'!AQ30</f>
        <v>0</v>
      </c>
      <c r="AP30">
        <f>'Entrada datos'!AR30</f>
        <v>0</v>
      </c>
      <c r="AQ30">
        <f>'Entrada datos'!AS30</f>
        <v>0</v>
      </c>
      <c r="AR30" s="17">
        <f t="shared" si="8"/>
        <v>0</v>
      </c>
      <c r="AS30" s="23">
        <f t="shared" si="9"/>
        <v>0</v>
      </c>
      <c r="AT30">
        <f t="shared" si="10"/>
        <v>1900</v>
      </c>
      <c r="AU30" s="41" t="str">
        <f t="shared" si="11"/>
        <v>enero</v>
      </c>
      <c r="AV30">
        <f t="shared" si="12"/>
        <v>0</v>
      </c>
      <c r="AW30">
        <f t="shared" si="13"/>
        <v>0</v>
      </c>
      <c r="AX30" s="24">
        <f t="shared" si="1"/>
        <v>0</v>
      </c>
      <c r="AY30" s="24">
        <f t="shared" si="2"/>
        <v>0</v>
      </c>
      <c r="AZ30" s="24">
        <f t="shared" si="14"/>
        <v>0</v>
      </c>
      <c r="BA30">
        <f t="shared" si="15"/>
        <v>0</v>
      </c>
      <c r="BB30">
        <f t="shared" si="3"/>
        <v>0</v>
      </c>
      <c r="BC30" s="24">
        <f t="shared" si="4"/>
        <v>0</v>
      </c>
      <c r="BD30">
        <f t="shared" si="16"/>
        <v>0</v>
      </c>
    </row>
    <row r="31" spans="1:56" x14ac:dyDescent="0.3">
      <c r="A31">
        <f>'Entrada datos'!A31</f>
        <v>0</v>
      </c>
      <c r="B31">
        <f>'Entrada datos'!B31</f>
        <v>0</v>
      </c>
      <c r="C31">
        <f>'Entrada datos'!C31</f>
        <v>0</v>
      </c>
      <c r="D31">
        <f>'Entrada datos'!D31</f>
        <v>0</v>
      </c>
      <c r="E31" s="18">
        <f>'Entrada datos'!G31</f>
        <v>0</v>
      </c>
      <c r="F31" s="18">
        <f>'Entrada datos'!H31</f>
        <v>0</v>
      </c>
      <c r="G31">
        <f>'Entrada datos'!J31</f>
        <v>0</v>
      </c>
      <c r="H31">
        <f>'Entrada datos'!L31</f>
        <v>0</v>
      </c>
      <c r="I31">
        <f>'Entrada datos'!O31</f>
        <v>0</v>
      </c>
      <c r="J31">
        <f>'Entrada datos'!P31</f>
        <v>0</v>
      </c>
      <c r="K31">
        <f>'Entrada datos'!Q31</f>
        <v>0</v>
      </c>
      <c r="L31">
        <f>'Entrada datos'!R31</f>
        <v>0</v>
      </c>
      <c r="M31">
        <f>'Entrada datos'!S31</f>
        <v>0</v>
      </c>
      <c r="N31">
        <f>'Entrada datos'!T31</f>
        <v>0</v>
      </c>
      <c r="O31">
        <f>'Entrada datos'!U31</f>
        <v>0</v>
      </c>
      <c r="P31" s="17">
        <f t="shared" si="5"/>
        <v>0</v>
      </c>
      <c r="Q31">
        <f>'Entrada datos'!V31</f>
        <v>0</v>
      </c>
      <c r="R31">
        <f>'Entrada datos'!W31</f>
        <v>0</v>
      </c>
      <c r="S31">
        <f>'Entrada datos'!X31</f>
        <v>0</v>
      </c>
      <c r="T31">
        <f>'Entrada datos'!Y31</f>
        <v>0</v>
      </c>
      <c r="U31">
        <f>'Entrada datos'!Z31</f>
        <v>0</v>
      </c>
      <c r="V31">
        <f>'Entrada datos'!AA31</f>
        <v>0</v>
      </c>
      <c r="W31" s="17">
        <f t="shared" si="0"/>
        <v>0</v>
      </c>
      <c r="X31">
        <f>'Entrada datos'!AB31</f>
        <v>0</v>
      </c>
      <c r="Y31">
        <f>'Entrada datos'!AC31</f>
        <v>0</v>
      </c>
      <c r="Z31">
        <f>'Entrada datos'!AD31</f>
        <v>0</v>
      </c>
      <c r="AA31">
        <f>'Entrada datos'!AE31</f>
        <v>0</v>
      </c>
      <c r="AB31">
        <f>'Entrada datos'!AF31</f>
        <v>0</v>
      </c>
      <c r="AC31">
        <f>'Entrada datos'!AG31</f>
        <v>0</v>
      </c>
      <c r="AD31" s="17">
        <f t="shared" si="6"/>
        <v>0</v>
      </c>
      <c r="AE31">
        <f>'Entrada datos'!AH31</f>
        <v>0</v>
      </c>
      <c r="AF31">
        <f>'Entrada datos'!AI31</f>
        <v>0</v>
      </c>
      <c r="AG31">
        <f>'Entrada datos'!AJ31</f>
        <v>0</v>
      </c>
      <c r="AH31">
        <f>'Entrada datos'!AK31</f>
        <v>0</v>
      </c>
      <c r="AI31">
        <f>'Entrada datos'!AL31</f>
        <v>0</v>
      </c>
      <c r="AJ31">
        <f>'Entrada datos'!AM31</f>
        <v>0</v>
      </c>
      <c r="AK31" s="17">
        <f t="shared" si="7"/>
        <v>0</v>
      </c>
      <c r="AL31">
        <f>'Entrada datos'!AN31</f>
        <v>0</v>
      </c>
      <c r="AM31">
        <f>'Entrada datos'!AO31</f>
        <v>0</v>
      </c>
      <c r="AN31">
        <f>'Entrada datos'!AP31</f>
        <v>0</v>
      </c>
      <c r="AO31">
        <f>'Entrada datos'!AQ31</f>
        <v>0</v>
      </c>
      <c r="AP31">
        <f>'Entrada datos'!AR31</f>
        <v>0</v>
      </c>
      <c r="AQ31">
        <f>'Entrada datos'!AS31</f>
        <v>0</v>
      </c>
      <c r="AR31" s="17">
        <f t="shared" si="8"/>
        <v>0</v>
      </c>
      <c r="AS31" s="23">
        <f t="shared" si="9"/>
        <v>0</v>
      </c>
      <c r="AT31">
        <f t="shared" si="10"/>
        <v>1900</v>
      </c>
      <c r="AU31" s="41" t="str">
        <f t="shared" si="11"/>
        <v>enero</v>
      </c>
      <c r="AV31">
        <f t="shared" si="12"/>
        <v>0</v>
      </c>
      <c r="AW31">
        <f t="shared" si="13"/>
        <v>0</v>
      </c>
      <c r="AX31" s="24">
        <f t="shared" si="1"/>
        <v>0</v>
      </c>
      <c r="AY31" s="24">
        <f t="shared" si="2"/>
        <v>0</v>
      </c>
      <c r="AZ31" s="24">
        <f t="shared" si="14"/>
        <v>0</v>
      </c>
      <c r="BA31">
        <f t="shared" si="15"/>
        <v>0</v>
      </c>
      <c r="BB31">
        <f t="shared" si="3"/>
        <v>0</v>
      </c>
      <c r="BC31" s="24">
        <f t="shared" si="4"/>
        <v>0</v>
      </c>
      <c r="BD31">
        <f t="shared" si="16"/>
        <v>0</v>
      </c>
    </row>
    <row r="32" spans="1:56" x14ac:dyDescent="0.3">
      <c r="A32">
        <f>'Entrada datos'!A32</f>
        <v>0</v>
      </c>
      <c r="B32">
        <f>'Entrada datos'!B32</f>
        <v>0</v>
      </c>
      <c r="C32">
        <f>'Entrada datos'!C32</f>
        <v>0</v>
      </c>
      <c r="D32">
        <f>'Entrada datos'!D32</f>
        <v>0</v>
      </c>
      <c r="E32" s="18">
        <f>'Entrada datos'!G32</f>
        <v>0</v>
      </c>
      <c r="F32" s="18">
        <f>'Entrada datos'!H32</f>
        <v>0</v>
      </c>
      <c r="G32">
        <f>'Entrada datos'!J32</f>
        <v>0</v>
      </c>
      <c r="H32">
        <f>'Entrada datos'!L32</f>
        <v>0</v>
      </c>
      <c r="I32">
        <f>'Entrada datos'!O32</f>
        <v>0</v>
      </c>
      <c r="J32">
        <f>'Entrada datos'!P32</f>
        <v>0</v>
      </c>
      <c r="K32">
        <f>'Entrada datos'!Q32</f>
        <v>0</v>
      </c>
      <c r="L32">
        <f>'Entrada datos'!R32</f>
        <v>0</v>
      </c>
      <c r="M32">
        <f>'Entrada datos'!S32</f>
        <v>0</v>
      </c>
      <c r="N32">
        <f>'Entrada datos'!T32</f>
        <v>0</v>
      </c>
      <c r="O32">
        <f>'Entrada datos'!U32</f>
        <v>0</v>
      </c>
      <c r="P32" s="17">
        <f t="shared" si="5"/>
        <v>0</v>
      </c>
      <c r="Q32">
        <f>'Entrada datos'!V32</f>
        <v>0</v>
      </c>
      <c r="R32">
        <f>'Entrada datos'!W32</f>
        <v>0</v>
      </c>
      <c r="S32">
        <f>'Entrada datos'!X32</f>
        <v>0</v>
      </c>
      <c r="T32">
        <f>'Entrada datos'!Y32</f>
        <v>0</v>
      </c>
      <c r="U32">
        <f>'Entrada datos'!Z32</f>
        <v>0</v>
      </c>
      <c r="V32">
        <f>'Entrada datos'!AA32</f>
        <v>0</v>
      </c>
      <c r="W32" s="17">
        <f t="shared" si="0"/>
        <v>0</v>
      </c>
      <c r="X32">
        <f>'Entrada datos'!AB32</f>
        <v>0</v>
      </c>
      <c r="Y32">
        <f>'Entrada datos'!AC32</f>
        <v>0</v>
      </c>
      <c r="Z32">
        <f>'Entrada datos'!AD32</f>
        <v>0</v>
      </c>
      <c r="AA32">
        <f>'Entrada datos'!AE32</f>
        <v>0</v>
      </c>
      <c r="AB32">
        <f>'Entrada datos'!AF32</f>
        <v>0</v>
      </c>
      <c r="AC32">
        <f>'Entrada datos'!AG32</f>
        <v>0</v>
      </c>
      <c r="AD32" s="17">
        <f t="shared" si="6"/>
        <v>0</v>
      </c>
      <c r="AE32">
        <f>'Entrada datos'!AH32</f>
        <v>0</v>
      </c>
      <c r="AF32">
        <f>'Entrada datos'!AI32</f>
        <v>0</v>
      </c>
      <c r="AG32">
        <f>'Entrada datos'!AJ32</f>
        <v>0</v>
      </c>
      <c r="AH32">
        <f>'Entrada datos'!AK32</f>
        <v>0</v>
      </c>
      <c r="AI32">
        <f>'Entrada datos'!AL32</f>
        <v>0</v>
      </c>
      <c r="AJ32">
        <f>'Entrada datos'!AM32</f>
        <v>0</v>
      </c>
      <c r="AK32" s="17">
        <f t="shared" si="7"/>
        <v>0</v>
      </c>
      <c r="AL32">
        <f>'Entrada datos'!AN32</f>
        <v>0</v>
      </c>
      <c r="AM32">
        <f>'Entrada datos'!AO32</f>
        <v>0</v>
      </c>
      <c r="AN32">
        <f>'Entrada datos'!AP32</f>
        <v>0</v>
      </c>
      <c r="AO32">
        <f>'Entrada datos'!AQ32</f>
        <v>0</v>
      </c>
      <c r="AP32">
        <f>'Entrada datos'!AR32</f>
        <v>0</v>
      </c>
      <c r="AQ32">
        <f>'Entrada datos'!AS32</f>
        <v>0</v>
      </c>
      <c r="AR32" s="17">
        <f t="shared" si="8"/>
        <v>0</v>
      </c>
      <c r="AS32" s="23">
        <f t="shared" si="9"/>
        <v>0</v>
      </c>
      <c r="AT32">
        <f t="shared" si="10"/>
        <v>1900</v>
      </c>
      <c r="AU32" s="41" t="str">
        <f t="shared" si="11"/>
        <v>enero</v>
      </c>
      <c r="AV32">
        <f t="shared" si="12"/>
        <v>0</v>
      </c>
      <c r="AW32">
        <f t="shared" si="13"/>
        <v>0</v>
      </c>
      <c r="AX32" s="24">
        <f t="shared" si="1"/>
        <v>0</v>
      </c>
      <c r="AY32" s="24">
        <f t="shared" si="2"/>
        <v>0</v>
      </c>
      <c r="AZ32" s="24">
        <f t="shared" si="14"/>
        <v>0</v>
      </c>
      <c r="BA32">
        <f t="shared" si="15"/>
        <v>0</v>
      </c>
      <c r="BB32">
        <f t="shared" si="3"/>
        <v>0</v>
      </c>
      <c r="BC32" s="24">
        <f t="shared" si="4"/>
        <v>0</v>
      </c>
      <c r="BD32">
        <f t="shared" si="16"/>
        <v>0</v>
      </c>
    </row>
    <row r="33" spans="1:56" x14ac:dyDescent="0.3">
      <c r="A33">
        <f>'Entrada datos'!A33</f>
        <v>0</v>
      </c>
      <c r="B33">
        <f>'Entrada datos'!B33</f>
        <v>0</v>
      </c>
      <c r="C33">
        <f>'Entrada datos'!C33</f>
        <v>0</v>
      </c>
      <c r="D33">
        <f>'Entrada datos'!D33</f>
        <v>0</v>
      </c>
      <c r="E33" s="18">
        <f>'Entrada datos'!G33</f>
        <v>0</v>
      </c>
      <c r="F33" s="18">
        <f>'Entrada datos'!H33</f>
        <v>0</v>
      </c>
      <c r="G33">
        <f>'Entrada datos'!J33</f>
        <v>0</v>
      </c>
      <c r="H33">
        <f>'Entrada datos'!L33</f>
        <v>0</v>
      </c>
      <c r="I33">
        <f>'Entrada datos'!O33</f>
        <v>0</v>
      </c>
      <c r="J33">
        <f>'Entrada datos'!P33</f>
        <v>0</v>
      </c>
      <c r="K33">
        <f>'Entrada datos'!Q33</f>
        <v>0</v>
      </c>
      <c r="L33">
        <f>'Entrada datos'!R33</f>
        <v>0</v>
      </c>
      <c r="M33">
        <f>'Entrada datos'!S33</f>
        <v>0</v>
      </c>
      <c r="N33">
        <f>'Entrada datos'!T33</f>
        <v>0</v>
      </c>
      <c r="O33">
        <f>'Entrada datos'!U33</f>
        <v>0</v>
      </c>
      <c r="P33" s="17">
        <f t="shared" si="5"/>
        <v>0</v>
      </c>
      <c r="Q33">
        <f>'Entrada datos'!V33</f>
        <v>0</v>
      </c>
      <c r="R33">
        <f>'Entrada datos'!W33</f>
        <v>0</v>
      </c>
      <c r="S33">
        <f>'Entrada datos'!X33</f>
        <v>0</v>
      </c>
      <c r="T33">
        <f>'Entrada datos'!Y33</f>
        <v>0</v>
      </c>
      <c r="U33">
        <f>'Entrada datos'!Z33</f>
        <v>0</v>
      </c>
      <c r="V33">
        <f>'Entrada datos'!AA33</f>
        <v>0</v>
      </c>
      <c r="W33" s="17">
        <f t="shared" si="0"/>
        <v>0</v>
      </c>
      <c r="X33">
        <f>'Entrada datos'!AB33</f>
        <v>0</v>
      </c>
      <c r="Y33">
        <f>'Entrada datos'!AC33</f>
        <v>0</v>
      </c>
      <c r="Z33">
        <f>'Entrada datos'!AD33</f>
        <v>0</v>
      </c>
      <c r="AA33">
        <f>'Entrada datos'!AE33</f>
        <v>0</v>
      </c>
      <c r="AB33">
        <f>'Entrada datos'!AF33</f>
        <v>0</v>
      </c>
      <c r="AC33">
        <f>'Entrada datos'!AG33</f>
        <v>0</v>
      </c>
      <c r="AD33" s="17">
        <f t="shared" si="6"/>
        <v>0</v>
      </c>
      <c r="AE33">
        <f>'Entrada datos'!AH33</f>
        <v>0</v>
      </c>
      <c r="AF33">
        <f>'Entrada datos'!AI33</f>
        <v>0</v>
      </c>
      <c r="AG33">
        <f>'Entrada datos'!AJ33</f>
        <v>0</v>
      </c>
      <c r="AH33">
        <f>'Entrada datos'!AK33</f>
        <v>0</v>
      </c>
      <c r="AI33">
        <f>'Entrada datos'!AL33</f>
        <v>0</v>
      </c>
      <c r="AJ33">
        <f>'Entrada datos'!AM33</f>
        <v>0</v>
      </c>
      <c r="AK33" s="17">
        <f t="shared" si="7"/>
        <v>0</v>
      </c>
      <c r="AL33">
        <f>'Entrada datos'!AN33</f>
        <v>0</v>
      </c>
      <c r="AM33">
        <f>'Entrada datos'!AO33</f>
        <v>0</v>
      </c>
      <c r="AN33">
        <f>'Entrada datos'!AP33</f>
        <v>0</v>
      </c>
      <c r="AO33">
        <f>'Entrada datos'!AQ33</f>
        <v>0</v>
      </c>
      <c r="AP33">
        <f>'Entrada datos'!AR33</f>
        <v>0</v>
      </c>
      <c r="AQ33">
        <f>'Entrada datos'!AS33</f>
        <v>0</v>
      </c>
      <c r="AR33" s="17">
        <f t="shared" si="8"/>
        <v>0</v>
      </c>
      <c r="AS33" s="23">
        <f t="shared" si="9"/>
        <v>0</v>
      </c>
      <c r="AT33">
        <f t="shared" si="10"/>
        <v>1900</v>
      </c>
      <c r="AU33" s="41" t="str">
        <f t="shared" si="11"/>
        <v>enero</v>
      </c>
      <c r="AV33">
        <f t="shared" si="12"/>
        <v>0</v>
      </c>
      <c r="AW33">
        <f t="shared" si="13"/>
        <v>0</v>
      </c>
      <c r="AX33" s="24">
        <f t="shared" si="1"/>
        <v>0</v>
      </c>
      <c r="AY33" s="24">
        <f t="shared" si="2"/>
        <v>0</v>
      </c>
      <c r="AZ33" s="24">
        <f t="shared" si="14"/>
        <v>0</v>
      </c>
      <c r="BA33">
        <f t="shared" si="15"/>
        <v>0</v>
      </c>
      <c r="BB33">
        <f t="shared" si="3"/>
        <v>0</v>
      </c>
      <c r="BC33" s="24">
        <f t="shared" si="4"/>
        <v>0</v>
      </c>
      <c r="BD33">
        <f t="shared" si="16"/>
        <v>0</v>
      </c>
    </row>
    <row r="34" spans="1:56" x14ac:dyDescent="0.3">
      <c r="A34">
        <f>'Entrada datos'!A34</f>
        <v>0</v>
      </c>
      <c r="B34">
        <f>'Entrada datos'!B34</f>
        <v>0</v>
      </c>
      <c r="C34">
        <f>'Entrada datos'!C34</f>
        <v>0</v>
      </c>
      <c r="D34">
        <f>'Entrada datos'!D34</f>
        <v>0</v>
      </c>
      <c r="E34" s="18">
        <f>'Entrada datos'!G34</f>
        <v>0</v>
      </c>
      <c r="F34" s="18">
        <f>'Entrada datos'!H34</f>
        <v>0</v>
      </c>
      <c r="G34">
        <f>'Entrada datos'!J34</f>
        <v>0</v>
      </c>
      <c r="H34">
        <f>'Entrada datos'!L34</f>
        <v>0</v>
      </c>
      <c r="I34">
        <f>'Entrada datos'!O34</f>
        <v>0</v>
      </c>
      <c r="J34">
        <f>'Entrada datos'!P34</f>
        <v>0</v>
      </c>
      <c r="K34">
        <f>'Entrada datos'!Q34</f>
        <v>0</v>
      </c>
      <c r="L34">
        <f>'Entrada datos'!R34</f>
        <v>0</v>
      </c>
      <c r="M34">
        <f>'Entrada datos'!S34</f>
        <v>0</v>
      </c>
      <c r="N34">
        <f>'Entrada datos'!T34</f>
        <v>0</v>
      </c>
      <c r="O34">
        <f>'Entrada datos'!U34</f>
        <v>0</v>
      </c>
      <c r="P34" s="17">
        <f t="shared" si="5"/>
        <v>0</v>
      </c>
      <c r="Q34">
        <f>'Entrada datos'!V34</f>
        <v>0</v>
      </c>
      <c r="R34">
        <f>'Entrada datos'!W34</f>
        <v>0</v>
      </c>
      <c r="S34">
        <f>'Entrada datos'!X34</f>
        <v>0</v>
      </c>
      <c r="T34">
        <f>'Entrada datos'!Y34</f>
        <v>0</v>
      </c>
      <c r="U34">
        <f>'Entrada datos'!Z34</f>
        <v>0</v>
      </c>
      <c r="V34">
        <f>'Entrada datos'!AA34</f>
        <v>0</v>
      </c>
      <c r="W34" s="17">
        <f t="shared" si="0"/>
        <v>0</v>
      </c>
      <c r="X34">
        <f>'Entrada datos'!AB34</f>
        <v>0</v>
      </c>
      <c r="Y34">
        <f>'Entrada datos'!AC34</f>
        <v>0</v>
      </c>
      <c r="Z34">
        <f>'Entrada datos'!AD34</f>
        <v>0</v>
      </c>
      <c r="AA34">
        <f>'Entrada datos'!AE34</f>
        <v>0</v>
      </c>
      <c r="AB34">
        <f>'Entrada datos'!AF34</f>
        <v>0</v>
      </c>
      <c r="AC34">
        <f>'Entrada datos'!AG34</f>
        <v>0</v>
      </c>
      <c r="AD34" s="17">
        <f t="shared" si="6"/>
        <v>0</v>
      </c>
      <c r="AE34">
        <f>'Entrada datos'!AH34</f>
        <v>0</v>
      </c>
      <c r="AF34">
        <f>'Entrada datos'!AI34</f>
        <v>0</v>
      </c>
      <c r="AG34">
        <f>'Entrada datos'!AJ34</f>
        <v>0</v>
      </c>
      <c r="AH34">
        <f>'Entrada datos'!AK34</f>
        <v>0</v>
      </c>
      <c r="AI34">
        <f>'Entrada datos'!AL34</f>
        <v>0</v>
      </c>
      <c r="AJ34">
        <f>'Entrada datos'!AM34</f>
        <v>0</v>
      </c>
      <c r="AK34" s="17">
        <f t="shared" si="7"/>
        <v>0</v>
      </c>
      <c r="AL34">
        <f>'Entrada datos'!AN34</f>
        <v>0</v>
      </c>
      <c r="AM34">
        <f>'Entrada datos'!AO34</f>
        <v>0</v>
      </c>
      <c r="AN34">
        <f>'Entrada datos'!AP34</f>
        <v>0</v>
      </c>
      <c r="AO34">
        <f>'Entrada datos'!AQ34</f>
        <v>0</v>
      </c>
      <c r="AP34">
        <f>'Entrada datos'!AR34</f>
        <v>0</v>
      </c>
      <c r="AQ34">
        <f>'Entrada datos'!AS34</f>
        <v>0</v>
      </c>
      <c r="AR34" s="17">
        <f t="shared" si="8"/>
        <v>0</v>
      </c>
      <c r="AS34" s="23">
        <f t="shared" si="9"/>
        <v>0</v>
      </c>
      <c r="AT34">
        <f t="shared" si="10"/>
        <v>1900</v>
      </c>
      <c r="AU34" s="41" t="str">
        <f t="shared" si="11"/>
        <v>enero</v>
      </c>
      <c r="AV34">
        <f t="shared" si="12"/>
        <v>0</v>
      </c>
      <c r="AW34">
        <f t="shared" si="13"/>
        <v>0</v>
      </c>
      <c r="AX34" s="24">
        <f t="shared" si="1"/>
        <v>0</v>
      </c>
      <c r="AY34" s="24">
        <f t="shared" si="2"/>
        <v>0</v>
      </c>
      <c r="AZ34" s="24">
        <f t="shared" si="14"/>
        <v>0</v>
      </c>
      <c r="BA34">
        <f t="shared" si="15"/>
        <v>0</v>
      </c>
      <c r="BB34">
        <f t="shared" si="3"/>
        <v>0</v>
      </c>
      <c r="BC34" s="24">
        <f t="shared" si="4"/>
        <v>0</v>
      </c>
      <c r="BD34">
        <f t="shared" si="16"/>
        <v>0</v>
      </c>
    </row>
    <row r="35" spans="1:56" x14ac:dyDescent="0.3">
      <c r="A35">
        <f>'Entrada datos'!A35</f>
        <v>0</v>
      </c>
      <c r="B35">
        <f>'Entrada datos'!B35</f>
        <v>0</v>
      </c>
      <c r="C35">
        <f>'Entrada datos'!C35</f>
        <v>0</v>
      </c>
      <c r="D35">
        <f>'Entrada datos'!D35</f>
        <v>0</v>
      </c>
      <c r="E35" s="18">
        <f>'Entrada datos'!G35</f>
        <v>0</v>
      </c>
      <c r="F35" s="18">
        <f>'Entrada datos'!H35</f>
        <v>0</v>
      </c>
      <c r="G35">
        <f>'Entrada datos'!J35</f>
        <v>0</v>
      </c>
      <c r="H35">
        <f>'Entrada datos'!L35</f>
        <v>0</v>
      </c>
      <c r="I35">
        <f>'Entrada datos'!O35</f>
        <v>0</v>
      </c>
      <c r="J35">
        <f>'Entrada datos'!P35</f>
        <v>0</v>
      </c>
      <c r="K35">
        <f>'Entrada datos'!Q35</f>
        <v>0</v>
      </c>
      <c r="L35">
        <f>'Entrada datos'!R35</f>
        <v>0</v>
      </c>
      <c r="M35">
        <f>'Entrada datos'!S35</f>
        <v>0</v>
      </c>
      <c r="N35">
        <f>'Entrada datos'!T35</f>
        <v>0</v>
      </c>
      <c r="O35">
        <f>'Entrada datos'!U35</f>
        <v>0</v>
      </c>
      <c r="P35" s="17">
        <f t="shared" si="5"/>
        <v>0</v>
      </c>
      <c r="Q35">
        <f>'Entrada datos'!V35</f>
        <v>0</v>
      </c>
      <c r="R35">
        <f>'Entrada datos'!W35</f>
        <v>0</v>
      </c>
      <c r="S35">
        <f>'Entrada datos'!X35</f>
        <v>0</v>
      </c>
      <c r="T35">
        <f>'Entrada datos'!Y35</f>
        <v>0</v>
      </c>
      <c r="U35">
        <f>'Entrada datos'!Z35</f>
        <v>0</v>
      </c>
      <c r="V35">
        <f>'Entrada datos'!AA35</f>
        <v>0</v>
      </c>
      <c r="W35" s="17">
        <f t="shared" si="0"/>
        <v>0</v>
      </c>
      <c r="X35">
        <f>'Entrada datos'!AB35</f>
        <v>0</v>
      </c>
      <c r="Y35">
        <f>'Entrada datos'!AC35</f>
        <v>0</v>
      </c>
      <c r="Z35">
        <f>'Entrada datos'!AD35</f>
        <v>0</v>
      </c>
      <c r="AA35">
        <f>'Entrada datos'!AE35</f>
        <v>0</v>
      </c>
      <c r="AB35">
        <f>'Entrada datos'!AF35</f>
        <v>0</v>
      </c>
      <c r="AC35">
        <f>'Entrada datos'!AG35</f>
        <v>0</v>
      </c>
      <c r="AD35" s="17">
        <f t="shared" si="6"/>
        <v>0</v>
      </c>
      <c r="AE35">
        <f>'Entrada datos'!AH35</f>
        <v>0</v>
      </c>
      <c r="AF35">
        <f>'Entrada datos'!AI35</f>
        <v>0</v>
      </c>
      <c r="AG35">
        <f>'Entrada datos'!AJ35</f>
        <v>0</v>
      </c>
      <c r="AH35">
        <f>'Entrada datos'!AK35</f>
        <v>0</v>
      </c>
      <c r="AI35">
        <f>'Entrada datos'!AL35</f>
        <v>0</v>
      </c>
      <c r="AJ35">
        <f>'Entrada datos'!AM35</f>
        <v>0</v>
      </c>
      <c r="AK35" s="17">
        <f t="shared" si="7"/>
        <v>0</v>
      </c>
      <c r="AL35">
        <f>'Entrada datos'!AN35</f>
        <v>0</v>
      </c>
      <c r="AM35">
        <f>'Entrada datos'!AO35</f>
        <v>0</v>
      </c>
      <c r="AN35">
        <f>'Entrada datos'!AP35</f>
        <v>0</v>
      </c>
      <c r="AO35">
        <f>'Entrada datos'!AQ35</f>
        <v>0</v>
      </c>
      <c r="AP35">
        <f>'Entrada datos'!AR35</f>
        <v>0</v>
      </c>
      <c r="AQ35">
        <f>'Entrada datos'!AS35</f>
        <v>0</v>
      </c>
      <c r="AR35" s="17">
        <f t="shared" si="8"/>
        <v>0</v>
      </c>
      <c r="AS35" s="23">
        <f t="shared" si="9"/>
        <v>0</v>
      </c>
      <c r="AT35">
        <f t="shared" si="10"/>
        <v>1900</v>
      </c>
      <c r="AU35" s="41" t="str">
        <f t="shared" si="11"/>
        <v>enero</v>
      </c>
      <c r="AV35">
        <f t="shared" si="12"/>
        <v>0</v>
      </c>
      <c r="AW35">
        <f t="shared" si="13"/>
        <v>0</v>
      </c>
      <c r="AX35" s="24">
        <f t="shared" si="1"/>
        <v>0</v>
      </c>
      <c r="AY35" s="24">
        <f t="shared" si="2"/>
        <v>0</v>
      </c>
      <c r="AZ35" s="24">
        <f t="shared" si="14"/>
        <v>0</v>
      </c>
      <c r="BA35">
        <f t="shared" si="15"/>
        <v>0</v>
      </c>
      <c r="BB35">
        <f t="shared" si="3"/>
        <v>0</v>
      </c>
      <c r="BC35" s="24">
        <f t="shared" si="4"/>
        <v>0</v>
      </c>
      <c r="BD35">
        <f t="shared" si="16"/>
        <v>0</v>
      </c>
    </row>
    <row r="36" spans="1:56" x14ac:dyDescent="0.3">
      <c r="A36">
        <f>'Entrada datos'!A36</f>
        <v>0</v>
      </c>
      <c r="B36">
        <f>'Entrada datos'!B36</f>
        <v>0</v>
      </c>
      <c r="C36">
        <f>'Entrada datos'!C36</f>
        <v>0</v>
      </c>
      <c r="D36">
        <f>'Entrada datos'!D36</f>
        <v>0</v>
      </c>
      <c r="E36" s="18">
        <f>'Entrada datos'!G36</f>
        <v>0</v>
      </c>
      <c r="F36" s="18">
        <f>'Entrada datos'!H36</f>
        <v>0</v>
      </c>
      <c r="G36">
        <f>'Entrada datos'!J36</f>
        <v>0</v>
      </c>
      <c r="H36">
        <f>'Entrada datos'!L36</f>
        <v>0</v>
      </c>
      <c r="I36">
        <f>'Entrada datos'!O36</f>
        <v>0</v>
      </c>
      <c r="J36">
        <f>'Entrada datos'!P36</f>
        <v>0</v>
      </c>
      <c r="K36">
        <f>'Entrada datos'!Q36</f>
        <v>0</v>
      </c>
      <c r="L36">
        <f>'Entrada datos'!R36</f>
        <v>0</v>
      </c>
      <c r="M36">
        <f>'Entrada datos'!S36</f>
        <v>0</v>
      </c>
      <c r="N36">
        <f>'Entrada datos'!T36</f>
        <v>0</v>
      </c>
      <c r="O36">
        <f>'Entrada datos'!U36</f>
        <v>0</v>
      </c>
      <c r="P36" s="17">
        <f t="shared" si="5"/>
        <v>0</v>
      </c>
      <c r="Q36">
        <f>'Entrada datos'!V36</f>
        <v>0</v>
      </c>
      <c r="R36">
        <f>'Entrada datos'!W36</f>
        <v>0</v>
      </c>
      <c r="S36">
        <f>'Entrada datos'!X36</f>
        <v>0</v>
      </c>
      <c r="T36">
        <f>'Entrada datos'!Y36</f>
        <v>0</v>
      </c>
      <c r="U36">
        <f>'Entrada datos'!Z36</f>
        <v>0</v>
      </c>
      <c r="V36">
        <f>'Entrada datos'!AA36</f>
        <v>0</v>
      </c>
      <c r="W36" s="17">
        <f t="shared" si="0"/>
        <v>0</v>
      </c>
      <c r="X36">
        <f>'Entrada datos'!AB36</f>
        <v>0</v>
      </c>
      <c r="Y36">
        <f>'Entrada datos'!AC36</f>
        <v>0</v>
      </c>
      <c r="Z36">
        <f>'Entrada datos'!AD36</f>
        <v>0</v>
      </c>
      <c r="AA36">
        <f>'Entrada datos'!AE36</f>
        <v>0</v>
      </c>
      <c r="AB36">
        <f>'Entrada datos'!AF36</f>
        <v>0</v>
      </c>
      <c r="AC36">
        <f>'Entrada datos'!AG36</f>
        <v>0</v>
      </c>
      <c r="AD36" s="17">
        <f t="shared" si="6"/>
        <v>0</v>
      </c>
      <c r="AE36">
        <f>'Entrada datos'!AH36</f>
        <v>0</v>
      </c>
      <c r="AF36">
        <f>'Entrada datos'!AI36</f>
        <v>0</v>
      </c>
      <c r="AG36">
        <f>'Entrada datos'!AJ36</f>
        <v>0</v>
      </c>
      <c r="AH36">
        <f>'Entrada datos'!AK36</f>
        <v>0</v>
      </c>
      <c r="AI36">
        <f>'Entrada datos'!AL36</f>
        <v>0</v>
      </c>
      <c r="AJ36">
        <f>'Entrada datos'!AM36</f>
        <v>0</v>
      </c>
      <c r="AK36" s="17">
        <f t="shared" si="7"/>
        <v>0</v>
      </c>
      <c r="AL36">
        <f>'Entrada datos'!AN36</f>
        <v>0</v>
      </c>
      <c r="AM36">
        <f>'Entrada datos'!AO36</f>
        <v>0</v>
      </c>
      <c r="AN36">
        <f>'Entrada datos'!AP36</f>
        <v>0</v>
      </c>
      <c r="AO36">
        <f>'Entrada datos'!AQ36</f>
        <v>0</v>
      </c>
      <c r="AP36">
        <f>'Entrada datos'!AR36</f>
        <v>0</v>
      </c>
      <c r="AQ36">
        <f>'Entrada datos'!AS36</f>
        <v>0</v>
      </c>
      <c r="AR36" s="17">
        <f t="shared" si="8"/>
        <v>0</v>
      </c>
      <c r="AS36" s="23">
        <f t="shared" si="9"/>
        <v>0</v>
      </c>
      <c r="AT36">
        <f t="shared" si="10"/>
        <v>1900</v>
      </c>
      <c r="AU36" s="41" t="str">
        <f t="shared" si="11"/>
        <v>enero</v>
      </c>
      <c r="AV36">
        <f t="shared" si="12"/>
        <v>0</v>
      </c>
      <c r="AW36">
        <f t="shared" si="13"/>
        <v>0</v>
      </c>
      <c r="AX36" s="24">
        <f t="shared" si="1"/>
        <v>0</v>
      </c>
      <c r="AY36" s="24">
        <f t="shared" si="2"/>
        <v>0</v>
      </c>
      <c r="AZ36" s="24">
        <f t="shared" si="14"/>
        <v>0</v>
      </c>
      <c r="BA36">
        <f t="shared" si="15"/>
        <v>0</v>
      </c>
      <c r="BB36">
        <f t="shared" si="3"/>
        <v>0</v>
      </c>
      <c r="BC36" s="24">
        <f t="shared" si="4"/>
        <v>0</v>
      </c>
      <c r="BD36">
        <f t="shared" si="16"/>
        <v>0</v>
      </c>
    </row>
    <row r="37" spans="1:56" x14ac:dyDescent="0.3">
      <c r="A37">
        <f>'Entrada datos'!A37</f>
        <v>0</v>
      </c>
      <c r="B37">
        <f>'Entrada datos'!B37</f>
        <v>0</v>
      </c>
      <c r="C37">
        <f>'Entrada datos'!C37</f>
        <v>0</v>
      </c>
      <c r="D37">
        <f>'Entrada datos'!D37</f>
        <v>0</v>
      </c>
      <c r="E37" s="18">
        <f>'Entrada datos'!G37</f>
        <v>0</v>
      </c>
      <c r="F37" s="18">
        <f>'Entrada datos'!H37</f>
        <v>0</v>
      </c>
      <c r="G37">
        <f>'Entrada datos'!J37</f>
        <v>0</v>
      </c>
      <c r="H37">
        <f>'Entrada datos'!L37</f>
        <v>0</v>
      </c>
      <c r="I37">
        <f>'Entrada datos'!O37</f>
        <v>0</v>
      </c>
      <c r="J37">
        <f>'Entrada datos'!P37</f>
        <v>0</v>
      </c>
      <c r="K37">
        <f>'Entrada datos'!Q37</f>
        <v>0</v>
      </c>
      <c r="L37">
        <f>'Entrada datos'!R37</f>
        <v>0</v>
      </c>
      <c r="M37">
        <f>'Entrada datos'!S37</f>
        <v>0</v>
      </c>
      <c r="N37">
        <f>'Entrada datos'!T37</f>
        <v>0</v>
      </c>
      <c r="O37">
        <f>'Entrada datos'!U37</f>
        <v>0</v>
      </c>
      <c r="P37" s="17">
        <f>SUM(J37:O37)</f>
        <v>0</v>
      </c>
      <c r="Q37">
        <f>'Entrada datos'!V37</f>
        <v>0</v>
      </c>
      <c r="R37">
        <f>'Entrada datos'!W37</f>
        <v>0</v>
      </c>
      <c r="S37">
        <f>'Entrada datos'!X37</f>
        <v>0</v>
      </c>
      <c r="T37">
        <f>'Entrada datos'!Y37</f>
        <v>0</v>
      </c>
      <c r="U37">
        <f>'Entrada datos'!Z37</f>
        <v>0</v>
      </c>
      <c r="V37">
        <f>'Entrada datos'!AA37</f>
        <v>0</v>
      </c>
      <c r="W37" s="17">
        <f>SUM(Q37:V37)</f>
        <v>0</v>
      </c>
      <c r="X37">
        <f>'Entrada datos'!AB37</f>
        <v>0</v>
      </c>
      <c r="Y37">
        <f>'Entrada datos'!AC37</f>
        <v>0</v>
      </c>
      <c r="Z37">
        <f>'Entrada datos'!AD37</f>
        <v>0</v>
      </c>
      <c r="AA37">
        <f>'Entrada datos'!AE37</f>
        <v>0</v>
      </c>
      <c r="AB37">
        <f>'Entrada datos'!AF37</f>
        <v>0</v>
      </c>
      <c r="AC37">
        <f>'Entrada datos'!AG37</f>
        <v>0</v>
      </c>
      <c r="AD37" s="17">
        <f>SUM(X37:AC37)</f>
        <v>0</v>
      </c>
      <c r="AE37">
        <f>'Entrada datos'!AH37</f>
        <v>0</v>
      </c>
      <c r="AF37">
        <f>'Entrada datos'!AI37</f>
        <v>0</v>
      </c>
      <c r="AG37">
        <f>'Entrada datos'!AJ37</f>
        <v>0</v>
      </c>
      <c r="AH37">
        <f>'Entrada datos'!AK37</f>
        <v>0</v>
      </c>
      <c r="AI37">
        <f>'Entrada datos'!AL37</f>
        <v>0</v>
      </c>
      <c r="AJ37">
        <f>'Entrada datos'!AM37</f>
        <v>0</v>
      </c>
      <c r="AK37" s="17">
        <f>SUM(AE37:AJ37)</f>
        <v>0</v>
      </c>
      <c r="AL37">
        <f>'Entrada datos'!AN37</f>
        <v>0</v>
      </c>
      <c r="AM37">
        <f>'Entrada datos'!AO37</f>
        <v>0</v>
      </c>
      <c r="AN37">
        <f>'Entrada datos'!AP37</f>
        <v>0</v>
      </c>
      <c r="AO37">
        <f>'Entrada datos'!AQ37</f>
        <v>0</v>
      </c>
      <c r="AP37">
        <f>'Entrada datos'!AR37</f>
        <v>0</v>
      </c>
      <c r="AQ37">
        <f>'Entrada datos'!AS37</f>
        <v>0</v>
      </c>
      <c r="AR37" s="17">
        <f>MAX(AL37:AQ37)</f>
        <v>0</v>
      </c>
      <c r="AS37" s="23">
        <f t="shared" si="9"/>
        <v>0</v>
      </c>
      <c r="AT37">
        <f t="shared" si="10"/>
        <v>1900</v>
      </c>
      <c r="AU37" s="41" t="str">
        <f t="shared" si="11"/>
        <v>enero</v>
      </c>
      <c r="AV37">
        <f t="shared" si="12"/>
        <v>0</v>
      </c>
      <c r="AW37">
        <f t="shared" si="13"/>
        <v>0</v>
      </c>
      <c r="AX37" s="24">
        <f t="shared" si="1"/>
        <v>0</v>
      </c>
      <c r="AY37" s="24">
        <f t="shared" si="2"/>
        <v>0</v>
      </c>
      <c r="AZ37" s="24">
        <f t="shared" si="14"/>
        <v>0</v>
      </c>
      <c r="BA37">
        <f t="shared" si="15"/>
        <v>0</v>
      </c>
      <c r="BB37">
        <f t="shared" si="3"/>
        <v>0</v>
      </c>
      <c r="BC37" s="24">
        <f t="shared" si="4"/>
        <v>0</v>
      </c>
      <c r="BD37">
        <f t="shared" si="16"/>
        <v>0</v>
      </c>
    </row>
    <row r="38" spans="1:56" x14ac:dyDescent="0.3">
      <c r="A38">
        <f>'Entrada datos'!A38</f>
        <v>0</v>
      </c>
      <c r="B38">
        <f>'Entrada datos'!B38</f>
        <v>0</v>
      </c>
      <c r="C38">
        <f>'Entrada datos'!C38</f>
        <v>0</v>
      </c>
      <c r="D38">
        <f>'Entrada datos'!D38</f>
        <v>0</v>
      </c>
      <c r="E38" s="18">
        <f>'Entrada datos'!G38</f>
        <v>0</v>
      </c>
      <c r="F38" s="18">
        <f>'Entrada datos'!H38</f>
        <v>0</v>
      </c>
      <c r="G38">
        <f>'Entrada datos'!J38</f>
        <v>0</v>
      </c>
      <c r="H38">
        <f>'Entrada datos'!L38</f>
        <v>0</v>
      </c>
      <c r="I38">
        <f>'Entrada datos'!O38</f>
        <v>0</v>
      </c>
      <c r="J38">
        <f>'Entrada datos'!P38</f>
        <v>0</v>
      </c>
      <c r="K38">
        <f>'Entrada datos'!Q38</f>
        <v>0</v>
      </c>
      <c r="L38">
        <f>'Entrada datos'!R38</f>
        <v>0</v>
      </c>
      <c r="M38">
        <f>'Entrada datos'!S38</f>
        <v>0</v>
      </c>
      <c r="N38">
        <f>'Entrada datos'!T38</f>
        <v>0</v>
      </c>
      <c r="O38">
        <f>'Entrada datos'!U38</f>
        <v>0</v>
      </c>
      <c r="P38" s="17">
        <f t="shared" si="5"/>
        <v>0</v>
      </c>
      <c r="Q38">
        <f>'Entrada datos'!V38</f>
        <v>0</v>
      </c>
      <c r="R38">
        <f>'Entrada datos'!W38</f>
        <v>0</v>
      </c>
      <c r="S38">
        <f>'Entrada datos'!X38</f>
        <v>0</v>
      </c>
      <c r="T38">
        <f>'Entrada datos'!Y38</f>
        <v>0</v>
      </c>
      <c r="U38">
        <f>'Entrada datos'!Z38</f>
        <v>0</v>
      </c>
      <c r="V38">
        <f>'Entrada datos'!AA38</f>
        <v>0</v>
      </c>
      <c r="W38" s="17">
        <f t="shared" si="0"/>
        <v>0</v>
      </c>
      <c r="X38">
        <f>'Entrada datos'!AB38</f>
        <v>0</v>
      </c>
      <c r="Y38">
        <f>'Entrada datos'!AC38</f>
        <v>0</v>
      </c>
      <c r="Z38">
        <f>'Entrada datos'!AD38</f>
        <v>0</v>
      </c>
      <c r="AA38">
        <f>'Entrada datos'!AE38</f>
        <v>0</v>
      </c>
      <c r="AB38">
        <f>'Entrada datos'!AF38</f>
        <v>0</v>
      </c>
      <c r="AC38">
        <f>'Entrada datos'!AG38</f>
        <v>0</v>
      </c>
      <c r="AD38" s="17">
        <f t="shared" si="6"/>
        <v>0</v>
      </c>
      <c r="AE38">
        <f>'Entrada datos'!AH38</f>
        <v>0</v>
      </c>
      <c r="AF38">
        <f>'Entrada datos'!AI38</f>
        <v>0</v>
      </c>
      <c r="AG38">
        <f>'Entrada datos'!AJ38</f>
        <v>0</v>
      </c>
      <c r="AH38">
        <f>'Entrada datos'!AK38</f>
        <v>0</v>
      </c>
      <c r="AI38">
        <f>'Entrada datos'!AL38</f>
        <v>0</v>
      </c>
      <c r="AJ38">
        <f>'Entrada datos'!AM38</f>
        <v>0</v>
      </c>
      <c r="AK38" s="17">
        <f t="shared" si="7"/>
        <v>0</v>
      </c>
      <c r="AL38">
        <f>'Entrada datos'!AN38</f>
        <v>0</v>
      </c>
      <c r="AM38">
        <f>'Entrada datos'!AO38</f>
        <v>0</v>
      </c>
      <c r="AN38">
        <f>'Entrada datos'!AP38</f>
        <v>0</v>
      </c>
      <c r="AO38">
        <f>'Entrada datos'!AQ38</f>
        <v>0</v>
      </c>
      <c r="AP38">
        <f>'Entrada datos'!AR38</f>
        <v>0</v>
      </c>
      <c r="AQ38">
        <f>'Entrada datos'!AS38</f>
        <v>0</v>
      </c>
      <c r="AR38" s="17">
        <f t="shared" si="8"/>
        <v>0</v>
      </c>
      <c r="AS38" s="23">
        <f t="shared" si="9"/>
        <v>0</v>
      </c>
      <c r="AT38">
        <f t="shared" si="10"/>
        <v>1900</v>
      </c>
      <c r="AU38" s="41" t="str">
        <f t="shared" si="11"/>
        <v>enero</v>
      </c>
      <c r="AV38">
        <f t="shared" si="12"/>
        <v>0</v>
      </c>
      <c r="AW38">
        <f t="shared" si="13"/>
        <v>0</v>
      </c>
      <c r="AX38" s="24">
        <f t="shared" si="1"/>
        <v>0</v>
      </c>
      <c r="AY38" s="24">
        <f t="shared" si="2"/>
        <v>0</v>
      </c>
      <c r="AZ38" s="24">
        <f t="shared" si="14"/>
        <v>0</v>
      </c>
      <c r="BA38">
        <f t="shared" si="15"/>
        <v>0</v>
      </c>
      <c r="BB38">
        <f t="shared" si="3"/>
        <v>0</v>
      </c>
      <c r="BC38" s="24">
        <f t="shared" si="4"/>
        <v>0</v>
      </c>
      <c r="BD38">
        <f t="shared" si="16"/>
        <v>0</v>
      </c>
    </row>
    <row r="39" spans="1:56" x14ac:dyDescent="0.3">
      <c r="A39">
        <f>'Entrada datos'!A39</f>
        <v>0</v>
      </c>
      <c r="B39">
        <f>'Entrada datos'!B39</f>
        <v>0</v>
      </c>
      <c r="C39">
        <f>'Entrada datos'!C39</f>
        <v>0</v>
      </c>
      <c r="D39">
        <f>'Entrada datos'!D39</f>
        <v>0</v>
      </c>
      <c r="E39" s="18">
        <f>'Entrada datos'!G39</f>
        <v>0</v>
      </c>
      <c r="F39" s="18">
        <f>'Entrada datos'!H39</f>
        <v>0</v>
      </c>
      <c r="G39">
        <f>'Entrada datos'!J39</f>
        <v>0</v>
      </c>
      <c r="H39">
        <f>'Entrada datos'!L39</f>
        <v>0</v>
      </c>
      <c r="I39">
        <f>'Entrada datos'!O39</f>
        <v>0</v>
      </c>
      <c r="J39">
        <f>'Entrada datos'!P39</f>
        <v>0</v>
      </c>
      <c r="K39">
        <f>'Entrada datos'!Q39</f>
        <v>0</v>
      </c>
      <c r="L39">
        <f>'Entrada datos'!R39</f>
        <v>0</v>
      </c>
      <c r="M39">
        <f>'Entrada datos'!S39</f>
        <v>0</v>
      </c>
      <c r="N39">
        <f>'Entrada datos'!T39</f>
        <v>0</v>
      </c>
      <c r="O39">
        <f>'Entrada datos'!U39</f>
        <v>0</v>
      </c>
      <c r="P39" s="17">
        <f t="shared" si="5"/>
        <v>0</v>
      </c>
      <c r="Q39">
        <f>'Entrada datos'!V39</f>
        <v>0</v>
      </c>
      <c r="R39">
        <f>'Entrada datos'!W39</f>
        <v>0</v>
      </c>
      <c r="S39">
        <f>'Entrada datos'!X39</f>
        <v>0</v>
      </c>
      <c r="T39">
        <f>'Entrada datos'!Y39</f>
        <v>0</v>
      </c>
      <c r="U39">
        <f>'Entrada datos'!Z39</f>
        <v>0</v>
      </c>
      <c r="V39">
        <f>'Entrada datos'!AA39</f>
        <v>0</v>
      </c>
      <c r="W39" s="17">
        <f t="shared" si="0"/>
        <v>0</v>
      </c>
      <c r="X39">
        <f>'Entrada datos'!AB39</f>
        <v>0</v>
      </c>
      <c r="Y39">
        <f>'Entrada datos'!AC39</f>
        <v>0</v>
      </c>
      <c r="Z39">
        <f>'Entrada datos'!AD39</f>
        <v>0</v>
      </c>
      <c r="AA39">
        <f>'Entrada datos'!AE39</f>
        <v>0</v>
      </c>
      <c r="AB39">
        <f>'Entrada datos'!AF39</f>
        <v>0</v>
      </c>
      <c r="AC39">
        <f>'Entrada datos'!AG39</f>
        <v>0</v>
      </c>
      <c r="AD39" s="17">
        <f t="shared" si="6"/>
        <v>0</v>
      </c>
      <c r="AE39">
        <f>'Entrada datos'!AH39</f>
        <v>0</v>
      </c>
      <c r="AF39">
        <f>'Entrada datos'!AI39</f>
        <v>0</v>
      </c>
      <c r="AG39">
        <f>'Entrada datos'!AJ39</f>
        <v>0</v>
      </c>
      <c r="AH39">
        <f>'Entrada datos'!AK39</f>
        <v>0</v>
      </c>
      <c r="AI39">
        <f>'Entrada datos'!AL39</f>
        <v>0</v>
      </c>
      <c r="AJ39">
        <f>'Entrada datos'!AM39</f>
        <v>0</v>
      </c>
      <c r="AK39" s="17">
        <f t="shared" si="7"/>
        <v>0</v>
      </c>
      <c r="AL39">
        <f>'Entrada datos'!AN39</f>
        <v>0</v>
      </c>
      <c r="AM39">
        <f>'Entrada datos'!AO39</f>
        <v>0</v>
      </c>
      <c r="AN39">
        <f>'Entrada datos'!AP39</f>
        <v>0</v>
      </c>
      <c r="AO39">
        <f>'Entrada datos'!AQ39</f>
        <v>0</v>
      </c>
      <c r="AP39">
        <f>'Entrada datos'!AR39</f>
        <v>0</v>
      </c>
      <c r="AQ39">
        <f>'Entrada datos'!AS39</f>
        <v>0</v>
      </c>
      <c r="AR39" s="17">
        <f t="shared" si="8"/>
        <v>0</v>
      </c>
      <c r="AS39" s="23">
        <f t="shared" si="9"/>
        <v>0</v>
      </c>
      <c r="AT39">
        <f t="shared" si="10"/>
        <v>1900</v>
      </c>
      <c r="AU39" s="41" t="str">
        <f t="shared" si="11"/>
        <v>enero</v>
      </c>
      <c r="AV39">
        <f t="shared" si="12"/>
        <v>0</v>
      </c>
      <c r="AW39">
        <f t="shared" si="13"/>
        <v>0</v>
      </c>
      <c r="AX39" s="24">
        <f t="shared" si="1"/>
        <v>0</v>
      </c>
      <c r="AY39" s="24">
        <f t="shared" si="2"/>
        <v>0</v>
      </c>
      <c r="AZ39" s="24">
        <f t="shared" si="14"/>
        <v>0</v>
      </c>
      <c r="BA39">
        <f t="shared" si="15"/>
        <v>0</v>
      </c>
      <c r="BB39">
        <f t="shared" si="3"/>
        <v>0</v>
      </c>
      <c r="BC39" s="24">
        <f t="shared" si="4"/>
        <v>0</v>
      </c>
      <c r="BD39">
        <f t="shared" si="16"/>
        <v>0</v>
      </c>
    </row>
    <row r="40" spans="1:56" x14ac:dyDescent="0.3">
      <c r="A40">
        <f>'Entrada datos'!A40</f>
        <v>0</v>
      </c>
      <c r="B40">
        <f>'Entrada datos'!B40</f>
        <v>0</v>
      </c>
      <c r="C40">
        <f>'Entrada datos'!C40</f>
        <v>0</v>
      </c>
      <c r="D40">
        <f>'Entrada datos'!D40</f>
        <v>0</v>
      </c>
      <c r="E40" s="18">
        <f>'Entrada datos'!G40</f>
        <v>0</v>
      </c>
      <c r="F40" s="18">
        <f>'Entrada datos'!H40</f>
        <v>0</v>
      </c>
      <c r="G40">
        <f>'Entrada datos'!J40</f>
        <v>0</v>
      </c>
      <c r="H40">
        <f>'Entrada datos'!L40</f>
        <v>0</v>
      </c>
      <c r="I40">
        <f>'Entrada datos'!O40</f>
        <v>0</v>
      </c>
      <c r="J40">
        <f>'Entrada datos'!P40</f>
        <v>0</v>
      </c>
      <c r="K40">
        <f>'Entrada datos'!Q40</f>
        <v>0</v>
      </c>
      <c r="L40">
        <f>'Entrada datos'!R40</f>
        <v>0</v>
      </c>
      <c r="M40">
        <f>'Entrada datos'!S40</f>
        <v>0</v>
      </c>
      <c r="N40">
        <f>'Entrada datos'!T40</f>
        <v>0</v>
      </c>
      <c r="O40">
        <f>'Entrada datos'!U40</f>
        <v>0</v>
      </c>
      <c r="P40" s="17">
        <f t="shared" si="5"/>
        <v>0</v>
      </c>
      <c r="Q40">
        <f>'Entrada datos'!V40</f>
        <v>0</v>
      </c>
      <c r="R40">
        <f>'Entrada datos'!W40</f>
        <v>0</v>
      </c>
      <c r="S40">
        <f>'Entrada datos'!X40</f>
        <v>0</v>
      </c>
      <c r="T40">
        <f>'Entrada datos'!Y40</f>
        <v>0</v>
      </c>
      <c r="U40">
        <f>'Entrada datos'!Z40</f>
        <v>0</v>
      </c>
      <c r="V40">
        <f>'Entrada datos'!AA40</f>
        <v>0</v>
      </c>
      <c r="W40" s="17">
        <f t="shared" si="0"/>
        <v>0</v>
      </c>
      <c r="X40">
        <f>'Entrada datos'!AB40</f>
        <v>0</v>
      </c>
      <c r="Y40">
        <f>'Entrada datos'!AC40</f>
        <v>0</v>
      </c>
      <c r="Z40">
        <f>'Entrada datos'!AD40</f>
        <v>0</v>
      </c>
      <c r="AA40">
        <f>'Entrada datos'!AE40</f>
        <v>0</v>
      </c>
      <c r="AB40">
        <f>'Entrada datos'!AF40</f>
        <v>0</v>
      </c>
      <c r="AC40">
        <f>'Entrada datos'!AG40</f>
        <v>0</v>
      </c>
      <c r="AD40" s="17">
        <f t="shared" si="6"/>
        <v>0</v>
      </c>
      <c r="AE40">
        <f>'Entrada datos'!AH40</f>
        <v>0</v>
      </c>
      <c r="AF40">
        <f>'Entrada datos'!AI40</f>
        <v>0</v>
      </c>
      <c r="AG40">
        <f>'Entrada datos'!AJ40</f>
        <v>0</v>
      </c>
      <c r="AH40">
        <f>'Entrada datos'!AK40</f>
        <v>0</v>
      </c>
      <c r="AI40">
        <f>'Entrada datos'!AL40</f>
        <v>0</v>
      </c>
      <c r="AJ40">
        <f>'Entrada datos'!AM40</f>
        <v>0</v>
      </c>
      <c r="AK40" s="17">
        <f t="shared" si="7"/>
        <v>0</v>
      </c>
      <c r="AL40">
        <f>'Entrada datos'!AN40</f>
        <v>0</v>
      </c>
      <c r="AM40">
        <f>'Entrada datos'!AO40</f>
        <v>0</v>
      </c>
      <c r="AN40">
        <f>'Entrada datos'!AP40</f>
        <v>0</v>
      </c>
      <c r="AO40">
        <f>'Entrada datos'!AQ40</f>
        <v>0</v>
      </c>
      <c r="AP40">
        <f>'Entrada datos'!AR40</f>
        <v>0</v>
      </c>
      <c r="AQ40">
        <f>'Entrada datos'!AS40</f>
        <v>0</v>
      </c>
      <c r="AR40" s="17">
        <f t="shared" si="8"/>
        <v>0</v>
      </c>
      <c r="AS40" s="23">
        <f t="shared" si="9"/>
        <v>0</v>
      </c>
      <c r="AT40">
        <f t="shared" si="10"/>
        <v>1900</v>
      </c>
      <c r="AU40" s="41" t="str">
        <f t="shared" si="11"/>
        <v>enero</v>
      </c>
      <c r="AV40">
        <f t="shared" si="12"/>
        <v>0</v>
      </c>
      <c r="AW40">
        <f t="shared" si="13"/>
        <v>0</v>
      </c>
      <c r="AX40" s="24">
        <f t="shared" si="1"/>
        <v>0</v>
      </c>
      <c r="AY40" s="24">
        <f t="shared" si="2"/>
        <v>0</v>
      </c>
      <c r="AZ40" s="24">
        <f t="shared" si="14"/>
        <v>0</v>
      </c>
      <c r="BA40">
        <f t="shared" si="15"/>
        <v>0</v>
      </c>
      <c r="BB40">
        <f t="shared" si="3"/>
        <v>0</v>
      </c>
      <c r="BC40" s="24">
        <f t="shared" si="4"/>
        <v>0</v>
      </c>
      <c r="BD40">
        <f t="shared" si="16"/>
        <v>0</v>
      </c>
    </row>
    <row r="41" spans="1:56" x14ac:dyDescent="0.3">
      <c r="A41">
        <f>'Entrada datos'!A41</f>
        <v>0</v>
      </c>
      <c r="B41">
        <f>'Entrada datos'!B41</f>
        <v>0</v>
      </c>
      <c r="C41">
        <f>'Entrada datos'!C41</f>
        <v>0</v>
      </c>
      <c r="D41">
        <f>'Entrada datos'!D41</f>
        <v>0</v>
      </c>
      <c r="E41" s="18">
        <f>'Entrada datos'!G41</f>
        <v>0</v>
      </c>
      <c r="F41" s="18">
        <f>'Entrada datos'!H41</f>
        <v>0</v>
      </c>
      <c r="G41">
        <f>'Entrada datos'!J41</f>
        <v>0</v>
      </c>
      <c r="H41">
        <f>'Entrada datos'!L41</f>
        <v>0</v>
      </c>
      <c r="I41">
        <f>'Entrada datos'!O41</f>
        <v>0</v>
      </c>
      <c r="J41">
        <f>'Entrada datos'!P41</f>
        <v>0</v>
      </c>
      <c r="K41">
        <f>'Entrada datos'!Q41</f>
        <v>0</v>
      </c>
      <c r="L41">
        <f>'Entrada datos'!R41</f>
        <v>0</v>
      </c>
      <c r="M41">
        <f>'Entrada datos'!S41</f>
        <v>0</v>
      </c>
      <c r="N41">
        <f>'Entrada datos'!T41</f>
        <v>0</v>
      </c>
      <c r="O41">
        <f>'Entrada datos'!U41</f>
        <v>0</v>
      </c>
      <c r="P41" s="17">
        <f t="shared" si="5"/>
        <v>0</v>
      </c>
      <c r="Q41">
        <f>'Entrada datos'!V41</f>
        <v>0</v>
      </c>
      <c r="R41">
        <f>'Entrada datos'!W41</f>
        <v>0</v>
      </c>
      <c r="S41">
        <f>'Entrada datos'!X41</f>
        <v>0</v>
      </c>
      <c r="T41">
        <f>'Entrada datos'!Y41</f>
        <v>0</v>
      </c>
      <c r="U41">
        <f>'Entrada datos'!Z41</f>
        <v>0</v>
      </c>
      <c r="V41">
        <f>'Entrada datos'!AA41</f>
        <v>0</v>
      </c>
      <c r="W41" s="17">
        <f t="shared" si="0"/>
        <v>0</v>
      </c>
      <c r="X41">
        <f>'Entrada datos'!AB41</f>
        <v>0</v>
      </c>
      <c r="Y41">
        <f>'Entrada datos'!AC41</f>
        <v>0</v>
      </c>
      <c r="Z41">
        <f>'Entrada datos'!AD41</f>
        <v>0</v>
      </c>
      <c r="AA41">
        <f>'Entrada datos'!AE41</f>
        <v>0</v>
      </c>
      <c r="AB41">
        <f>'Entrada datos'!AF41</f>
        <v>0</v>
      </c>
      <c r="AC41">
        <f>'Entrada datos'!AG41</f>
        <v>0</v>
      </c>
      <c r="AD41" s="17">
        <f t="shared" si="6"/>
        <v>0</v>
      </c>
      <c r="AE41">
        <f>'Entrada datos'!AH41</f>
        <v>0</v>
      </c>
      <c r="AF41">
        <f>'Entrada datos'!AI41</f>
        <v>0</v>
      </c>
      <c r="AG41">
        <f>'Entrada datos'!AJ41</f>
        <v>0</v>
      </c>
      <c r="AH41">
        <f>'Entrada datos'!AK41</f>
        <v>0</v>
      </c>
      <c r="AI41">
        <f>'Entrada datos'!AL41</f>
        <v>0</v>
      </c>
      <c r="AJ41">
        <f>'Entrada datos'!AM41</f>
        <v>0</v>
      </c>
      <c r="AK41" s="17">
        <f t="shared" si="7"/>
        <v>0</v>
      </c>
      <c r="AL41">
        <f>'Entrada datos'!AN41</f>
        <v>0</v>
      </c>
      <c r="AM41">
        <f>'Entrada datos'!AO41</f>
        <v>0</v>
      </c>
      <c r="AN41">
        <f>'Entrada datos'!AP41</f>
        <v>0</v>
      </c>
      <c r="AO41">
        <f>'Entrada datos'!AQ41</f>
        <v>0</v>
      </c>
      <c r="AP41">
        <f>'Entrada datos'!AR41</f>
        <v>0</v>
      </c>
      <c r="AQ41">
        <f>'Entrada datos'!AS41</f>
        <v>0</v>
      </c>
      <c r="AR41" s="17">
        <f t="shared" si="8"/>
        <v>0</v>
      </c>
      <c r="AS41" s="23">
        <f t="shared" si="9"/>
        <v>0</v>
      </c>
      <c r="AT41">
        <f t="shared" si="10"/>
        <v>1900</v>
      </c>
      <c r="AU41" s="41" t="str">
        <f t="shared" si="11"/>
        <v>enero</v>
      </c>
      <c r="AV41">
        <f t="shared" si="12"/>
        <v>0</v>
      </c>
      <c r="AW41">
        <f t="shared" si="13"/>
        <v>0</v>
      </c>
      <c r="AX41" s="24">
        <f t="shared" si="1"/>
        <v>0</v>
      </c>
      <c r="AY41" s="24">
        <f t="shared" si="2"/>
        <v>0</v>
      </c>
      <c r="AZ41" s="24">
        <f t="shared" si="14"/>
        <v>0</v>
      </c>
      <c r="BA41">
        <f t="shared" si="15"/>
        <v>0</v>
      </c>
      <c r="BB41">
        <f t="shared" si="3"/>
        <v>0</v>
      </c>
      <c r="BC41" s="24">
        <f t="shared" si="4"/>
        <v>0</v>
      </c>
      <c r="BD41">
        <f t="shared" si="16"/>
        <v>0</v>
      </c>
    </row>
    <row r="42" spans="1:56" x14ac:dyDescent="0.3">
      <c r="A42">
        <f>'Entrada datos'!A42</f>
        <v>0</v>
      </c>
      <c r="B42">
        <f>'Entrada datos'!B42</f>
        <v>0</v>
      </c>
      <c r="C42">
        <f>'Entrada datos'!C42</f>
        <v>0</v>
      </c>
      <c r="D42">
        <f>'Entrada datos'!D42</f>
        <v>0</v>
      </c>
      <c r="E42" s="18">
        <f>'Entrada datos'!G42</f>
        <v>0</v>
      </c>
      <c r="F42" s="18">
        <f>'Entrada datos'!H42</f>
        <v>0</v>
      </c>
      <c r="G42">
        <f>'Entrada datos'!J42</f>
        <v>0</v>
      </c>
      <c r="H42">
        <f>'Entrada datos'!L42</f>
        <v>0</v>
      </c>
      <c r="I42">
        <f>'Entrada datos'!O42</f>
        <v>0</v>
      </c>
      <c r="J42">
        <f>'Entrada datos'!P42</f>
        <v>0</v>
      </c>
      <c r="K42">
        <f>'Entrada datos'!Q42</f>
        <v>0</v>
      </c>
      <c r="L42">
        <f>'Entrada datos'!R42</f>
        <v>0</v>
      </c>
      <c r="M42">
        <f>'Entrada datos'!S42</f>
        <v>0</v>
      </c>
      <c r="N42">
        <f>'Entrada datos'!T42</f>
        <v>0</v>
      </c>
      <c r="O42">
        <f>'Entrada datos'!U42</f>
        <v>0</v>
      </c>
      <c r="P42" s="17">
        <f t="shared" si="5"/>
        <v>0</v>
      </c>
      <c r="Q42">
        <f>'Entrada datos'!V42</f>
        <v>0</v>
      </c>
      <c r="R42">
        <f>'Entrada datos'!W42</f>
        <v>0</v>
      </c>
      <c r="S42">
        <f>'Entrada datos'!X42</f>
        <v>0</v>
      </c>
      <c r="T42">
        <f>'Entrada datos'!Y42</f>
        <v>0</v>
      </c>
      <c r="U42">
        <f>'Entrada datos'!Z42</f>
        <v>0</v>
      </c>
      <c r="V42">
        <f>'Entrada datos'!AA42</f>
        <v>0</v>
      </c>
      <c r="W42" s="17">
        <f t="shared" si="0"/>
        <v>0</v>
      </c>
      <c r="X42">
        <f>'Entrada datos'!AB42</f>
        <v>0</v>
      </c>
      <c r="Y42">
        <f>'Entrada datos'!AC42</f>
        <v>0</v>
      </c>
      <c r="Z42">
        <f>'Entrada datos'!AD42</f>
        <v>0</v>
      </c>
      <c r="AA42">
        <f>'Entrada datos'!AE42</f>
        <v>0</v>
      </c>
      <c r="AB42">
        <f>'Entrada datos'!AF42</f>
        <v>0</v>
      </c>
      <c r="AC42">
        <f>'Entrada datos'!AG42</f>
        <v>0</v>
      </c>
      <c r="AD42" s="17">
        <f t="shared" si="6"/>
        <v>0</v>
      </c>
      <c r="AE42">
        <f>'Entrada datos'!AH42</f>
        <v>0</v>
      </c>
      <c r="AF42">
        <f>'Entrada datos'!AI42</f>
        <v>0</v>
      </c>
      <c r="AG42">
        <f>'Entrada datos'!AJ42</f>
        <v>0</v>
      </c>
      <c r="AH42">
        <f>'Entrada datos'!AK42</f>
        <v>0</v>
      </c>
      <c r="AI42">
        <f>'Entrada datos'!AL42</f>
        <v>0</v>
      </c>
      <c r="AJ42">
        <f>'Entrada datos'!AM42</f>
        <v>0</v>
      </c>
      <c r="AK42" s="17">
        <f t="shared" si="7"/>
        <v>0</v>
      </c>
      <c r="AL42">
        <f>'Entrada datos'!AN42</f>
        <v>0</v>
      </c>
      <c r="AM42">
        <f>'Entrada datos'!AO42</f>
        <v>0</v>
      </c>
      <c r="AN42">
        <f>'Entrada datos'!AP42</f>
        <v>0</v>
      </c>
      <c r="AO42">
        <f>'Entrada datos'!AQ42</f>
        <v>0</v>
      </c>
      <c r="AP42">
        <f>'Entrada datos'!AR42</f>
        <v>0</v>
      </c>
      <c r="AQ42">
        <f>'Entrada datos'!AS42</f>
        <v>0</v>
      </c>
      <c r="AR42" s="17">
        <f t="shared" si="8"/>
        <v>0</v>
      </c>
      <c r="AS42" s="23">
        <f t="shared" si="9"/>
        <v>0</v>
      </c>
      <c r="AT42">
        <f t="shared" si="10"/>
        <v>1900</v>
      </c>
      <c r="AU42" s="41" t="str">
        <f t="shared" si="11"/>
        <v>enero</v>
      </c>
      <c r="AV42">
        <f t="shared" si="12"/>
        <v>0</v>
      </c>
      <c r="AW42">
        <f t="shared" si="13"/>
        <v>0</v>
      </c>
      <c r="AX42" s="24">
        <f t="shared" si="1"/>
        <v>0</v>
      </c>
      <c r="AY42" s="24">
        <f t="shared" si="2"/>
        <v>0</v>
      </c>
      <c r="AZ42" s="24">
        <f t="shared" si="14"/>
        <v>0</v>
      </c>
      <c r="BA42">
        <f t="shared" si="15"/>
        <v>0</v>
      </c>
      <c r="BB42">
        <f t="shared" si="3"/>
        <v>0</v>
      </c>
      <c r="BC42" s="24">
        <f t="shared" si="4"/>
        <v>0</v>
      </c>
      <c r="BD42">
        <f t="shared" si="16"/>
        <v>0</v>
      </c>
    </row>
    <row r="43" spans="1:56" x14ac:dyDescent="0.3">
      <c r="A43">
        <f>'Entrada datos'!A43</f>
        <v>0</v>
      </c>
      <c r="B43">
        <f>'Entrada datos'!B43</f>
        <v>0</v>
      </c>
      <c r="C43">
        <f>'Entrada datos'!C43</f>
        <v>0</v>
      </c>
      <c r="D43">
        <f>'Entrada datos'!D43</f>
        <v>0</v>
      </c>
      <c r="E43" s="18">
        <f>'Entrada datos'!G43</f>
        <v>0</v>
      </c>
      <c r="F43" s="18">
        <f>'Entrada datos'!H43</f>
        <v>0</v>
      </c>
      <c r="G43">
        <f>'Entrada datos'!J43</f>
        <v>0</v>
      </c>
      <c r="H43">
        <f>'Entrada datos'!L43</f>
        <v>0</v>
      </c>
      <c r="I43">
        <f>'Entrada datos'!O43</f>
        <v>0</v>
      </c>
      <c r="J43">
        <f>'Entrada datos'!P43</f>
        <v>0</v>
      </c>
      <c r="K43">
        <f>'Entrada datos'!Q43</f>
        <v>0</v>
      </c>
      <c r="L43">
        <f>'Entrada datos'!R43</f>
        <v>0</v>
      </c>
      <c r="M43">
        <f>'Entrada datos'!S43</f>
        <v>0</v>
      </c>
      <c r="N43">
        <f>'Entrada datos'!T43</f>
        <v>0</v>
      </c>
      <c r="O43">
        <f>'Entrada datos'!U43</f>
        <v>0</v>
      </c>
      <c r="P43" s="17">
        <f t="shared" si="5"/>
        <v>0</v>
      </c>
      <c r="Q43">
        <f>'Entrada datos'!V43</f>
        <v>0</v>
      </c>
      <c r="R43">
        <f>'Entrada datos'!W43</f>
        <v>0</v>
      </c>
      <c r="S43">
        <f>'Entrada datos'!X43</f>
        <v>0</v>
      </c>
      <c r="T43">
        <f>'Entrada datos'!Y43</f>
        <v>0</v>
      </c>
      <c r="U43">
        <f>'Entrada datos'!Z43</f>
        <v>0</v>
      </c>
      <c r="V43">
        <f>'Entrada datos'!AA43</f>
        <v>0</v>
      </c>
      <c r="W43" s="17">
        <f t="shared" si="0"/>
        <v>0</v>
      </c>
      <c r="X43">
        <f>'Entrada datos'!AB43</f>
        <v>0</v>
      </c>
      <c r="Y43">
        <f>'Entrada datos'!AC43</f>
        <v>0</v>
      </c>
      <c r="Z43">
        <f>'Entrada datos'!AD43</f>
        <v>0</v>
      </c>
      <c r="AA43">
        <f>'Entrada datos'!AE43</f>
        <v>0</v>
      </c>
      <c r="AB43">
        <f>'Entrada datos'!AF43</f>
        <v>0</v>
      </c>
      <c r="AC43">
        <f>'Entrada datos'!AG43</f>
        <v>0</v>
      </c>
      <c r="AD43" s="17">
        <f t="shared" si="6"/>
        <v>0</v>
      </c>
      <c r="AE43">
        <f>'Entrada datos'!AH43</f>
        <v>0</v>
      </c>
      <c r="AF43">
        <f>'Entrada datos'!AI43</f>
        <v>0</v>
      </c>
      <c r="AG43">
        <f>'Entrada datos'!AJ43</f>
        <v>0</v>
      </c>
      <c r="AH43">
        <f>'Entrada datos'!AK43</f>
        <v>0</v>
      </c>
      <c r="AI43">
        <f>'Entrada datos'!AL43</f>
        <v>0</v>
      </c>
      <c r="AJ43">
        <f>'Entrada datos'!AM43</f>
        <v>0</v>
      </c>
      <c r="AK43" s="17">
        <f t="shared" si="7"/>
        <v>0</v>
      </c>
      <c r="AL43">
        <f>'Entrada datos'!AN43</f>
        <v>0</v>
      </c>
      <c r="AM43">
        <f>'Entrada datos'!AO43</f>
        <v>0</v>
      </c>
      <c r="AN43">
        <f>'Entrada datos'!AP43</f>
        <v>0</v>
      </c>
      <c r="AO43">
        <f>'Entrada datos'!AQ43</f>
        <v>0</v>
      </c>
      <c r="AP43">
        <f>'Entrada datos'!AR43</f>
        <v>0</v>
      </c>
      <c r="AQ43">
        <f>'Entrada datos'!AS43</f>
        <v>0</v>
      </c>
      <c r="AR43" s="17">
        <f t="shared" si="8"/>
        <v>0</v>
      </c>
      <c r="AS43" s="23">
        <f t="shared" si="9"/>
        <v>0</v>
      </c>
      <c r="AT43">
        <f t="shared" si="10"/>
        <v>1900</v>
      </c>
      <c r="AU43" s="41" t="str">
        <f t="shared" si="11"/>
        <v>enero</v>
      </c>
      <c r="AV43">
        <f t="shared" si="12"/>
        <v>0</v>
      </c>
      <c r="AW43">
        <f t="shared" si="13"/>
        <v>0</v>
      </c>
      <c r="AX43" s="24">
        <f t="shared" si="1"/>
        <v>0</v>
      </c>
      <c r="AY43" s="24">
        <f t="shared" si="2"/>
        <v>0</v>
      </c>
      <c r="AZ43" s="24">
        <f t="shared" si="14"/>
        <v>0</v>
      </c>
      <c r="BA43">
        <f t="shared" si="15"/>
        <v>0</v>
      </c>
      <c r="BB43">
        <f t="shared" si="3"/>
        <v>0</v>
      </c>
      <c r="BC43" s="24">
        <f t="shared" si="4"/>
        <v>0</v>
      </c>
      <c r="BD43">
        <f t="shared" si="16"/>
        <v>0</v>
      </c>
    </row>
    <row r="44" spans="1:56" x14ac:dyDescent="0.3">
      <c r="A44">
        <f>'Entrada datos'!A44</f>
        <v>0</v>
      </c>
      <c r="B44">
        <f>'Entrada datos'!B44</f>
        <v>0</v>
      </c>
      <c r="C44">
        <f>'Entrada datos'!C44</f>
        <v>0</v>
      </c>
      <c r="D44">
        <f>'Entrada datos'!D44</f>
        <v>0</v>
      </c>
      <c r="E44" s="18">
        <f>'Entrada datos'!G44</f>
        <v>0</v>
      </c>
      <c r="F44" s="18">
        <f>'Entrada datos'!H44</f>
        <v>0</v>
      </c>
      <c r="G44">
        <f>'Entrada datos'!J44</f>
        <v>0</v>
      </c>
      <c r="H44">
        <f>'Entrada datos'!L44</f>
        <v>0</v>
      </c>
      <c r="I44">
        <f>'Entrada datos'!O44</f>
        <v>0</v>
      </c>
      <c r="J44">
        <f>'Entrada datos'!P44</f>
        <v>0</v>
      </c>
      <c r="K44">
        <f>'Entrada datos'!Q44</f>
        <v>0</v>
      </c>
      <c r="L44">
        <f>'Entrada datos'!R44</f>
        <v>0</v>
      </c>
      <c r="M44">
        <f>'Entrada datos'!S44</f>
        <v>0</v>
      </c>
      <c r="N44">
        <f>'Entrada datos'!T44</f>
        <v>0</v>
      </c>
      <c r="O44">
        <f>'Entrada datos'!U44</f>
        <v>0</v>
      </c>
      <c r="P44" s="17">
        <f t="shared" si="5"/>
        <v>0</v>
      </c>
      <c r="Q44">
        <f>'Entrada datos'!V44</f>
        <v>0</v>
      </c>
      <c r="R44">
        <f>'Entrada datos'!W44</f>
        <v>0</v>
      </c>
      <c r="S44">
        <f>'Entrada datos'!X44</f>
        <v>0</v>
      </c>
      <c r="T44">
        <f>'Entrada datos'!Y44</f>
        <v>0</v>
      </c>
      <c r="U44">
        <f>'Entrada datos'!Z44</f>
        <v>0</v>
      </c>
      <c r="V44">
        <f>'Entrada datos'!AA44</f>
        <v>0</v>
      </c>
      <c r="W44" s="17">
        <f t="shared" si="0"/>
        <v>0</v>
      </c>
      <c r="X44">
        <f>'Entrada datos'!AB44</f>
        <v>0</v>
      </c>
      <c r="Y44">
        <f>'Entrada datos'!AC44</f>
        <v>0</v>
      </c>
      <c r="Z44">
        <f>'Entrada datos'!AD44</f>
        <v>0</v>
      </c>
      <c r="AA44">
        <f>'Entrada datos'!AE44</f>
        <v>0</v>
      </c>
      <c r="AB44">
        <f>'Entrada datos'!AF44</f>
        <v>0</v>
      </c>
      <c r="AC44">
        <f>'Entrada datos'!AG44</f>
        <v>0</v>
      </c>
      <c r="AD44" s="17">
        <f t="shared" si="6"/>
        <v>0</v>
      </c>
      <c r="AE44">
        <f>'Entrada datos'!AH44</f>
        <v>0</v>
      </c>
      <c r="AF44">
        <f>'Entrada datos'!AI44</f>
        <v>0</v>
      </c>
      <c r="AG44">
        <f>'Entrada datos'!AJ44</f>
        <v>0</v>
      </c>
      <c r="AH44">
        <f>'Entrada datos'!AK44</f>
        <v>0</v>
      </c>
      <c r="AI44">
        <f>'Entrada datos'!AL44</f>
        <v>0</v>
      </c>
      <c r="AJ44">
        <f>'Entrada datos'!AM44</f>
        <v>0</v>
      </c>
      <c r="AK44" s="17">
        <f t="shared" si="7"/>
        <v>0</v>
      </c>
      <c r="AL44">
        <f>'Entrada datos'!AN44</f>
        <v>0</v>
      </c>
      <c r="AM44">
        <f>'Entrada datos'!AO44</f>
        <v>0</v>
      </c>
      <c r="AN44">
        <f>'Entrada datos'!AP44</f>
        <v>0</v>
      </c>
      <c r="AO44">
        <f>'Entrada datos'!AQ44</f>
        <v>0</v>
      </c>
      <c r="AP44">
        <f>'Entrada datos'!AR44</f>
        <v>0</v>
      </c>
      <c r="AQ44">
        <f>'Entrada datos'!AS44</f>
        <v>0</v>
      </c>
      <c r="AR44" s="17">
        <f t="shared" si="8"/>
        <v>0</v>
      </c>
      <c r="AS44" s="23">
        <f t="shared" si="9"/>
        <v>0</v>
      </c>
      <c r="AT44">
        <f t="shared" si="10"/>
        <v>1900</v>
      </c>
      <c r="AU44" s="41" t="str">
        <f t="shared" si="11"/>
        <v>enero</v>
      </c>
      <c r="AV44">
        <f t="shared" si="12"/>
        <v>0</v>
      </c>
      <c r="AW44">
        <f t="shared" si="13"/>
        <v>0</v>
      </c>
      <c r="AX44" s="24">
        <f t="shared" si="1"/>
        <v>0</v>
      </c>
      <c r="AY44" s="24">
        <f t="shared" si="2"/>
        <v>0</v>
      </c>
      <c r="AZ44" s="24">
        <f t="shared" si="14"/>
        <v>0</v>
      </c>
      <c r="BA44">
        <f t="shared" si="15"/>
        <v>0</v>
      </c>
      <c r="BB44">
        <f t="shared" si="3"/>
        <v>0</v>
      </c>
      <c r="BC44" s="24">
        <f t="shared" si="4"/>
        <v>0</v>
      </c>
      <c r="BD44">
        <f t="shared" si="16"/>
        <v>0</v>
      </c>
    </row>
    <row r="45" spans="1:56" x14ac:dyDescent="0.3">
      <c r="A45">
        <f>'Entrada datos'!A45</f>
        <v>0</v>
      </c>
      <c r="B45">
        <f>'Entrada datos'!B45</f>
        <v>0</v>
      </c>
      <c r="C45">
        <f>'Entrada datos'!C45</f>
        <v>0</v>
      </c>
      <c r="D45">
        <f>'Entrada datos'!D45</f>
        <v>0</v>
      </c>
      <c r="E45" s="18">
        <f>'Entrada datos'!G45</f>
        <v>0</v>
      </c>
      <c r="F45" s="18">
        <f>'Entrada datos'!H45</f>
        <v>0</v>
      </c>
      <c r="G45">
        <f>'Entrada datos'!J45</f>
        <v>0</v>
      </c>
      <c r="H45">
        <f>'Entrada datos'!L45</f>
        <v>0</v>
      </c>
      <c r="I45">
        <f>'Entrada datos'!O45</f>
        <v>0</v>
      </c>
      <c r="J45">
        <f>'Entrada datos'!P45</f>
        <v>0</v>
      </c>
      <c r="K45">
        <f>'Entrada datos'!Q45</f>
        <v>0</v>
      </c>
      <c r="L45">
        <f>'Entrada datos'!R45</f>
        <v>0</v>
      </c>
      <c r="M45">
        <f>'Entrada datos'!S45</f>
        <v>0</v>
      </c>
      <c r="N45">
        <f>'Entrada datos'!T45</f>
        <v>0</v>
      </c>
      <c r="O45">
        <f>'Entrada datos'!U45</f>
        <v>0</v>
      </c>
      <c r="P45" s="17">
        <f t="shared" si="5"/>
        <v>0</v>
      </c>
      <c r="Q45">
        <f>'Entrada datos'!V45</f>
        <v>0</v>
      </c>
      <c r="R45">
        <f>'Entrada datos'!W45</f>
        <v>0</v>
      </c>
      <c r="S45">
        <f>'Entrada datos'!X45</f>
        <v>0</v>
      </c>
      <c r="T45">
        <f>'Entrada datos'!Y45</f>
        <v>0</v>
      </c>
      <c r="U45">
        <f>'Entrada datos'!Z45</f>
        <v>0</v>
      </c>
      <c r="V45">
        <f>'Entrada datos'!AA45</f>
        <v>0</v>
      </c>
      <c r="W45" s="17">
        <f t="shared" si="0"/>
        <v>0</v>
      </c>
      <c r="X45">
        <f>'Entrada datos'!AB45</f>
        <v>0</v>
      </c>
      <c r="Y45">
        <f>'Entrada datos'!AC45</f>
        <v>0</v>
      </c>
      <c r="Z45">
        <f>'Entrada datos'!AD45</f>
        <v>0</v>
      </c>
      <c r="AA45">
        <f>'Entrada datos'!AE45</f>
        <v>0</v>
      </c>
      <c r="AB45">
        <f>'Entrada datos'!AF45</f>
        <v>0</v>
      </c>
      <c r="AC45">
        <f>'Entrada datos'!AG45</f>
        <v>0</v>
      </c>
      <c r="AD45" s="17">
        <f t="shared" si="6"/>
        <v>0</v>
      </c>
      <c r="AE45">
        <f>'Entrada datos'!AH45</f>
        <v>0</v>
      </c>
      <c r="AF45">
        <f>'Entrada datos'!AI45</f>
        <v>0</v>
      </c>
      <c r="AG45">
        <f>'Entrada datos'!AJ45</f>
        <v>0</v>
      </c>
      <c r="AH45">
        <f>'Entrada datos'!AK45</f>
        <v>0</v>
      </c>
      <c r="AI45">
        <f>'Entrada datos'!AL45</f>
        <v>0</v>
      </c>
      <c r="AJ45">
        <f>'Entrada datos'!AM45</f>
        <v>0</v>
      </c>
      <c r="AK45" s="17">
        <f t="shared" si="7"/>
        <v>0</v>
      </c>
      <c r="AL45">
        <f>'Entrada datos'!AN45</f>
        <v>0</v>
      </c>
      <c r="AM45">
        <f>'Entrada datos'!AO45</f>
        <v>0</v>
      </c>
      <c r="AN45">
        <f>'Entrada datos'!AP45</f>
        <v>0</v>
      </c>
      <c r="AO45">
        <f>'Entrada datos'!AQ45</f>
        <v>0</v>
      </c>
      <c r="AP45">
        <f>'Entrada datos'!AR45</f>
        <v>0</v>
      </c>
      <c r="AQ45">
        <f>'Entrada datos'!AS45</f>
        <v>0</v>
      </c>
      <c r="AR45" s="17">
        <f t="shared" si="8"/>
        <v>0</v>
      </c>
      <c r="AS45" s="23">
        <f t="shared" si="9"/>
        <v>0</v>
      </c>
      <c r="AT45">
        <f t="shared" si="10"/>
        <v>1900</v>
      </c>
      <c r="AU45" s="41" t="str">
        <f t="shared" si="11"/>
        <v>enero</v>
      </c>
      <c r="AV45">
        <f t="shared" si="12"/>
        <v>0</v>
      </c>
      <c r="AW45">
        <f t="shared" si="13"/>
        <v>0</v>
      </c>
      <c r="AX45" s="24">
        <f t="shared" si="1"/>
        <v>0</v>
      </c>
      <c r="AY45" s="24">
        <f t="shared" si="2"/>
        <v>0</v>
      </c>
      <c r="AZ45" s="24">
        <f t="shared" si="14"/>
        <v>0</v>
      </c>
      <c r="BA45">
        <f t="shared" si="15"/>
        <v>0</v>
      </c>
      <c r="BB45">
        <f t="shared" si="3"/>
        <v>0</v>
      </c>
      <c r="BC45" s="24">
        <f t="shared" si="4"/>
        <v>0</v>
      </c>
      <c r="BD45">
        <f t="shared" si="16"/>
        <v>0</v>
      </c>
    </row>
    <row r="46" spans="1:56" x14ac:dyDescent="0.3">
      <c r="A46">
        <f>'Entrada datos'!A46</f>
        <v>0</v>
      </c>
      <c r="B46">
        <f>'Entrada datos'!B46</f>
        <v>0</v>
      </c>
      <c r="C46">
        <f>'Entrada datos'!C46</f>
        <v>0</v>
      </c>
      <c r="D46">
        <f>'Entrada datos'!D46</f>
        <v>0</v>
      </c>
      <c r="E46" s="18">
        <f>'Entrada datos'!G46</f>
        <v>0</v>
      </c>
      <c r="F46" s="18">
        <f>'Entrada datos'!H46</f>
        <v>0</v>
      </c>
      <c r="G46">
        <f>'Entrada datos'!J46</f>
        <v>0</v>
      </c>
      <c r="H46">
        <f>'Entrada datos'!L46</f>
        <v>0</v>
      </c>
      <c r="I46">
        <f>'Entrada datos'!O46</f>
        <v>0</v>
      </c>
      <c r="J46">
        <f>'Entrada datos'!P46</f>
        <v>0</v>
      </c>
      <c r="K46">
        <f>'Entrada datos'!Q46</f>
        <v>0</v>
      </c>
      <c r="L46">
        <f>'Entrada datos'!R46</f>
        <v>0</v>
      </c>
      <c r="M46">
        <f>'Entrada datos'!S46</f>
        <v>0</v>
      </c>
      <c r="N46">
        <f>'Entrada datos'!T46</f>
        <v>0</v>
      </c>
      <c r="O46">
        <f>'Entrada datos'!U46</f>
        <v>0</v>
      </c>
      <c r="P46" s="17">
        <f t="shared" si="5"/>
        <v>0</v>
      </c>
      <c r="Q46">
        <f>'Entrada datos'!V46</f>
        <v>0</v>
      </c>
      <c r="R46">
        <f>'Entrada datos'!W46</f>
        <v>0</v>
      </c>
      <c r="S46">
        <f>'Entrada datos'!X46</f>
        <v>0</v>
      </c>
      <c r="T46">
        <f>'Entrada datos'!Y46</f>
        <v>0</v>
      </c>
      <c r="U46">
        <f>'Entrada datos'!Z46</f>
        <v>0</v>
      </c>
      <c r="V46">
        <f>'Entrada datos'!AA46</f>
        <v>0</v>
      </c>
      <c r="W46" s="17">
        <f t="shared" si="0"/>
        <v>0</v>
      </c>
      <c r="X46">
        <f>'Entrada datos'!AB46</f>
        <v>0</v>
      </c>
      <c r="Y46">
        <f>'Entrada datos'!AC46</f>
        <v>0</v>
      </c>
      <c r="Z46">
        <f>'Entrada datos'!AD46</f>
        <v>0</v>
      </c>
      <c r="AA46">
        <f>'Entrada datos'!AE46</f>
        <v>0</v>
      </c>
      <c r="AB46">
        <f>'Entrada datos'!AF46</f>
        <v>0</v>
      </c>
      <c r="AC46">
        <f>'Entrada datos'!AG46</f>
        <v>0</v>
      </c>
      <c r="AD46" s="17">
        <f t="shared" si="6"/>
        <v>0</v>
      </c>
      <c r="AE46">
        <f>'Entrada datos'!AH46</f>
        <v>0</v>
      </c>
      <c r="AF46">
        <f>'Entrada datos'!AI46</f>
        <v>0</v>
      </c>
      <c r="AG46">
        <f>'Entrada datos'!AJ46</f>
        <v>0</v>
      </c>
      <c r="AH46">
        <f>'Entrada datos'!AK46</f>
        <v>0</v>
      </c>
      <c r="AI46">
        <f>'Entrada datos'!AL46</f>
        <v>0</v>
      </c>
      <c r="AJ46">
        <f>'Entrada datos'!AM46</f>
        <v>0</v>
      </c>
      <c r="AK46" s="17">
        <f t="shared" si="7"/>
        <v>0</v>
      </c>
      <c r="AL46">
        <f>'Entrada datos'!AN46</f>
        <v>0</v>
      </c>
      <c r="AM46">
        <f>'Entrada datos'!AO46</f>
        <v>0</v>
      </c>
      <c r="AN46">
        <f>'Entrada datos'!AP46</f>
        <v>0</v>
      </c>
      <c r="AO46">
        <f>'Entrada datos'!AQ46</f>
        <v>0</v>
      </c>
      <c r="AP46">
        <f>'Entrada datos'!AR46</f>
        <v>0</v>
      </c>
      <c r="AQ46">
        <f>'Entrada datos'!AS46</f>
        <v>0</v>
      </c>
      <c r="AR46" s="17">
        <f t="shared" si="8"/>
        <v>0</v>
      </c>
      <c r="AS46" s="23">
        <f t="shared" si="9"/>
        <v>0</v>
      </c>
      <c r="AT46">
        <f t="shared" si="10"/>
        <v>1900</v>
      </c>
      <c r="AU46" s="41" t="str">
        <f t="shared" si="11"/>
        <v>enero</v>
      </c>
      <c r="AV46">
        <f t="shared" si="12"/>
        <v>0</v>
      </c>
      <c r="AW46">
        <f t="shared" si="13"/>
        <v>0</v>
      </c>
      <c r="AX46" s="24">
        <f t="shared" si="1"/>
        <v>0</v>
      </c>
      <c r="AY46" s="24">
        <f t="shared" si="2"/>
        <v>0</v>
      </c>
      <c r="AZ46" s="24">
        <f t="shared" si="14"/>
        <v>0</v>
      </c>
      <c r="BA46">
        <f t="shared" si="15"/>
        <v>0</v>
      </c>
      <c r="BB46">
        <f t="shared" si="3"/>
        <v>0</v>
      </c>
      <c r="BC46" s="24">
        <f t="shared" si="4"/>
        <v>0</v>
      </c>
      <c r="BD46">
        <f t="shared" si="16"/>
        <v>0</v>
      </c>
    </row>
    <row r="47" spans="1:56" x14ac:dyDescent="0.3">
      <c r="A47">
        <f>'Entrada datos'!A47</f>
        <v>0</v>
      </c>
      <c r="B47">
        <f>'Entrada datos'!B47</f>
        <v>0</v>
      </c>
      <c r="C47">
        <f>'Entrada datos'!C47</f>
        <v>0</v>
      </c>
      <c r="D47">
        <f>'Entrada datos'!D47</f>
        <v>0</v>
      </c>
      <c r="E47" s="18">
        <f>'Entrada datos'!G47</f>
        <v>0</v>
      </c>
      <c r="F47" s="18">
        <f>'Entrada datos'!H47</f>
        <v>0</v>
      </c>
      <c r="G47">
        <f>'Entrada datos'!J47</f>
        <v>0</v>
      </c>
      <c r="H47">
        <f>'Entrada datos'!L47</f>
        <v>0</v>
      </c>
      <c r="I47">
        <f>'Entrada datos'!O47</f>
        <v>0</v>
      </c>
      <c r="J47">
        <f>'Entrada datos'!P47</f>
        <v>0</v>
      </c>
      <c r="K47">
        <f>'Entrada datos'!Q47</f>
        <v>0</v>
      </c>
      <c r="L47">
        <f>'Entrada datos'!R47</f>
        <v>0</v>
      </c>
      <c r="M47">
        <f>'Entrada datos'!S47</f>
        <v>0</v>
      </c>
      <c r="N47">
        <f>'Entrada datos'!T47</f>
        <v>0</v>
      </c>
      <c r="O47">
        <f>'Entrada datos'!U47</f>
        <v>0</v>
      </c>
      <c r="P47" s="17">
        <f t="shared" si="5"/>
        <v>0</v>
      </c>
      <c r="Q47">
        <f>'Entrada datos'!V47</f>
        <v>0</v>
      </c>
      <c r="R47">
        <f>'Entrada datos'!W47</f>
        <v>0</v>
      </c>
      <c r="S47">
        <f>'Entrada datos'!X47</f>
        <v>0</v>
      </c>
      <c r="T47">
        <f>'Entrada datos'!Y47</f>
        <v>0</v>
      </c>
      <c r="U47">
        <f>'Entrada datos'!Z47</f>
        <v>0</v>
      </c>
      <c r="V47">
        <f>'Entrada datos'!AA47</f>
        <v>0</v>
      </c>
      <c r="W47" s="17">
        <f t="shared" si="0"/>
        <v>0</v>
      </c>
      <c r="X47">
        <f>'Entrada datos'!AB47</f>
        <v>0</v>
      </c>
      <c r="Y47">
        <f>'Entrada datos'!AC47</f>
        <v>0</v>
      </c>
      <c r="Z47">
        <f>'Entrada datos'!AD47</f>
        <v>0</v>
      </c>
      <c r="AA47">
        <f>'Entrada datos'!AE47</f>
        <v>0</v>
      </c>
      <c r="AB47">
        <f>'Entrada datos'!AF47</f>
        <v>0</v>
      </c>
      <c r="AC47">
        <f>'Entrada datos'!AG47</f>
        <v>0</v>
      </c>
      <c r="AD47" s="17">
        <f t="shared" si="6"/>
        <v>0</v>
      </c>
      <c r="AE47">
        <f>'Entrada datos'!AH47</f>
        <v>0</v>
      </c>
      <c r="AF47">
        <f>'Entrada datos'!AI47</f>
        <v>0</v>
      </c>
      <c r="AG47">
        <f>'Entrada datos'!AJ47</f>
        <v>0</v>
      </c>
      <c r="AH47">
        <f>'Entrada datos'!AK47</f>
        <v>0</v>
      </c>
      <c r="AI47">
        <f>'Entrada datos'!AL47</f>
        <v>0</v>
      </c>
      <c r="AJ47">
        <f>'Entrada datos'!AM47</f>
        <v>0</v>
      </c>
      <c r="AK47" s="17">
        <f t="shared" si="7"/>
        <v>0</v>
      </c>
      <c r="AL47">
        <f>'Entrada datos'!AN47</f>
        <v>0</v>
      </c>
      <c r="AM47">
        <f>'Entrada datos'!AO47</f>
        <v>0</v>
      </c>
      <c r="AN47">
        <f>'Entrada datos'!AP47</f>
        <v>0</v>
      </c>
      <c r="AO47">
        <f>'Entrada datos'!AQ47</f>
        <v>0</v>
      </c>
      <c r="AP47">
        <f>'Entrada datos'!AR47</f>
        <v>0</v>
      </c>
      <c r="AQ47">
        <f>'Entrada datos'!AS47</f>
        <v>0</v>
      </c>
      <c r="AR47" s="17">
        <f t="shared" si="8"/>
        <v>0</v>
      </c>
      <c r="AS47" s="23">
        <f t="shared" si="9"/>
        <v>0</v>
      </c>
      <c r="AT47">
        <f t="shared" si="10"/>
        <v>1900</v>
      </c>
      <c r="AU47" s="41" t="str">
        <f t="shared" si="11"/>
        <v>enero</v>
      </c>
      <c r="AV47">
        <f t="shared" si="12"/>
        <v>0</v>
      </c>
      <c r="AW47">
        <f t="shared" si="13"/>
        <v>0</v>
      </c>
      <c r="AX47" s="24">
        <f t="shared" si="1"/>
        <v>0</v>
      </c>
      <c r="AY47" s="24">
        <f t="shared" si="2"/>
        <v>0</v>
      </c>
      <c r="AZ47" s="24">
        <f t="shared" si="14"/>
        <v>0</v>
      </c>
      <c r="BA47">
        <f t="shared" si="15"/>
        <v>0</v>
      </c>
      <c r="BB47">
        <f t="shared" si="3"/>
        <v>0</v>
      </c>
      <c r="BC47" s="24">
        <f t="shared" si="4"/>
        <v>0</v>
      </c>
      <c r="BD47">
        <f t="shared" si="16"/>
        <v>0</v>
      </c>
    </row>
    <row r="48" spans="1:56" x14ac:dyDescent="0.3">
      <c r="A48">
        <f>'Entrada datos'!A48</f>
        <v>0</v>
      </c>
      <c r="B48">
        <f>'Entrada datos'!B48</f>
        <v>0</v>
      </c>
      <c r="C48">
        <f>'Entrada datos'!C48</f>
        <v>0</v>
      </c>
      <c r="D48">
        <f>'Entrada datos'!D48</f>
        <v>0</v>
      </c>
      <c r="E48" s="18">
        <f>'Entrada datos'!G48</f>
        <v>0</v>
      </c>
      <c r="F48" s="18">
        <f>'Entrada datos'!H48</f>
        <v>0</v>
      </c>
      <c r="G48">
        <f>'Entrada datos'!J48</f>
        <v>0</v>
      </c>
      <c r="H48">
        <f>'Entrada datos'!L48</f>
        <v>0</v>
      </c>
      <c r="I48">
        <f>'Entrada datos'!O48</f>
        <v>0</v>
      </c>
      <c r="J48">
        <f>'Entrada datos'!P48</f>
        <v>0</v>
      </c>
      <c r="K48">
        <f>'Entrada datos'!Q48</f>
        <v>0</v>
      </c>
      <c r="L48">
        <f>'Entrada datos'!R48</f>
        <v>0</v>
      </c>
      <c r="M48">
        <f>'Entrada datos'!S48</f>
        <v>0</v>
      </c>
      <c r="N48">
        <f>'Entrada datos'!T48</f>
        <v>0</v>
      </c>
      <c r="O48">
        <f>'Entrada datos'!U48</f>
        <v>0</v>
      </c>
      <c r="P48" s="17">
        <f t="shared" si="5"/>
        <v>0</v>
      </c>
      <c r="Q48">
        <f>'Entrada datos'!V48</f>
        <v>0</v>
      </c>
      <c r="R48">
        <f>'Entrada datos'!W48</f>
        <v>0</v>
      </c>
      <c r="S48">
        <f>'Entrada datos'!X48</f>
        <v>0</v>
      </c>
      <c r="T48">
        <f>'Entrada datos'!Y48</f>
        <v>0</v>
      </c>
      <c r="U48">
        <f>'Entrada datos'!Z48</f>
        <v>0</v>
      </c>
      <c r="V48">
        <f>'Entrada datos'!AA48</f>
        <v>0</v>
      </c>
      <c r="W48" s="17">
        <f t="shared" si="0"/>
        <v>0</v>
      </c>
      <c r="X48">
        <f>'Entrada datos'!AB48</f>
        <v>0</v>
      </c>
      <c r="Y48">
        <f>'Entrada datos'!AC48</f>
        <v>0</v>
      </c>
      <c r="Z48">
        <f>'Entrada datos'!AD48</f>
        <v>0</v>
      </c>
      <c r="AA48">
        <f>'Entrada datos'!AE48</f>
        <v>0</v>
      </c>
      <c r="AB48">
        <f>'Entrada datos'!AF48</f>
        <v>0</v>
      </c>
      <c r="AC48">
        <f>'Entrada datos'!AG48</f>
        <v>0</v>
      </c>
      <c r="AD48" s="17">
        <f t="shared" si="6"/>
        <v>0</v>
      </c>
      <c r="AE48">
        <f>'Entrada datos'!AH48</f>
        <v>0</v>
      </c>
      <c r="AF48">
        <f>'Entrada datos'!AI48</f>
        <v>0</v>
      </c>
      <c r="AG48">
        <f>'Entrada datos'!AJ48</f>
        <v>0</v>
      </c>
      <c r="AH48">
        <f>'Entrada datos'!AK48</f>
        <v>0</v>
      </c>
      <c r="AI48">
        <f>'Entrada datos'!AL48</f>
        <v>0</v>
      </c>
      <c r="AJ48">
        <f>'Entrada datos'!AM48</f>
        <v>0</v>
      </c>
      <c r="AK48" s="17">
        <f t="shared" si="7"/>
        <v>0</v>
      </c>
      <c r="AL48">
        <f>'Entrada datos'!AN48</f>
        <v>0</v>
      </c>
      <c r="AM48">
        <f>'Entrada datos'!AO48</f>
        <v>0</v>
      </c>
      <c r="AN48">
        <f>'Entrada datos'!AP48</f>
        <v>0</v>
      </c>
      <c r="AO48">
        <f>'Entrada datos'!AQ48</f>
        <v>0</v>
      </c>
      <c r="AP48">
        <f>'Entrada datos'!AR48</f>
        <v>0</v>
      </c>
      <c r="AQ48">
        <f>'Entrada datos'!AS48</f>
        <v>0</v>
      </c>
      <c r="AR48" s="17">
        <f t="shared" si="8"/>
        <v>0</v>
      </c>
      <c r="AS48" s="23">
        <f t="shared" si="9"/>
        <v>0</v>
      </c>
      <c r="AT48">
        <f t="shared" si="10"/>
        <v>1900</v>
      </c>
      <c r="AU48" s="41" t="str">
        <f t="shared" si="11"/>
        <v>enero</v>
      </c>
      <c r="AV48">
        <f t="shared" si="12"/>
        <v>0</v>
      </c>
      <c r="AW48">
        <f t="shared" si="13"/>
        <v>0</v>
      </c>
      <c r="AX48" s="24">
        <f t="shared" si="1"/>
        <v>0</v>
      </c>
      <c r="AY48" s="24">
        <f t="shared" si="2"/>
        <v>0</v>
      </c>
      <c r="AZ48" s="24">
        <f t="shared" si="14"/>
        <v>0</v>
      </c>
      <c r="BA48">
        <f t="shared" si="15"/>
        <v>0</v>
      </c>
      <c r="BB48">
        <f t="shared" si="3"/>
        <v>0</v>
      </c>
      <c r="BC48" s="24">
        <f t="shared" si="4"/>
        <v>0</v>
      </c>
      <c r="BD48">
        <f t="shared" si="16"/>
        <v>0</v>
      </c>
    </row>
    <row r="49" spans="1:56" x14ac:dyDescent="0.3">
      <c r="A49">
        <f>'Entrada datos'!A49</f>
        <v>0</v>
      </c>
      <c r="B49">
        <f>'Entrada datos'!B49</f>
        <v>0</v>
      </c>
      <c r="C49">
        <f>'Entrada datos'!C49</f>
        <v>0</v>
      </c>
      <c r="D49">
        <f>'Entrada datos'!D49</f>
        <v>0</v>
      </c>
      <c r="E49" s="18">
        <f>'Entrada datos'!G49</f>
        <v>0</v>
      </c>
      <c r="F49" s="18">
        <f>'Entrada datos'!H49</f>
        <v>0</v>
      </c>
      <c r="G49">
        <f>'Entrada datos'!J49</f>
        <v>0</v>
      </c>
      <c r="H49">
        <f>'Entrada datos'!L49</f>
        <v>0</v>
      </c>
      <c r="I49">
        <f>'Entrada datos'!O49</f>
        <v>0</v>
      </c>
      <c r="J49">
        <f>'Entrada datos'!P49</f>
        <v>0</v>
      </c>
      <c r="K49">
        <f>'Entrada datos'!Q49</f>
        <v>0</v>
      </c>
      <c r="L49">
        <f>'Entrada datos'!R49</f>
        <v>0</v>
      </c>
      <c r="M49">
        <f>'Entrada datos'!S49</f>
        <v>0</v>
      </c>
      <c r="N49">
        <f>'Entrada datos'!T49</f>
        <v>0</v>
      </c>
      <c r="O49">
        <f>'Entrada datos'!U49</f>
        <v>0</v>
      </c>
      <c r="P49" s="17">
        <f t="shared" si="5"/>
        <v>0</v>
      </c>
      <c r="Q49">
        <f>'Entrada datos'!V49</f>
        <v>0</v>
      </c>
      <c r="R49">
        <f>'Entrada datos'!W49</f>
        <v>0</v>
      </c>
      <c r="S49">
        <f>'Entrada datos'!X49</f>
        <v>0</v>
      </c>
      <c r="T49">
        <f>'Entrada datos'!Y49</f>
        <v>0</v>
      </c>
      <c r="U49">
        <f>'Entrada datos'!Z49</f>
        <v>0</v>
      </c>
      <c r="V49">
        <f>'Entrada datos'!AA49</f>
        <v>0</v>
      </c>
      <c r="W49" s="17">
        <f t="shared" si="0"/>
        <v>0</v>
      </c>
      <c r="X49">
        <f>'Entrada datos'!AB49</f>
        <v>0</v>
      </c>
      <c r="Y49">
        <f>'Entrada datos'!AC49</f>
        <v>0</v>
      </c>
      <c r="Z49">
        <f>'Entrada datos'!AD49</f>
        <v>0</v>
      </c>
      <c r="AA49">
        <f>'Entrada datos'!AE49</f>
        <v>0</v>
      </c>
      <c r="AB49">
        <f>'Entrada datos'!AF49</f>
        <v>0</v>
      </c>
      <c r="AC49">
        <f>'Entrada datos'!AG49</f>
        <v>0</v>
      </c>
      <c r="AD49" s="17">
        <f t="shared" si="6"/>
        <v>0</v>
      </c>
      <c r="AE49">
        <f>'Entrada datos'!AH49</f>
        <v>0</v>
      </c>
      <c r="AF49">
        <f>'Entrada datos'!AI49</f>
        <v>0</v>
      </c>
      <c r="AG49">
        <f>'Entrada datos'!AJ49</f>
        <v>0</v>
      </c>
      <c r="AH49">
        <f>'Entrada datos'!AK49</f>
        <v>0</v>
      </c>
      <c r="AI49">
        <f>'Entrada datos'!AL49</f>
        <v>0</v>
      </c>
      <c r="AJ49">
        <f>'Entrada datos'!AM49</f>
        <v>0</v>
      </c>
      <c r="AK49" s="17">
        <f t="shared" si="7"/>
        <v>0</v>
      </c>
      <c r="AL49">
        <f>'Entrada datos'!AN49</f>
        <v>0</v>
      </c>
      <c r="AM49">
        <f>'Entrada datos'!AO49</f>
        <v>0</v>
      </c>
      <c r="AN49">
        <f>'Entrada datos'!AP49</f>
        <v>0</v>
      </c>
      <c r="AO49">
        <f>'Entrada datos'!AQ49</f>
        <v>0</v>
      </c>
      <c r="AP49">
        <f>'Entrada datos'!AR49</f>
        <v>0</v>
      </c>
      <c r="AQ49">
        <f>'Entrada datos'!AS49</f>
        <v>0</v>
      </c>
      <c r="AR49" s="17">
        <f t="shared" si="8"/>
        <v>0</v>
      </c>
      <c r="AS49" s="23">
        <f t="shared" si="9"/>
        <v>0</v>
      </c>
      <c r="AT49">
        <f t="shared" si="10"/>
        <v>1900</v>
      </c>
      <c r="AU49" s="41" t="str">
        <f t="shared" si="11"/>
        <v>enero</v>
      </c>
      <c r="AV49">
        <f t="shared" si="12"/>
        <v>0</v>
      </c>
      <c r="AW49">
        <f t="shared" si="13"/>
        <v>0</v>
      </c>
      <c r="AX49" s="24">
        <f t="shared" si="1"/>
        <v>0</v>
      </c>
      <c r="AY49" s="24">
        <f t="shared" si="2"/>
        <v>0</v>
      </c>
      <c r="AZ49" s="24">
        <f t="shared" si="14"/>
        <v>0</v>
      </c>
      <c r="BA49">
        <f t="shared" si="15"/>
        <v>0</v>
      </c>
      <c r="BB49">
        <f t="shared" si="3"/>
        <v>0</v>
      </c>
      <c r="BC49" s="24">
        <f t="shared" si="4"/>
        <v>0</v>
      </c>
      <c r="BD49">
        <f t="shared" si="16"/>
        <v>0</v>
      </c>
    </row>
    <row r="50" spans="1:56" x14ac:dyDescent="0.3">
      <c r="A50">
        <f>'Entrada datos'!A50</f>
        <v>0</v>
      </c>
      <c r="B50">
        <f>'Entrada datos'!B50</f>
        <v>0</v>
      </c>
      <c r="C50">
        <f>'Entrada datos'!C50</f>
        <v>0</v>
      </c>
      <c r="D50">
        <f>'Entrada datos'!D50</f>
        <v>0</v>
      </c>
      <c r="E50" s="18">
        <f>'Entrada datos'!G50</f>
        <v>0</v>
      </c>
      <c r="F50" s="18">
        <f>'Entrada datos'!H50</f>
        <v>0</v>
      </c>
      <c r="G50">
        <f>'Entrada datos'!J50</f>
        <v>0</v>
      </c>
      <c r="H50">
        <f>'Entrada datos'!L50</f>
        <v>0</v>
      </c>
      <c r="I50">
        <f>'Entrada datos'!O50</f>
        <v>0</v>
      </c>
      <c r="J50">
        <f>'Entrada datos'!P50</f>
        <v>0</v>
      </c>
      <c r="K50">
        <f>'Entrada datos'!Q50</f>
        <v>0</v>
      </c>
      <c r="L50">
        <f>'Entrada datos'!R50</f>
        <v>0</v>
      </c>
      <c r="M50">
        <f>'Entrada datos'!S50</f>
        <v>0</v>
      </c>
      <c r="N50">
        <f>'Entrada datos'!T50</f>
        <v>0</v>
      </c>
      <c r="O50">
        <f>'Entrada datos'!U50</f>
        <v>0</v>
      </c>
      <c r="P50" s="17">
        <f t="shared" si="5"/>
        <v>0</v>
      </c>
      <c r="Q50">
        <f>'Entrada datos'!V50</f>
        <v>0</v>
      </c>
      <c r="R50">
        <f>'Entrada datos'!W50</f>
        <v>0</v>
      </c>
      <c r="S50">
        <f>'Entrada datos'!X50</f>
        <v>0</v>
      </c>
      <c r="T50">
        <f>'Entrada datos'!Y50</f>
        <v>0</v>
      </c>
      <c r="U50">
        <f>'Entrada datos'!Z50</f>
        <v>0</v>
      </c>
      <c r="V50">
        <f>'Entrada datos'!AA50</f>
        <v>0</v>
      </c>
      <c r="W50" s="17">
        <f t="shared" si="0"/>
        <v>0</v>
      </c>
      <c r="X50">
        <f>'Entrada datos'!AB50</f>
        <v>0</v>
      </c>
      <c r="Y50">
        <f>'Entrada datos'!AC50</f>
        <v>0</v>
      </c>
      <c r="Z50">
        <f>'Entrada datos'!AD50</f>
        <v>0</v>
      </c>
      <c r="AA50">
        <f>'Entrada datos'!AE50</f>
        <v>0</v>
      </c>
      <c r="AB50">
        <f>'Entrada datos'!AF50</f>
        <v>0</v>
      </c>
      <c r="AC50">
        <f>'Entrada datos'!AG50</f>
        <v>0</v>
      </c>
      <c r="AD50" s="17">
        <f t="shared" si="6"/>
        <v>0</v>
      </c>
      <c r="AE50">
        <f>'Entrada datos'!AH50</f>
        <v>0</v>
      </c>
      <c r="AF50">
        <f>'Entrada datos'!AI50</f>
        <v>0</v>
      </c>
      <c r="AG50">
        <f>'Entrada datos'!AJ50</f>
        <v>0</v>
      </c>
      <c r="AH50">
        <f>'Entrada datos'!AK50</f>
        <v>0</v>
      </c>
      <c r="AI50">
        <f>'Entrada datos'!AL50</f>
        <v>0</v>
      </c>
      <c r="AJ50">
        <f>'Entrada datos'!AM50</f>
        <v>0</v>
      </c>
      <c r="AK50" s="17">
        <f t="shared" si="7"/>
        <v>0</v>
      </c>
      <c r="AL50">
        <f>'Entrada datos'!AN50</f>
        <v>0</v>
      </c>
      <c r="AM50">
        <f>'Entrada datos'!AO50</f>
        <v>0</v>
      </c>
      <c r="AN50">
        <f>'Entrada datos'!AP50</f>
        <v>0</v>
      </c>
      <c r="AO50">
        <f>'Entrada datos'!AQ50</f>
        <v>0</v>
      </c>
      <c r="AP50">
        <f>'Entrada datos'!AR50</f>
        <v>0</v>
      </c>
      <c r="AQ50">
        <f>'Entrada datos'!AS50</f>
        <v>0</v>
      </c>
      <c r="AR50" s="17">
        <f t="shared" si="8"/>
        <v>0</v>
      </c>
      <c r="AS50" s="23">
        <f t="shared" si="9"/>
        <v>0</v>
      </c>
      <c r="AT50">
        <f t="shared" si="10"/>
        <v>1900</v>
      </c>
      <c r="AU50" s="41" t="str">
        <f t="shared" si="11"/>
        <v>enero</v>
      </c>
      <c r="AV50">
        <f t="shared" si="12"/>
        <v>0</v>
      </c>
      <c r="AW50">
        <f t="shared" si="13"/>
        <v>0</v>
      </c>
      <c r="AX50" s="24">
        <f t="shared" si="1"/>
        <v>0</v>
      </c>
      <c r="AY50" s="24">
        <f t="shared" si="2"/>
        <v>0</v>
      </c>
      <c r="AZ50" s="24">
        <f t="shared" si="14"/>
        <v>0</v>
      </c>
      <c r="BA50">
        <f t="shared" si="15"/>
        <v>0</v>
      </c>
      <c r="BB50">
        <f t="shared" si="3"/>
        <v>0</v>
      </c>
      <c r="BC50" s="24">
        <f t="shared" si="4"/>
        <v>0</v>
      </c>
      <c r="BD50">
        <f t="shared" si="16"/>
        <v>0</v>
      </c>
    </row>
    <row r="51" spans="1:56" x14ac:dyDescent="0.3">
      <c r="A51">
        <f>'Entrada datos'!A51</f>
        <v>0</v>
      </c>
      <c r="B51">
        <f>'Entrada datos'!B51</f>
        <v>0</v>
      </c>
      <c r="C51">
        <f>'Entrada datos'!C51</f>
        <v>0</v>
      </c>
      <c r="D51">
        <f>'Entrada datos'!D51</f>
        <v>0</v>
      </c>
      <c r="E51" s="18">
        <f>'Entrada datos'!G51</f>
        <v>0</v>
      </c>
      <c r="F51" s="18">
        <f>'Entrada datos'!H51</f>
        <v>0</v>
      </c>
      <c r="G51">
        <f>'Entrada datos'!J51</f>
        <v>0</v>
      </c>
      <c r="H51">
        <f>'Entrada datos'!L51</f>
        <v>0</v>
      </c>
      <c r="I51">
        <f>'Entrada datos'!O51</f>
        <v>0</v>
      </c>
      <c r="J51">
        <f>'Entrada datos'!P51</f>
        <v>0</v>
      </c>
      <c r="K51">
        <f>'Entrada datos'!Q51</f>
        <v>0</v>
      </c>
      <c r="L51">
        <f>'Entrada datos'!R51</f>
        <v>0</v>
      </c>
      <c r="M51">
        <f>'Entrada datos'!S51</f>
        <v>0</v>
      </c>
      <c r="N51">
        <f>'Entrada datos'!T51</f>
        <v>0</v>
      </c>
      <c r="O51">
        <f>'Entrada datos'!U51</f>
        <v>0</v>
      </c>
      <c r="P51" s="17">
        <f t="shared" si="5"/>
        <v>0</v>
      </c>
      <c r="Q51">
        <f>'Entrada datos'!V51</f>
        <v>0</v>
      </c>
      <c r="R51">
        <f>'Entrada datos'!W51</f>
        <v>0</v>
      </c>
      <c r="S51">
        <f>'Entrada datos'!X51</f>
        <v>0</v>
      </c>
      <c r="T51">
        <f>'Entrada datos'!Y51</f>
        <v>0</v>
      </c>
      <c r="U51">
        <f>'Entrada datos'!Z51</f>
        <v>0</v>
      </c>
      <c r="V51">
        <f>'Entrada datos'!AA51</f>
        <v>0</v>
      </c>
      <c r="W51" s="17">
        <f t="shared" si="0"/>
        <v>0</v>
      </c>
      <c r="X51">
        <f>'Entrada datos'!AB51</f>
        <v>0</v>
      </c>
      <c r="Y51">
        <f>'Entrada datos'!AC51</f>
        <v>0</v>
      </c>
      <c r="Z51">
        <f>'Entrada datos'!AD51</f>
        <v>0</v>
      </c>
      <c r="AA51">
        <f>'Entrada datos'!AE51</f>
        <v>0</v>
      </c>
      <c r="AB51">
        <f>'Entrada datos'!AF51</f>
        <v>0</v>
      </c>
      <c r="AC51">
        <f>'Entrada datos'!AG51</f>
        <v>0</v>
      </c>
      <c r="AD51" s="17">
        <f t="shared" si="6"/>
        <v>0</v>
      </c>
      <c r="AE51">
        <f>'Entrada datos'!AH51</f>
        <v>0</v>
      </c>
      <c r="AF51">
        <f>'Entrada datos'!AI51</f>
        <v>0</v>
      </c>
      <c r="AG51">
        <f>'Entrada datos'!AJ51</f>
        <v>0</v>
      </c>
      <c r="AH51">
        <f>'Entrada datos'!AK51</f>
        <v>0</v>
      </c>
      <c r="AI51">
        <f>'Entrada datos'!AL51</f>
        <v>0</v>
      </c>
      <c r="AJ51">
        <f>'Entrada datos'!AM51</f>
        <v>0</v>
      </c>
      <c r="AK51" s="17">
        <f t="shared" si="7"/>
        <v>0</v>
      </c>
      <c r="AL51">
        <f>'Entrada datos'!AN51</f>
        <v>0</v>
      </c>
      <c r="AM51">
        <f>'Entrada datos'!AO51</f>
        <v>0</v>
      </c>
      <c r="AN51">
        <f>'Entrada datos'!AP51</f>
        <v>0</v>
      </c>
      <c r="AO51">
        <f>'Entrada datos'!AQ51</f>
        <v>0</v>
      </c>
      <c r="AP51">
        <f>'Entrada datos'!AR51</f>
        <v>0</v>
      </c>
      <c r="AQ51">
        <f>'Entrada datos'!AS51</f>
        <v>0</v>
      </c>
      <c r="AR51" s="17">
        <f t="shared" si="8"/>
        <v>0</v>
      </c>
      <c r="AS51" s="23">
        <f t="shared" si="9"/>
        <v>0</v>
      </c>
      <c r="AT51">
        <f t="shared" si="10"/>
        <v>1900</v>
      </c>
      <c r="AU51" s="41" t="str">
        <f t="shared" si="11"/>
        <v>enero</v>
      </c>
      <c r="AV51">
        <f t="shared" si="12"/>
        <v>0</v>
      </c>
      <c r="AW51">
        <f t="shared" si="13"/>
        <v>0</v>
      </c>
      <c r="AX51" s="24">
        <f t="shared" si="1"/>
        <v>0</v>
      </c>
      <c r="AY51" s="24">
        <f t="shared" si="2"/>
        <v>0</v>
      </c>
      <c r="AZ51" s="24">
        <f t="shared" si="14"/>
        <v>0</v>
      </c>
      <c r="BA51">
        <f t="shared" si="15"/>
        <v>0</v>
      </c>
      <c r="BB51">
        <f t="shared" si="3"/>
        <v>0</v>
      </c>
      <c r="BC51" s="24">
        <f t="shared" si="4"/>
        <v>0</v>
      </c>
      <c r="BD51">
        <f t="shared" si="16"/>
        <v>0</v>
      </c>
    </row>
    <row r="52" spans="1:56" x14ac:dyDescent="0.3">
      <c r="A52">
        <f>'Entrada datos'!A52</f>
        <v>0</v>
      </c>
      <c r="B52">
        <f>'Entrada datos'!B52</f>
        <v>0</v>
      </c>
      <c r="C52">
        <f>'Entrada datos'!C52</f>
        <v>0</v>
      </c>
      <c r="D52">
        <f>'Entrada datos'!D52</f>
        <v>0</v>
      </c>
      <c r="E52" s="18">
        <f>'Entrada datos'!G52</f>
        <v>0</v>
      </c>
      <c r="F52" s="18">
        <f>'Entrada datos'!H52</f>
        <v>0</v>
      </c>
      <c r="G52">
        <f>'Entrada datos'!J52</f>
        <v>0</v>
      </c>
      <c r="H52">
        <f>'Entrada datos'!L52</f>
        <v>0</v>
      </c>
      <c r="I52">
        <f>'Entrada datos'!O52</f>
        <v>0</v>
      </c>
      <c r="J52">
        <f>'Entrada datos'!P52</f>
        <v>0</v>
      </c>
      <c r="K52">
        <f>'Entrada datos'!Q52</f>
        <v>0</v>
      </c>
      <c r="L52">
        <f>'Entrada datos'!R52</f>
        <v>0</v>
      </c>
      <c r="M52">
        <f>'Entrada datos'!S52</f>
        <v>0</v>
      </c>
      <c r="N52">
        <f>'Entrada datos'!T52</f>
        <v>0</v>
      </c>
      <c r="O52">
        <f>'Entrada datos'!U52</f>
        <v>0</v>
      </c>
      <c r="P52" s="17">
        <f t="shared" si="5"/>
        <v>0</v>
      </c>
      <c r="Q52">
        <f>'Entrada datos'!V52</f>
        <v>0</v>
      </c>
      <c r="R52">
        <f>'Entrada datos'!W52</f>
        <v>0</v>
      </c>
      <c r="S52">
        <f>'Entrada datos'!X52</f>
        <v>0</v>
      </c>
      <c r="T52">
        <f>'Entrada datos'!Y52</f>
        <v>0</v>
      </c>
      <c r="U52">
        <f>'Entrada datos'!Z52</f>
        <v>0</v>
      </c>
      <c r="V52">
        <f>'Entrada datos'!AA52</f>
        <v>0</v>
      </c>
      <c r="W52" s="17">
        <f t="shared" si="0"/>
        <v>0</v>
      </c>
      <c r="X52">
        <f>'Entrada datos'!AB52</f>
        <v>0</v>
      </c>
      <c r="Y52">
        <f>'Entrada datos'!AC52</f>
        <v>0</v>
      </c>
      <c r="Z52">
        <f>'Entrada datos'!AD52</f>
        <v>0</v>
      </c>
      <c r="AA52">
        <f>'Entrada datos'!AE52</f>
        <v>0</v>
      </c>
      <c r="AB52">
        <f>'Entrada datos'!AF52</f>
        <v>0</v>
      </c>
      <c r="AC52">
        <f>'Entrada datos'!AG52</f>
        <v>0</v>
      </c>
      <c r="AD52" s="17">
        <f t="shared" si="6"/>
        <v>0</v>
      </c>
      <c r="AE52">
        <f>'Entrada datos'!AH52</f>
        <v>0</v>
      </c>
      <c r="AF52">
        <f>'Entrada datos'!AI52</f>
        <v>0</v>
      </c>
      <c r="AG52">
        <f>'Entrada datos'!AJ52</f>
        <v>0</v>
      </c>
      <c r="AH52">
        <f>'Entrada datos'!AK52</f>
        <v>0</v>
      </c>
      <c r="AI52">
        <f>'Entrada datos'!AL52</f>
        <v>0</v>
      </c>
      <c r="AJ52">
        <f>'Entrada datos'!AM52</f>
        <v>0</v>
      </c>
      <c r="AK52" s="17">
        <f t="shared" si="7"/>
        <v>0</v>
      </c>
      <c r="AL52">
        <f>'Entrada datos'!AN52</f>
        <v>0</v>
      </c>
      <c r="AM52">
        <f>'Entrada datos'!AO52</f>
        <v>0</v>
      </c>
      <c r="AN52">
        <f>'Entrada datos'!AP52</f>
        <v>0</v>
      </c>
      <c r="AO52">
        <f>'Entrada datos'!AQ52</f>
        <v>0</v>
      </c>
      <c r="AP52">
        <f>'Entrada datos'!AR52</f>
        <v>0</v>
      </c>
      <c r="AQ52">
        <f>'Entrada datos'!AS52</f>
        <v>0</v>
      </c>
      <c r="AR52" s="17">
        <f t="shared" si="8"/>
        <v>0</v>
      </c>
      <c r="AS52" s="23">
        <f t="shared" si="9"/>
        <v>0</v>
      </c>
      <c r="AT52">
        <f t="shared" si="10"/>
        <v>1900</v>
      </c>
      <c r="AU52" s="41" t="str">
        <f t="shared" si="11"/>
        <v>enero</v>
      </c>
      <c r="AV52">
        <f t="shared" si="12"/>
        <v>0</v>
      </c>
      <c r="AW52">
        <f t="shared" si="13"/>
        <v>0</v>
      </c>
      <c r="AX52" s="24">
        <f t="shared" si="1"/>
        <v>0</v>
      </c>
      <c r="AY52" s="24">
        <f t="shared" si="2"/>
        <v>0</v>
      </c>
      <c r="AZ52" s="24">
        <f t="shared" si="14"/>
        <v>0</v>
      </c>
      <c r="BA52">
        <f t="shared" si="15"/>
        <v>0</v>
      </c>
      <c r="BB52">
        <f t="shared" si="3"/>
        <v>0</v>
      </c>
      <c r="BC52" s="24">
        <f t="shared" si="4"/>
        <v>0</v>
      </c>
      <c r="BD52">
        <f t="shared" si="16"/>
        <v>0</v>
      </c>
    </row>
    <row r="53" spans="1:56" x14ac:dyDescent="0.3">
      <c r="A53">
        <f>'Entrada datos'!A53</f>
        <v>0</v>
      </c>
      <c r="B53">
        <f>'Entrada datos'!B53</f>
        <v>0</v>
      </c>
      <c r="C53">
        <f>'Entrada datos'!C53</f>
        <v>0</v>
      </c>
      <c r="D53">
        <f>'Entrada datos'!D53</f>
        <v>0</v>
      </c>
      <c r="E53" s="18">
        <f>'Entrada datos'!G53</f>
        <v>0</v>
      </c>
      <c r="F53" s="18">
        <f>'Entrada datos'!H53</f>
        <v>0</v>
      </c>
      <c r="G53">
        <f>'Entrada datos'!J53</f>
        <v>0</v>
      </c>
      <c r="H53">
        <f>'Entrada datos'!L53</f>
        <v>0</v>
      </c>
      <c r="I53">
        <f>'Entrada datos'!O53</f>
        <v>0</v>
      </c>
      <c r="J53">
        <f>'Entrada datos'!P53</f>
        <v>0</v>
      </c>
      <c r="K53">
        <f>'Entrada datos'!Q53</f>
        <v>0</v>
      </c>
      <c r="L53">
        <f>'Entrada datos'!R53</f>
        <v>0</v>
      </c>
      <c r="M53">
        <f>'Entrada datos'!S53</f>
        <v>0</v>
      </c>
      <c r="N53">
        <f>'Entrada datos'!T53</f>
        <v>0</v>
      </c>
      <c r="O53">
        <f>'Entrada datos'!U53</f>
        <v>0</v>
      </c>
      <c r="P53" s="17">
        <f t="shared" si="5"/>
        <v>0</v>
      </c>
      <c r="Q53">
        <f>'Entrada datos'!V53</f>
        <v>0</v>
      </c>
      <c r="R53">
        <f>'Entrada datos'!W53</f>
        <v>0</v>
      </c>
      <c r="S53">
        <f>'Entrada datos'!X53</f>
        <v>0</v>
      </c>
      <c r="T53">
        <f>'Entrada datos'!Y53</f>
        <v>0</v>
      </c>
      <c r="U53">
        <f>'Entrada datos'!Z53</f>
        <v>0</v>
      </c>
      <c r="V53">
        <f>'Entrada datos'!AA53</f>
        <v>0</v>
      </c>
      <c r="W53" s="17">
        <f t="shared" si="0"/>
        <v>0</v>
      </c>
      <c r="X53">
        <f>'Entrada datos'!AB53</f>
        <v>0</v>
      </c>
      <c r="Y53">
        <f>'Entrada datos'!AC53</f>
        <v>0</v>
      </c>
      <c r="Z53">
        <f>'Entrada datos'!AD53</f>
        <v>0</v>
      </c>
      <c r="AA53">
        <f>'Entrada datos'!AE53</f>
        <v>0</v>
      </c>
      <c r="AB53">
        <f>'Entrada datos'!AF53</f>
        <v>0</v>
      </c>
      <c r="AC53">
        <f>'Entrada datos'!AG53</f>
        <v>0</v>
      </c>
      <c r="AD53" s="17">
        <f t="shared" si="6"/>
        <v>0</v>
      </c>
      <c r="AE53">
        <f>'Entrada datos'!AH53</f>
        <v>0</v>
      </c>
      <c r="AF53">
        <f>'Entrada datos'!AI53</f>
        <v>0</v>
      </c>
      <c r="AG53">
        <f>'Entrada datos'!AJ53</f>
        <v>0</v>
      </c>
      <c r="AH53">
        <f>'Entrada datos'!AK53</f>
        <v>0</v>
      </c>
      <c r="AI53">
        <f>'Entrada datos'!AL53</f>
        <v>0</v>
      </c>
      <c r="AJ53">
        <f>'Entrada datos'!AM53</f>
        <v>0</v>
      </c>
      <c r="AK53" s="17">
        <f t="shared" si="7"/>
        <v>0</v>
      </c>
      <c r="AL53">
        <f>'Entrada datos'!AN53</f>
        <v>0</v>
      </c>
      <c r="AM53">
        <f>'Entrada datos'!AO53</f>
        <v>0</v>
      </c>
      <c r="AN53">
        <f>'Entrada datos'!AP53</f>
        <v>0</v>
      </c>
      <c r="AO53">
        <f>'Entrada datos'!AQ53</f>
        <v>0</v>
      </c>
      <c r="AP53">
        <f>'Entrada datos'!AR53</f>
        <v>0</v>
      </c>
      <c r="AQ53">
        <f>'Entrada datos'!AS53</f>
        <v>0</v>
      </c>
      <c r="AR53" s="17">
        <f t="shared" si="8"/>
        <v>0</v>
      </c>
      <c r="AS53" s="23">
        <f t="shared" si="9"/>
        <v>0</v>
      </c>
      <c r="AT53">
        <f t="shared" si="10"/>
        <v>1900</v>
      </c>
      <c r="AU53" s="41" t="str">
        <f t="shared" si="11"/>
        <v>enero</v>
      </c>
      <c r="AV53">
        <f t="shared" si="12"/>
        <v>0</v>
      </c>
      <c r="AW53">
        <f t="shared" si="13"/>
        <v>0</v>
      </c>
      <c r="AX53" s="24">
        <f t="shared" si="1"/>
        <v>0</v>
      </c>
      <c r="AY53" s="24">
        <f t="shared" si="2"/>
        <v>0</v>
      </c>
      <c r="AZ53" s="24">
        <f t="shared" si="14"/>
        <v>0</v>
      </c>
      <c r="BA53">
        <f t="shared" si="15"/>
        <v>0</v>
      </c>
      <c r="BB53">
        <f t="shared" si="3"/>
        <v>0</v>
      </c>
      <c r="BC53" s="24">
        <f t="shared" si="4"/>
        <v>0</v>
      </c>
      <c r="BD53">
        <f t="shared" si="16"/>
        <v>0</v>
      </c>
    </row>
    <row r="54" spans="1:56" x14ac:dyDescent="0.3">
      <c r="A54">
        <f>'Entrada datos'!A54</f>
        <v>0</v>
      </c>
      <c r="B54">
        <f>'Entrada datos'!B54</f>
        <v>0</v>
      </c>
      <c r="C54">
        <f>'Entrada datos'!C54</f>
        <v>0</v>
      </c>
      <c r="D54">
        <f>'Entrada datos'!D54</f>
        <v>0</v>
      </c>
      <c r="E54" s="18">
        <f>'Entrada datos'!G54</f>
        <v>0</v>
      </c>
      <c r="F54" s="18">
        <f>'Entrada datos'!H54</f>
        <v>0</v>
      </c>
      <c r="G54">
        <f>'Entrada datos'!J54</f>
        <v>0</v>
      </c>
      <c r="H54">
        <f>'Entrada datos'!L54</f>
        <v>0</v>
      </c>
      <c r="I54">
        <f>'Entrada datos'!O54</f>
        <v>0</v>
      </c>
      <c r="J54">
        <f>'Entrada datos'!P54</f>
        <v>0</v>
      </c>
      <c r="K54">
        <f>'Entrada datos'!Q54</f>
        <v>0</v>
      </c>
      <c r="L54">
        <f>'Entrada datos'!R54</f>
        <v>0</v>
      </c>
      <c r="M54">
        <f>'Entrada datos'!S54</f>
        <v>0</v>
      </c>
      <c r="N54">
        <f>'Entrada datos'!T54</f>
        <v>0</v>
      </c>
      <c r="O54">
        <f>'Entrada datos'!U54</f>
        <v>0</v>
      </c>
      <c r="P54" s="17">
        <f t="shared" si="5"/>
        <v>0</v>
      </c>
      <c r="Q54">
        <f>'Entrada datos'!V54</f>
        <v>0</v>
      </c>
      <c r="R54">
        <f>'Entrada datos'!W54</f>
        <v>0</v>
      </c>
      <c r="S54">
        <f>'Entrada datos'!X54</f>
        <v>0</v>
      </c>
      <c r="T54">
        <f>'Entrada datos'!Y54</f>
        <v>0</v>
      </c>
      <c r="U54">
        <f>'Entrada datos'!Z54</f>
        <v>0</v>
      </c>
      <c r="V54">
        <f>'Entrada datos'!AA54</f>
        <v>0</v>
      </c>
      <c r="W54" s="17">
        <f t="shared" si="0"/>
        <v>0</v>
      </c>
      <c r="X54">
        <f>'Entrada datos'!AB54</f>
        <v>0</v>
      </c>
      <c r="Y54">
        <f>'Entrada datos'!AC54</f>
        <v>0</v>
      </c>
      <c r="Z54">
        <f>'Entrada datos'!AD54</f>
        <v>0</v>
      </c>
      <c r="AA54">
        <f>'Entrada datos'!AE54</f>
        <v>0</v>
      </c>
      <c r="AB54">
        <f>'Entrada datos'!AF54</f>
        <v>0</v>
      </c>
      <c r="AC54">
        <f>'Entrada datos'!AG54</f>
        <v>0</v>
      </c>
      <c r="AD54" s="17">
        <f t="shared" si="6"/>
        <v>0</v>
      </c>
      <c r="AE54">
        <f>'Entrada datos'!AH54</f>
        <v>0</v>
      </c>
      <c r="AF54">
        <f>'Entrada datos'!AI54</f>
        <v>0</v>
      </c>
      <c r="AG54">
        <f>'Entrada datos'!AJ54</f>
        <v>0</v>
      </c>
      <c r="AH54">
        <f>'Entrada datos'!AK54</f>
        <v>0</v>
      </c>
      <c r="AI54">
        <f>'Entrada datos'!AL54</f>
        <v>0</v>
      </c>
      <c r="AJ54">
        <f>'Entrada datos'!AM54</f>
        <v>0</v>
      </c>
      <c r="AK54" s="17">
        <f t="shared" si="7"/>
        <v>0</v>
      </c>
      <c r="AL54">
        <f>'Entrada datos'!AN54</f>
        <v>0</v>
      </c>
      <c r="AM54">
        <f>'Entrada datos'!AO54</f>
        <v>0</v>
      </c>
      <c r="AN54">
        <f>'Entrada datos'!AP54</f>
        <v>0</v>
      </c>
      <c r="AO54">
        <f>'Entrada datos'!AQ54</f>
        <v>0</v>
      </c>
      <c r="AP54">
        <f>'Entrada datos'!AR54</f>
        <v>0</v>
      </c>
      <c r="AQ54">
        <f>'Entrada datos'!AS54</f>
        <v>0</v>
      </c>
      <c r="AR54" s="17">
        <f t="shared" si="8"/>
        <v>0</v>
      </c>
      <c r="AS54" s="23">
        <f t="shared" si="9"/>
        <v>0</v>
      </c>
      <c r="AT54">
        <f t="shared" si="10"/>
        <v>1900</v>
      </c>
      <c r="AU54" s="41" t="str">
        <f t="shared" si="11"/>
        <v>enero</v>
      </c>
      <c r="AV54">
        <f t="shared" si="12"/>
        <v>0</v>
      </c>
      <c r="AW54">
        <f t="shared" si="13"/>
        <v>0</v>
      </c>
      <c r="AX54" s="24">
        <f t="shared" si="1"/>
        <v>0</v>
      </c>
      <c r="AY54" s="24">
        <f t="shared" si="2"/>
        <v>0</v>
      </c>
      <c r="AZ54" s="24">
        <f t="shared" si="14"/>
        <v>0</v>
      </c>
      <c r="BA54">
        <f t="shared" si="15"/>
        <v>0</v>
      </c>
      <c r="BB54">
        <f t="shared" si="3"/>
        <v>0</v>
      </c>
      <c r="BC54" s="24">
        <f t="shared" si="4"/>
        <v>0</v>
      </c>
      <c r="BD54">
        <f t="shared" si="16"/>
        <v>0</v>
      </c>
    </row>
    <row r="55" spans="1:56" x14ac:dyDescent="0.3">
      <c r="A55">
        <f>'Entrada datos'!A55</f>
        <v>0</v>
      </c>
      <c r="B55">
        <f>'Entrada datos'!B55</f>
        <v>0</v>
      </c>
      <c r="C55">
        <f>'Entrada datos'!C55</f>
        <v>0</v>
      </c>
      <c r="D55">
        <f>'Entrada datos'!D55</f>
        <v>0</v>
      </c>
      <c r="E55" s="18">
        <f>'Entrada datos'!G55</f>
        <v>0</v>
      </c>
      <c r="F55" s="18">
        <f>'Entrada datos'!H55</f>
        <v>0</v>
      </c>
      <c r="G55">
        <f>'Entrada datos'!J55</f>
        <v>0</v>
      </c>
      <c r="H55">
        <f>'Entrada datos'!L55</f>
        <v>0</v>
      </c>
      <c r="I55">
        <f>'Entrada datos'!O55</f>
        <v>0</v>
      </c>
      <c r="J55">
        <f>'Entrada datos'!P55</f>
        <v>0</v>
      </c>
      <c r="K55">
        <f>'Entrada datos'!Q55</f>
        <v>0</v>
      </c>
      <c r="L55">
        <f>'Entrada datos'!R55</f>
        <v>0</v>
      </c>
      <c r="M55">
        <f>'Entrada datos'!S55</f>
        <v>0</v>
      </c>
      <c r="N55">
        <f>'Entrada datos'!T55</f>
        <v>0</v>
      </c>
      <c r="O55">
        <f>'Entrada datos'!U55</f>
        <v>0</v>
      </c>
      <c r="P55" s="17">
        <f t="shared" si="5"/>
        <v>0</v>
      </c>
      <c r="Q55">
        <f>'Entrada datos'!V55</f>
        <v>0</v>
      </c>
      <c r="R55">
        <f>'Entrada datos'!W55</f>
        <v>0</v>
      </c>
      <c r="S55">
        <f>'Entrada datos'!X55</f>
        <v>0</v>
      </c>
      <c r="T55">
        <f>'Entrada datos'!Y55</f>
        <v>0</v>
      </c>
      <c r="U55">
        <f>'Entrada datos'!Z55</f>
        <v>0</v>
      </c>
      <c r="V55">
        <f>'Entrada datos'!AA55</f>
        <v>0</v>
      </c>
      <c r="W55" s="17">
        <f t="shared" si="0"/>
        <v>0</v>
      </c>
      <c r="X55">
        <f>'Entrada datos'!AB55</f>
        <v>0</v>
      </c>
      <c r="Y55">
        <f>'Entrada datos'!AC55</f>
        <v>0</v>
      </c>
      <c r="Z55">
        <f>'Entrada datos'!AD55</f>
        <v>0</v>
      </c>
      <c r="AA55">
        <f>'Entrada datos'!AE55</f>
        <v>0</v>
      </c>
      <c r="AB55">
        <f>'Entrada datos'!AF55</f>
        <v>0</v>
      </c>
      <c r="AC55">
        <f>'Entrada datos'!AG55</f>
        <v>0</v>
      </c>
      <c r="AD55" s="17">
        <f t="shared" si="6"/>
        <v>0</v>
      </c>
      <c r="AE55">
        <f>'Entrada datos'!AH55</f>
        <v>0</v>
      </c>
      <c r="AF55">
        <f>'Entrada datos'!AI55</f>
        <v>0</v>
      </c>
      <c r="AG55">
        <f>'Entrada datos'!AJ55</f>
        <v>0</v>
      </c>
      <c r="AH55">
        <f>'Entrada datos'!AK55</f>
        <v>0</v>
      </c>
      <c r="AI55">
        <f>'Entrada datos'!AL55</f>
        <v>0</v>
      </c>
      <c r="AJ55">
        <f>'Entrada datos'!AM55</f>
        <v>0</v>
      </c>
      <c r="AK55" s="17">
        <f t="shared" si="7"/>
        <v>0</v>
      </c>
      <c r="AL55">
        <f>'Entrada datos'!AN55</f>
        <v>0</v>
      </c>
      <c r="AM55">
        <f>'Entrada datos'!AO55</f>
        <v>0</v>
      </c>
      <c r="AN55">
        <f>'Entrada datos'!AP55</f>
        <v>0</v>
      </c>
      <c r="AO55">
        <f>'Entrada datos'!AQ55</f>
        <v>0</v>
      </c>
      <c r="AP55">
        <f>'Entrada datos'!AR55</f>
        <v>0</v>
      </c>
      <c r="AQ55">
        <f>'Entrada datos'!AS55</f>
        <v>0</v>
      </c>
      <c r="AR55" s="17">
        <f t="shared" si="8"/>
        <v>0</v>
      </c>
      <c r="AS55" s="23">
        <f t="shared" si="9"/>
        <v>0</v>
      </c>
      <c r="AT55">
        <f t="shared" si="10"/>
        <v>1900</v>
      </c>
      <c r="AU55" s="41" t="str">
        <f t="shared" si="11"/>
        <v>enero</v>
      </c>
      <c r="AV55">
        <f t="shared" si="12"/>
        <v>0</v>
      </c>
      <c r="AW55">
        <f t="shared" si="13"/>
        <v>0</v>
      </c>
      <c r="AX55" s="24">
        <f t="shared" si="1"/>
        <v>0</v>
      </c>
      <c r="AY55" s="24">
        <f t="shared" si="2"/>
        <v>0</v>
      </c>
      <c r="AZ55" s="24">
        <f t="shared" si="14"/>
        <v>0</v>
      </c>
      <c r="BA55">
        <f t="shared" si="15"/>
        <v>0</v>
      </c>
      <c r="BB55">
        <f t="shared" si="3"/>
        <v>0</v>
      </c>
      <c r="BC55" s="24">
        <f t="shared" si="4"/>
        <v>0</v>
      </c>
      <c r="BD55">
        <f t="shared" si="16"/>
        <v>0</v>
      </c>
    </row>
    <row r="56" spans="1:56" x14ac:dyDescent="0.3">
      <c r="A56">
        <f>'Entrada datos'!A56</f>
        <v>0</v>
      </c>
      <c r="B56">
        <f>'Entrada datos'!B56</f>
        <v>0</v>
      </c>
      <c r="C56">
        <f>'Entrada datos'!C56</f>
        <v>0</v>
      </c>
      <c r="D56">
        <f>'Entrada datos'!D56</f>
        <v>0</v>
      </c>
      <c r="E56" s="18">
        <f>'Entrada datos'!G56</f>
        <v>0</v>
      </c>
      <c r="F56" s="18">
        <f>'Entrada datos'!H56</f>
        <v>0</v>
      </c>
      <c r="G56">
        <f>'Entrada datos'!J56</f>
        <v>0</v>
      </c>
      <c r="H56">
        <f>'Entrada datos'!L56</f>
        <v>0</v>
      </c>
      <c r="I56">
        <f>'Entrada datos'!O56</f>
        <v>0</v>
      </c>
      <c r="J56">
        <f>'Entrada datos'!P56</f>
        <v>0</v>
      </c>
      <c r="K56">
        <f>'Entrada datos'!Q56</f>
        <v>0</v>
      </c>
      <c r="L56">
        <f>'Entrada datos'!R56</f>
        <v>0</v>
      </c>
      <c r="M56">
        <f>'Entrada datos'!S56</f>
        <v>0</v>
      </c>
      <c r="N56">
        <f>'Entrada datos'!T56</f>
        <v>0</v>
      </c>
      <c r="O56">
        <f>'Entrada datos'!U56</f>
        <v>0</v>
      </c>
      <c r="P56" s="17">
        <f t="shared" si="5"/>
        <v>0</v>
      </c>
      <c r="Q56">
        <f>'Entrada datos'!V56</f>
        <v>0</v>
      </c>
      <c r="R56">
        <f>'Entrada datos'!W56</f>
        <v>0</v>
      </c>
      <c r="S56">
        <f>'Entrada datos'!X56</f>
        <v>0</v>
      </c>
      <c r="T56">
        <f>'Entrada datos'!Y56</f>
        <v>0</v>
      </c>
      <c r="U56">
        <f>'Entrada datos'!Z56</f>
        <v>0</v>
      </c>
      <c r="V56">
        <f>'Entrada datos'!AA56</f>
        <v>0</v>
      </c>
      <c r="W56" s="17">
        <f t="shared" si="0"/>
        <v>0</v>
      </c>
      <c r="X56">
        <f>'Entrada datos'!AB56</f>
        <v>0</v>
      </c>
      <c r="Y56">
        <f>'Entrada datos'!AC56</f>
        <v>0</v>
      </c>
      <c r="Z56">
        <f>'Entrada datos'!AD56</f>
        <v>0</v>
      </c>
      <c r="AA56">
        <f>'Entrada datos'!AE56</f>
        <v>0</v>
      </c>
      <c r="AB56">
        <f>'Entrada datos'!AF56</f>
        <v>0</v>
      </c>
      <c r="AC56">
        <f>'Entrada datos'!AG56</f>
        <v>0</v>
      </c>
      <c r="AD56" s="17">
        <f t="shared" si="6"/>
        <v>0</v>
      </c>
      <c r="AE56">
        <f>'Entrada datos'!AH56</f>
        <v>0</v>
      </c>
      <c r="AF56">
        <f>'Entrada datos'!AI56</f>
        <v>0</v>
      </c>
      <c r="AG56">
        <f>'Entrada datos'!AJ56</f>
        <v>0</v>
      </c>
      <c r="AH56">
        <f>'Entrada datos'!AK56</f>
        <v>0</v>
      </c>
      <c r="AI56">
        <f>'Entrada datos'!AL56</f>
        <v>0</v>
      </c>
      <c r="AJ56">
        <f>'Entrada datos'!AM56</f>
        <v>0</v>
      </c>
      <c r="AK56" s="17">
        <f t="shared" si="7"/>
        <v>0</v>
      </c>
      <c r="AL56">
        <f>'Entrada datos'!AN56</f>
        <v>0</v>
      </c>
      <c r="AM56">
        <f>'Entrada datos'!AO56</f>
        <v>0</v>
      </c>
      <c r="AN56">
        <f>'Entrada datos'!AP56</f>
        <v>0</v>
      </c>
      <c r="AO56">
        <f>'Entrada datos'!AQ56</f>
        <v>0</v>
      </c>
      <c r="AP56">
        <f>'Entrada datos'!AR56</f>
        <v>0</v>
      </c>
      <c r="AQ56">
        <f>'Entrada datos'!AS56</f>
        <v>0</v>
      </c>
      <c r="AR56" s="17">
        <f t="shared" si="8"/>
        <v>0</v>
      </c>
      <c r="AS56" s="23">
        <f t="shared" si="9"/>
        <v>0</v>
      </c>
      <c r="AT56">
        <f t="shared" si="10"/>
        <v>1900</v>
      </c>
      <c r="AU56" s="41" t="str">
        <f t="shared" si="11"/>
        <v>enero</v>
      </c>
      <c r="AV56">
        <f t="shared" si="12"/>
        <v>0</v>
      </c>
      <c r="AW56">
        <f t="shared" si="13"/>
        <v>0</v>
      </c>
      <c r="AX56" s="24">
        <f t="shared" si="1"/>
        <v>0</v>
      </c>
      <c r="AY56" s="24">
        <f t="shared" si="2"/>
        <v>0</v>
      </c>
      <c r="AZ56" s="24">
        <f t="shared" si="14"/>
        <v>0</v>
      </c>
      <c r="BA56">
        <f t="shared" si="15"/>
        <v>0</v>
      </c>
      <c r="BB56">
        <f t="shared" si="3"/>
        <v>0</v>
      </c>
      <c r="BC56" s="24">
        <f t="shared" si="4"/>
        <v>0</v>
      </c>
      <c r="BD56">
        <f t="shared" si="16"/>
        <v>0</v>
      </c>
    </row>
    <row r="57" spans="1:56" x14ac:dyDescent="0.3">
      <c r="A57">
        <f>'Entrada datos'!A57</f>
        <v>0</v>
      </c>
      <c r="B57">
        <f>'Entrada datos'!B57</f>
        <v>0</v>
      </c>
      <c r="C57">
        <f>'Entrada datos'!C57</f>
        <v>0</v>
      </c>
      <c r="D57">
        <f>'Entrada datos'!D57</f>
        <v>0</v>
      </c>
      <c r="E57" s="18">
        <f>'Entrada datos'!G57</f>
        <v>0</v>
      </c>
      <c r="F57" s="18">
        <f>'Entrada datos'!H57</f>
        <v>0</v>
      </c>
      <c r="G57">
        <f>'Entrada datos'!J57</f>
        <v>0</v>
      </c>
      <c r="H57">
        <f>'Entrada datos'!L57</f>
        <v>0</v>
      </c>
      <c r="I57">
        <f>'Entrada datos'!O57</f>
        <v>0</v>
      </c>
      <c r="J57">
        <f>'Entrada datos'!P57</f>
        <v>0</v>
      </c>
      <c r="K57">
        <f>'Entrada datos'!Q57</f>
        <v>0</v>
      </c>
      <c r="L57">
        <f>'Entrada datos'!R57</f>
        <v>0</v>
      </c>
      <c r="M57">
        <f>'Entrada datos'!S57</f>
        <v>0</v>
      </c>
      <c r="N57">
        <f>'Entrada datos'!T57</f>
        <v>0</v>
      </c>
      <c r="O57">
        <f>'Entrada datos'!U57</f>
        <v>0</v>
      </c>
      <c r="P57" s="17">
        <f t="shared" si="5"/>
        <v>0</v>
      </c>
      <c r="Q57">
        <f>'Entrada datos'!V57</f>
        <v>0</v>
      </c>
      <c r="R57">
        <f>'Entrada datos'!W57</f>
        <v>0</v>
      </c>
      <c r="S57">
        <f>'Entrada datos'!X57</f>
        <v>0</v>
      </c>
      <c r="T57">
        <f>'Entrada datos'!Y57</f>
        <v>0</v>
      </c>
      <c r="U57">
        <f>'Entrada datos'!Z57</f>
        <v>0</v>
      </c>
      <c r="V57">
        <f>'Entrada datos'!AA57</f>
        <v>0</v>
      </c>
      <c r="W57" s="17">
        <f t="shared" si="0"/>
        <v>0</v>
      </c>
      <c r="X57">
        <f>'Entrada datos'!AB57</f>
        <v>0</v>
      </c>
      <c r="Y57">
        <f>'Entrada datos'!AC57</f>
        <v>0</v>
      </c>
      <c r="Z57">
        <f>'Entrada datos'!AD57</f>
        <v>0</v>
      </c>
      <c r="AA57">
        <f>'Entrada datos'!AE57</f>
        <v>0</v>
      </c>
      <c r="AB57">
        <f>'Entrada datos'!AF57</f>
        <v>0</v>
      </c>
      <c r="AC57">
        <f>'Entrada datos'!AG57</f>
        <v>0</v>
      </c>
      <c r="AD57" s="17">
        <f t="shared" si="6"/>
        <v>0</v>
      </c>
      <c r="AE57">
        <f>'Entrada datos'!AH57</f>
        <v>0</v>
      </c>
      <c r="AF57">
        <f>'Entrada datos'!AI57</f>
        <v>0</v>
      </c>
      <c r="AG57">
        <f>'Entrada datos'!AJ57</f>
        <v>0</v>
      </c>
      <c r="AH57">
        <f>'Entrada datos'!AK57</f>
        <v>0</v>
      </c>
      <c r="AI57">
        <f>'Entrada datos'!AL57</f>
        <v>0</v>
      </c>
      <c r="AJ57">
        <f>'Entrada datos'!AM57</f>
        <v>0</v>
      </c>
      <c r="AK57" s="17">
        <f t="shared" si="7"/>
        <v>0</v>
      </c>
      <c r="AL57">
        <f>'Entrada datos'!AN57</f>
        <v>0</v>
      </c>
      <c r="AM57">
        <f>'Entrada datos'!AO57</f>
        <v>0</v>
      </c>
      <c r="AN57">
        <f>'Entrada datos'!AP57</f>
        <v>0</v>
      </c>
      <c r="AO57">
        <f>'Entrada datos'!AQ57</f>
        <v>0</v>
      </c>
      <c r="AP57">
        <f>'Entrada datos'!AR57</f>
        <v>0</v>
      </c>
      <c r="AQ57">
        <f>'Entrada datos'!AS57</f>
        <v>0</v>
      </c>
      <c r="AR57" s="17">
        <f t="shared" si="8"/>
        <v>0</v>
      </c>
      <c r="AS57" s="23">
        <f t="shared" si="9"/>
        <v>0</v>
      </c>
      <c r="AT57">
        <f t="shared" si="10"/>
        <v>1900</v>
      </c>
      <c r="AU57" s="41" t="str">
        <f t="shared" si="11"/>
        <v>enero</v>
      </c>
      <c r="AV57">
        <f t="shared" si="12"/>
        <v>0</v>
      </c>
      <c r="AW57">
        <f t="shared" si="13"/>
        <v>0</v>
      </c>
      <c r="AX57" s="24">
        <f t="shared" si="1"/>
        <v>0</v>
      </c>
      <c r="AY57" s="24">
        <f t="shared" si="2"/>
        <v>0</v>
      </c>
      <c r="AZ57" s="24">
        <f t="shared" si="14"/>
        <v>0</v>
      </c>
      <c r="BA57">
        <f t="shared" si="15"/>
        <v>0</v>
      </c>
      <c r="BB57">
        <f t="shared" si="3"/>
        <v>0</v>
      </c>
      <c r="BC57" s="24">
        <f t="shared" si="4"/>
        <v>0</v>
      </c>
      <c r="BD57">
        <f t="shared" si="16"/>
        <v>0</v>
      </c>
    </row>
    <row r="58" spans="1:56" x14ac:dyDescent="0.3">
      <c r="A58">
        <f>'Entrada datos'!A58</f>
        <v>0</v>
      </c>
      <c r="B58">
        <f>'Entrada datos'!B58</f>
        <v>0</v>
      </c>
      <c r="C58">
        <f>'Entrada datos'!C58</f>
        <v>0</v>
      </c>
      <c r="D58">
        <f>'Entrada datos'!D58</f>
        <v>0</v>
      </c>
      <c r="E58" s="18">
        <f>'Entrada datos'!G58</f>
        <v>0</v>
      </c>
      <c r="F58" s="18">
        <f>'Entrada datos'!H58</f>
        <v>0</v>
      </c>
      <c r="G58">
        <f>'Entrada datos'!J58</f>
        <v>0</v>
      </c>
      <c r="H58">
        <f>'Entrada datos'!L58</f>
        <v>0</v>
      </c>
      <c r="I58">
        <f>'Entrada datos'!O58</f>
        <v>0</v>
      </c>
      <c r="J58">
        <f>'Entrada datos'!P58</f>
        <v>0</v>
      </c>
      <c r="K58">
        <f>'Entrada datos'!Q58</f>
        <v>0</v>
      </c>
      <c r="L58">
        <f>'Entrada datos'!R58</f>
        <v>0</v>
      </c>
      <c r="M58">
        <f>'Entrada datos'!S58</f>
        <v>0</v>
      </c>
      <c r="N58">
        <f>'Entrada datos'!T58</f>
        <v>0</v>
      </c>
      <c r="O58">
        <f>'Entrada datos'!U58</f>
        <v>0</v>
      </c>
      <c r="P58" s="17">
        <f t="shared" si="5"/>
        <v>0</v>
      </c>
      <c r="Q58">
        <f>'Entrada datos'!V58</f>
        <v>0</v>
      </c>
      <c r="R58">
        <f>'Entrada datos'!W58</f>
        <v>0</v>
      </c>
      <c r="S58">
        <f>'Entrada datos'!X58</f>
        <v>0</v>
      </c>
      <c r="T58">
        <f>'Entrada datos'!Y58</f>
        <v>0</v>
      </c>
      <c r="U58">
        <f>'Entrada datos'!Z58</f>
        <v>0</v>
      </c>
      <c r="V58">
        <f>'Entrada datos'!AA58</f>
        <v>0</v>
      </c>
      <c r="W58" s="17">
        <f t="shared" si="0"/>
        <v>0</v>
      </c>
      <c r="X58">
        <f>'Entrada datos'!AB58</f>
        <v>0</v>
      </c>
      <c r="Y58">
        <f>'Entrada datos'!AC58</f>
        <v>0</v>
      </c>
      <c r="Z58">
        <f>'Entrada datos'!AD58</f>
        <v>0</v>
      </c>
      <c r="AA58">
        <f>'Entrada datos'!AE58</f>
        <v>0</v>
      </c>
      <c r="AB58">
        <f>'Entrada datos'!AF58</f>
        <v>0</v>
      </c>
      <c r="AC58">
        <f>'Entrada datos'!AG58</f>
        <v>0</v>
      </c>
      <c r="AD58" s="17">
        <f t="shared" si="6"/>
        <v>0</v>
      </c>
      <c r="AE58">
        <f>'Entrada datos'!AH58</f>
        <v>0</v>
      </c>
      <c r="AF58">
        <f>'Entrada datos'!AI58</f>
        <v>0</v>
      </c>
      <c r="AG58">
        <f>'Entrada datos'!AJ58</f>
        <v>0</v>
      </c>
      <c r="AH58">
        <f>'Entrada datos'!AK58</f>
        <v>0</v>
      </c>
      <c r="AI58">
        <f>'Entrada datos'!AL58</f>
        <v>0</v>
      </c>
      <c r="AJ58">
        <f>'Entrada datos'!AM58</f>
        <v>0</v>
      </c>
      <c r="AK58" s="17">
        <f t="shared" si="7"/>
        <v>0</v>
      </c>
      <c r="AL58">
        <f>'Entrada datos'!AN58</f>
        <v>0</v>
      </c>
      <c r="AM58">
        <f>'Entrada datos'!AO58</f>
        <v>0</v>
      </c>
      <c r="AN58">
        <f>'Entrada datos'!AP58</f>
        <v>0</v>
      </c>
      <c r="AO58">
        <f>'Entrada datos'!AQ58</f>
        <v>0</v>
      </c>
      <c r="AP58">
        <f>'Entrada datos'!AR58</f>
        <v>0</v>
      </c>
      <c r="AQ58">
        <f>'Entrada datos'!AS58</f>
        <v>0</v>
      </c>
      <c r="AR58" s="17">
        <f t="shared" si="8"/>
        <v>0</v>
      </c>
      <c r="AS58" s="23">
        <f t="shared" si="9"/>
        <v>0</v>
      </c>
      <c r="AT58">
        <f t="shared" si="10"/>
        <v>1900</v>
      </c>
      <c r="AU58" s="41" t="str">
        <f t="shared" si="11"/>
        <v>enero</v>
      </c>
      <c r="AV58">
        <f t="shared" si="12"/>
        <v>0</v>
      </c>
      <c r="AW58">
        <f t="shared" si="13"/>
        <v>0</v>
      </c>
      <c r="AX58" s="24">
        <f t="shared" si="1"/>
        <v>0</v>
      </c>
      <c r="AY58" s="24">
        <f t="shared" si="2"/>
        <v>0</v>
      </c>
      <c r="AZ58" s="24">
        <f t="shared" si="14"/>
        <v>0</v>
      </c>
      <c r="BA58">
        <f t="shared" si="15"/>
        <v>0</v>
      </c>
      <c r="BB58">
        <f t="shared" si="3"/>
        <v>0</v>
      </c>
      <c r="BC58" s="24">
        <f t="shared" si="4"/>
        <v>0</v>
      </c>
      <c r="BD58">
        <f t="shared" si="16"/>
        <v>0</v>
      </c>
    </row>
    <row r="59" spans="1:56" x14ac:dyDescent="0.3">
      <c r="A59">
        <f>'Entrada datos'!A59</f>
        <v>0</v>
      </c>
      <c r="B59">
        <f>'Entrada datos'!B59</f>
        <v>0</v>
      </c>
      <c r="C59">
        <f>'Entrada datos'!C59</f>
        <v>0</v>
      </c>
      <c r="D59">
        <f>'Entrada datos'!D59</f>
        <v>0</v>
      </c>
      <c r="E59" s="18">
        <f>'Entrada datos'!G59</f>
        <v>0</v>
      </c>
      <c r="F59" s="18">
        <f>'Entrada datos'!H59</f>
        <v>0</v>
      </c>
      <c r="G59">
        <f>'Entrada datos'!J59</f>
        <v>0</v>
      </c>
      <c r="H59">
        <f>'Entrada datos'!L59</f>
        <v>0</v>
      </c>
      <c r="I59">
        <f>'Entrada datos'!O59</f>
        <v>0</v>
      </c>
      <c r="J59">
        <f>'Entrada datos'!P59</f>
        <v>0</v>
      </c>
      <c r="K59">
        <f>'Entrada datos'!Q59</f>
        <v>0</v>
      </c>
      <c r="L59">
        <f>'Entrada datos'!R59</f>
        <v>0</v>
      </c>
      <c r="M59">
        <f>'Entrada datos'!S59</f>
        <v>0</v>
      </c>
      <c r="N59">
        <f>'Entrada datos'!T59</f>
        <v>0</v>
      </c>
      <c r="O59">
        <f>'Entrada datos'!U59</f>
        <v>0</v>
      </c>
      <c r="P59" s="17">
        <f t="shared" si="5"/>
        <v>0</v>
      </c>
      <c r="Q59">
        <f>'Entrada datos'!V59</f>
        <v>0</v>
      </c>
      <c r="R59">
        <f>'Entrada datos'!W59</f>
        <v>0</v>
      </c>
      <c r="S59">
        <f>'Entrada datos'!X59</f>
        <v>0</v>
      </c>
      <c r="T59">
        <f>'Entrada datos'!Y59</f>
        <v>0</v>
      </c>
      <c r="U59">
        <f>'Entrada datos'!Z59</f>
        <v>0</v>
      </c>
      <c r="V59">
        <f>'Entrada datos'!AA59</f>
        <v>0</v>
      </c>
      <c r="W59" s="17">
        <f t="shared" si="0"/>
        <v>0</v>
      </c>
      <c r="X59">
        <f>'Entrada datos'!AB59</f>
        <v>0</v>
      </c>
      <c r="Y59">
        <f>'Entrada datos'!AC59</f>
        <v>0</v>
      </c>
      <c r="Z59">
        <f>'Entrada datos'!AD59</f>
        <v>0</v>
      </c>
      <c r="AA59">
        <f>'Entrada datos'!AE59</f>
        <v>0</v>
      </c>
      <c r="AB59">
        <f>'Entrada datos'!AF59</f>
        <v>0</v>
      </c>
      <c r="AC59">
        <f>'Entrada datos'!AG59</f>
        <v>0</v>
      </c>
      <c r="AD59" s="17">
        <f t="shared" si="6"/>
        <v>0</v>
      </c>
      <c r="AE59">
        <f>'Entrada datos'!AH59</f>
        <v>0</v>
      </c>
      <c r="AF59">
        <f>'Entrada datos'!AI59</f>
        <v>0</v>
      </c>
      <c r="AG59">
        <f>'Entrada datos'!AJ59</f>
        <v>0</v>
      </c>
      <c r="AH59">
        <f>'Entrada datos'!AK59</f>
        <v>0</v>
      </c>
      <c r="AI59">
        <f>'Entrada datos'!AL59</f>
        <v>0</v>
      </c>
      <c r="AJ59">
        <f>'Entrada datos'!AM59</f>
        <v>0</v>
      </c>
      <c r="AK59" s="17">
        <f t="shared" si="7"/>
        <v>0</v>
      </c>
      <c r="AL59">
        <f>'Entrada datos'!AN59</f>
        <v>0</v>
      </c>
      <c r="AM59">
        <f>'Entrada datos'!AO59</f>
        <v>0</v>
      </c>
      <c r="AN59">
        <f>'Entrada datos'!AP59</f>
        <v>0</v>
      </c>
      <c r="AO59">
        <f>'Entrada datos'!AQ59</f>
        <v>0</v>
      </c>
      <c r="AP59">
        <f>'Entrada datos'!AR59</f>
        <v>0</v>
      </c>
      <c r="AQ59">
        <f>'Entrada datos'!AS59</f>
        <v>0</v>
      </c>
      <c r="AR59" s="17">
        <f t="shared" si="8"/>
        <v>0</v>
      </c>
      <c r="AS59" s="23">
        <f t="shared" si="9"/>
        <v>0</v>
      </c>
      <c r="AT59">
        <f t="shared" si="10"/>
        <v>1900</v>
      </c>
      <c r="AU59" s="41" t="str">
        <f t="shared" si="11"/>
        <v>enero</v>
      </c>
      <c r="AV59">
        <f t="shared" si="12"/>
        <v>0</v>
      </c>
      <c r="AW59">
        <f t="shared" si="13"/>
        <v>0</v>
      </c>
      <c r="AX59" s="24">
        <f t="shared" si="1"/>
        <v>0</v>
      </c>
      <c r="AY59" s="24">
        <f t="shared" si="2"/>
        <v>0</v>
      </c>
      <c r="AZ59" s="24">
        <f t="shared" si="14"/>
        <v>0</v>
      </c>
      <c r="BA59">
        <f t="shared" si="15"/>
        <v>0</v>
      </c>
      <c r="BB59">
        <f t="shared" si="3"/>
        <v>0</v>
      </c>
      <c r="BC59" s="24">
        <f t="shared" si="4"/>
        <v>0</v>
      </c>
      <c r="BD59">
        <f t="shared" si="16"/>
        <v>0</v>
      </c>
    </row>
    <row r="60" spans="1:56" x14ac:dyDescent="0.3">
      <c r="A60">
        <f>'Entrada datos'!A60</f>
        <v>0</v>
      </c>
      <c r="B60">
        <f>'Entrada datos'!B60</f>
        <v>0</v>
      </c>
      <c r="C60">
        <f>'Entrada datos'!C60</f>
        <v>0</v>
      </c>
      <c r="D60">
        <f>'Entrada datos'!D60</f>
        <v>0</v>
      </c>
      <c r="E60" s="18">
        <f>'Entrada datos'!G60</f>
        <v>0</v>
      </c>
      <c r="F60" s="18">
        <f>'Entrada datos'!H60</f>
        <v>0</v>
      </c>
      <c r="G60">
        <f>'Entrada datos'!J60</f>
        <v>0</v>
      </c>
      <c r="H60">
        <f>'Entrada datos'!L60</f>
        <v>0</v>
      </c>
      <c r="I60">
        <f>'Entrada datos'!O60</f>
        <v>0</v>
      </c>
      <c r="J60">
        <f>'Entrada datos'!P60</f>
        <v>0</v>
      </c>
      <c r="K60">
        <f>'Entrada datos'!Q60</f>
        <v>0</v>
      </c>
      <c r="L60">
        <f>'Entrada datos'!R60</f>
        <v>0</v>
      </c>
      <c r="M60">
        <f>'Entrada datos'!S60</f>
        <v>0</v>
      </c>
      <c r="N60">
        <f>'Entrada datos'!T60</f>
        <v>0</v>
      </c>
      <c r="O60">
        <f>'Entrada datos'!U60</f>
        <v>0</v>
      </c>
      <c r="P60" s="17">
        <f t="shared" si="5"/>
        <v>0</v>
      </c>
      <c r="Q60">
        <f>'Entrada datos'!V60</f>
        <v>0</v>
      </c>
      <c r="R60">
        <f>'Entrada datos'!W60</f>
        <v>0</v>
      </c>
      <c r="S60">
        <f>'Entrada datos'!X60</f>
        <v>0</v>
      </c>
      <c r="T60">
        <f>'Entrada datos'!Y60</f>
        <v>0</v>
      </c>
      <c r="U60">
        <f>'Entrada datos'!Z60</f>
        <v>0</v>
      </c>
      <c r="V60">
        <f>'Entrada datos'!AA60</f>
        <v>0</v>
      </c>
      <c r="W60" s="17">
        <f t="shared" si="0"/>
        <v>0</v>
      </c>
      <c r="X60">
        <f>'Entrada datos'!AB60</f>
        <v>0</v>
      </c>
      <c r="Y60">
        <f>'Entrada datos'!AC60</f>
        <v>0</v>
      </c>
      <c r="Z60">
        <f>'Entrada datos'!AD60</f>
        <v>0</v>
      </c>
      <c r="AA60">
        <f>'Entrada datos'!AE60</f>
        <v>0</v>
      </c>
      <c r="AB60">
        <f>'Entrada datos'!AF60</f>
        <v>0</v>
      </c>
      <c r="AC60">
        <f>'Entrada datos'!AG60</f>
        <v>0</v>
      </c>
      <c r="AD60" s="17">
        <f t="shared" si="6"/>
        <v>0</v>
      </c>
      <c r="AE60">
        <f>'Entrada datos'!AH60</f>
        <v>0</v>
      </c>
      <c r="AF60">
        <f>'Entrada datos'!AI60</f>
        <v>0</v>
      </c>
      <c r="AG60">
        <f>'Entrada datos'!AJ60</f>
        <v>0</v>
      </c>
      <c r="AH60">
        <f>'Entrada datos'!AK60</f>
        <v>0</v>
      </c>
      <c r="AI60">
        <f>'Entrada datos'!AL60</f>
        <v>0</v>
      </c>
      <c r="AJ60">
        <f>'Entrada datos'!AM60</f>
        <v>0</v>
      </c>
      <c r="AK60" s="17">
        <f t="shared" si="7"/>
        <v>0</v>
      </c>
      <c r="AL60">
        <f>'Entrada datos'!AN60</f>
        <v>0</v>
      </c>
      <c r="AM60">
        <f>'Entrada datos'!AO60</f>
        <v>0</v>
      </c>
      <c r="AN60">
        <f>'Entrada datos'!AP60</f>
        <v>0</v>
      </c>
      <c r="AO60">
        <f>'Entrada datos'!AQ60</f>
        <v>0</v>
      </c>
      <c r="AP60">
        <f>'Entrada datos'!AR60</f>
        <v>0</v>
      </c>
      <c r="AQ60">
        <f>'Entrada datos'!AS60</f>
        <v>0</v>
      </c>
      <c r="AR60" s="17">
        <f t="shared" si="8"/>
        <v>0</v>
      </c>
      <c r="AS60" s="23">
        <f t="shared" si="9"/>
        <v>0</v>
      </c>
      <c r="AT60">
        <f t="shared" si="10"/>
        <v>1900</v>
      </c>
      <c r="AU60" s="41" t="str">
        <f t="shared" si="11"/>
        <v>enero</v>
      </c>
      <c r="AV60">
        <f t="shared" si="12"/>
        <v>0</v>
      </c>
      <c r="AW60">
        <f t="shared" si="13"/>
        <v>0</v>
      </c>
      <c r="AX60" s="24">
        <f t="shared" si="1"/>
        <v>0</v>
      </c>
      <c r="AY60" s="24">
        <f t="shared" si="2"/>
        <v>0</v>
      </c>
      <c r="AZ60" s="24">
        <f t="shared" si="14"/>
        <v>0</v>
      </c>
      <c r="BA60">
        <f t="shared" si="15"/>
        <v>0</v>
      </c>
      <c r="BB60">
        <f t="shared" si="3"/>
        <v>0</v>
      </c>
      <c r="BC60" s="24">
        <f t="shared" si="4"/>
        <v>0</v>
      </c>
      <c r="BD60">
        <f t="shared" si="16"/>
        <v>0</v>
      </c>
    </row>
    <row r="61" spans="1:56" x14ac:dyDescent="0.3">
      <c r="A61">
        <f>'Entrada datos'!A61</f>
        <v>0</v>
      </c>
      <c r="B61">
        <f>'Entrada datos'!B61</f>
        <v>0</v>
      </c>
      <c r="C61">
        <f>'Entrada datos'!C61</f>
        <v>0</v>
      </c>
      <c r="D61">
        <f>'Entrada datos'!D61</f>
        <v>0</v>
      </c>
      <c r="E61" s="18">
        <f>'Entrada datos'!G61</f>
        <v>0</v>
      </c>
      <c r="F61" s="18">
        <f>'Entrada datos'!H61</f>
        <v>0</v>
      </c>
      <c r="G61">
        <f>'Entrada datos'!J61</f>
        <v>0</v>
      </c>
      <c r="H61">
        <f>'Entrada datos'!L61</f>
        <v>0</v>
      </c>
      <c r="I61">
        <f>'Entrada datos'!O61</f>
        <v>0</v>
      </c>
      <c r="J61">
        <f>'Entrada datos'!P61</f>
        <v>0</v>
      </c>
      <c r="K61">
        <f>'Entrada datos'!Q61</f>
        <v>0</v>
      </c>
      <c r="L61">
        <f>'Entrada datos'!R61</f>
        <v>0</v>
      </c>
      <c r="M61">
        <f>'Entrada datos'!S61</f>
        <v>0</v>
      </c>
      <c r="N61">
        <f>'Entrada datos'!T61</f>
        <v>0</v>
      </c>
      <c r="O61">
        <f>'Entrada datos'!U61</f>
        <v>0</v>
      </c>
      <c r="P61" s="17">
        <f t="shared" si="5"/>
        <v>0</v>
      </c>
      <c r="Q61">
        <f>'Entrada datos'!V61</f>
        <v>0</v>
      </c>
      <c r="R61">
        <f>'Entrada datos'!W61</f>
        <v>0</v>
      </c>
      <c r="S61">
        <f>'Entrada datos'!X61</f>
        <v>0</v>
      </c>
      <c r="T61">
        <f>'Entrada datos'!Y61</f>
        <v>0</v>
      </c>
      <c r="U61">
        <f>'Entrada datos'!Z61</f>
        <v>0</v>
      </c>
      <c r="V61">
        <f>'Entrada datos'!AA61</f>
        <v>0</v>
      </c>
      <c r="W61" s="17">
        <f t="shared" si="0"/>
        <v>0</v>
      </c>
      <c r="X61">
        <f>'Entrada datos'!AB61</f>
        <v>0</v>
      </c>
      <c r="Y61">
        <f>'Entrada datos'!AC61</f>
        <v>0</v>
      </c>
      <c r="Z61">
        <f>'Entrada datos'!AD61</f>
        <v>0</v>
      </c>
      <c r="AA61">
        <f>'Entrada datos'!AE61</f>
        <v>0</v>
      </c>
      <c r="AB61">
        <f>'Entrada datos'!AF61</f>
        <v>0</v>
      </c>
      <c r="AC61">
        <f>'Entrada datos'!AG61</f>
        <v>0</v>
      </c>
      <c r="AD61" s="17">
        <f t="shared" si="6"/>
        <v>0</v>
      </c>
      <c r="AE61">
        <f>'Entrada datos'!AH61</f>
        <v>0</v>
      </c>
      <c r="AF61">
        <f>'Entrada datos'!AI61</f>
        <v>0</v>
      </c>
      <c r="AG61">
        <f>'Entrada datos'!AJ61</f>
        <v>0</v>
      </c>
      <c r="AH61">
        <f>'Entrada datos'!AK61</f>
        <v>0</v>
      </c>
      <c r="AI61">
        <f>'Entrada datos'!AL61</f>
        <v>0</v>
      </c>
      <c r="AJ61">
        <f>'Entrada datos'!AM61</f>
        <v>0</v>
      </c>
      <c r="AK61" s="17">
        <f t="shared" si="7"/>
        <v>0</v>
      </c>
      <c r="AL61">
        <f>'Entrada datos'!AN61</f>
        <v>0</v>
      </c>
      <c r="AM61">
        <f>'Entrada datos'!AO61</f>
        <v>0</v>
      </c>
      <c r="AN61">
        <f>'Entrada datos'!AP61</f>
        <v>0</v>
      </c>
      <c r="AO61">
        <f>'Entrada datos'!AQ61</f>
        <v>0</v>
      </c>
      <c r="AP61">
        <f>'Entrada datos'!AR61</f>
        <v>0</v>
      </c>
      <c r="AQ61">
        <f>'Entrada datos'!AS61</f>
        <v>0</v>
      </c>
      <c r="AR61" s="17">
        <f t="shared" si="8"/>
        <v>0</v>
      </c>
      <c r="AS61" s="23">
        <f t="shared" si="9"/>
        <v>0</v>
      </c>
      <c r="AT61">
        <f t="shared" si="10"/>
        <v>1900</v>
      </c>
      <c r="AU61" s="41" t="str">
        <f t="shared" si="11"/>
        <v>enero</v>
      </c>
      <c r="AV61">
        <f t="shared" si="12"/>
        <v>0</v>
      </c>
      <c r="AW61">
        <f t="shared" si="13"/>
        <v>0</v>
      </c>
      <c r="AX61" s="24">
        <f t="shared" si="1"/>
        <v>0</v>
      </c>
      <c r="AY61" s="24">
        <f t="shared" si="2"/>
        <v>0</v>
      </c>
      <c r="AZ61" s="24">
        <f t="shared" si="14"/>
        <v>0</v>
      </c>
      <c r="BA61">
        <f t="shared" si="15"/>
        <v>0</v>
      </c>
      <c r="BB61">
        <f t="shared" si="3"/>
        <v>0</v>
      </c>
      <c r="BC61" s="24">
        <f t="shared" si="4"/>
        <v>0</v>
      </c>
      <c r="BD61">
        <f t="shared" si="16"/>
        <v>0</v>
      </c>
    </row>
    <row r="62" spans="1:56" x14ac:dyDescent="0.3">
      <c r="A62">
        <f>'Entrada datos'!A62</f>
        <v>0</v>
      </c>
      <c r="B62">
        <f>'Entrada datos'!B62</f>
        <v>0</v>
      </c>
      <c r="C62">
        <f>'Entrada datos'!C62</f>
        <v>0</v>
      </c>
      <c r="D62">
        <f>'Entrada datos'!D62</f>
        <v>0</v>
      </c>
      <c r="E62" s="18">
        <f>'Entrada datos'!G62</f>
        <v>0</v>
      </c>
      <c r="F62" s="18">
        <f>'Entrada datos'!H62</f>
        <v>0</v>
      </c>
      <c r="G62">
        <f>'Entrada datos'!J62</f>
        <v>0</v>
      </c>
      <c r="H62">
        <f>'Entrada datos'!L62</f>
        <v>0</v>
      </c>
      <c r="I62">
        <f>'Entrada datos'!O62</f>
        <v>0</v>
      </c>
      <c r="J62">
        <f>'Entrada datos'!P62</f>
        <v>0</v>
      </c>
      <c r="K62">
        <f>'Entrada datos'!Q62</f>
        <v>0</v>
      </c>
      <c r="L62">
        <f>'Entrada datos'!R62</f>
        <v>0</v>
      </c>
      <c r="M62">
        <f>'Entrada datos'!S62</f>
        <v>0</v>
      </c>
      <c r="N62">
        <f>'Entrada datos'!T62</f>
        <v>0</v>
      </c>
      <c r="O62">
        <f>'Entrada datos'!U62</f>
        <v>0</v>
      </c>
      <c r="P62" s="17">
        <f t="shared" si="5"/>
        <v>0</v>
      </c>
      <c r="Q62">
        <f>'Entrada datos'!V62</f>
        <v>0</v>
      </c>
      <c r="R62">
        <f>'Entrada datos'!W62</f>
        <v>0</v>
      </c>
      <c r="S62">
        <f>'Entrada datos'!X62</f>
        <v>0</v>
      </c>
      <c r="T62">
        <f>'Entrada datos'!Y62</f>
        <v>0</v>
      </c>
      <c r="U62">
        <f>'Entrada datos'!Z62</f>
        <v>0</v>
      </c>
      <c r="V62">
        <f>'Entrada datos'!AA62</f>
        <v>0</v>
      </c>
      <c r="W62" s="17">
        <f t="shared" si="0"/>
        <v>0</v>
      </c>
      <c r="X62">
        <f>'Entrada datos'!AB62</f>
        <v>0</v>
      </c>
      <c r="Y62">
        <f>'Entrada datos'!AC62</f>
        <v>0</v>
      </c>
      <c r="Z62">
        <f>'Entrada datos'!AD62</f>
        <v>0</v>
      </c>
      <c r="AA62">
        <f>'Entrada datos'!AE62</f>
        <v>0</v>
      </c>
      <c r="AB62">
        <f>'Entrada datos'!AF62</f>
        <v>0</v>
      </c>
      <c r="AC62">
        <f>'Entrada datos'!AG62</f>
        <v>0</v>
      </c>
      <c r="AD62" s="17">
        <f t="shared" si="6"/>
        <v>0</v>
      </c>
      <c r="AE62">
        <f>'Entrada datos'!AH62</f>
        <v>0</v>
      </c>
      <c r="AF62">
        <f>'Entrada datos'!AI62</f>
        <v>0</v>
      </c>
      <c r="AG62">
        <f>'Entrada datos'!AJ62</f>
        <v>0</v>
      </c>
      <c r="AH62">
        <f>'Entrada datos'!AK62</f>
        <v>0</v>
      </c>
      <c r="AI62">
        <f>'Entrada datos'!AL62</f>
        <v>0</v>
      </c>
      <c r="AJ62">
        <f>'Entrada datos'!AM62</f>
        <v>0</v>
      </c>
      <c r="AK62" s="17">
        <f t="shared" si="7"/>
        <v>0</v>
      </c>
      <c r="AL62">
        <f>'Entrada datos'!AN62</f>
        <v>0</v>
      </c>
      <c r="AM62">
        <f>'Entrada datos'!AO62</f>
        <v>0</v>
      </c>
      <c r="AN62">
        <f>'Entrada datos'!AP62</f>
        <v>0</v>
      </c>
      <c r="AO62">
        <f>'Entrada datos'!AQ62</f>
        <v>0</v>
      </c>
      <c r="AP62">
        <f>'Entrada datos'!AR62</f>
        <v>0</v>
      </c>
      <c r="AQ62">
        <f>'Entrada datos'!AS62</f>
        <v>0</v>
      </c>
      <c r="AR62" s="17">
        <f t="shared" si="8"/>
        <v>0</v>
      </c>
      <c r="AS62" s="23">
        <f t="shared" si="9"/>
        <v>0</v>
      </c>
      <c r="AT62">
        <f t="shared" si="10"/>
        <v>1900</v>
      </c>
      <c r="AU62" s="41" t="str">
        <f t="shared" si="11"/>
        <v>enero</v>
      </c>
      <c r="AV62">
        <f t="shared" si="12"/>
        <v>0</v>
      </c>
      <c r="AW62">
        <f t="shared" si="13"/>
        <v>0</v>
      </c>
      <c r="AX62" s="24">
        <f t="shared" si="1"/>
        <v>0</v>
      </c>
      <c r="AY62" s="24">
        <f t="shared" si="2"/>
        <v>0</v>
      </c>
      <c r="AZ62" s="24">
        <f t="shared" si="14"/>
        <v>0</v>
      </c>
      <c r="BA62">
        <f t="shared" si="15"/>
        <v>0</v>
      </c>
      <c r="BB62">
        <f t="shared" si="3"/>
        <v>0</v>
      </c>
      <c r="BC62" s="24">
        <f t="shared" si="4"/>
        <v>0</v>
      </c>
      <c r="BD62">
        <f t="shared" si="16"/>
        <v>0</v>
      </c>
    </row>
    <row r="63" spans="1:56" x14ac:dyDescent="0.3">
      <c r="A63">
        <f>'Entrada datos'!A63</f>
        <v>0</v>
      </c>
      <c r="B63">
        <f>'Entrada datos'!B63</f>
        <v>0</v>
      </c>
      <c r="C63">
        <f>'Entrada datos'!C63</f>
        <v>0</v>
      </c>
      <c r="D63">
        <f>'Entrada datos'!D63</f>
        <v>0</v>
      </c>
      <c r="E63" s="18">
        <f>'Entrada datos'!G63</f>
        <v>0</v>
      </c>
      <c r="F63" s="18">
        <f>'Entrada datos'!H63</f>
        <v>0</v>
      </c>
      <c r="G63">
        <f>'Entrada datos'!J63</f>
        <v>0</v>
      </c>
      <c r="H63">
        <f>'Entrada datos'!L63</f>
        <v>0</v>
      </c>
      <c r="I63">
        <f>'Entrada datos'!O63</f>
        <v>0</v>
      </c>
      <c r="J63">
        <f>'Entrada datos'!P63</f>
        <v>0</v>
      </c>
      <c r="K63">
        <f>'Entrada datos'!Q63</f>
        <v>0</v>
      </c>
      <c r="L63">
        <f>'Entrada datos'!R63</f>
        <v>0</v>
      </c>
      <c r="M63">
        <f>'Entrada datos'!S63</f>
        <v>0</v>
      </c>
      <c r="N63">
        <f>'Entrada datos'!T63</f>
        <v>0</v>
      </c>
      <c r="O63">
        <f>'Entrada datos'!U63</f>
        <v>0</v>
      </c>
      <c r="P63" s="17">
        <f t="shared" si="5"/>
        <v>0</v>
      </c>
      <c r="Q63">
        <f>'Entrada datos'!V63</f>
        <v>0</v>
      </c>
      <c r="R63">
        <f>'Entrada datos'!W63</f>
        <v>0</v>
      </c>
      <c r="S63">
        <f>'Entrada datos'!X63</f>
        <v>0</v>
      </c>
      <c r="T63">
        <f>'Entrada datos'!Y63</f>
        <v>0</v>
      </c>
      <c r="U63">
        <f>'Entrada datos'!Z63</f>
        <v>0</v>
      </c>
      <c r="V63">
        <f>'Entrada datos'!AA63</f>
        <v>0</v>
      </c>
      <c r="W63" s="17">
        <f t="shared" si="0"/>
        <v>0</v>
      </c>
      <c r="X63">
        <f>'Entrada datos'!AB63</f>
        <v>0</v>
      </c>
      <c r="Y63">
        <f>'Entrada datos'!AC63</f>
        <v>0</v>
      </c>
      <c r="Z63">
        <f>'Entrada datos'!AD63</f>
        <v>0</v>
      </c>
      <c r="AA63">
        <f>'Entrada datos'!AE63</f>
        <v>0</v>
      </c>
      <c r="AB63">
        <f>'Entrada datos'!AF63</f>
        <v>0</v>
      </c>
      <c r="AC63">
        <f>'Entrada datos'!AG63</f>
        <v>0</v>
      </c>
      <c r="AD63" s="17">
        <f t="shared" si="6"/>
        <v>0</v>
      </c>
      <c r="AE63">
        <f>'Entrada datos'!AH63</f>
        <v>0</v>
      </c>
      <c r="AF63">
        <f>'Entrada datos'!AI63</f>
        <v>0</v>
      </c>
      <c r="AG63">
        <f>'Entrada datos'!AJ63</f>
        <v>0</v>
      </c>
      <c r="AH63">
        <f>'Entrada datos'!AK63</f>
        <v>0</v>
      </c>
      <c r="AI63">
        <f>'Entrada datos'!AL63</f>
        <v>0</v>
      </c>
      <c r="AJ63">
        <f>'Entrada datos'!AM63</f>
        <v>0</v>
      </c>
      <c r="AK63" s="17">
        <f t="shared" si="7"/>
        <v>0</v>
      </c>
      <c r="AL63">
        <f>'Entrada datos'!AN63</f>
        <v>0</v>
      </c>
      <c r="AM63">
        <f>'Entrada datos'!AO63</f>
        <v>0</v>
      </c>
      <c r="AN63">
        <f>'Entrada datos'!AP63</f>
        <v>0</v>
      </c>
      <c r="AO63">
        <f>'Entrada datos'!AQ63</f>
        <v>0</v>
      </c>
      <c r="AP63">
        <f>'Entrada datos'!AR63</f>
        <v>0</v>
      </c>
      <c r="AQ63">
        <f>'Entrada datos'!AS63</f>
        <v>0</v>
      </c>
      <c r="AR63" s="17">
        <f t="shared" si="8"/>
        <v>0</v>
      </c>
      <c r="AS63" s="23">
        <f t="shared" si="9"/>
        <v>0</v>
      </c>
      <c r="AT63">
        <f t="shared" si="10"/>
        <v>1900</v>
      </c>
      <c r="AU63" s="41" t="str">
        <f t="shared" si="11"/>
        <v>enero</v>
      </c>
      <c r="AV63">
        <f t="shared" si="12"/>
        <v>0</v>
      </c>
      <c r="AW63">
        <f t="shared" si="13"/>
        <v>0</v>
      </c>
      <c r="AX63" s="24">
        <f t="shared" si="1"/>
        <v>0</v>
      </c>
      <c r="AY63" s="24">
        <f t="shared" si="2"/>
        <v>0</v>
      </c>
      <c r="AZ63" s="24">
        <f t="shared" si="14"/>
        <v>0</v>
      </c>
      <c r="BA63">
        <f t="shared" si="15"/>
        <v>0</v>
      </c>
      <c r="BB63">
        <f t="shared" si="3"/>
        <v>0</v>
      </c>
      <c r="BC63" s="24">
        <f t="shared" si="4"/>
        <v>0</v>
      </c>
      <c r="BD63">
        <f t="shared" si="16"/>
        <v>0</v>
      </c>
    </row>
    <row r="64" spans="1:56" x14ac:dyDescent="0.3">
      <c r="A64">
        <f>'Entrada datos'!A64</f>
        <v>0</v>
      </c>
      <c r="B64">
        <f>'Entrada datos'!B64</f>
        <v>0</v>
      </c>
      <c r="C64">
        <f>'Entrada datos'!C64</f>
        <v>0</v>
      </c>
      <c r="D64">
        <f>'Entrada datos'!D64</f>
        <v>0</v>
      </c>
      <c r="E64" s="18">
        <f>'Entrada datos'!G64</f>
        <v>0</v>
      </c>
      <c r="F64" s="18">
        <f>'Entrada datos'!H64</f>
        <v>0</v>
      </c>
      <c r="G64">
        <f>'Entrada datos'!J64</f>
        <v>0</v>
      </c>
      <c r="H64">
        <f>'Entrada datos'!L64</f>
        <v>0</v>
      </c>
      <c r="I64">
        <f>'Entrada datos'!O64</f>
        <v>0</v>
      </c>
      <c r="J64">
        <f>'Entrada datos'!P64</f>
        <v>0</v>
      </c>
      <c r="K64">
        <f>'Entrada datos'!Q64</f>
        <v>0</v>
      </c>
      <c r="L64">
        <f>'Entrada datos'!R64</f>
        <v>0</v>
      </c>
      <c r="M64">
        <f>'Entrada datos'!S64</f>
        <v>0</v>
      </c>
      <c r="N64">
        <f>'Entrada datos'!T64</f>
        <v>0</v>
      </c>
      <c r="O64">
        <f>'Entrada datos'!U64</f>
        <v>0</v>
      </c>
      <c r="P64" s="17">
        <f t="shared" si="5"/>
        <v>0</v>
      </c>
      <c r="Q64">
        <f>'Entrada datos'!V64</f>
        <v>0</v>
      </c>
      <c r="R64">
        <f>'Entrada datos'!W64</f>
        <v>0</v>
      </c>
      <c r="S64">
        <f>'Entrada datos'!X64</f>
        <v>0</v>
      </c>
      <c r="T64">
        <f>'Entrada datos'!Y64</f>
        <v>0</v>
      </c>
      <c r="U64">
        <f>'Entrada datos'!Z64</f>
        <v>0</v>
      </c>
      <c r="V64">
        <f>'Entrada datos'!AA64</f>
        <v>0</v>
      </c>
      <c r="W64" s="17">
        <f t="shared" si="0"/>
        <v>0</v>
      </c>
      <c r="X64">
        <f>'Entrada datos'!AB64</f>
        <v>0</v>
      </c>
      <c r="Y64">
        <f>'Entrada datos'!AC64</f>
        <v>0</v>
      </c>
      <c r="Z64">
        <f>'Entrada datos'!AD64</f>
        <v>0</v>
      </c>
      <c r="AA64">
        <f>'Entrada datos'!AE64</f>
        <v>0</v>
      </c>
      <c r="AB64">
        <f>'Entrada datos'!AF64</f>
        <v>0</v>
      </c>
      <c r="AC64">
        <f>'Entrada datos'!AG64</f>
        <v>0</v>
      </c>
      <c r="AD64" s="17">
        <f t="shared" si="6"/>
        <v>0</v>
      </c>
      <c r="AE64">
        <f>'Entrada datos'!AH64</f>
        <v>0</v>
      </c>
      <c r="AF64">
        <f>'Entrada datos'!AI64</f>
        <v>0</v>
      </c>
      <c r="AG64">
        <f>'Entrada datos'!AJ64</f>
        <v>0</v>
      </c>
      <c r="AH64">
        <f>'Entrada datos'!AK64</f>
        <v>0</v>
      </c>
      <c r="AI64">
        <f>'Entrada datos'!AL64</f>
        <v>0</v>
      </c>
      <c r="AJ64">
        <f>'Entrada datos'!AM64</f>
        <v>0</v>
      </c>
      <c r="AK64" s="17">
        <f t="shared" si="7"/>
        <v>0</v>
      </c>
      <c r="AL64">
        <f>'Entrada datos'!AN64</f>
        <v>0</v>
      </c>
      <c r="AM64">
        <f>'Entrada datos'!AO64</f>
        <v>0</v>
      </c>
      <c r="AN64">
        <f>'Entrada datos'!AP64</f>
        <v>0</v>
      </c>
      <c r="AO64">
        <f>'Entrada datos'!AQ64</f>
        <v>0</v>
      </c>
      <c r="AP64">
        <f>'Entrada datos'!AR64</f>
        <v>0</v>
      </c>
      <c r="AQ64">
        <f>'Entrada datos'!AS64</f>
        <v>0</v>
      </c>
      <c r="AR64" s="17">
        <f t="shared" si="8"/>
        <v>0</v>
      </c>
      <c r="AS64" s="23">
        <f t="shared" si="9"/>
        <v>0</v>
      </c>
      <c r="AT64">
        <f t="shared" si="10"/>
        <v>1900</v>
      </c>
      <c r="AU64" s="41" t="str">
        <f t="shared" si="11"/>
        <v>enero</v>
      </c>
      <c r="AV64">
        <f t="shared" si="12"/>
        <v>0</v>
      </c>
      <c r="AW64">
        <f t="shared" si="13"/>
        <v>0</v>
      </c>
      <c r="AX64" s="24">
        <f t="shared" si="1"/>
        <v>0</v>
      </c>
      <c r="AY64" s="24">
        <f t="shared" si="2"/>
        <v>0</v>
      </c>
      <c r="AZ64" s="24">
        <f t="shared" si="14"/>
        <v>0</v>
      </c>
      <c r="BA64">
        <f t="shared" si="15"/>
        <v>0</v>
      </c>
      <c r="BB64">
        <f t="shared" si="3"/>
        <v>0</v>
      </c>
      <c r="BC64" s="24">
        <f t="shared" si="4"/>
        <v>0</v>
      </c>
      <c r="BD64">
        <f t="shared" si="16"/>
        <v>0</v>
      </c>
    </row>
    <row r="65" spans="1:56" x14ac:dyDescent="0.3">
      <c r="A65">
        <f>'Entrada datos'!A65</f>
        <v>0</v>
      </c>
      <c r="B65">
        <f>'Entrada datos'!B65</f>
        <v>0</v>
      </c>
      <c r="C65">
        <f>'Entrada datos'!C65</f>
        <v>0</v>
      </c>
      <c r="D65">
        <f>'Entrada datos'!D65</f>
        <v>0</v>
      </c>
      <c r="E65" s="18">
        <f>'Entrada datos'!G65</f>
        <v>0</v>
      </c>
      <c r="F65" s="18">
        <f>'Entrada datos'!H65</f>
        <v>0</v>
      </c>
      <c r="G65">
        <f>'Entrada datos'!J65</f>
        <v>0</v>
      </c>
      <c r="H65">
        <f>'Entrada datos'!L65</f>
        <v>0</v>
      </c>
      <c r="I65">
        <f>'Entrada datos'!O65</f>
        <v>0</v>
      </c>
      <c r="J65">
        <f>'Entrada datos'!P65</f>
        <v>0</v>
      </c>
      <c r="K65">
        <f>'Entrada datos'!Q65</f>
        <v>0</v>
      </c>
      <c r="L65">
        <f>'Entrada datos'!R65</f>
        <v>0</v>
      </c>
      <c r="M65">
        <f>'Entrada datos'!S65</f>
        <v>0</v>
      </c>
      <c r="N65">
        <f>'Entrada datos'!T65</f>
        <v>0</v>
      </c>
      <c r="O65">
        <f>'Entrada datos'!U65</f>
        <v>0</v>
      </c>
      <c r="P65" s="17">
        <f t="shared" si="5"/>
        <v>0</v>
      </c>
      <c r="Q65">
        <f>'Entrada datos'!V65</f>
        <v>0</v>
      </c>
      <c r="R65">
        <f>'Entrada datos'!W65</f>
        <v>0</v>
      </c>
      <c r="S65">
        <f>'Entrada datos'!X65</f>
        <v>0</v>
      </c>
      <c r="T65">
        <f>'Entrada datos'!Y65</f>
        <v>0</v>
      </c>
      <c r="U65">
        <f>'Entrada datos'!Z65</f>
        <v>0</v>
      </c>
      <c r="V65">
        <f>'Entrada datos'!AA65</f>
        <v>0</v>
      </c>
      <c r="W65" s="17">
        <f t="shared" si="0"/>
        <v>0</v>
      </c>
      <c r="X65">
        <f>'Entrada datos'!AB65</f>
        <v>0</v>
      </c>
      <c r="Y65">
        <f>'Entrada datos'!AC65</f>
        <v>0</v>
      </c>
      <c r="Z65">
        <f>'Entrada datos'!AD65</f>
        <v>0</v>
      </c>
      <c r="AA65">
        <f>'Entrada datos'!AE65</f>
        <v>0</v>
      </c>
      <c r="AB65">
        <f>'Entrada datos'!AF65</f>
        <v>0</v>
      </c>
      <c r="AC65">
        <f>'Entrada datos'!AG65</f>
        <v>0</v>
      </c>
      <c r="AD65" s="17">
        <f t="shared" si="6"/>
        <v>0</v>
      </c>
      <c r="AE65">
        <f>'Entrada datos'!AH65</f>
        <v>0</v>
      </c>
      <c r="AF65">
        <f>'Entrada datos'!AI65</f>
        <v>0</v>
      </c>
      <c r="AG65">
        <f>'Entrada datos'!AJ65</f>
        <v>0</v>
      </c>
      <c r="AH65">
        <f>'Entrada datos'!AK65</f>
        <v>0</v>
      </c>
      <c r="AI65">
        <f>'Entrada datos'!AL65</f>
        <v>0</v>
      </c>
      <c r="AJ65">
        <f>'Entrada datos'!AM65</f>
        <v>0</v>
      </c>
      <c r="AK65" s="17">
        <f t="shared" si="7"/>
        <v>0</v>
      </c>
      <c r="AL65">
        <f>'Entrada datos'!AN65</f>
        <v>0</v>
      </c>
      <c r="AM65">
        <f>'Entrada datos'!AO65</f>
        <v>0</v>
      </c>
      <c r="AN65">
        <f>'Entrada datos'!AP65</f>
        <v>0</v>
      </c>
      <c r="AO65">
        <f>'Entrada datos'!AQ65</f>
        <v>0</v>
      </c>
      <c r="AP65">
        <f>'Entrada datos'!AR65</f>
        <v>0</v>
      </c>
      <c r="AQ65">
        <f>'Entrada datos'!AS65</f>
        <v>0</v>
      </c>
      <c r="AR65" s="17">
        <f t="shared" si="8"/>
        <v>0</v>
      </c>
      <c r="AS65" s="23">
        <f t="shared" si="9"/>
        <v>0</v>
      </c>
      <c r="AT65">
        <f t="shared" si="10"/>
        <v>1900</v>
      </c>
      <c r="AU65" s="41" t="str">
        <f t="shared" si="11"/>
        <v>enero</v>
      </c>
      <c r="AV65">
        <f t="shared" si="12"/>
        <v>0</v>
      </c>
      <c r="AW65">
        <f t="shared" si="13"/>
        <v>0</v>
      </c>
      <c r="AX65" s="24">
        <f t="shared" si="1"/>
        <v>0</v>
      </c>
      <c r="AY65" s="24">
        <f t="shared" si="2"/>
        <v>0</v>
      </c>
      <c r="AZ65" s="24">
        <f t="shared" si="14"/>
        <v>0</v>
      </c>
      <c r="BA65">
        <f t="shared" si="15"/>
        <v>0</v>
      </c>
      <c r="BB65">
        <f t="shared" si="3"/>
        <v>0</v>
      </c>
      <c r="BC65" s="24">
        <f t="shared" si="4"/>
        <v>0</v>
      </c>
      <c r="BD65">
        <f t="shared" si="16"/>
        <v>0</v>
      </c>
    </row>
    <row r="66" spans="1:56" x14ac:dyDescent="0.3">
      <c r="A66">
        <f>'Entrada datos'!A66</f>
        <v>0</v>
      </c>
      <c r="B66">
        <f>'Entrada datos'!B66</f>
        <v>0</v>
      </c>
      <c r="C66">
        <f>'Entrada datos'!C66</f>
        <v>0</v>
      </c>
      <c r="D66">
        <f>'Entrada datos'!D66</f>
        <v>0</v>
      </c>
      <c r="E66" s="18">
        <f>'Entrada datos'!G66</f>
        <v>0</v>
      </c>
      <c r="F66" s="18">
        <f>'Entrada datos'!H66</f>
        <v>0</v>
      </c>
      <c r="G66">
        <f>'Entrada datos'!J66</f>
        <v>0</v>
      </c>
      <c r="H66">
        <f>'Entrada datos'!L66</f>
        <v>0</v>
      </c>
      <c r="I66">
        <f>'Entrada datos'!O66</f>
        <v>0</v>
      </c>
      <c r="J66">
        <f>'Entrada datos'!P66</f>
        <v>0</v>
      </c>
      <c r="K66">
        <f>'Entrada datos'!Q66</f>
        <v>0</v>
      </c>
      <c r="L66">
        <f>'Entrada datos'!R66</f>
        <v>0</v>
      </c>
      <c r="M66">
        <f>'Entrada datos'!S66</f>
        <v>0</v>
      </c>
      <c r="N66">
        <f>'Entrada datos'!T66</f>
        <v>0</v>
      </c>
      <c r="O66">
        <f>'Entrada datos'!U66</f>
        <v>0</v>
      </c>
      <c r="P66" s="17">
        <f t="shared" si="5"/>
        <v>0</v>
      </c>
      <c r="Q66">
        <f>'Entrada datos'!V66</f>
        <v>0</v>
      </c>
      <c r="R66">
        <f>'Entrada datos'!W66</f>
        <v>0</v>
      </c>
      <c r="S66">
        <f>'Entrada datos'!X66</f>
        <v>0</v>
      </c>
      <c r="T66">
        <f>'Entrada datos'!Y66</f>
        <v>0</v>
      </c>
      <c r="U66">
        <f>'Entrada datos'!Z66</f>
        <v>0</v>
      </c>
      <c r="V66">
        <f>'Entrada datos'!AA66</f>
        <v>0</v>
      </c>
      <c r="W66" s="17">
        <f t="shared" si="0"/>
        <v>0</v>
      </c>
      <c r="X66">
        <f>'Entrada datos'!AB66</f>
        <v>0</v>
      </c>
      <c r="Y66">
        <f>'Entrada datos'!AC66</f>
        <v>0</v>
      </c>
      <c r="Z66">
        <f>'Entrada datos'!AD66</f>
        <v>0</v>
      </c>
      <c r="AA66">
        <f>'Entrada datos'!AE66</f>
        <v>0</v>
      </c>
      <c r="AB66">
        <f>'Entrada datos'!AF66</f>
        <v>0</v>
      </c>
      <c r="AC66">
        <f>'Entrada datos'!AG66</f>
        <v>0</v>
      </c>
      <c r="AD66" s="17">
        <f t="shared" si="6"/>
        <v>0</v>
      </c>
      <c r="AE66">
        <f>'Entrada datos'!AH66</f>
        <v>0</v>
      </c>
      <c r="AF66">
        <f>'Entrada datos'!AI66</f>
        <v>0</v>
      </c>
      <c r="AG66">
        <f>'Entrada datos'!AJ66</f>
        <v>0</v>
      </c>
      <c r="AH66">
        <f>'Entrada datos'!AK66</f>
        <v>0</v>
      </c>
      <c r="AI66">
        <f>'Entrada datos'!AL66</f>
        <v>0</v>
      </c>
      <c r="AJ66">
        <f>'Entrada datos'!AM66</f>
        <v>0</v>
      </c>
      <c r="AK66" s="17">
        <f t="shared" si="7"/>
        <v>0</v>
      </c>
      <c r="AL66">
        <f>'Entrada datos'!AN66</f>
        <v>0</v>
      </c>
      <c r="AM66">
        <f>'Entrada datos'!AO66</f>
        <v>0</v>
      </c>
      <c r="AN66">
        <f>'Entrada datos'!AP66</f>
        <v>0</v>
      </c>
      <c r="AO66">
        <f>'Entrada datos'!AQ66</f>
        <v>0</v>
      </c>
      <c r="AP66">
        <f>'Entrada datos'!AR66</f>
        <v>0</v>
      </c>
      <c r="AQ66">
        <f>'Entrada datos'!AS66</f>
        <v>0</v>
      </c>
      <c r="AR66" s="17">
        <f t="shared" si="8"/>
        <v>0</v>
      </c>
      <c r="AS66" s="23">
        <f t="shared" si="9"/>
        <v>0</v>
      </c>
      <c r="AT66">
        <f t="shared" si="10"/>
        <v>1900</v>
      </c>
      <c r="AU66" s="41" t="str">
        <f t="shared" si="11"/>
        <v>enero</v>
      </c>
      <c r="AV66">
        <f t="shared" si="12"/>
        <v>0</v>
      </c>
      <c r="AW66">
        <f t="shared" si="13"/>
        <v>0</v>
      </c>
      <c r="AX66" s="24">
        <f t="shared" si="1"/>
        <v>0</v>
      </c>
      <c r="AY66" s="24">
        <f t="shared" si="2"/>
        <v>0</v>
      </c>
      <c r="AZ66" s="24">
        <f t="shared" si="14"/>
        <v>0</v>
      </c>
      <c r="BA66">
        <f t="shared" si="15"/>
        <v>0</v>
      </c>
      <c r="BB66">
        <f t="shared" si="3"/>
        <v>0</v>
      </c>
      <c r="BC66" s="24">
        <f t="shared" si="4"/>
        <v>0</v>
      </c>
      <c r="BD66">
        <f t="shared" si="16"/>
        <v>0</v>
      </c>
    </row>
    <row r="67" spans="1:56" x14ac:dyDescent="0.3">
      <c r="A67">
        <f>'Entrada datos'!A67</f>
        <v>0</v>
      </c>
      <c r="B67">
        <f>'Entrada datos'!B67</f>
        <v>0</v>
      </c>
      <c r="C67">
        <f>'Entrada datos'!C67</f>
        <v>0</v>
      </c>
      <c r="D67">
        <f>'Entrada datos'!D67</f>
        <v>0</v>
      </c>
      <c r="E67" s="18">
        <f>'Entrada datos'!G67</f>
        <v>0</v>
      </c>
      <c r="F67" s="18">
        <f>'Entrada datos'!H67</f>
        <v>0</v>
      </c>
      <c r="G67">
        <f>'Entrada datos'!J67</f>
        <v>0</v>
      </c>
      <c r="H67">
        <f>'Entrada datos'!L67</f>
        <v>0</v>
      </c>
      <c r="I67">
        <f>'Entrada datos'!O67</f>
        <v>0</v>
      </c>
      <c r="J67">
        <f>'Entrada datos'!P67</f>
        <v>0</v>
      </c>
      <c r="K67">
        <f>'Entrada datos'!Q67</f>
        <v>0</v>
      </c>
      <c r="L67">
        <f>'Entrada datos'!R67</f>
        <v>0</v>
      </c>
      <c r="M67">
        <f>'Entrada datos'!S67</f>
        <v>0</v>
      </c>
      <c r="N67">
        <f>'Entrada datos'!T67</f>
        <v>0</v>
      </c>
      <c r="O67">
        <f>'Entrada datos'!U67</f>
        <v>0</v>
      </c>
      <c r="P67" s="17">
        <f t="shared" si="5"/>
        <v>0</v>
      </c>
      <c r="Q67">
        <f>'Entrada datos'!V67</f>
        <v>0</v>
      </c>
      <c r="R67">
        <f>'Entrada datos'!W67</f>
        <v>0</v>
      </c>
      <c r="S67">
        <f>'Entrada datos'!X67</f>
        <v>0</v>
      </c>
      <c r="T67">
        <f>'Entrada datos'!Y67</f>
        <v>0</v>
      </c>
      <c r="U67">
        <f>'Entrada datos'!Z67</f>
        <v>0</v>
      </c>
      <c r="V67">
        <f>'Entrada datos'!AA67</f>
        <v>0</v>
      </c>
      <c r="W67" s="17">
        <f t="shared" si="0"/>
        <v>0</v>
      </c>
      <c r="X67">
        <f>'Entrada datos'!AB67</f>
        <v>0</v>
      </c>
      <c r="Y67">
        <f>'Entrada datos'!AC67</f>
        <v>0</v>
      </c>
      <c r="Z67">
        <f>'Entrada datos'!AD67</f>
        <v>0</v>
      </c>
      <c r="AA67">
        <f>'Entrada datos'!AE67</f>
        <v>0</v>
      </c>
      <c r="AB67">
        <f>'Entrada datos'!AF67</f>
        <v>0</v>
      </c>
      <c r="AC67">
        <f>'Entrada datos'!AG67</f>
        <v>0</v>
      </c>
      <c r="AD67" s="17">
        <f t="shared" si="6"/>
        <v>0</v>
      </c>
      <c r="AE67">
        <f>'Entrada datos'!AH67</f>
        <v>0</v>
      </c>
      <c r="AF67">
        <f>'Entrada datos'!AI67</f>
        <v>0</v>
      </c>
      <c r="AG67">
        <f>'Entrada datos'!AJ67</f>
        <v>0</v>
      </c>
      <c r="AH67">
        <f>'Entrada datos'!AK67</f>
        <v>0</v>
      </c>
      <c r="AI67">
        <f>'Entrada datos'!AL67</f>
        <v>0</v>
      </c>
      <c r="AJ67">
        <f>'Entrada datos'!AM67</f>
        <v>0</v>
      </c>
      <c r="AK67" s="17">
        <f t="shared" si="7"/>
        <v>0</v>
      </c>
      <c r="AL67">
        <f>'Entrada datos'!AN67</f>
        <v>0</v>
      </c>
      <c r="AM67">
        <f>'Entrada datos'!AO67</f>
        <v>0</v>
      </c>
      <c r="AN67">
        <f>'Entrada datos'!AP67</f>
        <v>0</v>
      </c>
      <c r="AO67">
        <f>'Entrada datos'!AQ67</f>
        <v>0</v>
      </c>
      <c r="AP67">
        <f>'Entrada datos'!AR67</f>
        <v>0</v>
      </c>
      <c r="AQ67">
        <f>'Entrada datos'!AS67</f>
        <v>0</v>
      </c>
      <c r="AR67" s="17">
        <f t="shared" si="8"/>
        <v>0</v>
      </c>
      <c r="AS67" s="23">
        <f t="shared" si="9"/>
        <v>0</v>
      </c>
      <c r="AT67">
        <f t="shared" si="10"/>
        <v>1900</v>
      </c>
      <c r="AU67" s="41" t="str">
        <f t="shared" si="11"/>
        <v>enero</v>
      </c>
      <c r="AV67">
        <f t="shared" si="12"/>
        <v>0</v>
      </c>
      <c r="AW67">
        <f t="shared" si="13"/>
        <v>0</v>
      </c>
      <c r="AX67" s="24">
        <f t="shared" ref="AX67:AX130" si="17">IFERROR(P67/AW67,0)</f>
        <v>0</v>
      </c>
      <c r="AY67" s="24">
        <f t="shared" ref="AY67:AY130" si="18">IFERROR(AV67/AW67,0)</f>
        <v>0</v>
      </c>
      <c r="AZ67" s="24">
        <f t="shared" si="14"/>
        <v>0</v>
      </c>
      <c r="BA67">
        <f t="shared" si="15"/>
        <v>0</v>
      </c>
      <c r="BB67">
        <f t="shared" ref="BB67:BB130" si="19">IFERROR(BA67/AW67,0)</f>
        <v>0</v>
      </c>
      <c r="BC67" s="24">
        <f t="shared" ref="BC67:BC130" si="20">IFERROR(BB67-AX67,0)</f>
        <v>0</v>
      </c>
      <c r="BD67">
        <f t="shared" si="16"/>
        <v>0</v>
      </c>
    </row>
    <row r="68" spans="1:56" x14ac:dyDescent="0.3">
      <c r="A68">
        <f>'Entrada datos'!A68</f>
        <v>0</v>
      </c>
      <c r="B68">
        <f>'Entrada datos'!B68</f>
        <v>0</v>
      </c>
      <c r="C68">
        <f>'Entrada datos'!C68</f>
        <v>0</v>
      </c>
      <c r="D68">
        <f>'Entrada datos'!D68</f>
        <v>0</v>
      </c>
      <c r="E68" s="18">
        <f>'Entrada datos'!G68</f>
        <v>0</v>
      </c>
      <c r="F68" s="18">
        <f>'Entrada datos'!H68</f>
        <v>0</v>
      </c>
      <c r="G68">
        <f>'Entrada datos'!J68</f>
        <v>0</v>
      </c>
      <c r="H68">
        <f>'Entrada datos'!L68</f>
        <v>0</v>
      </c>
      <c r="I68">
        <f>'Entrada datos'!O68</f>
        <v>0</v>
      </c>
      <c r="J68">
        <f>'Entrada datos'!P68</f>
        <v>0</v>
      </c>
      <c r="K68">
        <f>'Entrada datos'!Q68</f>
        <v>0</v>
      </c>
      <c r="L68">
        <f>'Entrada datos'!R68</f>
        <v>0</v>
      </c>
      <c r="M68">
        <f>'Entrada datos'!S68</f>
        <v>0</v>
      </c>
      <c r="N68">
        <f>'Entrada datos'!T68</f>
        <v>0</v>
      </c>
      <c r="O68">
        <f>'Entrada datos'!U68</f>
        <v>0</v>
      </c>
      <c r="P68" s="17">
        <f t="shared" ref="P68:P131" si="21">SUM(J68:O68)</f>
        <v>0</v>
      </c>
      <c r="Q68">
        <f>'Entrada datos'!V68</f>
        <v>0</v>
      </c>
      <c r="R68">
        <f>'Entrada datos'!W68</f>
        <v>0</v>
      </c>
      <c r="S68">
        <f>'Entrada datos'!X68</f>
        <v>0</v>
      </c>
      <c r="T68">
        <f>'Entrada datos'!Y68</f>
        <v>0</v>
      </c>
      <c r="U68">
        <f>'Entrada datos'!Z68</f>
        <v>0</v>
      </c>
      <c r="V68">
        <f>'Entrada datos'!AA68</f>
        <v>0</v>
      </c>
      <c r="W68" s="17">
        <f t="shared" ref="W68:W131" si="22">SUM(Q68:V68)</f>
        <v>0</v>
      </c>
      <c r="X68">
        <f>'Entrada datos'!AB68</f>
        <v>0</v>
      </c>
      <c r="Y68">
        <f>'Entrada datos'!AC68</f>
        <v>0</v>
      </c>
      <c r="Z68">
        <f>'Entrada datos'!AD68</f>
        <v>0</v>
      </c>
      <c r="AA68">
        <f>'Entrada datos'!AE68</f>
        <v>0</v>
      </c>
      <c r="AB68">
        <f>'Entrada datos'!AF68</f>
        <v>0</v>
      </c>
      <c r="AC68">
        <f>'Entrada datos'!AG68</f>
        <v>0</v>
      </c>
      <c r="AD68" s="17">
        <f t="shared" ref="AD68:AD131" si="23">SUM(X68:AC68)</f>
        <v>0</v>
      </c>
      <c r="AE68">
        <f>'Entrada datos'!AH68</f>
        <v>0</v>
      </c>
      <c r="AF68">
        <f>'Entrada datos'!AI68</f>
        <v>0</v>
      </c>
      <c r="AG68">
        <f>'Entrada datos'!AJ68</f>
        <v>0</v>
      </c>
      <c r="AH68">
        <f>'Entrada datos'!AK68</f>
        <v>0</v>
      </c>
      <c r="AI68">
        <f>'Entrada datos'!AL68</f>
        <v>0</v>
      </c>
      <c r="AJ68">
        <f>'Entrada datos'!AM68</f>
        <v>0</v>
      </c>
      <c r="AK68" s="17">
        <f t="shared" ref="AK68:AK131" si="24">SUM(AE68:AJ68)</f>
        <v>0</v>
      </c>
      <c r="AL68">
        <f>'Entrada datos'!AN68</f>
        <v>0</v>
      </c>
      <c r="AM68">
        <f>'Entrada datos'!AO68</f>
        <v>0</v>
      </c>
      <c r="AN68">
        <f>'Entrada datos'!AP68</f>
        <v>0</v>
      </c>
      <c r="AO68">
        <f>'Entrada datos'!AQ68</f>
        <v>0</v>
      </c>
      <c r="AP68">
        <f>'Entrada datos'!AR68</f>
        <v>0</v>
      </c>
      <c r="AQ68">
        <f>'Entrada datos'!AS68</f>
        <v>0</v>
      </c>
      <c r="AR68" s="17">
        <f t="shared" ref="AR68:AR131" si="25">MAX(AL68:AQ68)</f>
        <v>0</v>
      </c>
      <c r="AS68" s="23">
        <f t="shared" ref="AS68:AS131" si="26">IF(AR68&gt;900,AR68/1000,AR68)</f>
        <v>0</v>
      </c>
      <c r="AT68">
        <f t="shared" ref="AT68:AT131" si="27">YEAR(E68)</f>
        <v>1900</v>
      </c>
      <c r="AU68" s="41" t="str">
        <f t="shared" ref="AU68:AU131" si="28">TEXT(E68,"mmmm")</f>
        <v>enero</v>
      </c>
      <c r="AV68">
        <f t="shared" ref="AV68:AV131" si="29">SUM(AD68,P68)</f>
        <v>0</v>
      </c>
      <c r="AW68">
        <f t="shared" ref="AW68:AW131" si="30">F68-E68</f>
        <v>0</v>
      </c>
      <c r="AX68" s="24">
        <f t="shared" si="17"/>
        <v>0</v>
      </c>
      <c r="AY68" s="24">
        <f t="shared" si="18"/>
        <v>0</v>
      </c>
      <c r="AZ68" s="24">
        <f t="shared" ref="AZ68:AZ131" si="31">AY68-AX68</f>
        <v>0</v>
      </c>
      <c r="BA68">
        <f t="shared" ref="BA68:BA131" si="32">P68+AK68</f>
        <v>0</v>
      </c>
      <c r="BB68">
        <f t="shared" si="19"/>
        <v>0</v>
      </c>
      <c r="BC68" s="24">
        <f t="shared" si="20"/>
        <v>0</v>
      </c>
      <c r="BD68">
        <f t="shared" ref="BD68:BD131" si="33">P68+AD68+AK68</f>
        <v>0</v>
      </c>
    </row>
    <row r="69" spans="1:56" x14ac:dyDescent="0.3">
      <c r="A69">
        <f>'Entrada datos'!A69</f>
        <v>0</v>
      </c>
      <c r="B69">
        <f>'Entrada datos'!B69</f>
        <v>0</v>
      </c>
      <c r="C69">
        <f>'Entrada datos'!C69</f>
        <v>0</v>
      </c>
      <c r="D69">
        <f>'Entrada datos'!D69</f>
        <v>0</v>
      </c>
      <c r="E69" s="18">
        <f>'Entrada datos'!G69</f>
        <v>0</v>
      </c>
      <c r="F69" s="18">
        <f>'Entrada datos'!H69</f>
        <v>0</v>
      </c>
      <c r="G69">
        <f>'Entrada datos'!J69</f>
        <v>0</v>
      </c>
      <c r="H69">
        <f>'Entrada datos'!L69</f>
        <v>0</v>
      </c>
      <c r="I69">
        <f>'Entrada datos'!O69</f>
        <v>0</v>
      </c>
      <c r="J69">
        <f>'Entrada datos'!P69</f>
        <v>0</v>
      </c>
      <c r="K69">
        <f>'Entrada datos'!Q69</f>
        <v>0</v>
      </c>
      <c r="L69">
        <f>'Entrada datos'!R69</f>
        <v>0</v>
      </c>
      <c r="M69">
        <f>'Entrada datos'!S69</f>
        <v>0</v>
      </c>
      <c r="N69">
        <f>'Entrada datos'!T69</f>
        <v>0</v>
      </c>
      <c r="O69">
        <f>'Entrada datos'!U69</f>
        <v>0</v>
      </c>
      <c r="P69" s="17">
        <f t="shared" si="21"/>
        <v>0</v>
      </c>
      <c r="Q69">
        <f>'Entrada datos'!V69</f>
        <v>0</v>
      </c>
      <c r="R69">
        <f>'Entrada datos'!W69</f>
        <v>0</v>
      </c>
      <c r="S69">
        <f>'Entrada datos'!X69</f>
        <v>0</v>
      </c>
      <c r="T69">
        <f>'Entrada datos'!Y69</f>
        <v>0</v>
      </c>
      <c r="U69">
        <f>'Entrada datos'!Z69</f>
        <v>0</v>
      </c>
      <c r="V69">
        <f>'Entrada datos'!AA69</f>
        <v>0</v>
      </c>
      <c r="W69" s="17">
        <f t="shared" si="22"/>
        <v>0</v>
      </c>
      <c r="X69">
        <f>'Entrada datos'!AB69</f>
        <v>0</v>
      </c>
      <c r="Y69">
        <f>'Entrada datos'!AC69</f>
        <v>0</v>
      </c>
      <c r="Z69">
        <f>'Entrada datos'!AD69</f>
        <v>0</v>
      </c>
      <c r="AA69">
        <f>'Entrada datos'!AE69</f>
        <v>0</v>
      </c>
      <c r="AB69">
        <f>'Entrada datos'!AF69</f>
        <v>0</v>
      </c>
      <c r="AC69">
        <f>'Entrada datos'!AG69</f>
        <v>0</v>
      </c>
      <c r="AD69" s="17">
        <f t="shared" si="23"/>
        <v>0</v>
      </c>
      <c r="AE69">
        <f>'Entrada datos'!AH69</f>
        <v>0</v>
      </c>
      <c r="AF69">
        <f>'Entrada datos'!AI69</f>
        <v>0</v>
      </c>
      <c r="AG69">
        <f>'Entrada datos'!AJ69</f>
        <v>0</v>
      </c>
      <c r="AH69">
        <f>'Entrada datos'!AK69</f>
        <v>0</v>
      </c>
      <c r="AI69">
        <f>'Entrada datos'!AL69</f>
        <v>0</v>
      </c>
      <c r="AJ69">
        <f>'Entrada datos'!AM69</f>
        <v>0</v>
      </c>
      <c r="AK69" s="17">
        <f t="shared" si="24"/>
        <v>0</v>
      </c>
      <c r="AL69">
        <f>'Entrada datos'!AN69</f>
        <v>0</v>
      </c>
      <c r="AM69">
        <f>'Entrada datos'!AO69</f>
        <v>0</v>
      </c>
      <c r="AN69">
        <f>'Entrada datos'!AP69</f>
        <v>0</v>
      </c>
      <c r="AO69">
        <f>'Entrada datos'!AQ69</f>
        <v>0</v>
      </c>
      <c r="AP69">
        <f>'Entrada datos'!AR69</f>
        <v>0</v>
      </c>
      <c r="AQ69">
        <f>'Entrada datos'!AS69</f>
        <v>0</v>
      </c>
      <c r="AR69" s="17">
        <f t="shared" si="25"/>
        <v>0</v>
      </c>
      <c r="AS69" s="23">
        <f t="shared" si="26"/>
        <v>0</v>
      </c>
      <c r="AT69">
        <f t="shared" si="27"/>
        <v>1900</v>
      </c>
      <c r="AU69" s="41" t="str">
        <f t="shared" si="28"/>
        <v>enero</v>
      </c>
      <c r="AV69">
        <f t="shared" si="29"/>
        <v>0</v>
      </c>
      <c r="AW69">
        <f t="shared" si="30"/>
        <v>0</v>
      </c>
      <c r="AX69" s="24">
        <f t="shared" si="17"/>
        <v>0</v>
      </c>
      <c r="AY69" s="24">
        <f t="shared" si="18"/>
        <v>0</v>
      </c>
      <c r="AZ69" s="24">
        <f t="shared" si="31"/>
        <v>0</v>
      </c>
      <c r="BA69">
        <f t="shared" si="32"/>
        <v>0</v>
      </c>
      <c r="BB69">
        <f t="shared" si="19"/>
        <v>0</v>
      </c>
      <c r="BC69" s="24">
        <f t="shared" si="20"/>
        <v>0</v>
      </c>
      <c r="BD69">
        <f t="shared" si="33"/>
        <v>0</v>
      </c>
    </row>
    <row r="70" spans="1:56" x14ac:dyDescent="0.3">
      <c r="A70">
        <f>'Entrada datos'!A70</f>
        <v>0</v>
      </c>
      <c r="B70">
        <f>'Entrada datos'!B70</f>
        <v>0</v>
      </c>
      <c r="C70">
        <f>'Entrada datos'!C70</f>
        <v>0</v>
      </c>
      <c r="D70">
        <f>'Entrada datos'!D70</f>
        <v>0</v>
      </c>
      <c r="E70" s="18">
        <f>'Entrada datos'!G70</f>
        <v>0</v>
      </c>
      <c r="F70" s="18">
        <f>'Entrada datos'!H70</f>
        <v>0</v>
      </c>
      <c r="G70">
        <f>'Entrada datos'!J70</f>
        <v>0</v>
      </c>
      <c r="H70">
        <f>'Entrada datos'!L70</f>
        <v>0</v>
      </c>
      <c r="I70">
        <f>'Entrada datos'!O70</f>
        <v>0</v>
      </c>
      <c r="J70">
        <f>'Entrada datos'!P70</f>
        <v>0</v>
      </c>
      <c r="K70">
        <f>'Entrada datos'!Q70</f>
        <v>0</v>
      </c>
      <c r="L70">
        <f>'Entrada datos'!R70</f>
        <v>0</v>
      </c>
      <c r="M70">
        <f>'Entrada datos'!S70</f>
        <v>0</v>
      </c>
      <c r="N70">
        <f>'Entrada datos'!T70</f>
        <v>0</v>
      </c>
      <c r="O70">
        <f>'Entrada datos'!U70</f>
        <v>0</v>
      </c>
      <c r="P70" s="17">
        <f t="shared" si="21"/>
        <v>0</v>
      </c>
      <c r="Q70">
        <f>'Entrada datos'!V70</f>
        <v>0</v>
      </c>
      <c r="R70">
        <f>'Entrada datos'!W70</f>
        <v>0</v>
      </c>
      <c r="S70">
        <f>'Entrada datos'!X70</f>
        <v>0</v>
      </c>
      <c r="T70">
        <f>'Entrada datos'!Y70</f>
        <v>0</v>
      </c>
      <c r="U70">
        <f>'Entrada datos'!Z70</f>
        <v>0</v>
      </c>
      <c r="V70">
        <f>'Entrada datos'!AA70</f>
        <v>0</v>
      </c>
      <c r="W70" s="17">
        <f t="shared" si="22"/>
        <v>0</v>
      </c>
      <c r="X70">
        <f>'Entrada datos'!AB70</f>
        <v>0</v>
      </c>
      <c r="Y70">
        <f>'Entrada datos'!AC70</f>
        <v>0</v>
      </c>
      <c r="Z70">
        <f>'Entrada datos'!AD70</f>
        <v>0</v>
      </c>
      <c r="AA70">
        <f>'Entrada datos'!AE70</f>
        <v>0</v>
      </c>
      <c r="AB70">
        <f>'Entrada datos'!AF70</f>
        <v>0</v>
      </c>
      <c r="AC70">
        <f>'Entrada datos'!AG70</f>
        <v>0</v>
      </c>
      <c r="AD70" s="17">
        <f t="shared" si="23"/>
        <v>0</v>
      </c>
      <c r="AE70">
        <f>'Entrada datos'!AH70</f>
        <v>0</v>
      </c>
      <c r="AF70">
        <f>'Entrada datos'!AI70</f>
        <v>0</v>
      </c>
      <c r="AG70">
        <f>'Entrada datos'!AJ70</f>
        <v>0</v>
      </c>
      <c r="AH70">
        <f>'Entrada datos'!AK70</f>
        <v>0</v>
      </c>
      <c r="AI70">
        <f>'Entrada datos'!AL70</f>
        <v>0</v>
      </c>
      <c r="AJ70">
        <f>'Entrada datos'!AM70</f>
        <v>0</v>
      </c>
      <c r="AK70" s="17">
        <f t="shared" si="24"/>
        <v>0</v>
      </c>
      <c r="AL70">
        <f>'Entrada datos'!AN70</f>
        <v>0</v>
      </c>
      <c r="AM70">
        <f>'Entrada datos'!AO70</f>
        <v>0</v>
      </c>
      <c r="AN70">
        <f>'Entrada datos'!AP70</f>
        <v>0</v>
      </c>
      <c r="AO70">
        <f>'Entrada datos'!AQ70</f>
        <v>0</v>
      </c>
      <c r="AP70">
        <f>'Entrada datos'!AR70</f>
        <v>0</v>
      </c>
      <c r="AQ70">
        <f>'Entrada datos'!AS70</f>
        <v>0</v>
      </c>
      <c r="AR70" s="17">
        <f t="shared" si="25"/>
        <v>0</v>
      </c>
      <c r="AS70" s="23">
        <f t="shared" si="26"/>
        <v>0</v>
      </c>
      <c r="AT70">
        <f t="shared" si="27"/>
        <v>1900</v>
      </c>
      <c r="AU70" s="41" t="str">
        <f t="shared" si="28"/>
        <v>enero</v>
      </c>
      <c r="AV70">
        <f t="shared" si="29"/>
        <v>0</v>
      </c>
      <c r="AW70">
        <f t="shared" si="30"/>
        <v>0</v>
      </c>
      <c r="AX70" s="24">
        <f t="shared" si="17"/>
        <v>0</v>
      </c>
      <c r="AY70" s="24">
        <f t="shared" si="18"/>
        <v>0</v>
      </c>
      <c r="AZ70" s="24">
        <f t="shared" si="31"/>
        <v>0</v>
      </c>
      <c r="BA70">
        <f t="shared" si="32"/>
        <v>0</v>
      </c>
      <c r="BB70">
        <f t="shared" si="19"/>
        <v>0</v>
      </c>
      <c r="BC70" s="24">
        <f t="shared" si="20"/>
        <v>0</v>
      </c>
      <c r="BD70">
        <f t="shared" si="33"/>
        <v>0</v>
      </c>
    </row>
    <row r="71" spans="1:56" x14ac:dyDescent="0.3">
      <c r="A71">
        <f>'Entrada datos'!A71</f>
        <v>0</v>
      </c>
      <c r="B71">
        <f>'Entrada datos'!B71</f>
        <v>0</v>
      </c>
      <c r="C71">
        <f>'Entrada datos'!C71</f>
        <v>0</v>
      </c>
      <c r="D71">
        <f>'Entrada datos'!D71</f>
        <v>0</v>
      </c>
      <c r="E71" s="18">
        <f>'Entrada datos'!G71</f>
        <v>0</v>
      </c>
      <c r="F71" s="18">
        <f>'Entrada datos'!H71</f>
        <v>0</v>
      </c>
      <c r="G71">
        <f>'Entrada datos'!J71</f>
        <v>0</v>
      </c>
      <c r="H71">
        <f>'Entrada datos'!L71</f>
        <v>0</v>
      </c>
      <c r="I71">
        <f>'Entrada datos'!O71</f>
        <v>0</v>
      </c>
      <c r="J71">
        <f>'Entrada datos'!P71</f>
        <v>0</v>
      </c>
      <c r="K71">
        <f>'Entrada datos'!Q71</f>
        <v>0</v>
      </c>
      <c r="L71">
        <f>'Entrada datos'!R71</f>
        <v>0</v>
      </c>
      <c r="M71">
        <f>'Entrada datos'!S71</f>
        <v>0</v>
      </c>
      <c r="N71">
        <f>'Entrada datos'!T71</f>
        <v>0</v>
      </c>
      <c r="O71">
        <f>'Entrada datos'!U71</f>
        <v>0</v>
      </c>
      <c r="P71" s="17">
        <f t="shared" si="21"/>
        <v>0</v>
      </c>
      <c r="Q71">
        <f>'Entrada datos'!V71</f>
        <v>0</v>
      </c>
      <c r="R71">
        <f>'Entrada datos'!W71</f>
        <v>0</v>
      </c>
      <c r="S71">
        <f>'Entrada datos'!X71</f>
        <v>0</v>
      </c>
      <c r="T71">
        <f>'Entrada datos'!Y71</f>
        <v>0</v>
      </c>
      <c r="U71">
        <f>'Entrada datos'!Z71</f>
        <v>0</v>
      </c>
      <c r="V71">
        <f>'Entrada datos'!AA71</f>
        <v>0</v>
      </c>
      <c r="W71" s="17">
        <f t="shared" si="22"/>
        <v>0</v>
      </c>
      <c r="X71">
        <f>'Entrada datos'!AB71</f>
        <v>0</v>
      </c>
      <c r="Y71">
        <f>'Entrada datos'!AC71</f>
        <v>0</v>
      </c>
      <c r="Z71">
        <f>'Entrada datos'!AD71</f>
        <v>0</v>
      </c>
      <c r="AA71">
        <f>'Entrada datos'!AE71</f>
        <v>0</v>
      </c>
      <c r="AB71">
        <f>'Entrada datos'!AF71</f>
        <v>0</v>
      </c>
      <c r="AC71">
        <f>'Entrada datos'!AG71</f>
        <v>0</v>
      </c>
      <c r="AD71" s="17">
        <f t="shared" si="23"/>
        <v>0</v>
      </c>
      <c r="AE71">
        <f>'Entrada datos'!AH71</f>
        <v>0</v>
      </c>
      <c r="AF71">
        <f>'Entrada datos'!AI71</f>
        <v>0</v>
      </c>
      <c r="AG71">
        <f>'Entrada datos'!AJ71</f>
        <v>0</v>
      </c>
      <c r="AH71">
        <f>'Entrada datos'!AK71</f>
        <v>0</v>
      </c>
      <c r="AI71">
        <f>'Entrada datos'!AL71</f>
        <v>0</v>
      </c>
      <c r="AJ71">
        <f>'Entrada datos'!AM71</f>
        <v>0</v>
      </c>
      <c r="AK71" s="17">
        <f t="shared" si="24"/>
        <v>0</v>
      </c>
      <c r="AL71">
        <f>'Entrada datos'!AN71</f>
        <v>0</v>
      </c>
      <c r="AM71">
        <f>'Entrada datos'!AO71</f>
        <v>0</v>
      </c>
      <c r="AN71">
        <f>'Entrada datos'!AP71</f>
        <v>0</v>
      </c>
      <c r="AO71">
        <f>'Entrada datos'!AQ71</f>
        <v>0</v>
      </c>
      <c r="AP71">
        <f>'Entrada datos'!AR71</f>
        <v>0</v>
      </c>
      <c r="AQ71">
        <f>'Entrada datos'!AS71</f>
        <v>0</v>
      </c>
      <c r="AR71" s="17">
        <f t="shared" si="25"/>
        <v>0</v>
      </c>
      <c r="AS71" s="23">
        <f t="shared" si="26"/>
        <v>0</v>
      </c>
      <c r="AT71">
        <f t="shared" si="27"/>
        <v>1900</v>
      </c>
      <c r="AU71" s="41" t="str">
        <f t="shared" si="28"/>
        <v>enero</v>
      </c>
      <c r="AV71">
        <f t="shared" si="29"/>
        <v>0</v>
      </c>
      <c r="AW71">
        <f t="shared" si="30"/>
        <v>0</v>
      </c>
      <c r="AX71" s="24">
        <f t="shared" si="17"/>
        <v>0</v>
      </c>
      <c r="AY71" s="24">
        <f t="shared" si="18"/>
        <v>0</v>
      </c>
      <c r="AZ71" s="24">
        <f t="shared" si="31"/>
        <v>0</v>
      </c>
      <c r="BA71">
        <f t="shared" si="32"/>
        <v>0</v>
      </c>
      <c r="BB71">
        <f t="shared" si="19"/>
        <v>0</v>
      </c>
      <c r="BC71" s="24">
        <f t="shared" si="20"/>
        <v>0</v>
      </c>
      <c r="BD71">
        <f t="shared" si="33"/>
        <v>0</v>
      </c>
    </row>
    <row r="72" spans="1:56" x14ac:dyDescent="0.3">
      <c r="A72">
        <f>'Entrada datos'!A72</f>
        <v>0</v>
      </c>
      <c r="B72">
        <f>'Entrada datos'!B72</f>
        <v>0</v>
      </c>
      <c r="C72">
        <f>'Entrada datos'!C72</f>
        <v>0</v>
      </c>
      <c r="D72">
        <f>'Entrada datos'!D72</f>
        <v>0</v>
      </c>
      <c r="E72" s="18">
        <f>'Entrada datos'!G72</f>
        <v>0</v>
      </c>
      <c r="F72" s="18">
        <f>'Entrada datos'!H72</f>
        <v>0</v>
      </c>
      <c r="G72">
        <f>'Entrada datos'!J72</f>
        <v>0</v>
      </c>
      <c r="H72">
        <f>'Entrada datos'!L72</f>
        <v>0</v>
      </c>
      <c r="I72">
        <f>'Entrada datos'!O72</f>
        <v>0</v>
      </c>
      <c r="J72">
        <f>'Entrada datos'!P72</f>
        <v>0</v>
      </c>
      <c r="K72">
        <f>'Entrada datos'!Q72</f>
        <v>0</v>
      </c>
      <c r="L72">
        <f>'Entrada datos'!R72</f>
        <v>0</v>
      </c>
      <c r="M72">
        <f>'Entrada datos'!S72</f>
        <v>0</v>
      </c>
      <c r="N72">
        <f>'Entrada datos'!T72</f>
        <v>0</v>
      </c>
      <c r="O72">
        <f>'Entrada datos'!U72</f>
        <v>0</v>
      </c>
      <c r="P72" s="17">
        <f t="shared" si="21"/>
        <v>0</v>
      </c>
      <c r="Q72">
        <f>'Entrada datos'!V72</f>
        <v>0</v>
      </c>
      <c r="R72">
        <f>'Entrada datos'!W72</f>
        <v>0</v>
      </c>
      <c r="S72">
        <f>'Entrada datos'!X72</f>
        <v>0</v>
      </c>
      <c r="T72">
        <f>'Entrada datos'!Y72</f>
        <v>0</v>
      </c>
      <c r="U72">
        <f>'Entrada datos'!Z72</f>
        <v>0</v>
      </c>
      <c r="V72">
        <f>'Entrada datos'!AA72</f>
        <v>0</v>
      </c>
      <c r="W72" s="17">
        <f t="shared" si="22"/>
        <v>0</v>
      </c>
      <c r="X72">
        <f>'Entrada datos'!AB72</f>
        <v>0</v>
      </c>
      <c r="Y72">
        <f>'Entrada datos'!AC72</f>
        <v>0</v>
      </c>
      <c r="Z72">
        <f>'Entrada datos'!AD72</f>
        <v>0</v>
      </c>
      <c r="AA72">
        <f>'Entrada datos'!AE72</f>
        <v>0</v>
      </c>
      <c r="AB72">
        <f>'Entrada datos'!AF72</f>
        <v>0</v>
      </c>
      <c r="AC72">
        <f>'Entrada datos'!AG72</f>
        <v>0</v>
      </c>
      <c r="AD72" s="17">
        <f t="shared" si="23"/>
        <v>0</v>
      </c>
      <c r="AE72">
        <f>'Entrada datos'!AH72</f>
        <v>0</v>
      </c>
      <c r="AF72">
        <f>'Entrada datos'!AI72</f>
        <v>0</v>
      </c>
      <c r="AG72">
        <f>'Entrada datos'!AJ72</f>
        <v>0</v>
      </c>
      <c r="AH72">
        <f>'Entrada datos'!AK72</f>
        <v>0</v>
      </c>
      <c r="AI72">
        <f>'Entrada datos'!AL72</f>
        <v>0</v>
      </c>
      <c r="AJ72">
        <f>'Entrada datos'!AM72</f>
        <v>0</v>
      </c>
      <c r="AK72" s="17">
        <f t="shared" si="24"/>
        <v>0</v>
      </c>
      <c r="AL72">
        <f>'Entrada datos'!AN72</f>
        <v>0</v>
      </c>
      <c r="AM72">
        <f>'Entrada datos'!AO72</f>
        <v>0</v>
      </c>
      <c r="AN72">
        <f>'Entrada datos'!AP72</f>
        <v>0</v>
      </c>
      <c r="AO72">
        <f>'Entrada datos'!AQ72</f>
        <v>0</v>
      </c>
      <c r="AP72">
        <f>'Entrada datos'!AR72</f>
        <v>0</v>
      </c>
      <c r="AQ72">
        <f>'Entrada datos'!AS72</f>
        <v>0</v>
      </c>
      <c r="AR72" s="17">
        <f t="shared" si="25"/>
        <v>0</v>
      </c>
      <c r="AS72" s="23">
        <f t="shared" si="26"/>
        <v>0</v>
      </c>
      <c r="AT72">
        <f t="shared" si="27"/>
        <v>1900</v>
      </c>
      <c r="AU72" s="41" t="str">
        <f t="shared" si="28"/>
        <v>enero</v>
      </c>
      <c r="AV72">
        <f t="shared" si="29"/>
        <v>0</v>
      </c>
      <c r="AW72">
        <f t="shared" si="30"/>
        <v>0</v>
      </c>
      <c r="AX72" s="24">
        <f t="shared" si="17"/>
        <v>0</v>
      </c>
      <c r="AY72" s="24">
        <f t="shared" si="18"/>
        <v>0</v>
      </c>
      <c r="AZ72" s="24">
        <f t="shared" si="31"/>
        <v>0</v>
      </c>
      <c r="BA72">
        <f t="shared" si="32"/>
        <v>0</v>
      </c>
      <c r="BB72">
        <f t="shared" si="19"/>
        <v>0</v>
      </c>
      <c r="BC72" s="24">
        <f t="shared" si="20"/>
        <v>0</v>
      </c>
      <c r="BD72">
        <f t="shared" si="33"/>
        <v>0</v>
      </c>
    </row>
    <row r="73" spans="1:56" x14ac:dyDescent="0.3">
      <c r="A73">
        <f>'Entrada datos'!A73</f>
        <v>0</v>
      </c>
      <c r="B73">
        <f>'Entrada datos'!B73</f>
        <v>0</v>
      </c>
      <c r="C73">
        <f>'Entrada datos'!C73</f>
        <v>0</v>
      </c>
      <c r="D73">
        <f>'Entrada datos'!D73</f>
        <v>0</v>
      </c>
      <c r="E73" s="18">
        <f>'Entrada datos'!G73</f>
        <v>0</v>
      </c>
      <c r="F73" s="18">
        <f>'Entrada datos'!H73</f>
        <v>0</v>
      </c>
      <c r="G73">
        <f>'Entrada datos'!J73</f>
        <v>0</v>
      </c>
      <c r="H73">
        <f>'Entrada datos'!L73</f>
        <v>0</v>
      </c>
      <c r="I73">
        <f>'Entrada datos'!O73</f>
        <v>0</v>
      </c>
      <c r="J73">
        <f>'Entrada datos'!P73</f>
        <v>0</v>
      </c>
      <c r="K73">
        <f>'Entrada datos'!Q73</f>
        <v>0</v>
      </c>
      <c r="L73">
        <f>'Entrada datos'!R73</f>
        <v>0</v>
      </c>
      <c r="M73">
        <f>'Entrada datos'!S73</f>
        <v>0</v>
      </c>
      <c r="N73">
        <f>'Entrada datos'!T73</f>
        <v>0</v>
      </c>
      <c r="O73">
        <f>'Entrada datos'!U73</f>
        <v>0</v>
      </c>
      <c r="P73" s="17">
        <f t="shared" si="21"/>
        <v>0</v>
      </c>
      <c r="Q73">
        <f>'Entrada datos'!V73</f>
        <v>0</v>
      </c>
      <c r="R73">
        <f>'Entrada datos'!W73</f>
        <v>0</v>
      </c>
      <c r="S73">
        <f>'Entrada datos'!X73</f>
        <v>0</v>
      </c>
      <c r="T73">
        <f>'Entrada datos'!Y73</f>
        <v>0</v>
      </c>
      <c r="U73">
        <f>'Entrada datos'!Z73</f>
        <v>0</v>
      </c>
      <c r="V73">
        <f>'Entrada datos'!AA73</f>
        <v>0</v>
      </c>
      <c r="W73" s="17">
        <f t="shared" si="22"/>
        <v>0</v>
      </c>
      <c r="X73">
        <f>'Entrada datos'!AB73</f>
        <v>0</v>
      </c>
      <c r="Y73">
        <f>'Entrada datos'!AC73</f>
        <v>0</v>
      </c>
      <c r="Z73">
        <f>'Entrada datos'!AD73</f>
        <v>0</v>
      </c>
      <c r="AA73">
        <f>'Entrada datos'!AE73</f>
        <v>0</v>
      </c>
      <c r="AB73">
        <f>'Entrada datos'!AF73</f>
        <v>0</v>
      </c>
      <c r="AC73">
        <f>'Entrada datos'!AG73</f>
        <v>0</v>
      </c>
      <c r="AD73" s="17">
        <f t="shared" si="23"/>
        <v>0</v>
      </c>
      <c r="AE73">
        <f>'Entrada datos'!AH73</f>
        <v>0</v>
      </c>
      <c r="AF73">
        <f>'Entrada datos'!AI73</f>
        <v>0</v>
      </c>
      <c r="AG73">
        <f>'Entrada datos'!AJ73</f>
        <v>0</v>
      </c>
      <c r="AH73">
        <f>'Entrada datos'!AK73</f>
        <v>0</v>
      </c>
      <c r="AI73">
        <f>'Entrada datos'!AL73</f>
        <v>0</v>
      </c>
      <c r="AJ73">
        <f>'Entrada datos'!AM73</f>
        <v>0</v>
      </c>
      <c r="AK73" s="17">
        <f t="shared" si="24"/>
        <v>0</v>
      </c>
      <c r="AL73">
        <f>'Entrada datos'!AN73</f>
        <v>0</v>
      </c>
      <c r="AM73">
        <f>'Entrada datos'!AO73</f>
        <v>0</v>
      </c>
      <c r="AN73">
        <f>'Entrada datos'!AP73</f>
        <v>0</v>
      </c>
      <c r="AO73">
        <f>'Entrada datos'!AQ73</f>
        <v>0</v>
      </c>
      <c r="AP73">
        <f>'Entrada datos'!AR73</f>
        <v>0</v>
      </c>
      <c r="AQ73">
        <f>'Entrada datos'!AS73</f>
        <v>0</v>
      </c>
      <c r="AR73" s="17">
        <f t="shared" si="25"/>
        <v>0</v>
      </c>
      <c r="AS73" s="23">
        <f t="shared" si="26"/>
        <v>0</v>
      </c>
      <c r="AT73">
        <f t="shared" si="27"/>
        <v>1900</v>
      </c>
      <c r="AU73" s="41" t="str">
        <f t="shared" si="28"/>
        <v>enero</v>
      </c>
      <c r="AV73">
        <f t="shared" si="29"/>
        <v>0</v>
      </c>
      <c r="AW73">
        <f t="shared" si="30"/>
        <v>0</v>
      </c>
      <c r="AX73" s="24">
        <f t="shared" si="17"/>
        <v>0</v>
      </c>
      <c r="AY73" s="24">
        <f t="shared" si="18"/>
        <v>0</v>
      </c>
      <c r="AZ73" s="24">
        <f t="shared" si="31"/>
        <v>0</v>
      </c>
      <c r="BA73">
        <f t="shared" si="32"/>
        <v>0</v>
      </c>
      <c r="BB73">
        <f t="shared" si="19"/>
        <v>0</v>
      </c>
      <c r="BC73" s="24">
        <f t="shared" si="20"/>
        <v>0</v>
      </c>
      <c r="BD73">
        <f t="shared" si="33"/>
        <v>0</v>
      </c>
    </row>
    <row r="74" spans="1:56" x14ac:dyDescent="0.3">
      <c r="A74">
        <f>'Entrada datos'!A74</f>
        <v>0</v>
      </c>
      <c r="B74">
        <f>'Entrada datos'!B74</f>
        <v>0</v>
      </c>
      <c r="C74">
        <f>'Entrada datos'!C74</f>
        <v>0</v>
      </c>
      <c r="D74">
        <f>'Entrada datos'!D74</f>
        <v>0</v>
      </c>
      <c r="E74" s="18">
        <f>'Entrada datos'!G74</f>
        <v>0</v>
      </c>
      <c r="F74" s="18">
        <f>'Entrada datos'!H74</f>
        <v>0</v>
      </c>
      <c r="G74">
        <f>'Entrada datos'!J74</f>
        <v>0</v>
      </c>
      <c r="H74">
        <f>'Entrada datos'!L74</f>
        <v>0</v>
      </c>
      <c r="I74">
        <f>'Entrada datos'!O74</f>
        <v>0</v>
      </c>
      <c r="J74">
        <f>'Entrada datos'!P74</f>
        <v>0</v>
      </c>
      <c r="K74">
        <f>'Entrada datos'!Q74</f>
        <v>0</v>
      </c>
      <c r="L74">
        <f>'Entrada datos'!R74</f>
        <v>0</v>
      </c>
      <c r="M74">
        <f>'Entrada datos'!S74</f>
        <v>0</v>
      </c>
      <c r="N74">
        <f>'Entrada datos'!T74</f>
        <v>0</v>
      </c>
      <c r="O74">
        <f>'Entrada datos'!U74</f>
        <v>0</v>
      </c>
      <c r="P74" s="17">
        <f t="shared" si="21"/>
        <v>0</v>
      </c>
      <c r="Q74">
        <f>'Entrada datos'!V74</f>
        <v>0</v>
      </c>
      <c r="R74">
        <f>'Entrada datos'!W74</f>
        <v>0</v>
      </c>
      <c r="S74">
        <f>'Entrada datos'!X74</f>
        <v>0</v>
      </c>
      <c r="T74">
        <f>'Entrada datos'!Y74</f>
        <v>0</v>
      </c>
      <c r="U74">
        <f>'Entrada datos'!Z74</f>
        <v>0</v>
      </c>
      <c r="V74">
        <f>'Entrada datos'!AA74</f>
        <v>0</v>
      </c>
      <c r="W74" s="17">
        <f t="shared" si="22"/>
        <v>0</v>
      </c>
      <c r="X74">
        <f>'Entrada datos'!AB74</f>
        <v>0</v>
      </c>
      <c r="Y74">
        <f>'Entrada datos'!AC74</f>
        <v>0</v>
      </c>
      <c r="Z74">
        <f>'Entrada datos'!AD74</f>
        <v>0</v>
      </c>
      <c r="AA74">
        <f>'Entrada datos'!AE74</f>
        <v>0</v>
      </c>
      <c r="AB74">
        <f>'Entrada datos'!AF74</f>
        <v>0</v>
      </c>
      <c r="AC74">
        <f>'Entrada datos'!AG74</f>
        <v>0</v>
      </c>
      <c r="AD74" s="17">
        <f t="shared" si="23"/>
        <v>0</v>
      </c>
      <c r="AE74">
        <f>'Entrada datos'!AH74</f>
        <v>0</v>
      </c>
      <c r="AF74">
        <f>'Entrada datos'!AI74</f>
        <v>0</v>
      </c>
      <c r="AG74">
        <f>'Entrada datos'!AJ74</f>
        <v>0</v>
      </c>
      <c r="AH74">
        <f>'Entrada datos'!AK74</f>
        <v>0</v>
      </c>
      <c r="AI74">
        <f>'Entrada datos'!AL74</f>
        <v>0</v>
      </c>
      <c r="AJ74">
        <f>'Entrada datos'!AM74</f>
        <v>0</v>
      </c>
      <c r="AK74" s="17">
        <f t="shared" si="24"/>
        <v>0</v>
      </c>
      <c r="AL74">
        <f>'Entrada datos'!AN74</f>
        <v>0</v>
      </c>
      <c r="AM74">
        <f>'Entrada datos'!AO74</f>
        <v>0</v>
      </c>
      <c r="AN74">
        <f>'Entrada datos'!AP74</f>
        <v>0</v>
      </c>
      <c r="AO74">
        <f>'Entrada datos'!AQ74</f>
        <v>0</v>
      </c>
      <c r="AP74">
        <f>'Entrada datos'!AR74</f>
        <v>0</v>
      </c>
      <c r="AQ74">
        <f>'Entrada datos'!AS74</f>
        <v>0</v>
      </c>
      <c r="AR74" s="17">
        <f t="shared" si="25"/>
        <v>0</v>
      </c>
      <c r="AS74" s="23">
        <f t="shared" si="26"/>
        <v>0</v>
      </c>
      <c r="AT74">
        <f t="shared" si="27"/>
        <v>1900</v>
      </c>
      <c r="AU74" s="41" t="str">
        <f t="shared" si="28"/>
        <v>enero</v>
      </c>
      <c r="AV74">
        <f t="shared" si="29"/>
        <v>0</v>
      </c>
      <c r="AW74">
        <f t="shared" si="30"/>
        <v>0</v>
      </c>
      <c r="AX74" s="24">
        <f t="shared" si="17"/>
        <v>0</v>
      </c>
      <c r="AY74" s="24">
        <f t="shared" si="18"/>
        <v>0</v>
      </c>
      <c r="AZ74" s="24">
        <f t="shared" si="31"/>
        <v>0</v>
      </c>
      <c r="BA74">
        <f t="shared" si="32"/>
        <v>0</v>
      </c>
      <c r="BB74">
        <f t="shared" si="19"/>
        <v>0</v>
      </c>
      <c r="BC74" s="24">
        <f t="shared" si="20"/>
        <v>0</v>
      </c>
      <c r="BD74">
        <f t="shared" si="33"/>
        <v>0</v>
      </c>
    </row>
    <row r="75" spans="1:56" x14ac:dyDescent="0.3">
      <c r="A75">
        <f>'Entrada datos'!A75</f>
        <v>0</v>
      </c>
      <c r="B75">
        <f>'Entrada datos'!B75</f>
        <v>0</v>
      </c>
      <c r="C75">
        <f>'Entrada datos'!C75</f>
        <v>0</v>
      </c>
      <c r="D75">
        <f>'Entrada datos'!D75</f>
        <v>0</v>
      </c>
      <c r="E75" s="18">
        <f>'Entrada datos'!G75</f>
        <v>0</v>
      </c>
      <c r="F75" s="18">
        <f>'Entrada datos'!H75</f>
        <v>0</v>
      </c>
      <c r="G75">
        <f>'Entrada datos'!J75</f>
        <v>0</v>
      </c>
      <c r="H75">
        <f>'Entrada datos'!L75</f>
        <v>0</v>
      </c>
      <c r="I75">
        <f>'Entrada datos'!O75</f>
        <v>0</v>
      </c>
      <c r="J75">
        <f>'Entrada datos'!P75</f>
        <v>0</v>
      </c>
      <c r="K75">
        <f>'Entrada datos'!Q75</f>
        <v>0</v>
      </c>
      <c r="L75">
        <f>'Entrada datos'!R75</f>
        <v>0</v>
      </c>
      <c r="M75">
        <f>'Entrada datos'!S75</f>
        <v>0</v>
      </c>
      <c r="N75">
        <f>'Entrada datos'!T75</f>
        <v>0</v>
      </c>
      <c r="O75">
        <f>'Entrada datos'!U75</f>
        <v>0</v>
      </c>
      <c r="P75" s="17">
        <f t="shared" si="21"/>
        <v>0</v>
      </c>
      <c r="Q75">
        <f>'Entrada datos'!V75</f>
        <v>0</v>
      </c>
      <c r="R75">
        <f>'Entrada datos'!W75</f>
        <v>0</v>
      </c>
      <c r="S75">
        <f>'Entrada datos'!X75</f>
        <v>0</v>
      </c>
      <c r="T75">
        <f>'Entrada datos'!Y75</f>
        <v>0</v>
      </c>
      <c r="U75">
        <f>'Entrada datos'!Z75</f>
        <v>0</v>
      </c>
      <c r="V75">
        <f>'Entrada datos'!AA75</f>
        <v>0</v>
      </c>
      <c r="W75" s="17">
        <f t="shared" si="22"/>
        <v>0</v>
      </c>
      <c r="X75">
        <f>'Entrada datos'!AB75</f>
        <v>0</v>
      </c>
      <c r="Y75">
        <f>'Entrada datos'!AC75</f>
        <v>0</v>
      </c>
      <c r="Z75">
        <f>'Entrada datos'!AD75</f>
        <v>0</v>
      </c>
      <c r="AA75">
        <f>'Entrada datos'!AE75</f>
        <v>0</v>
      </c>
      <c r="AB75">
        <f>'Entrada datos'!AF75</f>
        <v>0</v>
      </c>
      <c r="AC75">
        <f>'Entrada datos'!AG75</f>
        <v>0</v>
      </c>
      <c r="AD75" s="17">
        <f t="shared" si="23"/>
        <v>0</v>
      </c>
      <c r="AE75">
        <f>'Entrada datos'!AH75</f>
        <v>0</v>
      </c>
      <c r="AF75">
        <f>'Entrada datos'!AI75</f>
        <v>0</v>
      </c>
      <c r="AG75">
        <f>'Entrada datos'!AJ75</f>
        <v>0</v>
      </c>
      <c r="AH75">
        <f>'Entrada datos'!AK75</f>
        <v>0</v>
      </c>
      <c r="AI75">
        <f>'Entrada datos'!AL75</f>
        <v>0</v>
      </c>
      <c r="AJ75">
        <f>'Entrada datos'!AM75</f>
        <v>0</v>
      </c>
      <c r="AK75" s="17">
        <f t="shared" si="24"/>
        <v>0</v>
      </c>
      <c r="AL75">
        <f>'Entrada datos'!AN75</f>
        <v>0</v>
      </c>
      <c r="AM75">
        <f>'Entrada datos'!AO75</f>
        <v>0</v>
      </c>
      <c r="AN75">
        <f>'Entrada datos'!AP75</f>
        <v>0</v>
      </c>
      <c r="AO75">
        <f>'Entrada datos'!AQ75</f>
        <v>0</v>
      </c>
      <c r="AP75">
        <f>'Entrada datos'!AR75</f>
        <v>0</v>
      </c>
      <c r="AQ75">
        <f>'Entrada datos'!AS75</f>
        <v>0</v>
      </c>
      <c r="AR75" s="17">
        <f t="shared" si="25"/>
        <v>0</v>
      </c>
      <c r="AS75" s="23">
        <f t="shared" si="26"/>
        <v>0</v>
      </c>
      <c r="AT75">
        <f t="shared" si="27"/>
        <v>1900</v>
      </c>
      <c r="AU75" s="41" t="str">
        <f t="shared" si="28"/>
        <v>enero</v>
      </c>
      <c r="AV75">
        <f t="shared" si="29"/>
        <v>0</v>
      </c>
      <c r="AW75">
        <f t="shared" si="30"/>
        <v>0</v>
      </c>
      <c r="AX75" s="24">
        <f t="shared" si="17"/>
        <v>0</v>
      </c>
      <c r="AY75" s="24">
        <f t="shared" si="18"/>
        <v>0</v>
      </c>
      <c r="AZ75" s="24">
        <f t="shared" si="31"/>
        <v>0</v>
      </c>
      <c r="BA75">
        <f t="shared" si="32"/>
        <v>0</v>
      </c>
      <c r="BB75">
        <f t="shared" si="19"/>
        <v>0</v>
      </c>
      <c r="BC75" s="24">
        <f t="shared" si="20"/>
        <v>0</v>
      </c>
      <c r="BD75">
        <f t="shared" si="33"/>
        <v>0</v>
      </c>
    </row>
    <row r="76" spans="1:56" x14ac:dyDescent="0.3">
      <c r="A76">
        <f>'Entrada datos'!A76</f>
        <v>0</v>
      </c>
      <c r="B76">
        <f>'Entrada datos'!B76</f>
        <v>0</v>
      </c>
      <c r="C76">
        <f>'Entrada datos'!C76</f>
        <v>0</v>
      </c>
      <c r="D76">
        <f>'Entrada datos'!D76</f>
        <v>0</v>
      </c>
      <c r="E76" s="18">
        <f>'Entrada datos'!G76</f>
        <v>0</v>
      </c>
      <c r="F76" s="18">
        <f>'Entrada datos'!H76</f>
        <v>0</v>
      </c>
      <c r="G76">
        <f>'Entrada datos'!J76</f>
        <v>0</v>
      </c>
      <c r="H76">
        <f>'Entrada datos'!L76</f>
        <v>0</v>
      </c>
      <c r="I76">
        <f>'Entrada datos'!O76</f>
        <v>0</v>
      </c>
      <c r="J76">
        <f>'Entrada datos'!P76</f>
        <v>0</v>
      </c>
      <c r="K76">
        <f>'Entrada datos'!Q76</f>
        <v>0</v>
      </c>
      <c r="L76">
        <f>'Entrada datos'!R76</f>
        <v>0</v>
      </c>
      <c r="M76">
        <f>'Entrada datos'!S76</f>
        <v>0</v>
      </c>
      <c r="N76">
        <f>'Entrada datos'!T76</f>
        <v>0</v>
      </c>
      <c r="O76">
        <f>'Entrada datos'!U76</f>
        <v>0</v>
      </c>
      <c r="P76" s="17">
        <f t="shared" si="21"/>
        <v>0</v>
      </c>
      <c r="Q76">
        <f>'Entrada datos'!V76</f>
        <v>0</v>
      </c>
      <c r="R76">
        <f>'Entrada datos'!W76</f>
        <v>0</v>
      </c>
      <c r="S76">
        <f>'Entrada datos'!X76</f>
        <v>0</v>
      </c>
      <c r="T76">
        <f>'Entrada datos'!Y76</f>
        <v>0</v>
      </c>
      <c r="U76">
        <f>'Entrada datos'!Z76</f>
        <v>0</v>
      </c>
      <c r="V76">
        <f>'Entrada datos'!AA76</f>
        <v>0</v>
      </c>
      <c r="W76" s="17">
        <f t="shared" si="22"/>
        <v>0</v>
      </c>
      <c r="X76">
        <f>'Entrada datos'!AB76</f>
        <v>0</v>
      </c>
      <c r="Y76">
        <f>'Entrada datos'!AC76</f>
        <v>0</v>
      </c>
      <c r="Z76">
        <f>'Entrada datos'!AD76</f>
        <v>0</v>
      </c>
      <c r="AA76">
        <f>'Entrada datos'!AE76</f>
        <v>0</v>
      </c>
      <c r="AB76">
        <f>'Entrada datos'!AF76</f>
        <v>0</v>
      </c>
      <c r="AC76">
        <f>'Entrada datos'!AG76</f>
        <v>0</v>
      </c>
      <c r="AD76" s="17">
        <f t="shared" si="23"/>
        <v>0</v>
      </c>
      <c r="AE76">
        <f>'Entrada datos'!AH76</f>
        <v>0</v>
      </c>
      <c r="AF76">
        <f>'Entrada datos'!AI76</f>
        <v>0</v>
      </c>
      <c r="AG76">
        <f>'Entrada datos'!AJ76</f>
        <v>0</v>
      </c>
      <c r="AH76">
        <f>'Entrada datos'!AK76</f>
        <v>0</v>
      </c>
      <c r="AI76">
        <f>'Entrada datos'!AL76</f>
        <v>0</v>
      </c>
      <c r="AJ76">
        <f>'Entrada datos'!AM76</f>
        <v>0</v>
      </c>
      <c r="AK76" s="17">
        <f t="shared" si="24"/>
        <v>0</v>
      </c>
      <c r="AL76">
        <f>'Entrada datos'!AN76</f>
        <v>0</v>
      </c>
      <c r="AM76">
        <f>'Entrada datos'!AO76</f>
        <v>0</v>
      </c>
      <c r="AN76">
        <f>'Entrada datos'!AP76</f>
        <v>0</v>
      </c>
      <c r="AO76">
        <f>'Entrada datos'!AQ76</f>
        <v>0</v>
      </c>
      <c r="AP76">
        <f>'Entrada datos'!AR76</f>
        <v>0</v>
      </c>
      <c r="AQ76">
        <f>'Entrada datos'!AS76</f>
        <v>0</v>
      </c>
      <c r="AR76" s="17">
        <f t="shared" si="25"/>
        <v>0</v>
      </c>
      <c r="AS76" s="23">
        <f t="shared" si="26"/>
        <v>0</v>
      </c>
      <c r="AT76">
        <f t="shared" si="27"/>
        <v>1900</v>
      </c>
      <c r="AU76" s="41" t="str">
        <f t="shared" si="28"/>
        <v>enero</v>
      </c>
      <c r="AV76">
        <f t="shared" si="29"/>
        <v>0</v>
      </c>
      <c r="AW76">
        <f t="shared" si="30"/>
        <v>0</v>
      </c>
      <c r="AX76" s="24">
        <f t="shared" si="17"/>
        <v>0</v>
      </c>
      <c r="AY76" s="24">
        <f t="shared" si="18"/>
        <v>0</v>
      </c>
      <c r="AZ76" s="24">
        <f t="shared" si="31"/>
        <v>0</v>
      </c>
      <c r="BA76">
        <f t="shared" si="32"/>
        <v>0</v>
      </c>
      <c r="BB76">
        <f t="shared" si="19"/>
        <v>0</v>
      </c>
      <c r="BC76" s="24">
        <f t="shared" si="20"/>
        <v>0</v>
      </c>
      <c r="BD76">
        <f t="shared" si="33"/>
        <v>0</v>
      </c>
    </row>
    <row r="77" spans="1:56" x14ac:dyDescent="0.3">
      <c r="A77">
        <f>'Entrada datos'!A77</f>
        <v>0</v>
      </c>
      <c r="B77">
        <f>'Entrada datos'!B77</f>
        <v>0</v>
      </c>
      <c r="C77">
        <f>'Entrada datos'!C77</f>
        <v>0</v>
      </c>
      <c r="D77">
        <f>'Entrada datos'!D77</f>
        <v>0</v>
      </c>
      <c r="E77" s="18">
        <f>'Entrada datos'!G77</f>
        <v>0</v>
      </c>
      <c r="F77" s="18">
        <f>'Entrada datos'!H77</f>
        <v>0</v>
      </c>
      <c r="G77">
        <f>'Entrada datos'!J77</f>
        <v>0</v>
      </c>
      <c r="H77">
        <f>'Entrada datos'!L77</f>
        <v>0</v>
      </c>
      <c r="I77">
        <f>'Entrada datos'!O77</f>
        <v>0</v>
      </c>
      <c r="J77">
        <f>'Entrada datos'!P77</f>
        <v>0</v>
      </c>
      <c r="K77">
        <f>'Entrada datos'!Q77</f>
        <v>0</v>
      </c>
      <c r="L77">
        <f>'Entrada datos'!R77</f>
        <v>0</v>
      </c>
      <c r="M77">
        <f>'Entrada datos'!S77</f>
        <v>0</v>
      </c>
      <c r="N77">
        <f>'Entrada datos'!T77</f>
        <v>0</v>
      </c>
      <c r="O77">
        <f>'Entrada datos'!U77</f>
        <v>0</v>
      </c>
      <c r="P77" s="17">
        <f t="shared" si="21"/>
        <v>0</v>
      </c>
      <c r="Q77">
        <f>'Entrada datos'!V77</f>
        <v>0</v>
      </c>
      <c r="R77">
        <f>'Entrada datos'!W77</f>
        <v>0</v>
      </c>
      <c r="S77">
        <f>'Entrada datos'!X77</f>
        <v>0</v>
      </c>
      <c r="T77">
        <f>'Entrada datos'!Y77</f>
        <v>0</v>
      </c>
      <c r="U77">
        <f>'Entrada datos'!Z77</f>
        <v>0</v>
      </c>
      <c r="V77">
        <f>'Entrada datos'!AA77</f>
        <v>0</v>
      </c>
      <c r="W77" s="17">
        <f t="shared" si="22"/>
        <v>0</v>
      </c>
      <c r="X77">
        <f>'Entrada datos'!AB77</f>
        <v>0</v>
      </c>
      <c r="Y77">
        <f>'Entrada datos'!AC77</f>
        <v>0</v>
      </c>
      <c r="Z77">
        <f>'Entrada datos'!AD77</f>
        <v>0</v>
      </c>
      <c r="AA77">
        <f>'Entrada datos'!AE77</f>
        <v>0</v>
      </c>
      <c r="AB77">
        <f>'Entrada datos'!AF77</f>
        <v>0</v>
      </c>
      <c r="AC77">
        <f>'Entrada datos'!AG77</f>
        <v>0</v>
      </c>
      <c r="AD77" s="17">
        <f t="shared" si="23"/>
        <v>0</v>
      </c>
      <c r="AE77">
        <f>'Entrada datos'!AH77</f>
        <v>0</v>
      </c>
      <c r="AF77">
        <f>'Entrada datos'!AI77</f>
        <v>0</v>
      </c>
      <c r="AG77">
        <f>'Entrada datos'!AJ77</f>
        <v>0</v>
      </c>
      <c r="AH77">
        <f>'Entrada datos'!AK77</f>
        <v>0</v>
      </c>
      <c r="AI77">
        <f>'Entrada datos'!AL77</f>
        <v>0</v>
      </c>
      <c r="AJ77">
        <f>'Entrada datos'!AM77</f>
        <v>0</v>
      </c>
      <c r="AK77" s="17">
        <f t="shared" si="24"/>
        <v>0</v>
      </c>
      <c r="AL77">
        <f>'Entrada datos'!AN77</f>
        <v>0</v>
      </c>
      <c r="AM77">
        <f>'Entrada datos'!AO77</f>
        <v>0</v>
      </c>
      <c r="AN77">
        <f>'Entrada datos'!AP77</f>
        <v>0</v>
      </c>
      <c r="AO77">
        <f>'Entrada datos'!AQ77</f>
        <v>0</v>
      </c>
      <c r="AP77">
        <f>'Entrada datos'!AR77</f>
        <v>0</v>
      </c>
      <c r="AQ77">
        <f>'Entrada datos'!AS77</f>
        <v>0</v>
      </c>
      <c r="AR77" s="17">
        <f t="shared" si="25"/>
        <v>0</v>
      </c>
      <c r="AS77" s="23">
        <f t="shared" si="26"/>
        <v>0</v>
      </c>
      <c r="AT77">
        <f t="shared" si="27"/>
        <v>1900</v>
      </c>
      <c r="AU77" s="41" t="str">
        <f t="shared" si="28"/>
        <v>enero</v>
      </c>
      <c r="AV77">
        <f t="shared" si="29"/>
        <v>0</v>
      </c>
      <c r="AW77">
        <f t="shared" si="30"/>
        <v>0</v>
      </c>
      <c r="AX77" s="24">
        <f t="shared" si="17"/>
        <v>0</v>
      </c>
      <c r="AY77" s="24">
        <f t="shared" si="18"/>
        <v>0</v>
      </c>
      <c r="AZ77" s="24">
        <f t="shared" si="31"/>
        <v>0</v>
      </c>
      <c r="BA77">
        <f t="shared" si="32"/>
        <v>0</v>
      </c>
      <c r="BB77">
        <f t="shared" si="19"/>
        <v>0</v>
      </c>
      <c r="BC77" s="24">
        <f t="shared" si="20"/>
        <v>0</v>
      </c>
      <c r="BD77">
        <f t="shared" si="33"/>
        <v>0</v>
      </c>
    </row>
    <row r="78" spans="1:56" x14ac:dyDescent="0.3">
      <c r="A78">
        <f>'Entrada datos'!A78</f>
        <v>0</v>
      </c>
      <c r="B78">
        <f>'Entrada datos'!B78</f>
        <v>0</v>
      </c>
      <c r="C78">
        <f>'Entrada datos'!C78</f>
        <v>0</v>
      </c>
      <c r="D78">
        <f>'Entrada datos'!D78</f>
        <v>0</v>
      </c>
      <c r="E78" s="18">
        <f>'Entrada datos'!G78</f>
        <v>0</v>
      </c>
      <c r="F78" s="18">
        <f>'Entrada datos'!H78</f>
        <v>0</v>
      </c>
      <c r="G78">
        <f>'Entrada datos'!J78</f>
        <v>0</v>
      </c>
      <c r="H78">
        <f>'Entrada datos'!L78</f>
        <v>0</v>
      </c>
      <c r="I78">
        <f>'Entrada datos'!O78</f>
        <v>0</v>
      </c>
      <c r="J78">
        <f>'Entrada datos'!P78</f>
        <v>0</v>
      </c>
      <c r="K78">
        <f>'Entrada datos'!Q78</f>
        <v>0</v>
      </c>
      <c r="L78">
        <f>'Entrada datos'!R78</f>
        <v>0</v>
      </c>
      <c r="M78">
        <f>'Entrada datos'!S78</f>
        <v>0</v>
      </c>
      <c r="N78">
        <f>'Entrada datos'!T78</f>
        <v>0</v>
      </c>
      <c r="O78">
        <f>'Entrada datos'!U78</f>
        <v>0</v>
      </c>
      <c r="P78" s="17">
        <f t="shared" si="21"/>
        <v>0</v>
      </c>
      <c r="Q78">
        <f>'Entrada datos'!V78</f>
        <v>0</v>
      </c>
      <c r="R78">
        <f>'Entrada datos'!W78</f>
        <v>0</v>
      </c>
      <c r="S78">
        <f>'Entrada datos'!X78</f>
        <v>0</v>
      </c>
      <c r="T78">
        <f>'Entrada datos'!Y78</f>
        <v>0</v>
      </c>
      <c r="U78">
        <f>'Entrada datos'!Z78</f>
        <v>0</v>
      </c>
      <c r="V78">
        <f>'Entrada datos'!AA78</f>
        <v>0</v>
      </c>
      <c r="W78" s="17">
        <f t="shared" si="22"/>
        <v>0</v>
      </c>
      <c r="X78">
        <f>'Entrada datos'!AB78</f>
        <v>0</v>
      </c>
      <c r="Y78">
        <f>'Entrada datos'!AC78</f>
        <v>0</v>
      </c>
      <c r="Z78">
        <f>'Entrada datos'!AD78</f>
        <v>0</v>
      </c>
      <c r="AA78">
        <f>'Entrada datos'!AE78</f>
        <v>0</v>
      </c>
      <c r="AB78">
        <f>'Entrada datos'!AF78</f>
        <v>0</v>
      </c>
      <c r="AC78">
        <f>'Entrada datos'!AG78</f>
        <v>0</v>
      </c>
      <c r="AD78" s="17">
        <f t="shared" si="23"/>
        <v>0</v>
      </c>
      <c r="AE78">
        <f>'Entrada datos'!AH78</f>
        <v>0</v>
      </c>
      <c r="AF78">
        <f>'Entrada datos'!AI78</f>
        <v>0</v>
      </c>
      <c r="AG78">
        <f>'Entrada datos'!AJ78</f>
        <v>0</v>
      </c>
      <c r="AH78">
        <f>'Entrada datos'!AK78</f>
        <v>0</v>
      </c>
      <c r="AI78">
        <f>'Entrada datos'!AL78</f>
        <v>0</v>
      </c>
      <c r="AJ78">
        <f>'Entrada datos'!AM78</f>
        <v>0</v>
      </c>
      <c r="AK78" s="17">
        <f t="shared" si="24"/>
        <v>0</v>
      </c>
      <c r="AL78">
        <f>'Entrada datos'!AN78</f>
        <v>0</v>
      </c>
      <c r="AM78">
        <f>'Entrada datos'!AO78</f>
        <v>0</v>
      </c>
      <c r="AN78">
        <f>'Entrada datos'!AP78</f>
        <v>0</v>
      </c>
      <c r="AO78">
        <f>'Entrada datos'!AQ78</f>
        <v>0</v>
      </c>
      <c r="AP78">
        <f>'Entrada datos'!AR78</f>
        <v>0</v>
      </c>
      <c r="AQ78">
        <f>'Entrada datos'!AS78</f>
        <v>0</v>
      </c>
      <c r="AR78" s="17">
        <f t="shared" si="25"/>
        <v>0</v>
      </c>
      <c r="AS78" s="23">
        <f t="shared" si="26"/>
        <v>0</v>
      </c>
      <c r="AT78">
        <f t="shared" si="27"/>
        <v>1900</v>
      </c>
      <c r="AU78" s="41" t="str">
        <f t="shared" si="28"/>
        <v>enero</v>
      </c>
      <c r="AV78">
        <f t="shared" si="29"/>
        <v>0</v>
      </c>
      <c r="AW78">
        <f t="shared" si="30"/>
        <v>0</v>
      </c>
      <c r="AX78" s="24">
        <f t="shared" si="17"/>
        <v>0</v>
      </c>
      <c r="AY78" s="24">
        <f t="shared" si="18"/>
        <v>0</v>
      </c>
      <c r="AZ78" s="24">
        <f t="shared" si="31"/>
        <v>0</v>
      </c>
      <c r="BA78">
        <f t="shared" si="32"/>
        <v>0</v>
      </c>
      <c r="BB78">
        <f t="shared" si="19"/>
        <v>0</v>
      </c>
      <c r="BC78" s="24">
        <f t="shared" si="20"/>
        <v>0</v>
      </c>
      <c r="BD78">
        <f t="shared" si="33"/>
        <v>0</v>
      </c>
    </row>
    <row r="79" spans="1:56" x14ac:dyDescent="0.3">
      <c r="A79">
        <f>'Entrada datos'!A79</f>
        <v>0</v>
      </c>
      <c r="B79">
        <f>'Entrada datos'!B79</f>
        <v>0</v>
      </c>
      <c r="C79">
        <f>'Entrada datos'!C79</f>
        <v>0</v>
      </c>
      <c r="D79">
        <f>'Entrada datos'!D79</f>
        <v>0</v>
      </c>
      <c r="E79" s="18">
        <f>'Entrada datos'!G79</f>
        <v>0</v>
      </c>
      <c r="F79" s="18">
        <f>'Entrada datos'!H79</f>
        <v>0</v>
      </c>
      <c r="G79">
        <f>'Entrada datos'!J79</f>
        <v>0</v>
      </c>
      <c r="H79">
        <f>'Entrada datos'!L79</f>
        <v>0</v>
      </c>
      <c r="I79">
        <f>'Entrada datos'!O79</f>
        <v>0</v>
      </c>
      <c r="J79">
        <f>'Entrada datos'!P79</f>
        <v>0</v>
      </c>
      <c r="K79">
        <f>'Entrada datos'!Q79</f>
        <v>0</v>
      </c>
      <c r="L79">
        <f>'Entrada datos'!R79</f>
        <v>0</v>
      </c>
      <c r="M79">
        <f>'Entrada datos'!S79</f>
        <v>0</v>
      </c>
      <c r="N79">
        <f>'Entrada datos'!T79</f>
        <v>0</v>
      </c>
      <c r="O79">
        <f>'Entrada datos'!U79</f>
        <v>0</v>
      </c>
      <c r="P79" s="17">
        <f t="shared" si="21"/>
        <v>0</v>
      </c>
      <c r="Q79">
        <f>'Entrada datos'!V79</f>
        <v>0</v>
      </c>
      <c r="R79">
        <f>'Entrada datos'!W79</f>
        <v>0</v>
      </c>
      <c r="S79">
        <f>'Entrada datos'!X79</f>
        <v>0</v>
      </c>
      <c r="T79">
        <f>'Entrada datos'!Y79</f>
        <v>0</v>
      </c>
      <c r="U79">
        <f>'Entrada datos'!Z79</f>
        <v>0</v>
      </c>
      <c r="V79">
        <f>'Entrada datos'!AA79</f>
        <v>0</v>
      </c>
      <c r="W79" s="17">
        <f t="shared" si="22"/>
        <v>0</v>
      </c>
      <c r="X79">
        <f>'Entrada datos'!AB79</f>
        <v>0</v>
      </c>
      <c r="Y79">
        <f>'Entrada datos'!AC79</f>
        <v>0</v>
      </c>
      <c r="Z79">
        <f>'Entrada datos'!AD79</f>
        <v>0</v>
      </c>
      <c r="AA79">
        <f>'Entrada datos'!AE79</f>
        <v>0</v>
      </c>
      <c r="AB79">
        <f>'Entrada datos'!AF79</f>
        <v>0</v>
      </c>
      <c r="AC79">
        <f>'Entrada datos'!AG79</f>
        <v>0</v>
      </c>
      <c r="AD79" s="17">
        <f t="shared" si="23"/>
        <v>0</v>
      </c>
      <c r="AE79">
        <f>'Entrada datos'!AH79</f>
        <v>0</v>
      </c>
      <c r="AF79">
        <f>'Entrada datos'!AI79</f>
        <v>0</v>
      </c>
      <c r="AG79">
        <f>'Entrada datos'!AJ79</f>
        <v>0</v>
      </c>
      <c r="AH79">
        <f>'Entrada datos'!AK79</f>
        <v>0</v>
      </c>
      <c r="AI79">
        <f>'Entrada datos'!AL79</f>
        <v>0</v>
      </c>
      <c r="AJ79">
        <f>'Entrada datos'!AM79</f>
        <v>0</v>
      </c>
      <c r="AK79" s="17">
        <f t="shared" si="24"/>
        <v>0</v>
      </c>
      <c r="AL79">
        <f>'Entrada datos'!AN79</f>
        <v>0</v>
      </c>
      <c r="AM79">
        <f>'Entrada datos'!AO79</f>
        <v>0</v>
      </c>
      <c r="AN79">
        <f>'Entrada datos'!AP79</f>
        <v>0</v>
      </c>
      <c r="AO79">
        <f>'Entrada datos'!AQ79</f>
        <v>0</v>
      </c>
      <c r="AP79">
        <f>'Entrada datos'!AR79</f>
        <v>0</v>
      </c>
      <c r="AQ79">
        <f>'Entrada datos'!AS79</f>
        <v>0</v>
      </c>
      <c r="AR79" s="17">
        <f t="shared" si="25"/>
        <v>0</v>
      </c>
      <c r="AS79" s="23">
        <f t="shared" si="26"/>
        <v>0</v>
      </c>
      <c r="AT79">
        <f t="shared" si="27"/>
        <v>1900</v>
      </c>
      <c r="AU79" s="41" t="str">
        <f t="shared" si="28"/>
        <v>enero</v>
      </c>
      <c r="AV79">
        <f t="shared" si="29"/>
        <v>0</v>
      </c>
      <c r="AW79">
        <f t="shared" si="30"/>
        <v>0</v>
      </c>
      <c r="AX79" s="24">
        <f t="shared" si="17"/>
        <v>0</v>
      </c>
      <c r="AY79" s="24">
        <f t="shared" si="18"/>
        <v>0</v>
      </c>
      <c r="AZ79" s="24">
        <f t="shared" si="31"/>
        <v>0</v>
      </c>
      <c r="BA79">
        <f t="shared" si="32"/>
        <v>0</v>
      </c>
      <c r="BB79">
        <f t="shared" si="19"/>
        <v>0</v>
      </c>
      <c r="BC79" s="24">
        <f t="shared" si="20"/>
        <v>0</v>
      </c>
      <c r="BD79">
        <f t="shared" si="33"/>
        <v>0</v>
      </c>
    </row>
    <row r="80" spans="1:56" x14ac:dyDescent="0.3">
      <c r="A80">
        <f>'Entrada datos'!A80</f>
        <v>0</v>
      </c>
      <c r="B80">
        <f>'Entrada datos'!B80</f>
        <v>0</v>
      </c>
      <c r="C80">
        <f>'Entrada datos'!C80</f>
        <v>0</v>
      </c>
      <c r="D80">
        <f>'Entrada datos'!D80</f>
        <v>0</v>
      </c>
      <c r="E80" s="18">
        <f>'Entrada datos'!G80</f>
        <v>0</v>
      </c>
      <c r="F80" s="18">
        <f>'Entrada datos'!H80</f>
        <v>0</v>
      </c>
      <c r="G80">
        <f>'Entrada datos'!J80</f>
        <v>0</v>
      </c>
      <c r="H80">
        <f>'Entrada datos'!L80</f>
        <v>0</v>
      </c>
      <c r="I80">
        <f>'Entrada datos'!O80</f>
        <v>0</v>
      </c>
      <c r="J80">
        <f>'Entrada datos'!P80</f>
        <v>0</v>
      </c>
      <c r="K80">
        <f>'Entrada datos'!Q80</f>
        <v>0</v>
      </c>
      <c r="L80">
        <f>'Entrada datos'!R80</f>
        <v>0</v>
      </c>
      <c r="M80">
        <f>'Entrada datos'!S80</f>
        <v>0</v>
      </c>
      <c r="N80">
        <f>'Entrada datos'!T80</f>
        <v>0</v>
      </c>
      <c r="O80">
        <f>'Entrada datos'!U80</f>
        <v>0</v>
      </c>
      <c r="P80" s="17">
        <f t="shared" si="21"/>
        <v>0</v>
      </c>
      <c r="Q80">
        <f>'Entrada datos'!V80</f>
        <v>0</v>
      </c>
      <c r="R80">
        <f>'Entrada datos'!W80</f>
        <v>0</v>
      </c>
      <c r="S80">
        <f>'Entrada datos'!X80</f>
        <v>0</v>
      </c>
      <c r="T80">
        <f>'Entrada datos'!Y80</f>
        <v>0</v>
      </c>
      <c r="U80">
        <f>'Entrada datos'!Z80</f>
        <v>0</v>
      </c>
      <c r="V80">
        <f>'Entrada datos'!AA80</f>
        <v>0</v>
      </c>
      <c r="W80" s="17">
        <f t="shared" si="22"/>
        <v>0</v>
      </c>
      <c r="X80">
        <f>'Entrada datos'!AB80</f>
        <v>0</v>
      </c>
      <c r="Y80">
        <f>'Entrada datos'!AC80</f>
        <v>0</v>
      </c>
      <c r="Z80">
        <f>'Entrada datos'!AD80</f>
        <v>0</v>
      </c>
      <c r="AA80">
        <f>'Entrada datos'!AE80</f>
        <v>0</v>
      </c>
      <c r="AB80">
        <f>'Entrada datos'!AF80</f>
        <v>0</v>
      </c>
      <c r="AC80">
        <f>'Entrada datos'!AG80</f>
        <v>0</v>
      </c>
      <c r="AD80" s="17">
        <f t="shared" si="23"/>
        <v>0</v>
      </c>
      <c r="AE80">
        <f>'Entrada datos'!AH80</f>
        <v>0</v>
      </c>
      <c r="AF80">
        <f>'Entrada datos'!AI80</f>
        <v>0</v>
      </c>
      <c r="AG80">
        <f>'Entrada datos'!AJ80</f>
        <v>0</v>
      </c>
      <c r="AH80">
        <f>'Entrada datos'!AK80</f>
        <v>0</v>
      </c>
      <c r="AI80">
        <f>'Entrada datos'!AL80</f>
        <v>0</v>
      </c>
      <c r="AJ80">
        <f>'Entrada datos'!AM80</f>
        <v>0</v>
      </c>
      <c r="AK80" s="17">
        <f t="shared" si="24"/>
        <v>0</v>
      </c>
      <c r="AL80">
        <f>'Entrada datos'!AN80</f>
        <v>0</v>
      </c>
      <c r="AM80">
        <f>'Entrada datos'!AO80</f>
        <v>0</v>
      </c>
      <c r="AN80">
        <f>'Entrada datos'!AP80</f>
        <v>0</v>
      </c>
      <c r="AO80">
        <f>'Entrada datos'!AQ80</f>
        <v>0</v>
      </c>
      <c r="AP80">
        <f>'Entrada datos'!AR80</f>
        <v>0</v>
      </c>
      <c r="AQ80">
        <f>'Entrada datos'!AS80</f>
        <v>0</v>
      </c>
      <c r="AR80" s="17">
        <f t="shared" si="25"/>
        <v>0</v>
      </c>
      <c r="AS80" s="23">
        <f t="shared" si="26"/>
        <v>0</v>
      </c>
      <c r="AT80">
        <f t="shared" si="27"/>
        <v>1900</v>
      </c>
      <c r="AU80" s="41" t="str">
        <f t="shared" si="28"/>
        <v>enero</v>
      </c>
      <c r="AV80">
        <f t="shared" si="29"/>
        <v>0</v>
      </c>
      <c r="AW80">
        <f t="shared" si="30"/>
        <v>0</v>
      </c>
      <c r="AX80" s="24">
        <f t="shared" si="17"/>
        <v>0</v>
      </c>
      <c r="AY80" s="24">
        <f t="shared" si="18"/>
        <v>0</v>
      </c>
      <c r="AZ80" s="24">
        <f t="shared" si="31"/>
        <v>0</v>
      </c>
      <c r="BA80">
        <f t="shared" si="32"/>
        <v>0</v>
      </c>
      <c r="BB80">
        <f t="shared" si="19"/>
        <v>0</v>
      </c>
      <c r="BC80" s="24">
        <f t="shared" si="20"/>
        <v>0</v>
      </c>
      <c r="BD80">
        <f t="shared" si="33"/>
        <v>0</v>
      </c>
    </row>
    <row r="81" spans="1:56" x14ac:dyDescent="0.3">
      <c r="A81">
        <f>'Entrada datos'!A81</f>
        <v>0</v>
      </c>
      <c r="B81">
        <f>'Entrada datos'!B81</f>
        <v>0</v>
      </c>
      <c r="C81">
        <f>'Entrada datos'!C81</f>
        <v>0</v>
      </c>
      <c r="D81">
        <f>'Entrada datos'!D81</f>
        <v>0</v>
      </c>
      <c r="E81" s="18">
        <f>'Entrada datos'!G81</f>
        <v>0</v>
      </c>
      <c r="F81" s="18">
        <f>'Entrada datos'!H81</f>
        <v>0</v>
      </c>
      <c r="G81">
        <f>'Entrada datos'!J81</f>
        <v>0</v>
      </c>
      <c r="H81">
        <f>'Entrada datos'!L81</f>
        <v>0</v>
      </c>
      <c r="I81">
        <f>'Entrada datos'!O81</f>
        <v>0</v>
      </c>
      <c r="J81">
        <f>'Entrada datos'!P81</f>
        <v>0</v>
      </c>
      <c r="K81">
        <f>'Entrada datos'!Q81</f>
        <v>0</v>
      </c>
      <c r="L81">
        <f>'Entrada datos'!R81</f>
        <v>0</v>
      </c>
      <c r="M81">
        <f>'Entrada datos'!S81</f>
        <v>0</v>
      </c>
      <c r="N81">
        <f>'Entrada datos'!T81</f>
        <v>0</v>
      </c>
      <c r="O81">
        <f>'Entrada datos'!U81</f>
        <v>0</v>
      </c>
      <c r="P81" s="17">
        <f t="shared" si="21"/>
        <v>0</v>
      </c>
      <c r="Q81">
        <f>'Entrada datos'!V81</f>
        <v>0</v>
      </c>
      <c r="R81">
        <f>'Entrada datos'!W81</f>
        <v>0</v>
      </c>
      <c r="S81">
        <f>'Entrada datos'!X81</f>
        <v>0</v>
      </c>
      <c r="T81">
        <f>'Entrada datos'!Y81</f>
        <v>0</v>
      </c>
      <c r="U81">
        <f>'Entrada datos'!Z81</f>
        <v>0</v>
      </c>
      <c r="V81">
        <f>'Entrada datos'!AA81</f>
        <v>0</v>
      </c>
      <c r="W81" s="17">
        <f t="shared" si="22"/>
        <v>0</v>
      </c>
      <c r="X81">
        <f>'Entrada datos'!AB81</f>
        <v>0</v>
      </c>
      <c r="Y81">
        <f>'Entrada datos'!AC81</f>
        <v>0</v>
      </c>
      <c r="Z81">
        <f>'Entrada datos'!AD81</f>
        <v>0</v>
      </c>
      <c r="AA81">
        <f>'Entrada datos'!AE81</f>
        <v>0</v>
      </c>
      <c r="AB81">
        <f>'Entrada datos'!AF81</f>
        <v>0</v>
      </c>
      <c r="AC81">
        <f>'Entrada datos'!AG81</f>
        <v>0</v>
      </c>
      <c r="AD81" s="17">
        <f t="shared" si="23"/>
        <v>0</v>
      </c>
      <c r="AE81">
        <f>'Entrada datos'!AH81</f>
        <v>0</v>
      </c>
      <c r="AF81">
        <f>'Entrada datos'!AI81</f>
        <v>0</v>
      </c>
      <c r="AG81">
        <f>'Entrada datos'!AJ81</f>
        <v>0</v>
      </c>
      <c r="AH81">
        <f>'Entrada datos'!AK81</f>
        <v>0</v>
      </c>
      <c r="AI81">
        <f>'Entrada datos'!AL81</f>
        <v>0</v>
      </c>
      <c r="AJ81">
        <f>'Entrada datos'!AM81</f>
        <v>0</v>
      </c>
      <c r="AK81" s="17">
        <f t="shared" si="24"/>
        <v>0</v>
      </c>
      <c r="AL81">
        <f>'Entrada datos'!AN81</f>
        <v>0</v>
      </c>
      <c r="AM81">
        <f>'Entrada datos'!AO81</f>
        <v>0</v>
      </c>
      <c r="AN81">
        <f>'Entrada datos'!AP81</f>
        <v>0</v>
      </c>
      <c r="AO81">
        <f>'Entrada datos'!AQ81</f>
        <v>0</v>
      </c>
      <c r="AP81">
        <f>'Entrada datos'!AR81</f>
        <v>0</v>
      </c>
      <c r="AQ81">
        <f>'Entrada datos'!AS81</f>
        <v>0</v>
      </c>
      <c r="AR81" s="17">
        <f t="shared" si="25"/>
        <v>0</v>
      </c>
      <c r="AS81" s="23">
        <f t="shared" si="26"/>
        <v>0</v>
      </c>
      <c r="AT81">
        <f t="shared" si="27"/>
        <v>1900</v>
      </c>
      <c r="AU81" s="41" t="str">
        <f t="shared" si="28"/>
        <v>enero</v>
      </c>
      <c r="AV81">
        <f t="shared" si="29"/>
        <v>0</v>
      </c>
      <c r="AW81">
        <f t="shared" si="30"/>
        <v>0</v>
      </c>
      <c r="AX81" s="24">
        <f t="shared" si="17"/>
        <v>0</v>
      </c>
      <c r="AY81" s="24">
        <f t="shared" si="18"/>
        <v>0</v>
      </c>
      <c r="AZ81" s="24">
        <f t="shared" si="31"/>
        <v>0</v>
      </c>
      <c r="BA81">
        <f t="shared" si="32"/>
        <v>0</v>
      </c>
      <c r="BB81">
        <f t="shared" si="19"/>
        <v>0</v>
      </c>
      <c r="BC81" s="24">
        <f t="shared" si="20"/>
        <v>0</v>
      </c>
      <c r="BD81">
        <f t="shared" si="33"/>
        <v>0</v>
      </c>
    </row>
    <row r="82" spans="1:56" x14ac:dyDescent="0.3">
      <c r="A82">
        <f>'Entrada datos'!A82</f>
        <v>0</v>
      </c>
      <c r="B82">
        <f>'Entrada datos'!B82</f>
        <v>0</v>
      </c>
      <c r="C82">
        <f>'Entrada datos'!C82</f>
        <v>0</v>
      </c>
      <c r="D82">
        <f>'Entrada datos'!D82</f>
        <v>0</v>
      </c>
      <c r="E82" s="18">
        <f>'Entrada datos'!G82</f>
        <v>0</v>
      </c>
      <c r="F82" s="18">
        <f>'Entrada datos'!H82</f>
        <v>0</v>
      </c>
      <c r="G82">
        <f>'Entrada datos'!J82</f>
        <v>0</v>
      </c>
      <c r="H82">
        <f>'Entrada datos'!L82</f>
        <v>0</v>
      </c>
      <c r="I82">
        <f>'Entrada datos'!O82</f>
        <v>0</v>
      </c>
      <c r="J82">
        <f>'Entrada datos'!P82</f>
        <v>0</v>
      </c>
      <c r="K82">
        <f>'Entrada datos'!Q82</f>
        <v>0</v>
      </c>
      <c r="L82">
        <f>'Entrada datos'!R82</f>
        <v>0</v>
      </c>
      <c r="M82">
        <f>'Entrada datos'!S82</f>
        <v>0</v>
      </c>
      <c r="N82">
        <f>'Entrada datos'!T82</f>
        <v>0</v>
      </c>
      <c r="O82">
        <f>'Entrada datos'!U82</f>
        <v>0</v>
      </c>
      <c r="P82" s="17">
        <f t="shared" si="21"/>
        <v>0</v>
      </c>
      <c r="Q82">
        <f>'Entrada datos'!V82</f>
        <v>0</v>
      </c>
      <c r="R82">
        <f>'Entrada datos'!W82</f>
        <v>0</v>
      </c>
      <c r="S82">
        <f>'Entrada datos'!X82</f>
        <v>0</v>
      </c>
      <c r="T82">
        <f>'Entrada datos'!Y82</f>
        <v>0</v>
      </c>
      <c r="U82">
        <f>'Entrada datos'!Z82</f>
        <v>0</v>
      </c>
      <c r="V82">
        <f>'Entrada datos'!AA82</f>
        <v>0</v>
      </c>
      <c r="W82" s="17">
        <f t="shared" si="22"/>
        <v>0</v>
      </c>
      <c r="X82">
        <f>'Entrada datos'!AB82</f>
        <v>0</v>
      </c>
      <c r="Y82">
        <f>'Entrada datos'!AC82</f>
        <v>0</v>
      </c>
      <c r="Z82">
        <f>'Entrada datos'!AD82</f>
        <v>0</v>
      </c>
      <c r="AA82">
        <f>'Entrada datos'!AE82</f>
        <v>0</v>
      </c>
      <c r="AB82">
        <f>'Entrada datos'!AF82</f>
        <v>0</v>
      </c>
      <c r="AC82">
        <f>'Entrada datos'!AG82</f>
        <v>0</v>
      </c>
      <c r="AD82" s="17">
        <f t="shared" si="23"/>
        <v>0</v>
      </c>
      <c r="AE82">
        <f>'Entrada datos'!AH82</f>
        <v>0</v>
      </c>
      <c r="AF82">
        <f>'Entrada datos'!AI82</f>
        <v>0</v>
      </c>
      <c r="AG82">
        <f>'Entrada datos'!AJ82</f>
        <v>0</v>
      </c>
      <c r="AH82">
        <f>'Entrada datos'!AK82</f>
        <v>0</v>
      </c>
      <c r="AI82">
        <f>'Entrada datos'!AL82</f>
        <v>0</v>
      </c>
      <c r="AJ82">
        <f>'Entrada datos'!AM82</f>
        <v>0</v>
      </c>
      <c r="AK82" s="17">
        <f t="shared" si="24"/>
        <v>0</v>
      </c>
      <c r="AL82">
        <f>'Entrada datos'!AN82</f>
        <v>0</v>
      </c>
      <c r="AM82">
        <f>'Entrada datos'!AO82</f>
        <v>0</v>
      </c>
      <c r="AN82">
        <f>'Entrada datos'!AP82</f>
        <v>0</v>
      </c>
      <c r="AO82">
        <f>'Entrada datos'!AQ82</f>
        <v>0</v>
      </c>
      <c r="AP82">
        <f>'Entrada datos'!AR82</f>
        <v>0</v>
      </c>
      <c r="AQ82">
        <f>'Entrada datos'!AS82</f>
        <v>0</v>
      </c>
      <c r="AR82" s="17">
        <f t="shared" si="25"/>
        <v>0</v>
      </c>
      <c r="AS82" s="23">
        <f t="shared" si="26"/>
        <v>0</v>
      </c>
      <c r="AT82">
        <f t="shared" si="27"/>
        <v>1900</v>
      </c>
      <c r="AU82" s="41" t="str">
        <f t="shared" si="28"/>
        <v>enero</v>
      </c>
      <c r="AV82">
        <f t="shared" si="29"/>
        <v>0</v>
      </c>
      <c r="AW82">
        <f t="shared" si="30"/>
        <v>0</v>
      </c>
      <c r="AX82" s="24">
        <f t="shared" si="17"/>
        <v>0</v>
      </c>
      <c r="AY82" s="24">
        <f t="shared" si="18"/>
        <v>0</v>
      </c>
      <c r="AZ82" s="24">
        <f t="shared" si="31"/>
        <v>0</v>
      </c>
      <c r="BA82">
        <f t="shared" si="32"/>
        <v>0</v>
      </c>
      <c r="BB82">
        <f t="shared" si="19"/>
        <v>0</v>
      </c>
      <c r="BC82" s="24">
        <f t="shared" si="20"/>
        <v>0</v>
      </c>
      <c r="BD82">
        <f t="shared" si="33"/>
        <v>0</v>
      </c>
    </row>
    <row r="83" spans="1:56" x14ac:dyDescent="0.3">
      <c r="A83">
        <f>'Entrada datos'!A83</f>
        <v>0</v>
      </c>
      <c r="B83">
        <f>'Entrada datos'!B83</f>
        <v>0</v>
      </c>
      <c r="C83">
        <f>'Entrada datos'!C83</f>
        <v>0</v>
      </c>
      <c r="D83">
        <f>'Entrada datos'!D83</f>
        <v>0</v>
      </c>
      <c r="E83" s="18">
        <f>'Entrada datos'!G83</f>
        <v>0</v>
      </c>
      <c r="F83" s="18">
        <f>'Entrada datos'!H83</f>
        <v>0</v>
      </c>
      <c r="G83">
        <f>'Entrada datos'!J83</f>
        <v>0</v>
      </c>
      <c r="H83">
        <f>'Entrada datos'!L83</f>
        <v>0</v>
      </c>
      <c r="I83">
        <f>'Entrada datos'!O83</f>
        <v>0</v>
      </c>
      <c r="J83">
        <f>'Entrada datos'!P83</f>
        <v>0</v>
      </c>
      <c r="K83">
        <f>'Entrada datos'!Q83</f>
        <v>0</v>
      </c>
      <c r="L83">
        <f>'Entrada datos'!R83</f>
        <v>0</v>
      </c>
      <c r="M83">
        <f>'Entrada datos'!S83</f>
        <v>0</v>
      </c>
      <c r="N83">
        <f>'Entrada datos'!T83</f>
        <v>0</v>
      </c>
      <c r="O83">
        <f>'Entrada datos'!U83</f>
        <v>0</v>
      </c>
      <c r="P83" s="17">
        <f t="shared" si="21"/>
        <v>0</v>
      </c>
      <c r="Q83">
        <f>'Entrada datos'!V83</f>
        <v>0</v>
      </c>
      <c r="R83">
        <f>'Entrada datos'!W83</f>
        <v>0</v>
      </c>
      <c r="S83">
        <f>'Entrada datos'!X83</f>
        <v>0</v>
      </c>
      <c r="T83">
        <f>'Entrada datos'!Y83</f>
        <v>0</v>
      </c>
      <c r="U83">
        <f>'Entrada datos'!Z83</f>
        <v>0</v>
      </c>
      <c r="V83">
        <f>'Entrada datos'!AA83</f>
        <v>0</v>
      </c>
      <c r="W83" s="17">
        <f t="shared" si="22"/>
        <v>0</v>
      </c>
      <c r="X83">
        <f>'Entrada datos'!AB83</f>
        <v>0</v>
      </c>
      <c r="Y83">
        <f>'Entrada datos'!AC83</f>
        <v>0</v>
      </c>
      <c r="Z83">
        <f>'Entrada datos'!AD83</f>
        <v>0</v>
      </c>
      <c r="AA83">
        <f>'Entrada datos'!AE83</f>
        <v>0</v>
      </c>
      <c r="AB83">
        <f>'Entrada datos'!AF83</f>
        <v>0</v>
      </c>
      <c r="AC83">
        <f>'Entrada datos'!AG83</f>
        <v>0</v>
      </c>
      <c r="AD83" s="17">
        <f t="shared" si="23"/>
        <v>0</v>
      </c>
      <c r="AE83">
        <f>'Entrada datos'!AH83</f>
        <v>0</v>
      </c>
      <c r="AF83">
        <f>'Entrada datos'!AI83</f>
        <v>0</v>
      </c>
      <c r="AG83">
        <f>'Entrada datos'!AJ83</f>
        <v>0</v>
      </c>
      <c r="AH83">
        <f>'Entrada datos'!AK83</f>
        <v>0</v>
      </c>
      <c r="AI83">
        <f>'Entrada datos'!AL83</f>
        <v>0</v>
      </c>
      <c r="AJ83">
        <f>'Entrada datos'!AM83</f>
        <v>0</v>
      </c>
      <c r="AK83" s="17">
        <f t="shared" si="24"/>
        <v>0</v>
      </c>
      <c r="AL83">
        <f>'Entrada datos'!AN83</f>
        <v>0</v>
      </c>
      <c r="AM83">
        <f>'Entrada datos'!AO83</f>
        <v>0</v>
      </c>
      <c r="AN83">
        <f>'Entrada datos'!AP83</f>
        <v>0</v>
      </c>
      <c r="AO83">
        <f>'Entrada datos'!AQ83</f>
        <v>0</v>
      </c>
      <c r="AP83">
        <f>'Entrada datos'!AR83</f>
        <v>0</v>
      </c>
      <c r="AQ83">
        <f>'Entrada datos'!AS83</f>
        <v>0</v>
      </c>
      <c r="AR83" s="17">
        <f t="shared" si="25"/>
        <v>0</v>
      </c>
      <c r="AS83" s="23">
        <f t="shared" si="26"/>
        <v>0</v>
      </c>
      <c r="AT83">
        <f t="shared" si="27"/>
        <v>1900</v>
      </c>
      <c r="AU83" s="41" t="str">
        <f t="shared" si="28"/>
        <v>enero</v>
      </c>
      <c r="AV83">
        <f t="shared" si="29"/>
        <v>0</v>
      </c>
      <c r="AW83">
        <f t="shared" si="30"/>
        <v>0</v>
      </c>
      <c r="AX83" s="24">
        <f t="shared" si="17"/>
        <v>0</v>
      </c>
      <c r="AY83" s="24">
        <f t="shared" si="18"/>
        <v>0</v>
      </c>
      <c r="AZ83" s="24">
        <f t="shared" si="31"/>
        <v>0</v>
      </c>
      <c r="BA83">
        <f t="shared" si="32"/>
        <v>0</v>
      </c>
      <c r="BB83">
        <f t="shared" si="19"/>
        <v>0</v>
      </c>
      <c r="BC83" s="24">
        <f t="shared" si="20"/>
        <v>0</v>
      </c>
      <c r="BD83">
        <f t="shared" si="33"/>
        <v>0</v>
      </c>
    </row>
    <row r="84" spans="1:56" x14ac:dyDescent="0.3">
      <c r="A84">
        <f>'Entrada datos'!A84</f>
        <v>0</v>
      </c>
      <c r="B84">
        <f>'Entrada datos'!B84</f>
        <v>0</v>
      </c>
      <c r="C84">
        <f>'Entrada datos'!C84</f>
        <v>0</v>
      </c>
      <c r="D84">
        <f>'Entrada datos'!D84</f>
        <v>0</v>
      </c>
      <c r="E84" s="18">
        <f>'Entrada datos'!G84</f>
        <v>0</v>
      </c>
      <c r="F84" s="18">
        <f>'Entrada datos'!H84</f>
        <v>0</v>
      </c>
      <c r="G84">
        <f>'Entrada datos'!J84</f>
        <v>0</v>
      </c>
      <c r="H84">
        <f>'Entrada datos'!L84</f>
        <v>0</v>
      </c>
      <c r="I84">
        <f>'Entrada datos'!O84</f>
        <v>0</v>
      </c>
      <c r="J84">
        <f>'Entrada datos'!P84</f>
        <v>0</v>
      </c>
      <c r="K84">
        <f>'Entrada datos'!Q84</f>
        <v>0</v>
      </c>
      <c r="L84">
        <f>'Entrada datos'!R84</f>
        <v>0</v>
      </c>
      <c r="M84">
        <f>'Entrada datos'!S84</f>
        <v>0</v>
      </c>
      <c r="N84">
        <f>'Entrada datos'!T84</f>
        <v>0</v>
      </c>
      <c r="O84">
        <f>'Entrada datos'!U84</f>
        <v>0</v>
      </c>
      <c r="P84" s="17">
        <f t="shared" si="21"/>
        <v>0</v>
      </c>
      <c r="Q84">
        <f>'Entrada datos'!V84</f>
        <v>0</v>
      </c>
      <c r="R84">
        <f>'Entrada datos'!W84</f>
        <v>0</v>
      </c>
      <c r="S84">
        <f>'Entrada datos'!X84</f>
        <v>0</v>
      </c>
      <c r="T84">
        <f>'Entrada datos'!Y84</f>
        <v>0</v>
      </c>
      <c r="U84">
        <f>'Entrada datos'!Z84</f>
        <v>0</v>
      </c>
      <c r="V84">
        <f>'Entrada datos'!AA84</f>
        <v>0</v>
      </c>
      <c r="W84" s="17">
        <f t="shared" si="22"/>
        <v>0</v>
      </c>
      <c r="X84">
        <f>'Entrada datos'!AB84</f>
        <v>0</v>
      </c>
      <c r="Y84">
        <f>'Entrada datos'!AC84</f>
        <v>0</v>
      </c>
      <c r="Z84">
        <f>'Entrada datos'!AD84</f>
        <v>0</v>
      </c>
      <c r="AA84">
        <f>'Entrada datos'!AE84</f>
        <v>0</v>
      </c>
      <c r="AB84">
        <f>'Entrada datos'!AF84</f>
        <v>0</v>
      </c>
      <c r="AC84">
        <f>'Entrada datos'!AG84</f>
        <v>0</v>
      </c>
      <c r="AD84" s="17">
        <f t="shared" si="23"/>
        <v>0</v>
      </c>
      <c r="AE84">
        <f>'Entrada datos'!AH84</f>
        <v>0</v>
      </c>
      <c r="AF84">
        <f>'Entrada datos'!AI84</f>
        <v>0</v>
      </c>
      <c r="AG84">
        <f>'Entrada datos'!AJ84</f>
        <v>0</v>
      </c>
      <c r="AH84">
        <f>'Entrada datos'!AK84</f>
        <v>0</v>
      </c>
      <c r="AI84">
        <f>'Entrada datos'!AL84</f>
        <v>0</v>
      </c>
      <c r="AJ84">
        <f>'Entrada datos'!AM84</f>
        <v>0</v>
      </c>
      <c r="AK84" s="17">
        <f t="shared" si="24"/>
        <v>0</v>
      </c>
      <c r="AL84">
        <f>'Entrada datos'!AN84</f>
        <v>0</v>
      </c>
      <c r="AM84">
        <f>'Entrada datos'!AO84</f>
        <v>0</v>
      </c>
      <c r="AN84">
        <f>'Entrada datos'!AP84</f>
        <v>0</v>
      </c>
      <c r="AO84">
        <f>'Entrada datos'!AQ84</f>
        <v>0</v>
      </c>
      <c r="AP84">
        <f>'Entrada datos'!AR84</f>
        <v>0</v>
      </c>
      <c r="AQ84">
        <f>'Entrada datos'!AS84</f>
        <v>0</v>
      </c>
      <c r="AR84" s="17">
        <f t="shared" si="25"/>
        <v>0</v>
      </c>
      <c r="AS84" s="23">
        <f t="shared" si="26"/>
        <v>0</v>
      </c>
      <c r="AT84">
        <f t="shared" si="27"/>
        <v>1900</v>
      </c>
      <c r="AU84" s="41" t="str">
        <f t="shared" si="28"/>
        <v>enero</v>
      </c>
      <c r="AV84">
        <f t="shared" si="29"/>
        <v>0</v>
      </c>
      <c r="AW84">
        <f t="shared" si="30"/>
        <v>0</v>
      </c>
      <c r="AX84" s="24">
        <f t="shared" si="17"/>
        <v>0</v>
      </c>
      <c r="AY84" s="24">
        <f t="shared" si="18"/>
        <v>0</v>
      </c>
      <c r="AZ84" s="24">
        <f t="shared" si="31"/>
        <v>0</v>
      </c>
      <c r="BA84">
        <f t="shared" si="32"/>
        <v>0</v>
      </c>
      <c r="BB84">
        <f t="shared" si="19"/>
        <v>0</v>
      </c>
      <c r="BC84" s="24">
        <f t="shared" si="20"/>
        <v>0</v>
      </c>
      <c r="BD84">
        <f t="shared" si="33"/>
        <v>0</v>
      </c>
    </row>
    <row r="85" spans="1:56" x14ac:dyDescent="0.3">
      <c r="A85">
        <f>'Entrada datos'!A85</f>
        <v>0</v>
      </c>
      <c r="B85">
        <f>'Entrada datos'!B85</f>
        <v>0</v>
      </c>
      <c r="C85">
        <f>'Entrada datos'!C85</f>
        <v>0</v>
      </c>
      <c r="D85">
        <f>'Entrada datos'!D85</f>
        <v>0</v>
      </c>
      <c r="E85" s="18">
        <f>'Entrada datos'!G85</f>
        <v>0</v>
      </c>
      <c r="F85" s="18">
        <f>'Entrada datos'!H85</f>
        <v>0</v>
      </c>
      <c r="G85">
        <f>'Entrada datos'!J85</f>
        <v>0</v>
      </c>
      <c r="H85">
        <f>'Entrada datos'!L85</f>
        <v>0</v>
      </c>
      <c r="I85">
        <f>'Entrada datos'!O85</f>
        <v>0</v>
      </c>
      <c r="J85">
        <f>'Entrada datos'!P85</f>
        <v>0</v>
      </c>
      <c r="K85">
        <f>'Entrada datos'!Q85</f>
        <v>0</v>
      </c>
      <c r="L85">
        <f>'Entrada datos'!R85</f>
        <v>0</v>
      </c>
      <c r="M85">
        <f>'Entrada datos'!S85</f>
        <v>0</v>
      </c>
      <c r="N85">
        <f>'Entrada datos'!T85</f>
        <v>0</v>
      </c>
      <c r="O85">
        <f>'Entrada datos'!U85</f>
        <v>0</v>
      </c>
      <c r="P85" s="17">
        <f t="shared" si="21"/>
        <v>0</v>
      </c>
      <c r="Q85">
        <f>'Entrada datos'!V85</f>
        <v>0</v>
      </c>
      <c r="R85">
        <f>'Entrada datos'!W85</f>
        <v>0</v>
      </c>
      <c r="S85">
        <f>'Entrada datos'!X85</f>
        <v>0</v>
      </c>
      <c r="T85">
        <f>'Entrada datos'!Y85</f>
        <v>0</v>
      </c>
      <c r="U85">
        <f>'Entrada datos'!Z85</f>
        <v>0</v>
      </c>
      <c r="V85">
        <f>'Entrada datos'!AA85</f>
        <v>0</v>
      </c>
      <c r="W85" s="17">
        <f t="shared" si="22"/>
        <v>0</v>
      </c>
      <c r="X85">
        <f>'Entrada datos'!AB85</f>
        <v>0</v>
      </c>
      <c r="Y85">
        <f>'Entrada datos'!AC85</f>
        <v>0</v>
      </c>
      <c r="Z85">
        <f>'Entrada datos'!AD85</f>
        <v>0</v>
      </c>
      <c r="AA85">
        <f>'Entrada datos'!AE85</f>
        <v>0</v>
      </c>
      <c r="AB85">
        <f>'Entrada datos'!AF85</f>
        <v>0</v>
      </c>
      <c r="AC85">
        <f>'Entrada datos'!AG85</f>
        <v>0</v>
      </c>
      <c r="AD85" s="17">
        <f t="shared" si="23"/>
        <v>0</v>
      </c>
      <c r="AE85">
        <f>'Entrada datos'!AH85</f>
        <v>0</v>
      </c>
      <c r="AF85">
        <f>'Entrada datos'!AI85</f>
        <v>0</v>
      </c>
      <c r="AG85">
        <f>'Entrada datos'!AJ85</f>
        <v>0</v>
      </c>
      <c r="AH85">
        <f>'Entrada datos'!AK85</f>
        <v>0</v>
      </c>
      <c r="AI85">
        <f>'Entrada datos'!AL85</f>
        <v>0</v>
      </c>
      <c r="AJ85">
        <f>'Entrada datos'!AM85</f>
        <v>0</v>
      </c>
      <c r="AK85" s="17">
        <f t="shared" si="24"/>
        <v>0</v>
      </c>
      <c r="AL85">
        <f>'Entrada datos'!AN85</f>
        <v>0</v>
      </c>
      <c r="AM85">
        <f>'Entrada datos'!AO85</f>
        <v>0</v>
      </c>
      <c r="AN85">
        <f>'Entrada datos'!AP85</f>
        <v>0</v>
      </c>
      <c r="AO85">
        <f>'Entrada datos'!AQ85</f>
        <v>0</v>
      </c>
      <c r="AP85">
        <f>'Entrada datos'!AR85</f>
        <v>0</v>
      </c>
      <c r="AQ85">
        <f>'Entrada datos'!AS85</f>
        <v>0</v>
      </c>
      <c r="AR85" s="17">
        <f t="shared" si="25"/>
        <v>0</v>
      </c>
      <c r="AS85" s="23">
        <f t="shared" si="26"/>
        <v>0</v>
      </c>
      <c r="AT85">
        <f t="shared" si="27"/>
        <v>1900</v>
      </c>
      <c r="AU85" s="41" t="str">
        <f t="shared" si="28"/>
        <v>enero</v>
      </c>
      <c r="AV85">
        <f t="shared" si="29"/>
        <v>0</v>
      </c>
      <c r="AW85">
        <f t="shared" si="30"/>
        <v>0</v>
      </c>
      <c r="AX85" s="24">
        <f t="shared" si="17"/>
        <v>0</v>
      </c>
      <c r="AY85" s="24">
        <f t="shared" si="18"/>
        <v>0</v>
      </c>
      <c r="AZ85" s="24">
        <f t="shared" si="31"/>
        <v>0</v>
      </c>
      <c r="BA85">
        <f t="shared" si="32"/>
        <v>0</v>
      </c>
      <c r="BB85">
        <f t="shared" si="19"/>
        <v>0</v>
      </c>
      <c r="BC85" s="24">
        <f t="shared" si="20"/>
        <v>0</v>
      </c>
      <c r="BD85">
        <f t="shared" si="33"/>
        <v>0</v>
      </c>
    </row>
    <row r="86" spans="1:56" x14ac:dyDescent="0.3">
      <c r="A86">
        <f>'Entrada datos'!A86</f>
        <v>0</v>
      </c>
      <c r="B86">
        <f>'Entrada datos'!B86</f>
        <v>0</v>
      </c>
      <c r="C86">
        <f>'Entrada datos'!C86</f>
        <v>0</v>
      </c>
      <c r="D86">
        <f>'Entrada datos'!D86</f>
        <v>0</v>
      </c>
      <c r="E86" s="18">
        <f>'Entrada datos'!G86</f>
        <v>0</v>
      </c>
      <c r="F86" s="18">
        <f>'Entrada datos'!H86</f>
        <v>0</v>
      </c>
      <c r="G86">
        <f>'Entrada datos'!J86</f>
        <v>0</v>
      </c>
      <c r="H86">
        <f>'Entrada datos'!L86</f>
        <v>0</v>
      </c>
      <c r="I86">
        <f>'Entrada datos'!O86</f>
        <v>0</v>
      </c>
      <c r="J86">
        <f>'Entrada datos'!P86</f>
        <v>0</v>
      </c>
      <c r="K86">
        <f>'Entrada datos'!Q86</f>
        <v>0</v>
      </c>
      <c r="L86">
        <f>'Entrada datos'!R86</f>
        <v>0</v>
      </c>
      <c r="M86">
        <f>'Entrada datos'!S86</f>
        <v>0</v>
      </c>
      <c r="N86">
        <f>'Entrada datos'!T86</f>
        <v>0</v>
      </c>
      <c r="O86">
        <f>'Entrada datos'!U86</f>
        <v>0</v>
      </c>
      <c r="P86" s="17">
        <f t="shared" si="21"/>
        <v>0</v>
      </c>
      <c r="Q86">
        <f>'Entrada datos'!V86</f>
        <v>0</v>
      </c>
      <c r="R86">
        <f>'Entrada datos'!W86</f>
        <v>0</v>
      </c>
      <c r="S86">
        <f>'Entrada datos'!X86</f>
        <v>0</v>
      </c>
      <c r="T86">
        <f>'Entrada datos'!Y86</f>
        <v>0</v>
      </c>
      <c r="U86">
        <f>'Entrada datos'!Z86</f>
        <v>0</v>
      </c>
      <c r="V86">
        <f>'Entrada datos'!AA86</f>
        <v>0</v>
      </c>
      <c r="W86" s="17">
        <f t="shared" si="22"/>
        <v>0</v>
      </c>
      <c r="X86">
        <f>'Entrada datos'!AB86</f>
        <v>0</v>
      </c>
      <c r="Y86">
        <f>'Entrada datos'!AC86</f>
        <v>0</v>
      </c>
      <c r="Z86">
        <f>'Entrada datos'!AD86</f>
        <v>0</v>
      </c>
      <c r="AA86">
        <f>'Entrada datos'!AE86</f>
        <v>0</v>
      </c>
      <c r="AB86">
        <f>'Entrada datos'!AF86</f>
        <v>0</v>
      </c>
      <c r="AC86">
        <f>'Entrada datos'!AG86</f>
        <v>0</v>
      </c>
      <c r="AD86" s="17">
        <f t="shared" si="23"/>
        <v>0</v>
      </c>
      <c r="AE86">
        <f>'Entrada datos'!AH86</f>
        <v>0</v>
      </c>
      <c r="AF86">
        <f>'Entrada datos'!AI86</f>
        <v>0</v>
      </c>
      <c r="AG86">
        <f>'Entrada datos'!AJ86</f>
        <v>0</v>
      </c>
      <c r="AH86">
        <f>'Entrada datos'!AK86</f>
        <v>0</v>
      </c>
      <c r="AI86">
        <f>'Entrada datos'!AL86</f>
        <v>0</v>
      </c>
      <c r="AJ86">
        <f>'Entrada datos'!AM86</f>
        <v>0</v>
      </c>
      <c r="AK86" s="17">
        <f t="shared" si="24"/>
        <v>0</v>
      </c>
      <c r="AL86">
        <f>'Entrada datos'!AN86</f>
        <v>0</v>
      </c>
      <c r="AM86">
        <f>'Entrada datos'!AO86</f>
        <v>0</v>
      </c>
      <c r="AN86">
        <f>'Entrada datos'!AP86</f>
        <v>0</v>
      </c>
      <c r="AO86">
        <f>'Entrada datos'!AQ86</f>
        <v>0</v>
      </c>
      <c r="AP86">
        <f>'Entrada datos'!AR86</f>
        <v>0</v>
      </c>
      <c r="AQ86">
        <f>'Entrada datos'!AS86</f>
        <v>0</v>
      </c>
      <c r="AR86" s="17">
        <f t="shared" si="25"/>
        <v>0</v>
      </c>
      <c r="AS86" s="23">
        <f t="shared" si="26"/>
        <v>0</v>
      </c>
      <c r="AT86">
        <f t="shared" si="27"/>
        <v>1900</v>
      </c>
      <c r="AU86" s="41" t="str">
        <f t="shared" si="28"/>
        <v>enero</v>
      </c>
      <c r="AV86">
        <f t="shared" si="29"/>
        <v>0</v>
      </c>
      <c r="AW86">
        <f t="shared" si="30"/>
        <v>0</v>
      </c>
      <c r="AX86" s="24">
        <f t="shared" si="17"/>
        <v>0</v>
      </c>
      <c r="AY86" s="24">
        <f t="shared" si="18"/>
        <v>0</v>
      </c>
      <c r="AZ86" s="24">
        <f t="shared" si="31"/>
        <v>0</v>
      </c>
      <c r="BA86">
        <f t="shared" si="32"/>
        <v>0</v>
      </c>
      <c r="BB86">
        <f t="shared" si="19"/>
        <v>0</v>
      </c>
      <c r="BC86" s="24">
        <f t="shared" si="20"/>
        <v>0</v>
      </c>
      <c r="BD86">
        <f t="shared" si="33"/>
        <v>0</v>
      </c>
    </row>
    <row r="87" spans="1:56" x14ac:dyDescent="0.3">
      <c r="A87">
        <f>'Entrada datos'!A87</f>
        <v>0</v>
      </c>
      <c r="B87">
        <f>'Entrada datos'!B87</f>
        <v>0</v>
      </c>
      <c r="C87">
        <f>'Entrada datos'!C87</f>
        <v>0</v>
      </c>
      <c r="D87">
        <f>'Entrada datos'!D87</f>
        <v>0</v>
      </c>
      <c r="E87" s="18">
        <f>'Entrada datos'!G87</f>
        <v>0</v>
      </c>
      <c r="F87" s="18">
        <f>'Entrada datos'!H87</f>
        <v>0</v>
      </c>
      <c r="G87">
        <f>'Entrada datos'!J87</f>
        <v>0</v>
      </c>
      <c r="H87">
        <f>'Entrada datos'!L87</f>
        <v>0</v>
      </c>
      <c r="I87">
        <f>'Entrada datos'!O87</f>
        <v>0</v>
      </c>
      <c r="J87">
        <f>'Entrada datos'!P87</f>
        <v>0</v>
      </c>
      <c r="K87">
        <f>'Entrada datos'!Q87</f>
        <v>0</v>
      </c>
      <c r="L87">
        <f>'Entrada datos'!R87</f>
        <v>0</v>
      </c>
      <c r="M87">
        <f>'Entrada datos'!S87</f>
        <v>0</v>
      </c>
      <c r="N87">
        <f>'Entrada datos'!T87</f>
        <v>0</v>
      </c>
      <c r="O87">
        <f>'Entrada datos'!U87</f>
        <v>0</v>
      </c>
      <c r="P87" s="17">
        <f t="shared" si="21"/>
        <v>0</v>
      </c>
      <c r="Q87">
        <f>'Entrada datos'!V87</f>
        <v>0</v>
      </c>
      <c r="R87">
        <f>'Entrada datos'!W87</f>
        <v>0</v>
      </c>
      <c r="S87">
        <f>'Entrada datos'!X87</f>
        <v>0</v>
      </c>
      <c r="T87">
        <f>'Entrada datos'!Y87</f>
        <v>0</v>
      </c>
      <c r="U87">
        <f>'Entrada datos'!Z87</f>
        <v>0</v>
      </c>
      <c r="V87">
        <f>'Entrada datos'!AA87</f>
        <v>0</v>
      </c>
      <c r="W87" s="17">
        <f t="shared" si="22"/>
        <v>0</v>
      </c>
      <c r="X87">
        <f>'Entrada datos'!AB87</f>
        <v>0</v>
      </c>
      <c r="Y87">
        <f>'Entrada datos'!AC87</f>
        <v>0</v>
      </c>
      <c r="Z87">
        <f>'Entrada datos'!AD87</f>
        <v>0</v>
      </c>
      <c r="AA87">
        <f>'Entrada datos'!AE87</f>
        <v>0</v>
      </c>
      <c r="AB87">
        <f>'Entrada datos'!AF87</f>
        <v>0</v>
      </c>
      <c r="AC87">
        <f>'Entrada datos'!AG87</f>
        <v>0</v>
      </c>
      <c r="AD87" s="17">
        <f t="shared" si="23"/>
        <v>0</v>
      </c>
      <c r="AE87">
        <f>'Entrada datos'!AH87</f>
        <v>0</v>
      </c>
      <c r="AF87">
        <f>'Entrada datos'!AI87</f>
        <v>0</v>
      </c>
      <c r="AG87">
        <f>'Entrada datos'!AJ87</f>
        <v>0</v>
      </c>
      <c r="AH87">
        <f>'Entrada datos'!AK87</f>
        <v>0</v>
      </c>
      <c r="AI87">
        <f>'Entrada datos'!AL87</f>
        <v>0</v>
      </c>
      <c r="AJ87">
        <f>'Entrada datos'!AM87</f>
        <v>0</v>
      </c>
      <c r="AK87" s="17">
        <f t="shared" si="24"/>
        <v>0</v>
      </c>
      <c r="AL87">
        <f>'Entrada datos'!AN87</f>
        <v>0</v>
      </c>
      <c r="AM87">
        <f>'Entrada datos'!AO87</f>
        <v>0</v>
      </c>
      <c r="AN87">
        <f>'Entrada datos'!AP87</f>
        <v>0</v>
      </c>
      <c r="AO87">
        <f>'Entrada datos'!AQ87</f>
        <v>0</v>
      </c>
      <c r="AP87">
        <f>'Entrada datos'!AR87</f>
        <v>0</v>
      </c>
      <c r="AQ87">
        <f>'Entrada datos'!AS87</f>
        <v>0</v>
      </c>
      <c r="AR87" s="17">
        <f t="shared" si="25"/>
        <v>0</v>
      </c>
      <c r="AS87" s="23">
        <f t="shared" si="26"/>
        <v>0</v>
      </c>
      <c r="AT87">
        <f t="shared" si="27"/>
        <v>1900</v>
      </c>
      <c r="AU87" s="41" t="str">
        <f t="shared" si="28"/>
        <v>enero</v>
      </c>
      <c r="AV87">
        <f t="shared" si="29"/>
        <v>0</v>
      </c>
      <c r="AW87">
        <f t="shared" si="30"/>
        <v>0</v>
      </c>
      <c r="AX87" s="24">
        <f t="shared" si="17"/>
        <v>0</v>
      </c>
      <c r="AY87" s="24">
        <f t="shared" si="18"/>
        <v>0</v>
      </c>
      <c r="AZ87" s="24">
        <f t="shared" si="31"/>
        <v>0</v>
      </c>
      <c r="BA87">
        <f t="shared" si="32"/>
        <v>0</v>
      </c>
      <c r="BB87">
        <f t="shared" si="19"/>
        <v>0</v>
      </c>
      <c r="BC87" s="24">
        <f t="shared" si="20"/>
        <v>0</v>
      </c>
      <c r="BD87">
        <f t="shared" si="33"/>
        <v>0</v>
      </c>
    </row>
    <row r="88" spans="1:56" x14ac:dyDescent="0.3">
      <c r="A88">
        <f>'Entrada datos'!A88</f>
        <v>0</v>
      </c>
      <c r="B88">
        <f>'Entrada datos'!B88</f>
        <v>0</v>
      </c>
      <c r="C88">
        <f>'Entrada datos'!C88</f>
        <v>0</v>
      </c>
      <c r="D88">
        <f>'Entrada datos'!D88</f>
        <v>0</v>
      </c>
      <c r="E88" s="18">
        <f>'Entrada datos'!G88</f>
        <v>0</v>
      </c>
      <c r="F88" s="18">
        <f>'Entrada datos'!H88</f>
        <v>0</v>
      </c>
      <c r="G88">
        <f>'Entrada datos'!J88</f>
        <v>0</v>
      </c>
      <c r="H88">
        <f>'Entrada datos'!L88</f>
        <v>0</v>
      </c>
      <c r="I88">
        <f>'Entrada datos'!O88</f>
        <v>0</v>
      </c>
      <c r="J88">
        <f>'Entrada datos'!P88</f>
        <v>0</v>
      </c>
      <c r="K88">
        <f>'Entrada datos'!Q88</f>
        <v>0</v>
      </c>
      <c r="L88">
        <f>'Entrada datos'!R88</f>
        <v>0</v>
      </c>
      <c r="M88">
        <f>'Entrada datos'!S88</f>
        <v>0</v>
      </c>
      <c r="N88">
        <f>'Entrada datos'!T88</f>
        <v>0</v>
      </c>
      <c r="O88">
        <f>'Entrada datos'!U88</f>
        <v>0</v>
      </c>
      <c r="P88" s="17">
        <f t="shared" si="21"/>
        <v>0</v>
      </c>
      <c r="Q88">
        <f>'Entrada datos'!V88</f>
        <v>0</v>
      </c>
      <c r="R88">
        <f>'Entrada datos'!W88</f>
        <v>0</v>
      </c>
      <c r="S88">
        <f>'Entrada datos'!X88</f>
        <v>0</v>
      </c>
      <c r="T88">
        <f>'Entrada datos'!Y88</f>
        <v>0</v>
      </c>
      <c r="U88">
        <f>'Entrada datos'!Z88</f>
        <v>0</v>
      </c>
      <c r="V88">
        <f>'Entrada datos'!AA88</f>
        <v>0</v>
      </c>
      <c r="W88" s="17">
        <f t="shared" si="22"/>
        <v>0</v>
      </c>
      <c r="X88">
        <f>'Entrada datos'!AB88</f>
        <v>0</v>
      </c>
      <c r="Y88">
        <f>'Entrada datos'!AC88</f>
        <v>0</v>
      </c>
      <c r="Z88">
        <f>'Entrada datos'!AD88</f>
        <v>0</v>
      </c>
      <c r="AA88">
        <f>'Entrada datos'!AE88</f>
        <v>0</v>
      </c>
      <c r="AB88">
        <f>'Entrada datos'!AF88</f>
        <v>0</v>
      </c>
      <c r="AC88">
        <f>'Entrada datos'!AG88</f>
        <v>0</v>
      </c>
      <c r="AD88" s="17">
        <f t="shared" si="23"/>
        <v>0</v>
      </c>
      <c r="AE88">
        <f>'Entrada datos'!AH88</f>
        <v>0</v>
      </c>
      <c r="AF88">
        <f>'Entrada datos'!AI88</f>
        <v>0</v>
      </c>
      <c r="AG88">
        <f>'Entrada datos'!AJ88</f>
        <v>0</v>
      </c>
      <c r="AH88">
        <f>'Entrada datos'!AK88</f>
        <v>0</v>
      </c>
      <c r="AI88">
        <f>'Entrada datos'!AL88</f>
        <v>0</v>
      </c>
      <c r="AJ88">
        <f>'Entrada datos'!AM88</f>
        <v>0</v>
      </c>
      <c r="AK88" s="17">
        <f t="shared" si="24"/>
        <v>0</v>
      </c>
      <c r="AL88">
        <f>'Entrada datos'!AN88</f>
        <v>0</v>
      </c>
      <c r="AM88">
        <f>'Entrada datos'!AO88</f>
        <v>0</v>
      </c>
      <c r="AN88">
        <f>'Entrada datos'!AP88</f>
        <v>0</v>
      </c>
      <c r="AO88">
        <f>'Entrada datos'!AQ88</f>
        <v>0</v>
      </c>
      <c r="AP88">
        <f>'Entrada datos'!AR88</f>
        <v>0</v>
      </c>
      <c r="AQ88">
        <f>'Entrada datos'!AS88</f>
        <v>0</v>
      </c>
      <c r="AR88" s="17">
        <f t="shared" si="25"/>
        <v>0</v>
      </c>
      <c r="AS88" s="23">
        <f t="shared" si="26"/>
        <v>0</v>
      </c>
      <c r="AT88">
        <f t="shared" si="27"/>
        <v>1900</v>
      </c>
      <c r="AU88" s="41" t="str">
        <f t="shared" si="28"/>
        <v>enero</v>
      </c>
      <c r="AV88">
        <f t="shared" si="29"/>
        <v>0</v>
      </c>
      <c r="AW88">
        <f t="shared" si="30"/>
        <v>0</v>
      </c>
      <c r="AX88" s="24">
        <f t="shared" si="17"/>
        <v>0</v>
      </c>
      <c r="AY88" s="24">
        <f t="shared" si="18"/>
        <v>0</v>
      </c>
      <c r="AZ88" s="24">
        <f t="shared" si="31"/>
        <v>0</v>
      </c>
      <c r="BA88">
        <f t="shared" si="32"/>
        <v>0</v>
      </c>
      <c r="BB88">
        <f t="shared" si="19"/>
        <v>0</v>
      </c>
      <c r="BC88" s="24">
        <f t="shared" si="20"/>
        <v>0</v>
      </c>
      <c r="BD88">
        <f t="shared" si="33"/>
        <v>0</v>
      </c>
    </row>
    <row r="89" spans="1:56" x14ac:dyDescent="0.3">
      <c r="A89">
        <f>'Entrada datos'!A89</f>
        <v>0</v>
      </c>
      <c r="B89">
        <f>'Entrada datos'!B89</f>
        <v>0</v>
      </c>
      <c r="C89">
        <f>'Entrada datos'!C89</f>
        <v>0</v>
      </c>
      <c r="D89">
        <f>'Entrada datos'!D89</f>
        <v>0</v>
      </c>
      <c r="E89" s="18">
        <f>'Entrada datos'!G89</f>
        <v>0</v>
      </c>
      <c r="F89" s="18">
        <f>'Entrada datos'!H89</f>
        <v>0</v>
      </c>
      <c r="G89">
        <f>'Entrada datos'!J89</f>
        <v>0</v>
      </c>
      <c r="H89">
        <f>'Entrada datos'!L89</f>
        <v>0</v>
      </c>
      <c r="I89">
        <f>'Entrada datos'!O89</f>
        <v>0</v>
      </c>
      <c r="J89">
        <f>'Entrada datos'!P89</f>
        <v>0</v>
      </c>
      <c r="K89">
        <f>'Entrada datos'!Q89</f>
        <v>0</v>
      </c>
      <c r="L89">
        <f>'Entrada datos'!R89</f>
        <v>0</v>
      </c>
      <c r="M89">
        <f>'Entrada datos'!S89</f>
        <v>0</v>
      </c>
      <c r="N89">
        <f>'Entrada datos'!T89</f>
        <v>0</v>
      </c>
      <c r="O89">
        <f>'Entrada datos'!U89</f>
        <v>0</v>
      </c>
      <c r="P89" s="17">
        <f t="shared" si="21"/>
        <v>0</v>
      </c>
      <c r="Q89">
        <f>'Entrada datos'!V89</f>
        <v>0</v>
      </c>
      <c r="R89">
        <f>'Entrada datos'!W89</f>
        <v>0</v>
      </c>
      <c r="S89">
        <f>'Entrada datos'!X89</f>
        <v>0</v>
      </c>
      <c r="T89">
        <f>'Entrada datos'!Y89</f>
        <v>0</v>
      </c>
      <c r="U89">
        <f>'Entrada datos'!Z89</f>
        <v>0</v>
      </c>
      <c r="V89">
        <f>'Entrada datos'!AA89</f>
        <v>0</v>
      </c>
      <c r="W89" s="17">
        <f t="shared" si="22"/>
        <v>0</v>
      </c>
      <c r="X89">
        <f>'Entrada datos'!AB89</f>
        <v>0</v>
      </c>
      <c r="Y89">
        <f>'Entrada datos'!AC89</f>
        <v>0</v>
      </c>
      <c r="Z89">
        <f>'Entrada datos'!AD89</f>
        <v>0</v>
      </c>
      <c r="AA89">
        <f>'Entrada datos'!AE89</f>
        <v>0</v>
      </c>
      <c r="AB89">
        <f>'Entrada datos'!AF89</f>
        <v>0</v>
      </c>
      <c r="AC89">
        <f>'Entrada datos'!AG89</f>
        <v>0</v>
      </c>
      <c r="AD89" s="17">
        <f t="shared" si="23"/>
        <v>0</v>
      </c>
      <c r="AE89">
        <f>'Entrada datos'!AH89</f>
        <v>0</v>
      </c>
      <c r="AF89">
        <f>'Entrada datos'!AI89</f>
        <v>0</v>
      </c>
      <c r="AG89">
        <f>'Entrada datos'!AJ89</f>
        <v>0</v>
      </c>
      <c r="AH89">
        <f>'Entrada datos'!AK89</f>
        <v>0</v>
      </c>
      <c r="AI89">
        <f>'Entrada datos'!AL89</f>
        <v>0</v>
      </c>
      <c r="AJ89">
        <f>'Entrada datos'!AM89</f>
        <v>0</v>
      </c>
      <c r="AK89" s="17">
        <f t="shared" si="24"/>
        <v>0</v>
      </c>
      <c r="AL89">
        <f>'Entrada datos'!AN89</f>
        <v>0</v>
      </c>
      <c r="AM89">
        <f>'Entrada datos'!AO89</f>
        <v>0</v>
      </c>
      <c r="AN89">
        <f>'Entrada datos'!AP89</f>
        <v>0</v>
      </c>
      <c r="AO89">
        <f>'Entrada datos'!AQ89</f>
        <v>0</v>
      </c>
      <c r="AP89">
        <f>'Entrada datos'!AR89</f>
        <v>0</v>
      </c>
      <c r="AQ89">
        <f>'Entrada datos'!AS89</f>
        <v>0</v>
      </c>
      <c r="AR89" s="17">
        <f t="shared" si="25"/>
        <v>0</v>
      </c>
      <c r="AS89" s="23">
        <f t="shared" si="26"/>
        <v>0</v>
      </c>
      <c r="AT89">
        <f t="shared" si="27"/>
        <v>1900</v>
      </c>
      <c r="AU89" s="41" t="str">
        <f t="shared" si="28"/>
        <v>enero</v>
      </c>
      <c r="AV89">
        <f t="shared" si="29"/>
        <v>0</v>
      </c>
      <c r="AW89">
        <f t="shared" si="30"/>
        <v>0</v>
      </c>
      <c r="AX89" s="24">
        <f t="shared" si="17"/>
        <v>0</v>
      </c>
      <c r="AY89" s="24">
        <f t="shared" si="18"/>
        <v>0</v>
      </c>
      <c r="AZ89" s="24">
        <f t="shared" si="31"/>
        <v>0</v>
      </c>
      <c r="BA89">
        <f t="shared" si="32"/>
        <v>0</v>
      </c>
      <c r="BB89">
        <f t="shared" si="19"/>
        <v>0</v>
      </c>
      <c r="BC89" s="24">
        <f t="shared" si="20"/>
        <v>0</v>
      </c>
      <c r="BD89">
        <f t="shared" si="33"/>
        <v>0</v>
      </c>
    </row>
    <row r="90" spans="1:56" x14ac:dyDescent="0.3">
      <c r="A90">
        <f>'Entrada datos'!A90</f>
        <v>0</v>
      </c>
      <c r="B90">
        <f>'Entrada datos'!B90</f>
        <v>0</v>
      </c>
      <c r="C90">
        <f>'Entrada datos'!C90</f>
        <v>0</v>
      </c>
      <c r="D90">
        <f>'Entrada datos'!D90</f>
        <v>0</v>
      </c>
      <c r="E90" s="18">
        <f>'Entrada datos'!G90</f>
        <v>0</v>
      </c>
      <c r="F90" s="18">
        <f>'Entrada datos'!H90</f>
        <v>0</v>
      </c>
      <c r="G90">
        <f>'Entrada datos'!J90</f>
        <v>0</v>
      </c>
      <c r="H90">
        <f>'Entrada datos'!L90</f>
        <v>0</v>
      </c>
      <c r="I90">
        <f>'Entrada datos'!O90</f>
        <v>0</v>
      </c>
      <c r="J90">
        <f>'Entrada datos'!P90</f>
        <v>0</v>
      </c>
      <c r="K90">
        <f>'Entrada datos'!Q90</f>
        <v>0</v>
      </c>
      <c r="L90">
        <f>'Entrada datos'!R90</f>
        <v>0</v>
      </c>
      <c r="M90">
        <f>'Entrada datos'!S90</f>
        <v>0</v>
      </c>
      <c r="N90">
        <f>'Entrada datos'!T90</f>
        <v>0</v>
      </c>
      <c r="O90">
        <f>'Entrada datos'!U90</f>
        <v>0</v>
      </c>
      <c r="P90" s="17">
        <f t="shared" si="21"/>
        <v>0</v>
      </c>
      <c r="Q90">
        <f>'Entrada datos'!V90</f>
        <v>0</v>
      </c>
      <c r="R90">
        <f>'Entrada datos'!W90</f>
        <v>0</v>
      </c>
      <c r="S90">
        <f>'Entrada datos'!X90</f>
        <v>0</v>
      </c>
      <c r="T90">
        <f>'Entrada datos'!Y90</f>
        <v>0</v>
      </c>
      <c r="U90">
        <f>'Entrada datos'!Z90</f>
        <v>0</v>
      </c>
      <c r="V90">
        <f>'Entrada datos'!AA90</f>
        <v>0</v>
      </c>
      <c r="W90" s="17">
        <f t="shared" si="22"/>
        <v>0</v>
      </c>
      <c r="X90">
        <f>'Entrada datos'!AB90</f>
        <v>0</v>
      </c>
      <c r="Y90">
        <f>'Entrada datos'!AC90</f>
        <v>0</v>
      </c>
      <c r="Z90">
        <f>'Entrada datos'!AD90</f>
        <v>0</v>
      </c>
      <c r="AA90">
        <f>'Entrada datos'!AE90</f>
        <v>0</v>
      </c>
      <c r="AB90">
        <f>'Entrada datos'!AF90</f>
        <v>0</v>
      </c>
      <c r="AC90">
        <f>'Entrada datos'!AG90</f>
        <v>0</v>
      </c>
      <c r="AD90" s="17">
        <f t="shared" si="23"/>
        <v>0</v>
      </c>
      <c r="AE90">
        <f>'Entrada datos'!AH90</f>
        <v>0</v>
      </c>
      <c r="AF90">
        <f>'Entrada datos'!AI90</f>
        <v>0</v>
      </c>
      <c r="AG90">
        <f>'Entrada datos'!AJ90</f>
        <v>0</v>
      </c>
      <c r="AH90">
        <f>'Entrada datos'!AK90</f>
        <v>0</v>
      </c>
      <c r="AI90">
        <f>'Entrada datos'!AL90</f>
        <v>0</v>
      </c>
      <c r="AJ90">
        <f>'Entrada datos'!AM90</f>
        <v>0</v>
      </c>
      <c r="AK90" s="17">
        <f t="shared" si="24"/>
        <v>0</v>
      </c>
      <c r="AL90">
        <f>'Entrada datos'!AN90</f>
        <v>0</v>
      </c>
      <c r="AM90">
        <f>'Entrada datos'!AO90</f>
        <v>0</v>
      </c>
      <c r="AN90">
        <f>'Entrada datos'!AP90</f>
        <v>0</v>
      </c>
      <c r="AO90">
        <f>'Entrada datos'!AQ90</f>
        <v>0</v>
      </c>
      <c r="AP90">
        <f>'Entrada datos'!AR90</f>
        <v>0</v>
      </c>
      <c r="AQ90">
        <f>'Entrada datos'!AS90</f>
        <v>0</v>
      </c>
      <c r="AR90" s="17">
        <f t="shared" si="25"/>
        <v>0</v>
      </c>
      <c r="AS90" s="23">
        <f t="shared" si="26"/>
        <v>0</v>
      </c>
      <c r="AT90">
        <f t="shared" si="27"/>
        <v>1900</v>
      </c>
      <c r="AU90" s="41" t="str">
        <f t="shared" si="28"/>
        <v>enero</v>
      </c>
      <c r="AV90">
        <f t="shared" si="29"/>
        <v>0</v>
      </c>
      <c r="AW90">
        <f t="shared" si="30"/>
        <v>0</v>
      </c>
      <c r="AX90" s="24">
        <f t="shared" si="17"/>
        <v>0</v>
      </c>
      <c r="AY90" s="24">
        <f t="shared" si="18"/>
        <v>0</v>
      </c>
      <c r="AZ90" s="24">
        <f t="shared" si="31"/>
        <v>0</v>
      </c>
      <c r="BA90">
        <f t="shared" si="32"/>
        <v>0</v>
      </c>
      <c r="BB90">
        <f t="shared" si="19"/>
        <v>0</v>
      </c>
      <c r="BC90" s="24">
        <f t="shared" si="20"/>
        <v>0</v>
      </c>
      <c r="BD90">
        <f t="shared" si="33"/>
        <v>0</v>
      </c>
    </row>
    <row r="91" spans="1:56" x14ac:dyDescent="0.3">
      <c r="A91">
        <f>'Entrada datos'!A91</f>
        <v>0</v>
      </c>
      <c r="B91">
        <f>'Entrada datos'!B91</f>
        <v>0</v>
      </c>
      <c r="C91">
        <f>'Entrada datos'!C91</f>
        <v>0</v>
      </c>
      <c r="D91">
        <f>'Entrada datos'!D91</f>
        <v>0</v>
      </c>
      <c r="E91" s="18">
        <f>'Entrada datos'!G91</f>
        <v>0</v>
      </c>
      <c r="F91" s="18">
        <f>'Entrada datos'!H91</f>
        <v>0</v>
      </c>
      <c r="G91">
        <f>'Entrada datos'!J91</f>
        <v>0</v>
      </c>
      <c r="H91">
        <f>'Entrada datos'!L91</f>
        <v>0</v>
      </c>
      <c r="I91">
        <f>'Entrada datos'!O91</f>
        <v>0</v>
      </c>
      <c r="J91">
        <f>'Entrada datos'!P91</f>
        <v>0</v>
      </c>
      <c r="K91">
        <f>'Entrada datos'!Q91</f>
        <v>0</v>
      </c>
      <c r="L91">
        <f>'Entrada datos'!R91</f>
        <v>0</v>
      </c>
      <c r="M91">
        <f>'Entrada datos'!S91</f>
        <v>0</v>
      </c>
      <c r="N91">
        <f>'Entrada datos'!T91</f>
        <v>0</v>
      </c>
      <c r="O91">
        <f>'Entrada datos'!U91</f>
        <v>0</v>
      </c>
      <c r="P91" s="17">
        <f t="shared" si="21"/>
        <v>0</v>
      </c>
      <c r="Q91">
        <f>'Entrada datos'!V91</f>
        <v>0</v>
      </c>
      <c r="R91">
        <f>'Entrada datos'!W91</f>
        <v>0</v>
      </c>
      <c r="S91">
        <f>'Entrada datos'!X91</f>
        <v>0</v>
      </c>
      <c r="T91">
        <f>'Entrada datos'!Y91</f>
        <v>0</v>
      </c>
      <c r="U91">
        <f>'Entrada datos'!Z91</f>
        <v>0</v>
      </c>
      <c r="V91">
        <f>'Entrada datos'!AA91</f>
        <v>0</v>
      </c>
      <c r="W91" s="17">
        <f t="shared" si="22"/>
        <v>0</v>
      </c>
      <c r="X91">
        <f>'Entrada datos'!AB91</f>
        <v>0</v>
      </c>
      <c r="Y91">
        <f>'Entrada datos'!AC91</f>
        <v>0</v>
      </c>
      <c r="Z91">
        <f>'Entrada datos'!AD91</f>
        <v>0</v>
      </c>
      <c r="AA91">
        <f>'Entrada datos'!AE91</f>
        <v>0</v>
      </c>
      <c r="AB91">
        <f>'Entrada datos'!AF91</f>
        <v>0</v>
      </c>
      <c r="AC91">
        <f>'Entrada datos'!AG91</f>
        <v>0</v>
      </c>
      <c r="AD91" s="17">
        <f t="shared" si="23"/>
        <v>0</v>
      </c>
      <c r="AE91">
        <f>'Entrada datos'!AH91</f>
        <v>0</v>
      </c>
      <c r="AF91">
        <f>'Entrada datos'!AI91</f>
        <v>0</v>
      </c>
      <c r="AG91">
        <f>'Entrada datos'!AJ91</f>
        <v>0</v>
      </c>
      <c r="AH91">
        <f>'Entrada datos'!AK91</f>
        <v>0</v>
      </c>
      <c r="AI91">
        <f>'Entrada datos'!AL91</f>
        <v>0</v>
      </c>
      <c r="AJ91">
        <f>'Entrada datos'!AM91</f>
        <v>0</v>
      </c>
      <c r="AK91" s="17">
        <f t="shared" si="24"/>
        <v>0</v>
      </c>
      <c r="AL91">
        <f>'Entrada datos'!AN91</f>
        <v>0</v>
      </c>
      <c r="AM91">
        <f>'Entrada datos'!AO91</f>
        <v>0</v>
      </c>
      <c r="AN91">
        <f>'Entrada datos'!AP91</f>
        <v>0</v>
      </c>
      <c r="AO91">
        <f>'Entrada datos'!AQ91</f>
        <v>0</v>
      </c>
      <c r="AP91">
        <f>'Entrada datos'!AR91</f>
        <v>0</v>
      </c>
      <c r="AQ91">
        <f>'Entrada datos'!AS91</f>
        <v>0</v>
      </c>
      <c r="AR91" s="17">
        <f t="shared" si="25"/>
        <v>0</v>
      </c>
      <c r="AS91" s="23">
        <f t="shared" si="26"/>
        <v>0</v>
      </c>
      <c r="AT91">
        <f t="shared" si="27"/>
        <v>1900</v>
      </c>
      <c r="AU91" s="41" t="str">
        <f t="shared" si="28"/>
        <v>enero</v>
      </c>
      <c r="AV91">
        <f t="shared" si="29"/>
        <v>0</v>
      </c>
      <c r="AW91">
        <f t="shared" si="30"/>
        <v>0</v>
      </c>
      <c r="AX91" s="24">
        <f t="shared" si="17"/>
        <v>0</v>
      </c>
      <c r="AY91" s="24">
        <f t="shared" si="18"/>
        <v>0</v>
      </c>
      <c r="AZ91" s="24">
        <f t="shared" si="31"/>
        <v>0</v>
      </c>
      <c r="BA91">
        <f t="shared" si="32"/>
        <v>0</v>
      </c>
      <c r="BB91">
        <f t="shared" si="19"/>
        <v>0</v>
      </c>
      <c r="BC91" s="24">
        <f t="shared" si="20"/>
        <v>0</v>
      </c>
      <c r="BD91">
        <f t="shared" si="33"/>
        <v>0</v>
      </c>
    </row>
    <row r="92" spans="1:56" x14ac:dyDescent="0.3">
      <c r="A92">
        <f>'Entrada datos'!A92</f>
        <v>0</v>
      </c>
      <c r="B92">
        <f>'Entrada datos'!B92</f>
        <v>0</v>
      </c>
      <c r="C92">
        <f>'Entrada datos'!C92</f>
        <v>0</v>
      </c>
      <c r="D92">
        <f>'Entrada datos'!D92</f>
        <v>0</v>
      </c>
      <c r="E92" s="18">
        <f>'Entrada datos'!G92</f>
        <v>0</v>
      </c>
      <c r="F92" s="18">
        <f>'Entrada datos'!H92</f>
        <v>0</v>
      </c>
      <c r="G92">
        <f>'Entrada datos'!J92</f>
        <v>0</v>
      </c>
      <c r="H92">
        <f>'Entrada datos'!L92</f>
        <v>0</v>
      </c>
      <c r="I92">
        <f>'Entrada datos'!O92</f>
        <v>0</v>
      </c>
      <c r="J92">
        <f>'Entrada datos'!P92</f>
        <v>0</v>
      </c>
      <c r="K92">
        <f>'Entrada datos'!Q92</f>
        <v>0</v>
      </c>
      <c r="L92">
        <f>'Entrada datos'!R92</f>
        <v>0</v>
      </c>
      <c r="M92">
        <f>'Entrada datos'!S92</f>
        <v>0</v>
      </c>
      <c r="N92">
        <f>'Entrada datos'!T92</f>
        <v>0</v>
      </c>
      <c r="O92">
        <f>'Entrada datos'!U92</f>
        <v>0</v>
      </c>
      <c r="P92" s="17">
        <f t="shared" si="21"/>
        <v>0</v>
      </c>
      <c r="Q92">
        <f>'Entrada datos'!V92</f>
        <v>0</v>
      </c>
      <c r="R92">
        <f>'Entrada datos'!W92</f>
        <v>0</v>
      </c>
      <c r="S92">
        <f>'Entrada datos'!X92</f>
        <v>0</v>
      </c>
      <c r="T92">
        <f>'Entrada datos'!Y92</f>
        <v>0</v>
      </c>
      <c r="U92">
        <f>'Entrada datos'!Z92</f>
        <v>0</v>
      </c>
      <c r="V92">
        <f>'Entrada datos'!AA92</f>
        <v>0</v>
      </c>
      <c r="W92" s="17">
        <f t="shared" si="22"/>
        <v>0</v>
      </c>
      <c r="X92">
        <f>'Entrada datos'!AB92</f>
        <v>0</v>
      </c>
      <c r="Y92">
        <f>'Entrada datos'!AC92</f>
        <v>0</v>
      </c>
      <c r="Z92">
        <f>'Entrada datos'!AD92</f>
        <v>0</v>
      </c>
      <c r="AA92">
        <f>'Entrada datos'!AE92</f>
        <v>0</v>
      </c>
      <c r="AB92">
        <f>'Entrada datos'!AF92</f>
        <v>0</v>
      </c>
      <c r="AC92">
        <f>'Entrada datos'!AG92</f>
        <v>0</v>
      </c>
      <c r="AD92" s="17">
        <f t="shared" si="23"/>
        <v>0</v>
      </c>
      <c r="AE92">
        <f>'Entrada datos'!AH92</f>
        <v>0</v>
      </c>
      <c r="AF92">
        <f>'Entrada datos'!AI92</f>
        <v>0</v>
      </c>
      <c r="AG92">
        <f>'Entrada datos'!AJ92</f>
        <v>0</v>
      </c>
      <c r="AH92">
        <f>'Entrada datos'!AK92</f>
        <v>0</v>
      </c>
      <c r="AI92">
        <f>'Entrada datos'!AL92</f>
        <v>0</v>
      </c>
      <c r="AJ92">
        <f>'Entrada datos'!AM92</f>
        <v>0</v>
      </c>
      <c r="AK92" s="17">
        <f t="shared" si="24"/>
        <v>0</v>
      </c>
      <c r="AL92">
        <f>'Entrada datos'!AN92</f>
        <v>0</v>
      </c>
      <c r="AM92">
        <f>'Entrada datos'!AO92</f>
        <v>0</v>
      </c>
      <c r="AN92">
        <f>'Entrada datos'!AP92</f>
        <v>0</v>
      </c>
      <c r="AO92">
        <f>'Entrada datos'!AQ92</f>
        <v>0</v>
      </c>
      <c r="AP92">
        <f>'Entrada datos'!AR92</f>
        <v>0</v>
      </c>
      <c r="AQ92">
        <f>'Entrada datos'!AS92</f>
        <v>0</v>
      </c>
      <c r="AR92" s="17">
        <f t="shared" si="25"/>
        <v>0</v>
      </c>
      <c r="AS92" s="23">
        <f t="shared" si="26"/>
        <v>0</v>
      </c>
      <c r="AT92">
        <f t="shared" si="27"/>
        <v>1900</v>
      </c>
      <c r="AU92" s="41" t="str">
        <f t="shared" si="28"/>
        <v>enero</v>
      </c>
      <c r="AV92">
        <f t="shared" si="29"/>
        <v>0</v>
      </c>
      <c r="AW92">
        <f t="shared" si="30"/>
        <v>0</v>
      </c>
      <c r="AX92" s="24">
        <f t="shared" si="17"/>
        <v>0</v>
      </c>
      <c r="AY92" s="24">
        <f t="shared" si="18"/>
        <v>0</v>
      </c>
      <c r="AZ92" s="24">
        <f t="shared" si="31"/>
        <v>0</v>
      </c>
      <c r="BA92">
        <f t="shared" si="32"/>
        <v>0</v>
      </c>
      <c r="BB92">
        <f t="shared" si="19"/>
        <v>0</v>
      </c>
      <c r="BC92" s="24">
        <f t="shared" si="20"/>
        <v>0</v>
      </c>
      <c r="BD92">
        <f t="shared" si="33"/>
        <v>0</v>
      </c>
    </row>
    <row r="93" spans="1:56" x14ac:dyDescent="0.3">
      <c r="A93">
        <f>'Entrada datos'!A93</f>
        <v>0</v>
      </c>
      <c r="B93">
        <f>'Entrada datos'!B93</f>
        <v>0</v>
      </c>
      <c r="C93">
        <f>'Entrada datos'!C93</f>
        <v>0</v>
      </c>
      <c r="D93">
        <f>'Entrada datos'!D93</f>
        <v>0</v>
      </c>
      <c r="E93" s="18">
        <f>'Entrada datos'!G93</f>
        <v>0</v>
      </c>
      <c r="F93" s="18">
        <f>'Entrada datos'!H93</f>
        <v>0</v>
      </c>
      <c r="G93">
        <f>'Entrada datos'!J93</f>
        <v>0</v>
      </c>
      <c r="H93">
        <f>'Entrada datos'!L93</f>
        <v>0</v>
      </c>
      <c r="I93">
        <f>'Entrada datos'!O93</f>
        <v>0</v>
      </c>
      <c r="J93">
        <f>'Entrada datos'!P93</f>
        <v>0</v>
      </c>
      <c r="K93">
        <f>'Entrada datos'!Q93</f>
        <v>0</v>
      </c>
      <c r="L93">
        <f>'Entrada datos'!R93</f>
        <v>0</v>
      </c>
      <c r="M93">
        <f>'Entrada datos'!S93</f>
        <v>0</v>
      </c>
      <c r="N93">
        <f>'Entrada datos'!T93</f>
        <v>0</v>
      </c>
      <c r="O93">
        <f>'Entrada datos'!U93</f>
        <v>0</v>
      </c>
      <c r="P93" s="17">
        <f t="shared" si="21"/>
        <v>0</v>
      </c>
      <c r="Q93">
        <f>'Entrada datos'!V93</f>
        <v>0</v>
      </c>
      <c r="R93">
        <f>'Entrada datos'!W93</f>
        <v>0</v>
      </c>
      <c r="S93">
        <f>'Entrada datos'!X93</f>
        <v>0</v>
      </c>
      <c r="T93">
        <f>'Entrada datos'!Y93</f>
        <v>0</v>
      </c>
      <c r="U93">
        <f>'Entrada datos'!Z93</f>
        <v>0</v>
      </c>
      <c r="V93">
        <f>'Entrada datos'!AA93</f>
        <v>0</v>
      </c>
      <c r="W93" s="17">
        <f t="shared" si="22"/>
        <v>0</v>
      </c>
      <c r="X93">
        <f>'Entrada datos'!AB93</f>
        <v>0</v>
      </c>
      <c r="Y93">
        <f>'Entrada datos'!AC93</f>
        <v>0</v>
      </c>
      <c r="Z93">
        <f>'Entrada datos'!AD93</f>
        <v>0</v>
      </c>
      <c r="AA93">
        <f>'Entrada datos'!AE93</f>
        <v>0</v>
      </c>
      <c r="AB93">
        <f>'Entrada datos'!AF93</f>
        <v>0</v>
      </c>
      <c r="AC93">
        <f>'Entrada datos'!AG93</f>
        <v>0</v>
      </c>
      <c r="AD93" s="17">
        <f t="shared" si="23"/>
        <v>0</v>
      </c>
      <c r="AE93">
        <f>'Entrada datos'!AH93</f>
        <v>0</v>
      </c>
      <c r="AF93">
        <f>'Entrada datos'!AI93</f>
        <v>0</v>
      </c>
      <c r="AG93">
        <f>'Entrada datos'!AJ93</f>
        <v>0</v>
      </c>
      <c r="AH93">
        <f>'Entrada datos'!AK93</f>
        <v>0</v>
      </c>
      <c r="AI93">
        <f>'Entrada datos'!AL93</f>
        <v>0</v>
      </c>
      <c r="AJ93">
        <f>'Entrada datos'!AM93</f>
        <v>0</v>
      </c>
      <c r="AK93" s="17">
        <f t="shared" si="24"/>
        <v>0</v>
      </c>
      <c r="AL93">
        <f>'Entrada datos'!AN93</f>
        <v>0</v>
      </c>
      <c r="AM93">
        <f>'Entrada datos'!AO93</f>
        <v>0</v>
      </c>
      <c r="AN93">
        <f>'Entrada datos'!AP93</f>
        <v>0</v>
      </c>
      <c r="AO93">
        <f>'Entrada datos'!AQ93</f>
        <v>0</v>
      </c>
      <c r="AP93">
        <f>'Entrada datos'!AR93</f>
        <v>0</v>
      </c>
      <c r="AQ93">
        <f>'Entrada datos'!AS93</f>
        <v>0</v>
      </c>
      <c r="AR93" s="17">
        <f t="shared" si="25"/>
        <v>0</v>
      </c>
      <c r="AS93" s="23">
        <f t="shared" si="26"/>
        <v>0</v>
      </c>
      <c r="AT93">
        <f t="shared" si="27"/>
        <v>1900</v>
      </c>
      <c r="AU93" s="41" t="str">
        <f t="shared" si="28"/>
        <v>enero</v>
      </c>
      <c r="AV93">
        <f t="shared" si="29"/>
        <v>0</v>
      </c>
      <c r="AW93">
        <f t="shared" si="30"/>
        <v>0</v>
      </c>
      <c r="AX93" s="24">
        <f t="shared" si="17"/>
        <v>0</v>
      </c>
      <c r="AY93" s="24">
        <f t="shared" si="18"/>
        <v>0</v>
      </c>
      <c r="AZ93" s="24">
        <f t="shared" si="31"/>
        <v>0</v>
      </c>
      <c r="BA93">
        <f t="shared" si="32"/>
        <v>0</v>
      </c>
      <c r="BB93">
        <f t="shared" si="19"/>
        <v>0</v>
      </c>
      <c r="BC93" s="24">
        <f t="shared" si="20"/>
        <v>0</v>
      </c>
      <c r="BD93">
        <f t="shared" si="33"/>
        <v>0</v>
      </c>
    </row>
    <row r="94" spans="1:56" x14ac:dyDescent="0.3">
      <c r="A94">
        <f>'Entrada datos'!A94</f>
        <v>0</v>
      </c>
      <c r="B94">
        <f>'Entrada datos'!B94</f>
        <v>0</v>
      </c>
      <c r="C94">
        <f>'Entrada datos'!C94</f>
        <v>0</v>
      </c>
      <c r="D94">
        <f>'Entrada datos'!D94</f>
        <v>0</v>
      </c>
      <c r="E94" s="18">
        <f>'Entrada datos'!G94</f>
        <v>0</v>
      </c>
      <c r="F94" s="18">
        <f>'Entrada datos'!H94</f>
        <v>0</v>
      </c>
      <c r="G94">
        <f>'Entrada datos'!J94</f>
        <v>0</v>
      </c>
      <c r="H94">
        <f>'Entrada datos'!L94</f>
        <v>0</v>
      </c>
      <c r="I94">
        <f>'Entrada datos'!O94</f>
        <v>0</v>
      </c>
      <c r="J94">
        <f>'Entrada datos'!P94</f>
        <v>0</v>
      </c>
      <c r="K94">
        <f>'Entrada datos'!Q94</f>
        <v>0</v>
      </c>
      <c r="L94">
        <f>'Entrada datos'!R94</f>
        <v>0</v>
      </c>
      <c r="M94">
        <f>'Entrada datos'!S94</f>
        <v>0</v>
      </c>
      <c r="N94">
        <f>'Entrada datos'!T94</f>
        <v>0</v>
      </c>
      <c r="O94">
        <f>'Entrada datos'!U94</f>
        <v>0</v>
      </c>
      <c r="P94" s="17">
        <f t="shared" si="21"/>
        <v>0</v>
      </c>
      <c r="Q94">
        <f>'Entrada datos'!V94</f>
        <v>0</v>
      </c>
      <c r="R94">
        <f>'Entrada datos'!W94</f>
        <v>0</v>
      </c>
      <c r="S94">
        <f>'Entrada datos'!X94</f>
        <v>0</v>
      </c>
      <c r="T94">
        <f>'Entrada datos'!Y94</f>
        <v>0</v>
      </c>
      <c r="U94">
        <f>'Entrada datos'!Z94</f>
        <v>0</v>
      </c>
      <c r="V94">
        <f>'Entrada datos'!AA94</f>
        <v>0</v>
      </c>
      <c r="W94" s="17">
        <f t="shared" si="22"/>
        <v>0</v>
      </c>
      <c r="X94">
        <f>'Entrada datos'!AB94</f>
        <v>0</v>
      </c>
      <c r="Y94">
        <f>'Entrada datos'!AC94</f>
        <v>0</v>
      </c>
      <c r="Z94">
        <f>'Entrada datos'!AD94</f>
        <v>0</v>
      </c>
      <c r="AA94">
        <f>'Entrada datos'!AE94</f>
        <v>0</v>
      </c>
      <c r="AB94">
        <f>'Entrada datos'!AF94</f>
        <v>0</v>
      </c>
      <c r="AC94">
        <f>'Entrada datos'!AG94</f>
        <v>0</v>
      </c>
      <c r="AD94" s="17">
        <f t="shared" si="23"/>
        <v>0</v>
      </c>
      <c r="AE94">
        <f>'Entrada datos'!AH94</f>
        <v>0</v>
      </c>
      <c r="AF94">
        <f>'Entrada datos'!AI94</f>
        <v>0</v>
      </c>
      <c r="AG94">
        <f>'Entrada datos'!AJ94</f>
        <v>0</v>
      </c>
      <c r="AH94">
        <f>'Entrada datos'!AK94</f>
        <v>0</v>
      </c>
      <c r="AI94">
        <f>'Entrada datos'!AL94</f>
        <v>0</v>
      </c>
      <c r="AJ94">
        <f>'Entrada datos'!AM94</f>
        <v>0</v>
      </c>
      <c r="AK94" s="17">
        <f t="shared" si="24"/>
        <v>0</v>
      </c>
      <c r="AL94">
        <f>'Entrada datos'!AN94</f>
        <v>0</v>
      </c>
      <c r="AM94">
        <f>'Entrada datos'!AO94</f>
        <v>0</v>
      </c>
      <c r="AN94">
        <f>'Entrada datos'!AP94</f>
        <v>0</v>
      </c>
      <c r="AO94">
        <f>'Entrada datos'!AQ94</f>
        <v>0</v>
      </c>
      <c r="AP94">
        <f>'Entrada datos'!AR94</f>
        <v>0</v>
      </c>
      <c r="AQ94">
        <f>'Entrada datos'!AS94</f>
        <v>0</v>
      </c>
      <c r="AR94" s="17">
        <f t="shared" si="25"/>
        <v>0</v>
      </c>
      <c r="AS94" s="23">
        <f t="shared" si="26"/>
        <v>0</v>
      </c>
      <c r="AT94">
        <f t="shared" si="27"/>
        <v>1900</v>
      </c>
      <c r="AU94" s="41" t="str">
        <f t="shared" si="28"/>
        <v>enero</v>
      </c>
      <c r="AV94">
        <f t="shared" si="29"/>
        <v>0</v>
      </c>
      <c r="AW94">
        <f t="shared" si="30"/>
        <v>0</v>
      </c>
      <c r="AX94" s="24">
        <f t="shared" si="17"/>
        <v>0</v>
      </c>
      <c r="AY94" s="24">
        <f t="shared" si="18"/>
        <v>0</v>
      </c>
      <c r="AZ94" s="24">
        <f t="shared" si="31"/>
        <v>0</v>
      </c>
      <c r="BA94">
        <f t="shared" si="32"/>
        <v>0</v>
      </c>
      <c r="BB94">
        <f t="shared" si="19"/>
        <v>0</v>
      </c>
      <c r="BC94" s="24">
        <f t="shared" si="20"/>
        <v>0</v>
      </c>
      <c r="BD94">
        <f t="shared" si="33"/>
        <v>0</v>
      </c>
    </row>
    <row r="95" spans="1:56" x14ac:dyDescent="0.3">
      <c r="A95">
        <f>'Entrada datos'!A95</f>
        <v>0</v>
      </c>
      <c r="B95">
        <f>'Entrada datos'!B95</f>
        <v>0</v>
      </c>
      <c r="C95">
        <f>'Entrada datos'!C95</f>
        <v>0</v>
      </c>
      <c r="D95">
        <f>'Entrada datos'!D95</f>
        <v>0</v>
      </c>
      <c r="E95" s="18">
        <f>'Entrada datos'!G95</f>
        <v>0</v>
      </c>
      <c r="F95" s="18">
        <f>'Entrada datos'!H95</f>
        <v>0</v>
      </c>
      <c r="G95">
        <f>'Entrada datos'!J95</f>
        <v>0</v>
      </c>
      <c r="H95">
        <f>'Entrada datos'!L95</f>
        <v>0</v>
      </c>
      <c r="I95">
        <f>'Entrada datos'!O95</f>
        <v>0</v>
      </c>
      <c r="J95">
        <f>'Entrada datos'!P95</f>
        <v>0</v>
      </c>
      <c r="K95">
        <f>'Entrada datos'!Q95</f>
        <v>0</v>
      </c>
      <c r="L95">
        <f>'Entrada datos'!R95</f>
        <v>0</v>
      </c>
      <c r="M95">
        <f>'Entrada datos'!S95</f>
        <v>0</v>
      </c>
      <c r="N95">
        <f>'Entrada datos'!T95</f>
        <v>0</v>
      </c>
      <c r="O95">
        <f>'Entrada datos'!U95</f>
        <v>0</v>
      </c>
      <c r="P95" s="17">
        <f t="shared" si="21"/>
        <v>0</v>
      </c>
      <c r="Q95">
        <f>'Entrada datos'!V95</f>
        <v>0</v>
      </c>
      <c r="R95">
        <f>'Entrada datos'!W95</f>
        <v>0</v>
      </c>
      <c r="S95">
        <f>'Entrada datos'!X95</f>
        <v>0</v>
      </c>
      <c r="T95">
        <f>'Entrada datos'!Y95</f>
        <v>0</v>
      </c>
      <c r="U95">
        <f>'Entrada datos'!Z95</f>
        <v>0</v>
      </c>
      <c r="V95">
        <f>'Entrada datos'!AA95</f>
        <v>0</v>
      </c>
      <c r="W95" s="17">
        <f t="shared" si="22"/>
        <v>0</v>
      </c>
      <c r="X95">
        <f>'Entrada datos'!AB95</f>
        <v>0</v>
      </c>
      <c r="Y95">
        <f>'Entrada datos'!AC95</f>
        <v>0</v>
      </c>
      <c r="Z95">
        <f>'Entrada datos'!AD95</f>
        <v>0</v>
      </c>
      <c r="AA95">
        <f>'Entrada datos'!AE95</f>
        <v>0</v>
      </c>
      <c r="AB95">
        <f>'Entrada datos'!AF95</f>
        <v>0</v>
      </c>
      <c r="AC95">
        <f>'Entrada datos'!AG95</f>
        <v>0</v>
      </c>
      <c r="AD95" s="17">
        <f t="shared" si="23"/>
        <v>0</v>
      </c>
      <c r="AE95">
        <f>'Entrada datos'!AH95</f>
        <v>0</v>
      </c>
      <c r="AF95">
        <f>'Entrada datos'!AI95</f>
        <v>0</v>
      </c>
      <c r="AG95">
        <f>'Entrada datos'!AJ95</f>
        <v>0</v>
      </c>
      <c r="AH95">
        <f>'Entrada datos'!AK95</f>
        <v>0</v>
      </c>
      <c r="AI95">
        <f>'Entrada datos'!AL95</f>
        <v>0</v>
      </c>
      <c r="AJ95">
        <f>'Entrada datos'!AM95</f>
        <v>0</v>
      </c>
      <c r="AK95" s="17">
        <f t="shared" si="24"/>
        <v>0</v>
      </c>
      <c r="AL95">
        <f>'Entrada datos'!AN95</f>
        <v>0</v>
      </c>
      <c r="AM95">
        <f>'Entrada datos'!AO95</f>
        <v>0</v>
      </c>
      <c r="AN95">
        <f>'Entrada datos'!AP95</f>
        <v>0</v>
      </c>
      <c r="AO95">
        <f>'Entrada datos'!AQ95</f>
        <v>0</v>
      </c>
      <c r="AP95">
        <f>'Entrada datos'!AR95</f>
        <v>0</v>
      </c>
      <c r="AQ95">
        <f>'Entrada datos'!AS95</f>
        <v>0</v>
      </c>
      <c r="AR95" s="17">
        <f t="shared" si="25"/>
        <v>0</v>
      </c>
      <c r="AS95" s="23">
        <f t="shared" si="26"/>
        <v>0</v>
      </c>
      <c r="AT95">
        <f t="shared" si="27"/>
        <v>1900</v>
      </c>
      <c r="AU95" s="41" t="str">
        <f t="shared" si="28"/>
        <v>enero</v>
      </c>
      <c r="AV95">
        <f t="shared" si="29"/>
        <v>0</v>
      </c>
      <c r="AW95">
        <f t="shared" si="30"/>
        <v>0</v>
      </c>
      <c r="AX95" s="24">
        <f t="shared" si="17"/>
        <v>0</v>
      </c>
      <c r="AY95" s="24">
        <f t="shared" si="18"/>
        <v>0</v>
      </c>
      <c r="AZ95" s="24">
        <f t="shared" si="31"/>
        <v>0</v>
      </c>
      <c r="BA95">
        <f t="shared" si="32"/>
        <v>0</v>
      </c>
      <c r="BB95">
        <f t="shared" si="19"/>
        <v>0</v>
      </c>
      <c r="BC95" s="24">
        <f t="shared" si="20"/>
        <v>0</v>
      </c>
      <c r="BD95">
        <f t="shared" si="33"/>
        <v>0</v>
      </c>
    </row>
    <row r="96" spans="1:56" x14ac:dyDescent="0.3">
      <c r="A96">
        <f>'Entrada datos'!A96</f>
        <v>0</v>
      </c>
      <c r="B96">
        <f>'Entrada datos'!B96</f>
        <v>0</v>
      </c>
      <c r="C96">
        <f>'Entrada datos'!C96</f>
        <v>0</v>
      </c>
      <c r="D96">
        <f>'Entrada datos'!D96</f>
        <v>0</v>
      </c>
      <c r="E96" s="18">
        <f>'Entrada datos'!G96</f>
        <v>0</v>
      </c>
      <c r="F96" s="18">
        <f>'Entrada datos'!H96</f>
        <v>0</v>
      </c>
      <c r="G96">
        <f>'Entrada datos'!J96</f>
        <v>0</v>
      </c>
      <c r="H96">
        <f>'Entrada datos'!L96</f>
        <v>0</v>
      </c>
      <c r="I96">
        <f>'Entrada datos'!O96</f>
        <v>0</v>
      </c>
      <c r="J96">
        <f>'Entrada datos'!P96</f>
        <v>0</v>
      </c>
      <c r="K96">
        <f>'Entrada datos'!Q96</f>
        <v>0</v>
      </c>
      <c r="L96">
        <f>'Entrada datos'!R96</f>
        <v>0</v>
      </c>
      <c r="M96">
        <f>'Entrada datos'!S96</f>
        <v>0</v>
      </c>
      <c r="N96">
        <f>'Entrada datos'!T96</f>
        <v>0</v>
      </c>
      <c r="O96">
        <f>'Entrada datos'!U96</f>
        <v>0</v>
      </c>
      <c r="P96" s="17">
        <f t="shared" si="21"/>
        <v>0</v>
      </c>
      <c r="Q96">
        <f>'Entrada datos'!V96</f>
        <v>0</v>
      </c>
      <c r="R96">
        <f>'Entrada datos'!W96</f>
        <v>0</v>
      </c>
      <c r="S96">
        <f>'Entrada datos'!X96</f>
        <v>0</v>
      </c>
      <c r="T96">
        <f>'Entrada datos'!Y96</f>
        <v>0</v>
      </c>
      <c r="U96">
        <f>'Entrada datos'!Z96</f>
        <v>0</v>
      </c>
      <c r="V96">
        <f>'Entrada datos'!AA96</f>
        <v>0</v>
      </c>
      <c r="W96" s="17">
        <f t="shared" si="22"/>
        <v>0</v>
      </c>
      <c r="X96">
        <f>'Entrada datos'!AB96</f>
        <v>0</v>
      </c>
      <c r="Y96">
        <f>'Entrada datos'!AC96</f>
        <v>0</v>
      </c>
      <c r="Z96">
        <f>'Entrada datos'!AD96</f>
        <v>0</v>
      </c>
      <c r="AA96">
        <f>'Entrada datos'!AE96</f>
        <v>0</v>
      </c>
      <c r="AB96">
        <f>'Entrada datos'!AF96</f>
        <v>0</v>
      </c>
      <c r="AC96">
        <f>'Entrada datos'!AG96</f>
        <v>0</v>
      </c>
      <c r="AD96" s="17">
        <f t="shared" si="23"/>
        <v>0</v>
      </c>
      <c r="AE96">
        <f>'Entrada datos'!AH96</f>
        <v>0</v>
      </c>
      <c r="AF96">
        <f>'Entrada datos'!AI96</f>
        <v>0</v>
      </c>
      <c r="AG96">
        <f>'Entrada datos'!AJ96</f>
        <v>0</v>
      </c>
      <c r="AH96">
        <f>'Entrada datos'!AK96</f>
        <v>0</v>
      </c>
      <c r="AI96">
        <f>'Entrada datos'!AL96</f>
        <v>0</v>
      </c>
      <c r="AJ96">
        <f>'Entrada datos'!AM96</f>
        <v>0</v>
      </c>
      <c r="AK96" s="17">
        <f t="shared" si="24"/>
        <v>0</v>
      </c>
      <c r="AL96">
        <f>'Entrada datos'!AN96</f>
        <v>0</v>
      </c>
      <c r="AM96">
        <f>'Entrada datos'!AO96</f>
        <v>0</v>
      </c>
      <c r="AN96">
        <f>'Entrada datos'!AP96</f>
        <v>0</v>
      </c>
      <c r="AO96">
        <f>'Entrada datos'!AQ96</f>
        <v>0</v>
      </c>
      <c r="AP96">
        <f>'Entrada datos'!AR96</f>
        <v>0</v>
      </c>
      <c r="AQ96">
        <f>'Entrada datos'!AS96</f>
        <v>0</v>
      </c>
      <c r="AR96" s="17">
        <f t="shared" si="25"/>
        <v>0</v>
      </c>
      <c r="AS96" s="23">
        <f t="shared" si="26"/>
        <v>0</v>
      </c>
      <c r="AT96">
        <f t="shared" si="27"/>
        <v>1900</v>
      </c>
      <c r="AU96" s="41" t="str">
        <f t="shared" si="28"/>
        <v>enero</v>
      </c>
      <c r="AV96">
        <f t="shared" si="29"/>
        <v>0</v>
      </c>
      <c r="AW96">
        <f t="shared" si="30"/>
        <v>0</v>
      </c>
      <c r="AX96" s="24">
        <f t="shared" si="17"/>
        <v>0</v>
      </c>
      <c r="AY96" s="24">
        <f t="shared" si="18"/>
        <v>0</v>
      </c>
      <c r="AZ96" s="24">
        <f t="shared" si="31"/>
        <v>0</v>
      </c>
      <c r="BA96">
        <f t="shared" si="32"/>
        <v>0</v>
      </c>
      <c r="BB96">
        <f t="shared" si="19"/>
        <v>0</v>
      </c>
      <c r="BC96" s="24">
        <f t="shared" si="20"/>
        <v>0</v>
      </c>
      <c r="BD96">
        <f t="shared" si="33"/>
        <v>0</v>
      </c>
    </row>
    <row r="97" spans="1:56" x14ac:dyDescent="0.3">
      <c r="A97">
        <f>'Entrada datos'!A97</f>
        <v>0</v>
      </c>
      <c r="B97">
        <f>'Entrada datos'!B97</f>
        <v>0</v>
      </c>
      <c r="C97">
        <f>'Entrada datos'!C97</f>
        <v>0</v>
      </c>
      <c r="D97">
        <f>'Entrada datos'!D97</f>
        <v>0</v>
      </c>
      <c r="E97" s="18">
        <f>'Entrada datos'!G97</f>
        <v>0</v>
      </c>
      <c r="F97" s="18">
        <f>'Entrada datos'!H97</f>
        <v>0</v>
      </c>
      <c r="G97">
        <f>'Entrada datos'!J97</f>
        <v>0</v>
      </c>
      <c r="H97">
        <f>'Entrada datos'!L97</f>
        <v>0</v>
      </c>
      <c r="I97">
        <f>'Entrada datos'!O97</f>
        <v>0</v>
      </c>
      <c r="J97">
        <f>'Entrada datos'!P97</f>
        <v>0</v>
      </c>
      <c r="K97">
        <f>'Entrada datos'!Q97</f>
        <v>0</v>
      </c>
      <c r="L97">
        <f>'Entrada datos'!R97</f>
        <v>0</v>
      </c>
      <c r="M97">
        <f>'Entrada datos'!S97</f>
        <v>0</v>
      </c>
      <c r="N97">
        <f>'Entrada datos'!T97</f>
        <v>0</v>
      </c>
      <c r="O97">
        <f>'Entrada datos'!U97</f>
        <v>0</v>
      </c>
      <c r="P97" s="17">
        <f t="shared" si="21"/>
        <v>0</v>
      </c>
      <c r="Q97">
        <f>'Entrada datos'!V97</f>
        <v>0</v>
      </c>
      <c r="R97">
        <f>'Entrada datos'!W97</f>
        <v>0</v>
      </c>
      <c r="S97">
        <f>'Entrada datos'!X97</f>
        <v>0</v>
      </c>
      <c r="T97">
        <f>'Entrada datos'!Y97</f>
        <v>0</v>
      </c>
      <c r="U97">
        <f>'Entrada datos'!Z97</f>
        <v>0</v>
      </c>
      <c r="V97">
        <f>'Entrada datos'!AA97</f>
        <v>0</v>
      </c>
      <c r="W97" s="17">
        <f t="shared" si="22"/>
        <v>0</v>
      </c>
      <c r="X97">
        <f>'Entrada datos'!AB97</f>
        <v>0</v>
      </c>
      <c r="Y97">
        <f>'Entrada datos'!AC97</f>
        <v>0</v>
      </c>
      <c r="Z97">
        <f>'Entrada datos'!AD97</f>
        <v>0</v>
      </c>
      <c r="AA97">
        <f>'Entrada datos'!AE97</f>
        <v>0</v>
      </c>
      <c r="AB97">
        <f>'Entrada datos'!AF97</f>
        <v>0</v>
      </c>
      <c r="AC97">
        <f>'Entrada datos'!AG97</f>
        <v>0</v>
      </c>
      <c r="AD97" s="17">
        <f t="shared" si="23"/>
        <v>0</v>
      </c>
      <c r="AE97">
        <f>'Entrada datos'!AH97</f>
        <v>0</v>
      </c>
      <c r="AF97">
        <f>'Entrada datos'!AI97</f>
        <v>0</v>
      </c>
      <c r="AG97">
        <f>'Entrada datos'!AJ97</f>
        <v>0</v>
      </c>
      <c r="AH97">
        <f>'Entrada datos'!AK97</f>
        <v>0</v>
      </c>
      <c r="AI97">
        <f>'Entrada datos'!AL97</f>
        <v>0</v>
      </c>
      <c r="AJ97">
        <f>'Entrada datos'!AM97</f>
        <v>0</v>
      </c>
      <c r="AK97" s="17">
        <f t="shared" si="24"/>
        <v>0</v>
      </c>
      <c r="AL97">
        <f>'Entrada datos'!AN97</f>
        <v>0</v>
      </c>
      <c r="AM97">
        <f>'Entrada datos'!AO97</f>
        <v>0</v>
      </c>
      <c r="AN97">
        <f>'Entrada datos'!AP97</f>
        <v>0</v>
      </c>
      <c r="AO97">
        <f>'Entrada datos'!AQ97</f>
        <v>0</v>
      </c>
      <c r="AP97">
        <f>'Entrada datos'!AR97</f>
        <v>0</v>
      </c>
      <c r="AQ97">
        <f>'Entrada datos'!AS97</f>
        <v>0</v>
      </c>
      <c r="AR97" s="17">
        <f t="shared" si="25"/>
        <v>0</v>
      </c>
      <c r="AS97" s="23">
        <f t="shared" si="26"/>
        <v>0</v>
      </c>
      <c r="AT97">
        <f t="shared" si="27"/>
        <v>1900</v>
      </c>
      <c r="AU97" s="41" t="str">
        <f t="shared" si="28"/>
        <v>enero</v>
      </c>
      <c r="AV97">
        <f t="shared" si="29"/>
        <v>0</v>
      </c>
      <c r="AW97">
        <f t="shared" si="30"/>
        <v>0</v>
      </c>
      <c r="AX97" s="24">
        <f t="shared" si="17"/>
        <v>0</v>
      </c>
      <c r="AY97" s="24">
        <f t="shared" si="18"/>
        <v>0</v>
      </c>
      <c r="AZ97" s="24">
        <f t="shared" si="31"/>
        <v>0</v>
      </c>
      <c r="BA97">
        <f t="shared" si="32"/>
        <v>0</v>
      </c>
      <c r="BB97">
        <f t="shared" si="19"/>
        <v>0</v>
      </c>
      <c r="BC97" s="24">
        <f t="shared" si="20"/>
        <v>0</v>
      </c>
      <c r="BD97">
        <f t="shared" si="33"/>
        <v>0</v>
      </c>
    </row>
    <row r="98" spans="1:56" x14ac:dyDescent="0.3">
      <c r="A98">
        <f>'Entrada datos'!A98</f>
        <v>0</v>
      </c>
      <c r="B98">
        <f>'Entrada datos'!B98</f>
        <v>0</v>
      </c>
      <c r="C98">
        <f>'Entrada datos'!C98</f>
        <v>0</v>
      </c>
      <c r="D98">
        <f>'Entrada datos'!D98</f>
        <v>0</v>
      </c>
      <c r="E98" s="18">
        <f>'Entrada datos'!G98</f>
        <v>0</v>
      </c>
      <c r="F98" s="18">
        <f>'Entrada datos'!H98</f>
        <v>0</v>
      </c>
      <c r="G98">
        <f>'Entrada datos'!J98</f>
        <v>0</v>
      </c>
      <c r="H98">
        <f>'Entrada datos'!L98</f>
        <v>0</v>
      </c>
      <c r="I98">
        <f>'Entrada datos'!O98</f>
        <v>0</v>
      </c>
      <c r="J98">
        <f>'Entrada datos'!P98</f>
        <v>0</v>
      </c>
      <c r="K98">
        <f>'Entrada datos'!Q98</f>
        <v>0</v>
      </c>
      <c r="L98">
        <f>'Entrada datos'!R98</f>
        <v>0</v>
      </c>
      <c r="M98">
        <f>'Entrada datos'!S98</f>
        <v>0</v>
      </c>
      <c r="N98">
        <f>'Entrada datos'!T98</f>
        <v>0</v>
      </c>
      <c r="O98">
        <f>'Entrada datos'!U98</f>
        <v>0</v>
      </c>
      <c r="P98" s="17">
        <f t="shared" si="21"/>
        <v>0</v>
      </c>
      <c r="Q98">
        <f>'Entrada datos'!V98</f>
        <v>0</v>
      </c>
      <c r="R98">
        <f>'Entrada datos'!W98</f>
        <v>0</v>
      </c>
      <c r="S98">
        <f>'Entrada datos'!X98</f>
        <v>0</v>
      </c>
      <c r="T98">
        <f>'Entrada datos'!Y98</f>
        <v>0</v>
      </c>
      <c r="U98">
        <f>'Entrada datos'!Z98</f>
        <v>0</v>
      </c>
      <c r="V98">
        <f>'Entrada datos'!AA98</f>
        <v>0</v>
      </c>
      <c r="W98" s="17">
        <f t="shared" si="22"/>
        <v>0</v>
      </c>
      <c r="X98">
        <f>'Entrada datos'!AB98</f>
        <v>0</v>
      </c>
      <c r="Y98">
        <f>'Entrada datos'!AC98</f>
        <v>0</v>
      </c>
      <c r="Z98">
        <f>'Entrada datos'!AD98</f>
        <v>0</v>
      </c>
      <c r="AA98">
        <f>'Entrada datos'!AE98</f>
        <v>0</v>
      </c>
      <c r="AB98">
        <f>'Entrada datos'!AF98</f>
        <v>0</v>
      </c>
      <c r="AC98">
        <f>'Entrada datos'!AG98</f>
        <v>0</v>
      </c>
      <c r="AD98" s="17">
        <f t="shared" si="23"/>
        <v>0</v>
      </c>
      <c r="AE98">
        <f>'Entrada datos'!AH98</f>
        <v>0</v>
      </c>
      <c r="AF98">
        <f>'Entrada datos'!AI98</f>
        <v>0</v>
      </c>
      <c r="AG98">
        <f>'Entrada datos'!AJ98</f>
        <v>0</v>
      </c>
      <c r="AH98">
        <f>'Entrada datos'!AK98</f>
        <v>0</v>
      </c>
      <c r="AI98">
        <f>'Entrada datos'!AL98</f>
        <v>0</v>
      </c>
      <c r="AJ98">
        <f>'Entrada datos'!AM98</f>
        <v>0</v>
      </c>
      <c r="AK98" s="17">
        <f t="shared" si="24"/>
        <v>0</v>
      </c>
      <c r="AL98">
        <f>'Entrada datos'!AN98</f>
        <v>0</v>
      </c>
      <c r="AM98">
        <f>'Entrada datos'!AO98</f>
        <v>0</v>
      </c>
      <c r="AN98">
        <f>'Entrada datos'!AP98</f>
        <v>0</v>
      </c>
      <c r="AO98">
        <f>'Entrada datos'!AQ98</f>
        <v>0</v>
      </c>
      <c r="AP98">
        <f>'Entrada datos'!AR98</f>
        <v>0</v>
      </c>
      <c r="AQ98">
        <f>'Entrada datos'!AS98</f>
        <v>0</v>
      </c>
      <c r="AR98" s="17">
        <f t="shared" si="25"/>
        <v>0</v>
      </c>
      <c r="AS98" s="23">
        <f t="shared" si="26"/>
        <v>0</v>
      </c>
      <c r="AT98">
        <f t="shared" si="27"/>
        <v>1900</v>
      </c>
      <c r="AU98" s="41" t="str">
        <f t="shared" si="28"/>
        <v>enero</v>
      </c>
      <c r="AV98">
        <f t="shared" si="29"/>
        <v>0</v>
      </c>
      <c r="AW98">
        <f t="shared" si="30"/>
        <v>0</v>
      </c>
      <c r="AX98" s="24">
        <f t="shared" si="17"/>
        <v>0</v>
      </c>
      <c r="AY98" s="24">
        <f t="shared" si="18"/>
        <v>0</v>
      </c>
      <c r="AZ98" s="24">
        <f t="shared" si="31"/>
        <v>0</v>
      </c>
      <c r="BA98">
        <f t="shared" si="32"/>
        <v>0</v>
      </c>
      <c r="BB98">
        <f t="shared" si="19"/>
        <v>0</v>
      </c>
      <c r="BC98" s="24">
        <f t="shared" si="20"/>
        <v>0</v>
      </c>
      <c r="BD98">
        <f t="shared" si="33"/>
        <v>0</v>
      </c>
    </row>
    <row r="99" spans="1:56" x14ac:dyDescent="0.3">
      <c r="A99">
        <f>'Entrada datos'!A99</f>
        <v>0</v>
      </c>
      <c r="B99">
        <f>'Entrada datos'!B99</f>
        <v>0</v>
      </c>
      <c r="C99">
        <f>'Entrada datos'!C99</f>
        <v>0</v>
      </c>
      <c r="D99">
        <f>'Entrada datos'!D99</f>
        <v>0</v>
      </c>
      <c r="E99" s="18">
        <f>'Entrada datos'!G99</f>
        <v>0</v>
      </c>
      <c r="F99" s="18">
        <f>'Entrada datos'!H99</f>
        <v>0</v>
      </c>
      <c r="G99">
        <f>'Entrada datos'!J99</f>
        <v>0</v>
      </c>
      <c r="H99">
        <f>'Entrada datos'!L99</f>
        <v>0</v>
      </c>
      <c r="I99">
        <f>'Entrada datos'!O99</f>
        <v>0</v>
      </c>
      <c r="J99">
        <f>'Entrada datos'!P99</f>
        <v>0</v>
      </c>
      <c r="K99">
        <f>'Entrada datos'!Q99</f>
        <v>0</v>
      </c>
      <c r="L99">
        <f>'Entrada datos'!R99</f>
        <v>0</v>
      </c>
      <c r="M99">
        <f>'Entrada datos'!S99</f>
        <v>0</v>
      </c>
      <c r="N99">
        <f>'Entrada datos'!T99</f>
        <v>0</v>
      </c>
      <c r="O99">
        <f>'Entrada datos'!U99</f>
        <v>0</v>
      </c>
      <c r="P99" s="17">
        <f t="shared" si="21"/>
        <v>0</v>
      </c>
      <c r="Q99">
        <f>'Entrada datos'!V99</f>
        <v>0</v>
      </c>
      <c r="R99">
        <f>'Entrada datos'!W99</f>
        <v>0</v>
      </c>
      <c r="S99">
        <f>'Entrada datos'!X99</f>
        <v>0</v>
      </c>
      <c r="T99">
        <f>'Entrada datos'!Y99</f>
        <v>0</v>
      </c>
      <c r="U99">
        <f>'Entrada datos'!Z99</f>
        <v>0</v>
      </c>
      <c r="V99">
        <f>'Entrada datos'!AA99</f>
        <v>0</v>
      </c>
      <c r="W99" s="17">
        <f t="shared" si="22"/>
        <v>0</v>
      </c>
      <c r="X99">
        <f>'Entrada datos'!AB99</f>
        <v>0</v>
      </c>
      <c r="Y99">
        <f>'Entrada datos'!AC99</f>
        <v>0</v>
      </c>
      <c r="Z99">
        <f>'Entrada datos'!AD99</f>
        <v>0</v>
      </c>
      <c r="AA99">
        <f>'Entrada datos'!AE99</f>
        <v>0</v>
      </c>
      <c r="AB99">
        <f>'Entrada datos'!AF99</f>
        <v>0</v>
      </c>
      <c r="AC99">
        <f>'Entrada datos'!AG99</f>
        <v>0</v>
      </c>
      <c r="AD99" s="17">
        <f t="shared" si="23"/>
        <v>0</v>
      </c>
      <c r="AE99">
        <f>'Entrada datos'!AH99</f>
        <v>0</v>
      </c>
      <c r="AF99">
        <f>'Entrada datos'!AI99</f>
        <v>0</v>
      </c>
      <c r="AG99">
        <f>'Entrada datos'!AJ99</f>
        <v>0</v>
      </c>
      <c r="AH99">
        <f>'Entrada datos'!AK99</f>
        <v>0</v>
      </c>
      <c r="AI99">
        <f>'Entrada datos'!AL99</f>
        <v>0</v>
      </c>
      <c r="AJ99">
        <f>'Entrada datos'!AM99</f>
        <v>0</v>
      </c>
      <c r="AK99" s="17">
        <f t="shared" si="24"/>
        <v>0</v>
      </c>
      <c r="AL99">
        <f>'Entrada datos'!AN99</f>
        <v>0</v>
      </c>
      <c r="AM99">
        <f>'Entrada datos'!AO99</f>
        <v>0</v>
      </c>
      <c r="AN99">
        <f>'Entrada datos'!AP99</f>
        <v>0</v>
      </c>
      <c r="AO99">
        <f>'Entrada datos'!AQ99</f>
        <v>0</v>
      </c>
      <c r="AP99">
        <f>'Entrada datos'!AR99</f>
        <v>0</v>
      </c>
      <c r="AQ99">
        <f>'Entrada datos'!AS99</f>
        <v>0</v>
      </c>
      <c r="AR99" s="17">
        <f t="shared" si="25"/>
        <v>0</v>
      </c>
      <c r="AS99" s="23">
        <f t="shared" si="26"/>
        <v>0</v>
      </c>
      <c r="AT99">
        <f t="shared" si="27"/>
        <v>1900</v>
      </c>
      <c r="AU99" s="41" t="str">
        <f t="shared" si="28"/>
        <v>enero</v>
      </c>
      <c r="AV99">
        <f t="shared" si="29"/>
        <v>0</v>
      </c>
      <c r="AW99">
        <f t="shared" si="30"/>
        <v>0</v>
      </c>
      <c r="AX99" s="24">
        <f t="shared" si="17"/>
        <v>0</v>
      </c>
      <c r="AY99" s="24">
        <f t="shared" si="18"/>
        <v>0</v>
      </c>
      <c r="AZ99" s="24">
        <f t="shared" si="31"/>
        <v>0</v>
      </c>
      <c r="BA99">
        <f t="shared" si="32"/>
        <v>0</v>
      </c>
      <c r="BB99">
        <f t="shared" si="19"/>
        <v>0</v>
      </c>
      <c r="BC99" s="24">
        <f t="shared" si="20"/>
        <v>0</v>
      </c>
      <c r="BD99">
        <f t="shared" si="33"/>
        <v>0</v>
      </c>
    </row>
    <row r="100" spans="1:56" x14ac:dyDescent="0.3">
      <c r="A100">
        <f>'Entrada datos'!A100</f>
        <v>0</v>
      </c>
      <c r="B100">
        <f>'Entrada datos'!B100</f>
        <v>0</v>
      </c>
      <c r="C100">
        <f>'Entrada datos'!C100</f>
        <v>0</v>
      </c>
      <c r="D100">
        <f>'Entrada datos'!D100</f>
        <v>0</v>
      </c>
      <c r="E100" s="18">
        <f>'Entrada datos'!G100</f>
        <v>0</v>
      </c>
      <c r="F100" s="18">
        <f>'Entrada datos'!H100</f>
        <v>0</v>
      </c>
      <c r="G100">
        <f>'Entrada datos'!J100</f>
        <v>0</v>
      </c>
      <c r="H100">
        <f>'Entrada datos'!L100</f>
        <v>0</v>
      </c>
      <c r="I100">
        <f>'Entrada datos'!O100</f>
        <v>0</v>
      </c>
      <c r="J100">
        <f>'Entrada datos'!P100</f>
        <v>0</v>
      </c>
      <c r="K100">
        <f>'Entrada datos'!Q100</f>
        <v>0</v>
      </c>
      <c r="L100">
        <f>'Entrada datos'!R100</f>
        <v>0</v>
      </c>
      <c r="M100">
        <f>'Entrada datos'!S100</f>
        <v>0</v>
      </c>
      <c r="N100">
        <f>'Entrada datos'!T100</f>
        <v>0</v>
      </c>
      <c r="O100">
        <f>'Entrada datos'!U100</f>
        <v>0</v>
      </c>
      <c r="P100" s="17">
        <f t="shared" si="21"/>
        <v>0</v>
      </c>
      <c r="Q100">
        <f>'Entrada datos'!V100</f>
        <v>0</v>
      </c>
      <c r="R100">
        <f>'Entrada datos'!W100</f>
        <v>0</v>
      </c>
      <c r="S100">
        <f>'Entrada datos'!X100</f>
        <v>0</v>
      </c>
      <c r="T100">
        <f>'Entrada datos'!Y100</f>
        <v>0</v>
      </c>
      <c r="U100">
        <f>'Entrada datos'!Z100</f>
        <v>0</v>
      </c>
      <c r="V100">
        <f>'Entrada datos'!AA100</f>
        <v>0</v>
      </c>
      <c r="W100" s="17">
        <f t="shared" si="22"/>
        <v>0</v>
      </c>
      <c r="X100">
        <f>'Entrada datos'!AB100</f>
        <v>0</v>
      </c>
      <c r="Y100">
        <f>'Entrada datos'!AC100</f>
        <v>0</v>
      </c>
      <c r="Z100">
        <f>'Entrada datos'!AD100</f>
        <v>0</v>
      </c>
      <c r="AA100">
        <f>'Entrada datos'!AE100</f>
        <v>0</v>
      </c>
      <c r="AB100">
        <f>'Entrada datos'!AF100</f>
        <v>0</v>
      </c>
      <c r="AC100">
        <f>'Entrada datos'!AG100</f>
        <v>0</v>
      </c>
      <c r="AD100" s="17">
        <f t="shared" si="23"/>
        <v>0</v>
      </c>
      <c r="AE100">
        <f>'Entrada datos'!AH100</f>
        <v>0</v>
      </c>
      <c r="AF100">
        <f>'Entrada datos'!AI100</f>
        <v>0</v>
      </c>
      <c r="AG100">
        <f>'Entrada datos'!AJ100</f>
        <v>0</v>
      </c>
      <c r="AH100">
        <f>'Entrada datos'!AK100</f>
        <v>0</v>
      </c>
      <c r="AI100">
        <f>'Entrada datos'!AL100</f>
        <v>0</v>
      </c>
      <c r="AJ100">
        <f>'Entrada datos'!AM100</f>
        <v>0</v>
      </c>
      <c r="AK100" s="17">
        <f t="shared" si="24"/>
        <v>0</v>
      </c>
      <c r="AL100">
        <f>'Entrada datos'!AN100</f>
        <v>0</v>
      </c>
      <c r="AM100">
        <f>'Entrada datos'!AO100</f>
        <v>0</v>
      </c>
      <c r="AN100">
        <f>'Entrada datos'!AP100</f>
        <v>0</v>
      </c>
      <c r="AO100">
        <f>'Entrada datos'!AQ100</f>
        <v>0</v>
      </c>
      <c r="AP100">
        <f>'Entrada datos'!AR100</f>
        <v>0</v>
      </c>
      <c r="AQ100">
        <f>'Entrada datos'!AS100</f>
        <v>0</v>
      </c>
      <c r="AR100" s="17">
        <f t="shared" si="25"/>
        <v>0</v>
      </c>
      <c r="AS100" s="23">
        <f t="shared" si="26"/>
        <v>0</v>
      </c>
      <c r="AT100">
        <f t="shared" si="27"/>
        <v>1900</v>
      </c>
      <c r="AU100" s="41" t="str">
        <f t="shared" si="28"/>
        <v>enero</v>
      </c>
      <c r="AV100">
        <f t="shared" si="29"/>
        <v>0</v>
      </c>
      <c r="AW100">
        <f t="shared" si="30"/>
        <v>0</v>
      </c>
      <c r="AX100" s="24">
        <f t="shared" si="17"/>
        <v>0</v>
      </c>
      <c r="AY100" s="24">
        <f t="shared" si="18"/>
        <v>0</v>
      </c>
      <c r="AZ100" s="24">
        <f t="shared" si="31"/>
        <v>0</v>
      </c>
      <c r="BA100">
        <f t="shared" si="32"/>
        <v>0</v>
      </c>
      <c r="BB100">
        <f t="shared" si="19"/>
        <v>0</v>
      </c>
      <c r="BC100" s="24">
        <f t="shared" si="20"/>
        <v>0</v>
      </c>
      <c r="BD100">
        <f t="shared" si="33"/>
        <v>0</v>
      </c>
    </row>
    <row r="101" spans="1:56" x14ac:dyDescent="0.3">
      <c r="A101">
        <f>'Entrada datos'!A101</f>
        <v>0</v>
      </c>
      <c r="B101">
        <f>'Entrada datos'!B101</f>
        <v>0</v>
      </c>
      <c r="C101">
        <f>'Entrada datos'!C101</f>
        <v>0</v>
      </c>
      <c r="D101">
        <f>'Entrada datos'!D101</f>
        <v>0</v>
      </c>
      <c r="E101" s="18">
        <f>'Entrada datos'!G101</f>
        <v>0</v>
      </c>
      <c r="F101" s="18">
        <f>'Entrada datos'!H101</f>
        <v>0</v>
      </c>
      <c r="G101">
        <f>'Entrada datos'!J101</f>
        <v>0</v>
      </c>
      <c r="H101">
        <f>'Entrada datos'!L101</f>
        <v>0</v>
      </c>
      <c r="I101">
        <f>'Entrada datos'!O101</f>
        <v>0</v>
      </c>
      <c r="J101">
        <f>'Entrada datos'!P101</f>
        <v>0</v>
      </c>
      <c r="K101">
        <f>'Entrada datos'!Q101</f>
        <v>0</v>
      </c>
      <c r="L101">
        <f>'Entrada datos'!R101</f>
        <v>0</v>
      </c>
      <c r="M101">
        <f>'Entrada datos'!S101</f>
        <v>0</v>
      </c>
      <c r="N101">
        <f>'Entrada datos'!T101</f>
        <v>0</v>
      </c>
      <c r="O101">
        <f>'Entrada datos'!U101</f>
        <v>0</v>
      </c>
      <c r="P101" s="17">
        <f t="shared" si="21"/>
        <v>0</v>
      </c>
      <c r="Q101">
        <f>'Entrada datos'!V101</f>
        <v>0</v>
      </c>
      <c r="R101">
        <f>'Entrada datos'!W101</f>
        <v>0</v>
      </c>
      <c r="S101">
        <f>'Entrada datos'!X101</f>
        <v>0</v>
      </c>
      <c r="T101">
        <f>'Entrada datos'!Y101</f>
        <v>0</v>
      </c>
      <c r="U101">
        <f>'Entrada datos'!Z101</f>
        <v>0</v>
      </c>
      <c r="V101">
        <f>'Entrada datos'!AA101</f>
        <v>0</v>
      </c>
      <c r="W101" s="17">
        <f t="shared" si="22"/>
        <v>0</v>
      </c>
      <c r="X101">
        <f>'Entrada datos'!AB101</f>
        <v>0</v>
      </c>
      <c r="Y101">
        <f>'Entrada datos'!AC101</f>
        <v>0</v>
      </c>
      <c r="Z101">
        <f>'Entrada datos'!AD101</f>
        <v>0</v>
      </c>
      <c r="AA101">
        <f>'Entrada datos'!AE101</f>
        <v>0</v>
      </c>
      <c r="AB101">
        <f>'Entrada datos'!AF101</f>
        <v>0</v>
      </c>
      <c r="AC101">
        <f>'Entrada datos'!AG101</f>
        <v>0</v>
      </c>
      <c r="AD101" s="17">
        <f t="shared" si="23"/>
        <v>0</v>
      </c>
      <c r="AE101">
        <f>'Entrada datos'!AH101</f>
        <v>0</v>
      </c>
      <c r="AF101">
        <f>'Entrada datos'!AI101</f>
        <v>0</v>
      </c>
      <c r="AG101">
        <f>'Entrada datos'!AJ101</f>
        <v>0</v>
      </c>
      <c r="AH101">
        <f>'Entrada datos'!AK101</f>
        <v>0</v>
      </c>
      <c r="AI101">
        <f>'Entrada datos'!AL101</f>
        <v>0</v>
      </c>
      <c r="AJ101">
        <f>'Entrada datos'!AM101</f>
        <v>0</v>
      </c>
      <c r="AK101" s="17">
        <f t="shared" si="24"/>
        <v>0</v>
      </c>
      <c r="AL101">
        <f>'Entrada datos'!AN101</f>
        <v>0</v>
      </c>
      <c r="AM101">
        <f>'Entrada datos'!AO101</f>
        <v>0</v>
      </c>
      <c r="AN101">
        <f>'Entrada datos'!AP101</f>
        <v>0</v>
      </c>
      <c r="AO101">
        <f>'Entrada datos'!AQ101</f>
        <v>0</v>
      </c>
      <c r="AP101">
        <f>'Entrada datos'!AR101</f>
        <v>0</v>
      </c>
      <c r="AQ101">
        <f>'Entrada datos'!AS101</f>
        <v>0</v>
      </c>
      <c r="AR101" s="17">
        <f t="shared" si="25"/>
        <v>0</v>
      </c>
      <c r="AS101" s="23">
        <f t="shared" si="26"/>
        <v>0</v>
      </c>
      <c r="AT101">
        <f t="shared" si="27"/>
        <v>1900</v>
      </c>
      <c r="AU101" s="41" t="str">
        <f t="shared" si="28"/>
        <v>enero</v>
      </c>
      <c r="AV101">
        <f t="shared" si="29"/>
        <v>0</v>
      </c>
      <c r="AW101">
        <f t="shared" si="30"/>
        <v>0</v>
      </c>
      <c r="AX101" s="24">
        <f t="shared" si="17"/>
        <v>0</v>
      </c>
      <c r="AY101" s="24">
        <f t="shared" si="18"/>
        <v>0</v>
      </c>
      <c r="AZ101" s="24">
        <f t="shared" si="31"/>
        <v>0</v>
      </c>
      <c r="BA101">
        <f t="shared" si="32"/>
        <v>0</v>
      </c>
      <c r="BB101">
        <f t="shared" si="19"/>
        <v>0</v>
      </c>
      <c r="BC101" s="24">
        <f t="shared" si="20"/>
        <v>0</v>
      </c>
      <c r="BD101">
        <f t="shared" si="33"/>
        <v>0</v>
      </c>
    </row>
    <row r="102" spans="1:56" x14ac:dyDescent="0.3">
      <c r="A102">
        <f>'Entrada datos'!A102</f>
        <v>0</v>
      </c>
      <c r="B102">
        <f>'Entrada datos'!B102</f>
        <v>0</v>
      </c>
      <c r="C102">
        <f>'Entrada datos'!C102</f>
        <v>0</v>
      </c>
      <c r="D102">
        <f>'Entrada datos'!D102</f>
        <v>0</v>
      </c>
      <c r="E102" s="18">
        <f>'Entrada datos'!G102</f>
        <v>0</v>
      </c>
      <c r="F102" s="18">
        <f>'Entrada datos'!H102</f>
        <v>0</v>
      </c>
      <c r="G102">
        <f>'Entrada datos'!J102</f>
        <v>0</v>
      </c>
      <c r="H102">
        <f>'Entrada datos'!L102</f>
        <v>0</v>
      </c>
      <c r="I102">
        <f>'Entrada datos'!O102</f>
        <v>0</v>
      </c>
      <c r="J102">
        <f>'Entrada datos'!P102</f>
        <v>0</v>
      </c>
      <c r="K102">
        <f>'Entrada datos'!Q102</f>
        <v>0</v>
      </c>
      <c r="L102">
        <f>'Entrada datos'!R102</f>
        <v>0</v>
      </c>
      <c r="M102">
        <f>'Entrada datos'!S102</f>
        <v>0</v>
      </c>
      <c r="N102">
        <f>'Entrada datos'!T102</f>
        <v>0</v>
      </c>
      <c r="O102">
        <f>'Entrada datos'!U102</f>
        <v>0</v>
      </c>
      <c r="P102" s="17">
        <f t="shared" si="21"/>
        <v>0</v>
      </c>
      <c r="Q102">
        <f>'Entrada datos'!V102</f>
        <v>0</v>
      </c>
      <c r="R102">
        <f>'Entrada datos'!W102</f>
        <v>0</v>
      </c>
      <c r="S102">
        <f>'Entrada datos'!X102</f>
        <v>0</v>
      </c>
      <c r="T102">
        <f>'Entrada datos'!Y102</f>
        <v>0</v>
      </c>
      <c r="U102">
        <f>'Entrada datos'!Z102</f>
        <v>0</v>
      </c>
      <c r="V102">
        <f>'Entrada datos'!AA102</f>
        <v>0</v>
      </c>
      <c r="W102" s="17">
        <f t="shared" si="22"/>
        <v>0</v>
      </c>
      <c r="X102">
        <f>'Entrada datos'!AB102</f>
        <v>0</v>
      </c>
      <c r="Y102">
        <f>'Entrada datos'!AC102</f>
        <v>0</v>
      </c>
      <c r="Z102">
        <f>'Entrada datos'!AD102</f>
        <v>0</v>
      </c>
      <c r="AA102">
        <f>'Entrada datos'!AE102</f>
        <v>0</v>
      </c>
      <c r="AB102">
        <f>'Entrada datos'!AF102</f>
        <v>0</v>
      </c>
      <c r="AC102">
        <f>'Entrada datos'!AG102</f>
        <v>0</v>
      </c>
      <c r="AD102" s="17">
        <f t="shared" si="23"/>
        <v>0</v>
      </c>
      <c r="AE102">
        <f>'Entrada datos'!AH102</f>
        <v>0</v>
      </c>
      <c r="AF102">
        <f>'Entrada datos'!AI102</f>
        <v>0</v>
      </c>
      <c r="AG102">
        <f>'Entrada datos'!AJ102</f>
        <v>0</v>
      </c>
      <c r="AH102">
        <f>'Entrada datos'!AK102</f>
        <v>0</v>
      </c>
      <c r="AI102">
        <f>'Entrada datos'!AL102</f>
        <v>0</v>
      </c>
      <c r="AJ102">
        <f>'Entrada datos'!AM102</f>
        <v>0</v>
      </c>
      <c r="AK102" s="17">
        <f t="shared" si="24"/>
        <v>0</v>
      </c>
      <c r="AL102">
        <f>'Entrada datos'!AN102</f>
        <v>0</v>
      </c>
      <c r="AM102">
        <f>'Entrada datos'!AO102</f>
        <v>0</v>
      </c>
      <c r="AN102">
        <f>'Entrada datos'!AP102</f>
        <v>0</v>
      </c>
      <c r="AO102">
        <f>'Entrada datos'!AQ102</f>
        <v>0</v>
      </c>
      <c r="AP102">
        <f>'Entrada datos'!AR102</f>
        <v>0</v>
      </c>
      <c r="AQ102">
        <f>'Entrada datos'!AS102</f>
        <v>0</v>
      </c>
      <c r="AR102" s="17">
        <f t="shared" si="25"/>
        <v>0</v>
      </c>
      <c r="AS102" s="23">
        <f t="shared" si="26"/>
        <v>0</v>
      </c>
      <c r="AT102">
        <f t="shared" si="27"/>
        <v>1900</v>
      </c>
      <c r="AU102" s="41" t="str">
        <f t="shared" si="28"/>
        <v>enero</v>
      </c>
      <c r="AV102">
        <f t="shared" si="29"/>
        <v>0</v>
      </c>
      <c r="AW102">
        <f t="shared" si="30"/>
        <v>0</v>
      </c>
      <c r="AX102" s="24">
        <f t="shared" si="17"/>
        <v>0</v>
      </c>
      <c r="AY102" s="24">
        <f t="shared" si="18"/>
        <v>0</v>
      </c>
      <c r="AZ102" s="24">
        <f t="shared" si="31"/>
        <v>0</v>
      </c>
      <c r="BA102">
        <f t="shared" si="32"/>
        <v>0</v>
      </c>
      <c r="BB102">
        <f t="shared" si="19"/>
        <v>0</v>
      </c>
      <c r="BC102" s="24">
        <f t="shared" si="20"/>
        <v>0</v>
      </c>
      <c r="BD102">
        <f t="shared" si="33"/>
        <v>0</v>
      </c>
    </row>
    <row r="103" spans="1:56" x14ac:dyDescent="0.3">
      <c r="A103">
        <f>'Entrada datos'!A103</f>
        <v>0</v>
      </c>
      <c r="B103">
        <f>'Entrada datos'!B103</f>
        <v>0</v>
      </c>
      <c r="C103">
        <f>'Entrada datos'!C103</f>
        <v>0</v>
      </c>
      <c r="D103">
        <f>'Entrada datos'!D103</f>
        <v>0</v>
      </c>
      <c r="E103" s="18">
        <f>'Entrada datos'!G103</f>
        <v>0</v>
      </c>
      <c r="F103" s="18">
        <f>'Entrada datos'!H103</f>
        <v>0</v>
      </c>
      <c r="G103">
        <f>'Entrada datos'!J103</f>
        <v>0</v>
      </c>
      <c r="H103">
        <f>'Entrada datos'!L103</f>
        <v>0</v>
      </c>
      <c r="I103">
        <f>'Entrada datos'!O103</f>
        <v>0</v>
      </c>
      <c r="J103">
        <f>'Entrada datos'!P103</f>
        <v>0</v>
      </c>
      <c r="K103">
        <f>'Entrada datos'!Q103</f>
        <v>0</v>
      </c>
      <c r="L103">
        <f>'Entrada datos'!R103</f>
        <v>0</v>
      </c>
      <c r="M103">
        <f>'Entrada datos'!S103</f>
        <v>0</v>
      </c>
      <c r="N103">
        <f>'Entrada datos'!T103</f>
        <v>0</v>
      </c>
      <c r="O103">
        <f>'Entrada datos'!U103</f>
        <v>0</v>
      </c>
      <c r="P103" s="17">
        <f t="shared" si="21"/>
        <v>0</v>
      </c>
      <c r="Q103">
        <f>'Entrada datos'!V103</f>
        <v>0</v>
      </c>
      <c r="R103">
        <f>'Entrada datos'!W103</f>
        <v>0</v>
      </c>
      <c r="S103">
        <f>'Entrada datos'!X103</f>
        <v>0</v>
      </c>
      <c r="T103">
        <f>'Entrada datos'!Y103</f>
        <v>0</v>
      </c>
      <c r="U103">
        <f>'Entrada datos'!Z103</f>
        <v>0</v>
      </c>
      <c r="V103">
        <f>'Entrada datos'!AA103</f>
        <v>0</v>
      </c>
      <c r="W103" s="17">
        <f t="shared" si="22"/>
        <v>0</v>
      </c>
      <c r="X103">
        <f>'Entrada datos'!AB103</f>
        <v>0</v>
      </c>
      <c r="Y103">
        <f>'Entrada datos'!AC103</f>
        <v>0</v>
      </c>
      <c r="Z103">
        <f>'Entrada datos'!AD103</f>
        <v>0</v>
      </c>
      <c r="AA103">
        <f>'Entrada datos'!AE103</f>
        <v>0</v>
      </c>
      <c r="AB103">
        <f>'Entrada datos'!AF103</f>
        <v>0</v>
      </c>
      <c r="AC103">
        <f>'Entrada datos'!AG103</f>
        <v>0</v>
      </c>
      <c r="AD103" s="17">
        <f t="shared" si="23"/>
        <v>0</v>
      </c>
      <c r="AE103">
        <f>'Entrada datos'!AH103</f>
        <v>0</v>
      </c>
      <c r="AF103">
        <f>'Entrada datos'!AI103</f>
        <v>0</v>
      </c>
      <c r="AG103">
        <f>'Entrada datos'!AJ103</f>
        <v>0</v>
      </c>
      <c r="AH103">
        <f>'Entrada datos'!AK103</f>
        <v>0</v>
      </c>
      <c r="AI103">
        <f>'Entrada datos'!AL103</f>
        <v>0</v>
      </c>
      <c r="AJ103">
        <f>'Entrada datos'!AM103</f>
        <v>0</v>
      </c>
      <c r="AK103" s="17">
        <f t="shared" si="24"/>
        <v>0</v>
      </c>
      <c r="AL103">
        <f>'Entrada datos'!AN103</f>
        <v>0</v>
      </c>
      <c r="AM103">
        <f>'Entrada datos'!AO103</f>
        <v>0</v>
      </c>
      <c r="AN103">
        <f>'Entrada datos'!AP103</f>
        <v>0</v>
      </c>
      <c r="AO103">
        <f>'Entrada datos'!AQ103</f>
        <v>0</v>
      </c>
      <c r="AP103">
        <f>'Entrada datos'!AR103</f>
        <v>0</v>
      </c>
      <c r="AQ103">
        <f>'Entrada datos'!AS103</f>
        <v>0</v>
      </c>
      <c r="AR103" s="17">
        <f t="shared" si="25"/>
        <v>0</v>
      </c>
      <c r="AS103" s="23">
        <f t="shared" si="26"/>
        <v>0</v>
      </c>
      <c r="AT103">
        <f t="shared" si="27"/>
        <v>1900</v>
      </c>
      <c r="AU103" s="41" t="str">
        <f t="shared" si="28"/>
        <v>enero</v>
      </c>
      <c r="AV103">
        <f t="shared" si="29"/>
        <v>0</v>
      </c>
      <c r="AW103">
        <f t="shared" si="30"/>
        <v>0</v>
      </c>
      <c r="AX103" s="24">
        <f t="shared" si="17"/>
        <v>0</v>
      </c>
      <c r="AY103" s="24">
        <f t="shared" si="18"/>
        <v>0</v>
      </c>
      <c r="AZ103" s="24">
        <f t="shared" si="31"/>
        <v>0</v>
      </c>
      <c r="BA103">
        <f t="shared" si="32"/>
        <v>0</v>
      </c>
      <c r="BB103">
        <f t="shared" si="19"/>
        <v>0</v>
      </c>
      <c r="BC103" s="24">
        <f t="shared" si="20"/>
        <v>0</v>
      </c>
      <c r="BD103">
        <f t="shared" si="33"/>
        <v>0</v>
      </c>
    </row>
    <row r="104" spans="1:56" x14ac:dyDescent="0.3">
      <c r="A104">
        <f>'Entrada datos'!A104</f>
        <v>0</v>
      </c>
      <c r="B104">
        <f>'Entrada datos'!B104</f>
        <v>0</v>
      </c>
      <c r="C104">
        <f>'Entrada datos'!C104</f>
        <v>0</v>
      </c>
      <c r="D104">
        <f>'Entrada datos'!D104</f>
        <v>0</v>
      </c>
      <c r="E104" s="18">
        <f>'Entrada datos'!G104</f>
        <v>0</v>
      </c>
      <c r="F104" s="18">
        <f>'Entrada datos'!H104</f>
        <v>0</v>
      </c>
      <c r="G104">
        <f>'Entrada datos'!J104</f>
        <v>0</v>
      </c>
      <c r="H104">
        <f>'Entrada datos'!L104</f>
        <v>0</v>
      </c>
      <c r="I104">
        <f>'Entrada datos'!O104</f>
        <v>0</v>
      </c>
      <c r="J104">
        <f>'Entrada datos'!P104</f>
        <v>0</v>
      </c>
      <c r="K104">
        <f>'Entrada datos'!Q104</f>
        <v>0</v>
      </c>
      <c r="L104">
        <f>'Entrada datos'!R104</f>
        <v>0</v>
      </c>
      <c r="M104">
        <f>'Entrada datos'!S104</f>
        <v>0</v>
      </c>
      <c r="N104">
        <f>'Entrada datos'!T104</f>
        <v>0</v>
      </c>
      <c r="O104">
        <f>'Entrada datos'!U104</f>
        <v>0</v>
      </c>
      <c r="P104" s="17">
        <f t="shared" si="21"/>
        <v>0</v>
      </c>
      <c r="Q104">
        <f>'Entrada datos'!V104</f>
        <v>0</v>
      </c>
      <c r="R104">
        <f>'Entrada datos'!W104</f>
        <v>0</v>
      </c>
      <c r="S104">
        <f>'Entrada datos'!X104</f>
        <v>0</v>
      </c>
      <c r="T104">
        <f>'Entrada datos'!Y104</f>
        <v>0</v>
      </c>
      <c r="U104">
        <f>'Entrada datos'!Z104</f>
        <v>0</v>
      </c>
      <c r="V104">
        <f>'Entrada datos'!AA104</f>
        <v>0</v>
      </c>
      <c r="W104" s="17">
        <f t="shared" si="22"/>
        <v>0</v>
      </c>
      <c r="X104">
        <f>'Entrada datos'!AB104</f>
        <v>0</v>
      </c>
      <c r="Y104">
        <f>'Entrada datos'!AC104</f>
        <v>0</v>
      </c>
      <c r="Z104">
        <f>'Entrada datos'!AD104</f>
        <v>0</v>
      </c>
      <c r="AA104">
        <f>'Entrada datos'!AE104</f>
        <v>0</v>
      </c>
      <c r="AB104">
        <f>'Entrada datos'!AF104</f>
        <v>0</v>
      </c>
      <c r="AC104">
        <f>'Entrada datos'!AG104</f>
        <v>0</v>
      </c>
      <c r="AD104" s="17">
        <f t="shared" si="23"/>
        <v>0</v>
      </c>
      <c r="AE104">
        <f>'Entrada datos'!AH104</f>
        <v>0</v>
      </c>
      <c r="AF104">
        <f>'Entrada datos'!AI104</f>
        <v>0</v>
      </c>
      <c r="AG104">
        <f>'Entrada datos'!AJ104</f>
        <v>0</v>
      </c>
      <c r="AH104">
        <f>'Entrada datos'!AK104</f>
        <v>0</v>
      </c>
      <c r="AI104">
        <f>'Entrada datos'!AL104</f>
        <v>0</v>
      </c>
      <c r="AJ104">
        <f>'Entrada datos'!AM104</f>
        <v>0</v>
      </c>
      <c r="AK104" s="17">
        <f t="shared" si="24"/>
        <v>0</v>
      </c>
      <c r="AL104">
        <f>'Entrada datos'!AN104</f>
        <v>0</v>
      </c>
      <c r="AM104">
        <f>'Entrada datos'!AO104</f>
        <v>0</v>
      </c>
      <c r="AN104">
        <f>'Entrada datos'!AP104</f>
        <v>0</v>
      </c>
      <c r="AO104">
        <f>'Entrada datos'!AQ104</f>
        <v>0</v>
      </c>
      <c r="AP104">
        <f>'Entrada datos'!AR104</f>
        <v>0</v>
      </c>
      <c r="AQ104">
        <f>'Entrada datos'!AS104</f>
        <v>0</v>
      </c>
      <c r="AR104" s="17">
        <f t="shared" si="25"/>
        <v>0</v>
      </c>
      <c r="AS104" s="23">
        <f t="shared" si="26"/>
        <v>0</v>
      </c>
      <c r="AT104">
        <f t="shared" si="27"/>
        <v>1900</v>
      </c>
      <c r="AU104" s="41" t="str">
        <f t="shared" si="28"/>
        <v>enero</v>
      </c>
      <c r="AV104">
        <f t="shared" si="29"/>
        <v>0</v>
      </c>
      <c r="AW104">
        <f t="shared" si="30"/>
        <v>0</v>
      </c>
      <c r="AX104" s="24">
        <f t="shared" si="17"/>
        <v>0</v>
      </c>
      <c r="AY104" s="24">
        <f t="shared" si="18"/>
        <v>0</v>
      </c>
      <c r="AZ104" s="24">
        <f t="shared" si="31"/>
        <v>0</v>
      </c>
      <c r="BA104">
        <f t="shared" si="32"/>
        <v>0</v>
      </c>
      <c r="BB104">
        <f t="shared" si="19"/>
        <v>0</v>
      </c>
      <c r="BC104" s="24">
        <f t="shared" si="20"/>
        <v>0</v>
      </c>
      <c r="BD104">
        <f t="shared" si="33"/>
        <v>0</v>
      </c>
    </row>
    <row r="105" spans="1:56" x14ac:dyDescent="0.3">
      <c r="A105">
        <f>'Entrada datos'!A105</f>
        <v>0</v>
      </c>
      <c r="B105">
        <f>'Entrada datos'!B105</f>
        <v>0</v>
      </c>
      <c r="C105">
        <f>'Entrada datos'!C105</f>
        <v>0</v>
      </c>
      <c r="D105">
        <f>'Entrada datos'!D105</f>
        <v>0</v>
      </c>
      <c r="E105" s="18">
        <f>'Entrada datos'!G105</f>
        <v>0</v>
      </c>
      <c r="F105" s="18">
        <f>'Entrada datos'!H105</f>
        <v>0</v>
      </c>
      <c r="G105">
        <f>'Entrada datos'!J105</f>
        <v>0</v>
      </c>
      <c r="H105">
        <f>'Entrada datos'!L105</f>
        <v>0</v>
      </c>
      <c r="I105">
        <f>'Entrada datos'!O105</f>
        <v>0</v>
      </c>
      <c r="J105">
        <f>'Entrada datos'!P105</f>
        <v>0</v>
      </c>
      <c r="K105">
        <f>'Entrada datos'!Q105</f>
        <v>0</v>
      </c>
      <c r="L105">
        <f>'Entrada datos'!R105</f>
        <v>0</v>
      </c>
      <c r="M105">
        <f>'Entrada datos'!S105</f>
        <v>0</v>
      </c>
      <c r="N105">
        <f>'Entrada datos'!T105</f>
        <v>0</v>
      </c>
      <c r="O105">
        <f>'Entrada datos'!U105</f>
        <v>0</v>
      </c>
      <c r="P105" s="17">
        <f t="shared" si="21"/>
        <v>0</v>
      </c>
      <c r="Q105">
        <f>'Entrada datos'!V105</f>
        <v>0</v>
      </c>
      <c r="R105">
        <f>'Entrada datos'!W105</f>
        <v>0</v>
      </c>
      <c r="S105">
        <f>'Entrada datos'!X105</f>
        <v>0</v>
      </c>
      <c r="T105">
        <f>'Entrada datos'!Y105</f>
        <v>0</v>
      </c>
      <c r="U105">
        <f>'Entrada datos'!Z105</f>
        <v>0</v>
      </c>
      <c r="V105">
        <f>'Entrada datos'!AA105</f>
        <v>0</v>
      </c>
      <c r="W105" s="17">
        <f t="shared" si="22"/>
        <v>0</v>
      </c>
      <c r="X105">
        <f>'Entrada datos'!AB105</f>
        <v>0</v>
      </c>
      <c r="Y105">
        <f>'Entrada datos'!AC105</f>
        <v>0</v>
      </c>
      <c r="Z105">
        <f>'Entrada datos'!AD105</f>
        <v>0</v>
      </c>
      <c r="AA105">
        <f>'Entrada datos'!AE105</f>
        <v>0</v>
      </c>
      <c r="AB105">
        <f>'Entrada datos'!AF105</f>
        <v>0</v>
      </c>
      <c r="AC105">
        <f>'Entrada datos'!AG105</f>
        <v>0</v>
      </c>
      <c r="AD105" s="17">
        <f t="shared" si="23"/>
        <v>0</v>
      </c>
      <c r="AE105">
        <f>'Entrada datos'!AH105</f>
        <v>0</v>
      </c>
      <c r="AF105">
        <f>'Entrada datos'!AI105</f>
        <v>0</v>
      </c>
      <c r="AG105">
        <f>'Entrada datos'!AJ105</f>
        <v>0</v>
      </c>
      <c r="AH105">
        <f>'Entrada datos'!AK105</f>
        <v>0</v>
      </c>
      <c r="AI105">
        <f>'Entrada datos'!AL105</f>
        <v>0</v>
      </c>
      <c r="AJ105">
        <f>'Entrada datos'!AM105</f>
        <v>0</v>
      </c>
      <c r="AK105" s="17">
        <f t="shared" si="24"/>
        <v>0</v>
      </c>
      <c r="AL105">
        <f>'Entrada datos'!AN105</f>
        <v>0</v>
      </c>
      <c r="AM105">
        <f>'Entrada datos'!AO105</f>
        <v>0</v>
      </c>
      <c r="AN105">
        <f>'Entrada datos'!AP105</f>
        <v>0</v>
      </c>
      <c r="AO105">
        <f>'Entrada datos'!AQ105</f>
        <v>0</v>
      </c>
      <c r="AP105">
        <f>'Entrada datos'!AR105</f>
        <v>0</v>
      </c>
      <c r="AQ105">
        <f>'Entrada datos'!AS105</f>
        <v>0</v>
      </c>
      <c r="AR105" s="17">
        <f t="shared" si="25"/>
        <v>0</v>
      </c>
      <c r="AS105" s="23">
        <f t="shared" si="26"/>
        <v>0</v>
      </c>
      <c r="AT105">
        <f t="shared" si="27"/>
        <v>1900</v>
      </c>
      <c r="AU105" s="41" t="str">
        <f t="shared" si="28"/>
        <v>enero</v>
      </c>
      <c r="AV105">
        <f t="shared" si="29"/>
        <v>0</v>
      </c>
      <c r="AW105">
        <f t="shared" si="30"/>
        <v>0</v>
      </c>
      <c r="AX105" s="24">
        <f t="shared" si="17"/>
        <v>0</v>
      </c>
      <c r="AY105" s="24">
        <f t="shared" si="18"/>
        <v>0</v>
      </c>
      <c r="AZ105" s="24">
        <f t="shared" si="31"/>
        <v>0</v>
      </c>
      <c r="BA105">
        <f t="shared" si="32"/>
        <v>0</v>
      </c>
      <c r="BB105">
        <f t="shared" si="19"/>
        <v>0</v>
      </c>
      <c r="BC105" s="24">
        <f t="shared" si="20"/>
        <v>0</v>
      </c>
      <c r="BD105">
        <f t="shared" si="33"/>
        <v>0</v>
      </c>
    </row>
    <row r="106" spans="1:56" x14ac:dyDescent="0.3">
      <c r="A106">
        <f>'Entrada datos'!A106</f>
        <v>0</v>
      </c>
      <c r="B106">
        <f>'Entrada datos'!B106</f>
        <v>0</v>
      </c>
      <c r="C106">
        <f>'Entrada datos'!C106</f>
        <v>0</v>
      </c>
      <c r="D106">
        <f>'Entrada datos'!D106</f>
        <v>0</v>
      </c>
      <c r="E106" s="18">
        <f>'Entrada datos'!G106</f>
        <v>0</v>
      </c>
      <c r="F106" s="18">
        <f>'Entrada datos'!H106</f>
        <v>0</v>
      </c>
      <c r="G106">
        <f>'Entrada datos'!J106</f>
        <v>0</v>
      </c>
      <c r="H106">
        <f>'Entrada datos'!L106</f>
        <v>0</v>
      </c>
      <c r="I106">
        <f>'Entrada datos'!O106</f>
        <v>0</v>
      </c>
      <c r="J106">
        <f>'Entrada datos'!P106</f>
        <v>0</v>
      </c>
      <c r="K106">
        <f>'Entrada datos'!Q106</f>
        <v>0</v>
      </c>
      <c r="L106">
        <f>'Entrada datos'!R106</f>
        <v>0</v>
      </c>
      <c r="M106">
        <f>'Entrada datos'!S106</f>
        <v>0</v>
      </c>
      <c r="N106">
        <f>'Entrada datos'!T106</f>
        <v>0</v>
      </c>
      <c r="O106">
        <f>'Entrada datos'!U106</f>
        <v>0</v>
      </c>
      <c r="P106" s="17">
        <f t="shared" si="21"/>
        <v>0</v>
      </c>
      <c r="Q106">
        <f>'Entrada datos'!V106</f>
        <v>0</v>
      </c>
      <c r="R106">
        <f>'Entrada datos'!W106</f>
        <v>0</v>
      </c>
      <c r="S106">
        <f>'Entrada datos'!X106</f>
        <v>0</v>
      </c>
      <c r="T106">
        <f>'Entrada datos'!Y106</f>
        <v>0</v>
      </c>
      <c r="U106">
        <f>'Entrada datos'!Z106</f>
        <v>0</v>
      </c>
      <c r="V106">
        <f>'Entrada datos'!AA106</f>
        <v>0</v>
      </c>
      <c r="W106" s="17">
        <f t="shared" si="22"/>
        <v>0</v>
      </c>
      <c r="X106">
        <f>'Entrada datos'!AB106</f>
        <v>0</v>
      </c>
      <c r="Y106">
        <f>'Entrada datos'!AC106</f>
        <v>0</v>
      </c>
      <c r="Z106">
        <f>'Entrada datos'!AD106</f>
        <v>0</v>
      </c>
      <c r="AA106">
        <f>'Entrada datos'!AE106</f>
        <v>0</v>
      </c>
      <c r="AB106">
        <f>'Entrada datos'!AF106</f>
        <v>0</v>
      </c>
      <c r="AC106">
        <f>'Entrada datos'!AG106</f>
        <v>0</v>
      </c>
      <c r="AD106" s="17">
        <f t="shared" si="23"/>
        <v>0</v>
      </c>
      <c r="AE106">
        <f>'Entrada datos'!AH106</f>
        <v>0</v>
      </c>
      <c r="AF106">
        <f>'Entrada datos'!AI106</f>
        <v>0</v>
      </c>
      <c r="AG106">
        <f>'Entrada datos'!AJ106</f>
        <v>0</v>
      </c>
      <c r="AH106">
        <f>'Entrada datos'!AK106</f>
        <v>0</v>
      </c>
      <c r="AI106">
        <f>'Entrada datos'!AL106</f>
        <v>0</v>
      </c>
      <c r="AJ106">
        <f>'Entrada datos'!AM106</f>
        <v>0</v>
      </c>
      <c r="AK106" s="17">
        <f t="shared" si="24"/>
        <v>0</v>
      </c>
      <c r="AL106">
        <f>'Entrada datos'!AN106</f>
        <v>0</v>
      </c>
      <c r="AM106">
        <f>'Entrada datos'!AO106</f>
        <v>0</v>
      </c>
      <c r="AN106">
        <f>'Entrada datos'!AP106</f>
        <v>0</v>
      </c>
      <c r="AO106">
        <f>'Entrada datos'!AQ106</f>
        <v>0</v>
      </c>
      <c r="AP106">
        <f>'Entrada datos'!AR106</f>
        <v>0</v>
      </c>
      <c r="AQ106">
        <f>'Entrada datos'!AS106</f>
        <v>0</v>
      </c>
      <c r="AR106" s="17">
        <f t="shared" si="25"/>
        <v>0</v>
      </c>
      <c r="AS106" s="23">
        <f t="shared" si="26"/>
        <v>0</v>
      </c>
      <c r="AT106">
        <f t="shared" si="27"/>
        <v>1900</v>
      </c>
      <c r="AU106" s="41" t="str">
        <f t="shared" si="28"/>
        <v>enero</v>
      </c>
      <c r="AV106">
        <f t="shared" si="29"/>
        <v>0</v>
      </c>
      <c r="AW106">
        <f t="shared" si="30"/>
        <v>0</v>
      </c>
      <c r="AX106" s="24">
        <f t="shared" si="17"/>
        <v>0</v>
      </c>
      <c r="AY106" s="24">
        <f t="shared" si="18"/>
        <v>0</v>
      </c>
      <c r="AZ106" s="24">
        <f t="shared" si="31"/>
        <v>0</v>
      </c>
      <c r="BA106">
        <f t="shared" si="32"/>
        <v>0</v>
      </c>
      <c r="BB106">
        <f t="shared" si="19"/>
        <v>0</v>
      </c>
      <c r="BC106" s="24">
        <f t="shared" si="20"/>
        <v>0</v>
      </c>
      <c r="BD106">
        <f t="shared" si="33"/>
        <v>0</v>
      </c>
    </row>
    <row r="107" spans="1:56" x14ac:dyDescent="0.3">
      <c r="A107">
        <f>'Entrada datos'!A107</f>
        <v>0</v>
      </c>
      <c r="B107">
        <f>'Entrada datos'!B107</f>
        <v>0</v>
      </c>
      <c r="C107">
        <f>'Entrada datos'!C107</f>
        <v>0</v>
      </c>
      <c r="D107">
        <f>'Entrada datos'!D107</f>
        <v>0</v>
      </c>
      <c r="E107" s="18">
        <f>'Entrada datos'!G107</f>
        <v>0</v>
      </c>
      <c r="F107" s="18">
        <f>'Entrada datos'!H107</f>
        <v>0</v>
      </c>
      <c r="G107">
        <f>'Entrada datos'!J107</f>
        <v>0</v>
      </c>
      <c r="H107">
        <f>'Entrada datos'!L107</f>
        <v>0</v>
      </c>
      <c r="I107">
        <f>'Entrada datos'!O107</f>
        <v>0</v>
      </c>
      <c r="J107">
        <f>'Entrada datos'!P107</f>
        <v>0</v>
      </c>
      <c r="K107">
        <f>'Entrada datos'!Q107</f>
        <v>0</v>
      </c>
      <c r="L107">
        <f>'Entrada datos'!R107</f>
        <v>0</v>
      </c>
      <c r="M107">
        <f>'Entrada datos'!S107</f>
        <v>0</v>
      </c>
      <c r="N107">
        <f>'Entrada datos'!T107</f>
        <v>0</v>
      </c>
      <c r="O107">
        <f>'Entrada datos'!U107</f>
        <v>0</v>
      </c>
      <c r="P107" s="17">
        <f t="shared" si="21"/>
        <v>0</v>
      </c>
      <c r="Q107">
        <f>'Entrada datos'!V107</f>
        <v>0</v>
      </c>
      <c r="R107">
        <f>'Entrada datos'!W107</f>
        <v>0</v>
      </c>
      <c r="S107">
        <f>'Entrada datos'!X107</f>
        <v>0</v>
      </c>
      <c r="T107">
        <f>'Entrada datos'!Y107</f>
        <v>0</v>
      </c>
      <c r="U107">
        <f>'Entrada datos'!Z107</f>
        <v>0</v>
      </c>
      <c r="V107">
        <f>'Entrada datos'!AA107</f>
        <v>0</v>
      </c>
      <c r="W107" s="17">
        <f t="shared" si="22"/>
        <v>0</v>
      </c>
      <c r="X107">
        <f>'Entrada datos'!AB107</f>
        <v>0</v>
      </c>
      <c r="Y107">
        <f>'Entrada datos'!AC107</f>
        <v>0</v>
      </c>
      <c r="Z107">
        <f>'Entrada datos'!AD107</f>
        <v>0</v>
      </c>
      <c r="AA107">
        <f>'Entrada datos'!AE107</f>
        <v>0</v>
      </c>
      <c r="AB107">
        <f>'Entrada datos'!AF107</f>
        <v>0</v>
      </c>
      <c r="AC107">
        <f>'Entrada datos'!AG107</f>
        <v>0</v>
      </c>
      <c r="AD107" s="17">
        <f t="shared" si="23"/>
        <v>0</v>
      </c>
      <c r="AE107">
        <f>'Entrada datos'!AH107</f>
        <v>0</v>
      </c>
      <c r="AF107">
        <f>'Entrada datos'!AI107</f>
        <v>0</v>
      </c>
      <c r="AG107">
        <f>'Entrada datos'!AJ107</f>
        <v>0</v>
      </c>
      <c r="AH107">
        <f>'Entrada datos'!AK107</f>
        <v>0</v>
      </c>
      <c r="AI107">
        <f>'Entrada datos'!AL107</f>
        <v>0</v>
      </c>
      <c r="AJ107">
        <f>'Entrada datos'!AM107</f>
        <v>0</v>
      </c>
      <c r="AK107" s="17">
        <f t="shared" si="24"/>
        <v>0</v>
      </c>
      <c r="AL107">
        <f>'Entrada datos'!AN107</f>
        <v>0</v>
      </c>
      <c r="AM107">
        <f>'Entrada datos'!AO107</f>
        <v>0</v>
      </c>
      <c r="AN107">
        <f>'Entrada datos'!AP107</f>
        <v>0</v>
      </c>
      <c r="AO107">
        <f>'Entrada datos'!AQ107</f>
        <v>0</v>
      </c>
      <c r="AP107">
        <f>'Entrada datos'!AR107</f>
        <v>0</v>
      </c>
      <c r="AQ107">
        <f>'Entrada datos'!AS107</f>
        <v>0</v>
      </c>
      <c r="AR107" s="17">
        <f t="shared" si="25"/>
        <v>0</v>
      </c>
      <c r="AS107" s="23">
        <f t="shared" si="26"/>
        <v>0</v>
      </c>
      <c r="AT107">
        <f t="shared" si="27"/>
        <v>1900</v>
      </c>
      <c r="AU107" s="41" t="str">
        <f t="shared" si="28"/>
        <v>enero</v>
      </c>
      <c r="AV107">
        <f t="shared" si="29"/>
        <v>0</v>
      </c>
      <c r="AW107">
        <f t="shared" si="30"/>
        <v>0</v>
      </c>
      <c r="AX107" s="24">
        <f t="shared" si="17"/>
        <v>0</v>
      </c>
      <c r="AY107" s="24">
        <f t="shared" si="18"/>
        <v>0</v>
      </c>
      <c r="AZ107" s="24">
        <f t="shared" si="31"/>
        <v>0</v>
      </c>
      <c r="BA107">
        <f t="shared" si="32"/>
        <v>0</v>
      </c>
      <c r="BB107">
        <f t="shared" si="19"/>
        <v>0</v>
      </c>
      <c r="BC107" s="24">
        <f t="shared" si="20"/>
        <v>0</v>
      </c>
      <c r="BD107">
        <f t="shared" si="33"/>
        <v>0</v>
      </c>
    </row>
    <row r="108" spans="1:56" x14ac:dyDescent="0.3">
      <c r="A108">
        <f>'Entrada datos'!A108</f>
        <v>0</v>
      </c>
      <c r="B108">
        <f>'Entrada datos'!B108</f>
        <v>0</v>
      </c>
      <c r="C108">
        <f>'Entrada datos'!C108</f>
        <v>0</v>
      </c>
      <c r="D108">
        <f>'Entrada datos'!D108</f>
        <v>0</v>
      </c>
      <c r="E108" s="18">
        <f>'Entrada datos'!G108</f>
        <v>0</v>
      </c>
      <c r="F108" s="18">
        <f>'Entrada datos'!H108</f>
        <v>0</v>
      </c>
      <c r="G108">
        <f>'Entrada datos'!J108</f>
        <v>0</v>
      </c>
      <c r="H108">
        <f>'Entrada datos'!L108</f>
        <v>0</v>
      </c>
      <c r="I108">
        <f>'Entrada datos'!O108</f>
        <v>0</v>
      </c>
      <c r="J108">
        <f>'Entrada datos'!P108</f>
        <v>0</v>
      </c>
      <c r="K108">
        <f>'Entrada datos'!Q108</f>
        <v>0</v>
      </c>
      <c r="L108">
        <f>'Entrada datos'!R108</f>
        <v>0</v>
      </c>
      <c r="M108">
        <f>'Entrada datos'!S108</f>
        <v>0</v>
      </c>
      <c r="N108">
        <f>'Entrada datos'!T108</f>
        <v>0</v>
      </c>
      <c r="O108">
        <f>'Entrada datos'!U108</f>
        <v>0</v>
      </c>
      <c r="P108" s="17">
        <f t="shared" si="21"/>
        <v>0</v>
      </c>
      <c r="Q108">
        <f>'Entrada datos'!V108</f>
        <v>0</v>
      </c>
      <c r="R108">
        <f>'Entrada datos'!W108</f>
        <v>0</v>
      </c>
      <c r="S108">
        <f>'Entrada datos'!X108</f>
        <v>0</v>
      </c>
      <c r="T108">
        <f>'Entrada datos'!Y108</f>
        <v>0</v>
      </c>
      <c r="U108">
        <f>'Entrada datos'!Z108</f>
        <v>0</v>
      </c>
      <c r="V108">
        <f>'Entrada datos'!AA108</f>
        <v>0</v>
      </c>
      <c r="W108" s="17">
        <f t="shared" si="22"/>
        <v>0</v>
      </c>
      <c r="X108">
        <f>'Entrada datos'!AB108</f>
        <v>0</v>
      </c>
      <c r="Y108">
        <f>'Entrada datos'!AC108</f>
        <v>0</v>
      </c>
      <c r="Z108">
        <f>'Entrada datos'!AD108</f>
        <v>0</v>
      </c>
      <c r="AA108">
        <f>'Entrada datos'!AE108</f>
        <v>0</v>
      </c>
      <c r="AB108">
        <f>'Entrada datos'!AF108</f>
        <v>0</v>
      </c>
      <c r="AC108">
        <f>'Entrada datos'!AG108</f>
        <v>0</v>
      </c>
      <c r="AD108" s="17">
        <f t="shared" si="23"/>
        <v>0</v>
      </c>
      <c r="AE108">
        <f>'Entrada datos'!AH108</f>
        <v>0</v>
      </c>
      <c r="AF108">
        <f>'Entrada datos'!AI108</f>
        <v>0</v>
      </c>
      <c r="AG108">
        <f>'Entrada datos'!AJ108</f>
        <v>0</v>
      </c>
      <c r="AH108">
        <f>'Entrada datos'!AK108</f>
        <v>0</v>
      </c>
      <c r="AI108">
        <f>'Entrada datos'!AL108</f>
        <v>0</v>
      </c>
      <c r="AJ108">
        <f>'Entrada datos'!AM108</f>
        <v>0</v>
      </c>
      <c r="AK108" s="17">
        <f t="shared" si="24"/>
        <v>0</v>
      </c>
      <c r="AL108">
        <f>'Entrada datos'!AN108</f>
        <v>0</v>
      </c>
      <c r="AM108">
        <f>'Entrada datos'!AO108</f>
        <v>0</v>
      </c>
      <c r="AN108">
        <f>'Entrada datos'!AP108</f>
        <v>0</v>
      </c>
      <c r="AO108">
        <f>'Entrada datos'!AQ108</f>
        <v>0</v>
      </c>
      <c r="AP108">
        <f>'Entrada datos'!AR108</f>
        <v>0</v>
      </c>
      <c r="AQ108">
        <f>'Entrada datos'!AS108</f>
        <v>0</v>
      </c>
      <c r="AR108" s="17">
        <f t="shared" si="25"/>
        <v>0</v>
      </c>
      <c r="AS108" s="23">
        <f t="shared" si="26"/>
        <v>0</v>
      </c>
      <c r="AT108">
        <f t="shared" si="27"/>
        <v>1900</v>
      </c>
      <c r="AU108" s="41" t="str">
        <f t="shared" si="28"/>
        <v>enero</v>
      </c>
      <c r="AV108">
        <f t="shared" si="29"/>
        <v>0</v>
      </c>
      <c r="AW108">
        <f t="shared" si="30"/>
        <v>0</v>
      </c>
      <c r="AX108" s="24">
        <f t="shared" si="17"/>
        <v>0</v>
      </c>
      <c r="AY108" s="24">
        <f t="shared" si="18"/>
        <v>0</v>
      </c>
      <c r="AZ108" s="24">
        <f t="shared" si="31"/>
        <v>0</v>
      </c>
      <c r="BA108">
        <f t="shared" si="32"/>
        <v>0</v>
      </c>
      <c r="BB108">
        <f t="shared" si="19"/>
        <v>0</v>
      </c>
      <c r="BC108" s="24">
        <f t="shared" si="20"/>
        <v>0</v>
      </c>
      <c r="BD108">
        <f t="shared" si="33"/>
        <v>0</v>
      </c>
    </row>
    <row r="109" spans="1:56" x14ac:dyDescent="0.3">
      <c r="A109">
        <f>'Entrada datos'!A109</f>
        <v>0</v>
      </c>
      <c r="B109">
        <f>'Entrada datos'!B109</f>
        <v>0</v>
      </c>
      <c r="C109">
        <f>'Entrada datos'!C109</f>
        <v>0</v>
      </c>
      <c r="D109">
        <f>'Entrada datos'!D109</f>
        <v>0</v>
      </c>
      <c r="E109" s="18">
        <f>'Entrada datos'!G109</f>
        <v>0</v>
      </c>
      <c r="F109" s="18">
        <f>'Entrada datos'!H109</f>
        <v>0</v>
      </c>
      <c r="G109">
        <f>'Entrada datos'!J109</f>
        <v>0</v>
      </c>
      <c r="H109">
        <f>'Entrada datos'!L109</f>
        <v>0</v>
      </c>
      <c r="I109">
        <f>'Entrada datos'!O109</f>
        <v>0</v>
      </c>
      <c r="J109">
        <f>'Entrada datos'!P109</f>
        <v>0</v>
      </c>
      <c r="K109">
        <f>'Entrada datos'!Q109</f>
        <v>0</v>
      </c>
      <c r="L109">
        <f>'Entrada datos'!R109</f>
        <v>0</v>
      </c>
      <c r="M109">
        <f>'Entrada datos'!S109</f>
        <v>0</v>
      </c>
      <c r="N109">
        <f>'Entrada datos'!T109</f>
        <v>0</v>
      </c>
      <c r="O109">
        <f>'Entrada datos'!U109</f>
        <v>0</v>
      </c>
      <c r="P109" s="17">
        <f t="shared" si="21"/>
        <v>0</v>
      </c>
      <c r="Q109">
        <f>'Entrada datos'!V109</f>
        <v>0</v>
      </c>
      <c r="R109">
        <f>'Entrada datos'!W109</f>
        <v>0</v>
      </c>
      <c r="S109">
        <f>'Entrada datos'!X109</f>
        <v>0</v>
      </c>
      <c r="T109">
        <f>'Entrada datos'!Y109</f>
        <v>0</v>
      </c>
      <c r="U109">
        <f>'Entrada datos'!Z109</f>
        <v>0</v>
      </c>
      <c r="V109">
        <f>'Entrada datos'!AA109</f>
        <v>0</v>
      </c>
      <c r="W109" s="17">
        <f t="shared" si="22"/>
        <v>0</v>
      </c>
      <c r="X109">
        <f>'Entrada datos'!AB109</f>
        <v>0</v>
      </c>
      <c r="Y109">
        <f>'Entrada datos'!AC109</f>
        <v>0</v>
      </c>
      <c r="Z109">
        <f>'Entrada datos'!AD109</f>
        <v>0</v>
      </c>
      <c r="AA109">
        <f>'Entrada datos'!AE109</f>
        <v>0</v>
      </c>
      <c r="AB109">
        <f>'Entrada datos'!AF109</f>
        <v>0</v>
      </c>
      <c r="AC109">
        <f>'Entrada datos'!AG109</f>
        <v>0</v>
      </c>
      <c r="AD109" s="17">
        <f t="shared" si="23"/>
        <v>0</v>
      </c>
      <c r="AE109">
        <f>'Entrada datos'!AH109</f>
        <v>0</v>
      </c>
      <c r="AF109">
        <f>'Entrada datos'!AI109</f>
        <v>0</v>
      </c>
      <c r="AG109">
        <f>'Entrada datos'!AJ109</f>
        <v>0</v>
      </c>
      <c r="AH109">
        <f>'Entrada datos'!AK109</f>
        <v>0</v>
      </c>
      <c r="AI109">
        <f>'Entrada datos'!AL109</f>
        <v>0</v>
      </c>
      <c r="AJ109">
        <f>'Entrada datos'!AM109</f>
        <v>0</v>
      </c>
      <c r="AK109" s="17">
        <f t="shared" si="24"/>
        <v>0</v>
      </c>
      <c r="AL109">
        <f>'Entrada datos'!AN109</f>
        <v>0</v>
      </c>
      <c r="AM109">
        <f>'Entrada datos'!AO109</f>
        <v>0</v>
      </c>
      <c r="AN109">
        <f>'Entrada datos'!AP109</f>
        <v>0</v>
      </c>
      <c r="AO109">
        <f>'Entrada datos'!AQ109</f>
        <v>0</v>
      </c>
      <c r="AP109">
        <f>'Entrada datos'!AR109</f>
        <v>0</v>
      </c>
      <c r="AQ109">
        <f>'Entrada datos'!AS109</f>
        <v>0</v>
      </c>
      <c r="AR109" s="17">
        <f t="shared" si="25"/>
        <v>0</v>
      </c>
      <c r="AS109" s="23">
        <f t="shared" si="26"/>
        <v>0</v>
      </c>
      <c r="AT109">
        <f t="shared" si="27"/>
        <v>1900</v>
      </c>
      <c r="AU109" s="41" t="str">
        <f t="shared" si="28"/>
        <v>enero</v>
      </c>
      <c r="AV109">
        <f t="shared" si="29"/>
        <v>0</v>
      </c>
      <c r="AW109">
        <f t="shared" si="30"/>
        <v>0</v>
      </c>
      <c r="AX109" s="24">
        <f t="shared" si="17"/>
        <v>0</v>
      </c>
      <c r="AY109" s="24">
        <f t="shared" si="18"/>
        <v>0</v>
      </c>
      <c r="AZ109" s="24">
        <f t="shared" si="31"/>
        <v>0</v>
      </c>
      <c r="BA109">
        <f t="shared" si="32"/>
        <v>0</v>
      </c>
      <c r="BB109">
        <f t="shared" si="19"/>
        <v>0</v>
      </c>
      <c r="BC109" s="24">
        <f t="shared" si="20"/>
        <v>0</v>
      </c>
      <c r="BD109">
        <f t="shared" si="33"/>
        <v>0</v>
      </c>
    </row>
    <row r="110" spans="1:56" x14ac:dyDescent="0.3">
      <c r="A110">
        <f>'Entrada datos'!A110</f>
        <v>0</v>
      </c>
      <c r="B110">
        <f>'Entrada datos'!B110</f>
        <v>0</v>
      </c>
      <c r="C110">
        <f>'Entrada datos'!C110</f>
        <v>0</v>
      </c>
      <c r="D110">
        <f>'Entrada datos'!D110</f>
        <v>0</v>
      </c>
      <c r="E110" s="18">
        <f>'Entrada datos'!G110</f>
        <v>0</v>
      </c>
      <c r="F110" s="18">
        <f>'Entrada datos'!H110</f>
        <v>0</v>
      </c>
      <c r="G110">
        <f>'Entrada datos'!J110</f>
        <v>0</v>
      </c>
      <c r="H110">
        <f>'Entrada datos'!L110</f>
        <v>0</v>
      </c>
      <c r="I110">
        <f>'Entrada datos'!O110</f>
        <v>0</v>
      </c>
      <c r="J110">
        <f>'Entrada datos'!P110</f>
        <v>0</v>
      </c>
      <c r="K110">
        <f>'Entrada datos'!Q110</f>
        <v>0</v>
      </c>
      <c r="L110">
        <f>'Entrada datos'!R110</f>
        <v>0</v>
      </c>
      <c r="M110">
        <f>'Entrada datos'!S110</f>
        <v>0</v>
      </c>
      <c r="N110">
        <f>'Entrada datos'!T110</f>
        <v>0</v>
      </c>
      <c r="O110">
        <f>'Entrada datos'!U110</f>
        <v>0</v>
      </c>
      <c r="P110" s="17">
        <f t="shared" si="21"/>
        <v>0</v>
      </c>
      <c r="Q110">
        <f>'Entrada datos'!V110</f>
        <v>0</v>
      </c>
      <c r="R110">
        <f>'Entrada datos'!W110</f>
        <v>0</v>
      </c>
      <c r="S110">
        <f>'Entrada datos'!X110</f>
        <v>0</v>
      </c>
      <c r="T110">
        <f>'Entrada datos'!Y110</f>
        <v>0</v>
      </c>
      <c r="U110">
        <f>'Entrada datos'!Z110</f>
        <v>0</v>
      </c>
      <c r="V110">
        <f>'Entrada datos'!AA110</f>
        <v>0</v>
      </c>
      <c r="W110" s="17">
        <f t="shared" si="22"/>
        <v>0</v>
      </c>
      <c r="X110">
        <f>'Entrada datos'!AB110</f>
        <v>0</v>
      </c>
      <c r="Y110">
        <f>'Entrada datos'!AC110</f>
        <v>0</v>
      </c>
      <c r="Z110">
        <f>'Entrada datos'!AD110</f>
        <v>0</v>
      </c>
      <c r="AA110">
        <f>'Entrada datos'!AE110</f>
        <v>0</v>
      </c>
      <c r="AB110">
        <f>'Entrada datos'!AF110</f>
        <v>0</v>
      </c>
      <c r="AC110">
        <f>'Entrada datos'!AG110</f>
        <v>0</v>
      </c>
      <c r="AD110" s="17">
        <f t="shared" si="23"/>
        <v>0</v>
      </c>
      <c r="AE110">
        <f>'Entrada datos'!AH110</f>
        <v>0</v>
      </c>
      <c r="AF110">
        <f>'Entrada datos'!AI110</f>
        <v>0</v>
      </c>
      <c r="AG110">
        <f>'Entrada datos'!AJ110</f>
        <v>0</v>
      </c>
      <c r="AH110">
        <f>'Entrada datos'!AK110</f>
        <v>0</v>
      </c>
      <c r="AI110">
        <f>'Entrada datos'!AL110</f>
        <v>0</v>
      </c>
      <c r="AJ110">
        <f>'Entrada datos'!AM110</f>
        <v>0</v>
      </c>
      <c r="AK110" s="17">
        <f t="shared" si="24"/>
        <v>0</v>
      </c>
      <c r="AL110">
        <f>'Entrada datos'!AN110</f>
        <v>0</v>
      </c>
      <c r="AM110">
        <f>'Entrada datos'!AO110</f>
        <v>0</v>
      </c>
      <c r="AN110">
        <f>'Entrada datos'!AP110</f>
        <v>0</v>
      </c>
      <c r="AO110">
        <f>'Entrada datos'!AQ110</f>
        <v>0</v>
      </c>
      <c r="AP110">
        <f>'Entrada datos'!AR110</f>
        <v>0</v>
      </c>
      <c r="AQ110">
        <f>'Entrada datos'!AS110</f>
        <v>0</v>
      </c>
      <c r="AR110" s="17">
        <f t="shared" si="25"/>
        <v>0</v>
      </c>
      <c r="AS110" s="23">
        <f t="shared" si="26"/>
        <v>0</v>
      </c>
      <c r="AT110">
        <f t="shared" si="27"/>
        <v>1900</v>
      </c>
      <c r="AU110" s="41" t="str">
        <f t="shared" si="28"/>
        <v>enero</v>
      </c>
      <c r="AV110">
        <f t="shared" si="29"/>
        <v>0</v>
      </c>
      <c r="AW110">
        <f t="shared" si="30"/>
        <v>0</v>
      </c>
      <c r="AX110" s="24">
        <f t="shared" si="17"/>
        <v>0</v>
      </c>
      <c r="AY110" s="24">
        <f t="shared" si="18"/>
        <v>0</v>
      </c>
      <c r="AZ110" s="24">
        <f t="shared" si="31"/>
        <v>0</v>
      </c>
      <c r="BA110">
        <f t="shared" si="32"/>
        <v>0</v>
      </c>
      <c r="BB110">
        <f t="shared" si="19"/>
        <v>0</v>
      </c>
      <c r="BC110" s="24">
        <f t="shared" si="20"/>
        <v>0</v>
      </c>
      <c r="BD110">
        <f t="shared" si="33"/>
        <v>0</v>
      </c>
    </row>
    <row r="111" spans="1:56" x14ac:dyDescent="0.3">
      <c r="A111">
        <f>'Entrada datos'!A111</f>
        <v>0</v>
      </c>
      <c r="B111">
        <f>'Entrada datos'!B111</f>
        <v>0</v>
      </c>
      <c r="C111">
        <f>'Entrada datos'!C111</f>
        <v>0</v>
      </c>
      <c r="D111">
        <f>'Entrada datos'!D111</f>
        <v>0</v>
      </c>
      <c r="E111" s="18">
        <f>'Entrada datos'!G111</f>
        <v>0</v>
      </c>
      <c r="F111" s="18">
        <f>'Entrada datos'!H111</f>
        <v>0</v>
      </c>
      <c r="G111">
        <f>'Entrada datos'!J111</f>
        <v>0</v>
      </c>
      <c r="H111">
        <f>'Entrada datos'!L111</f>
        <v>0</v>
      </c>
      <c r="I111">
        <f>'Entrada datos'!O111</f>
        <v>0</v>
      </c>
      <c r="J111">
        <f>'Entrada datos'!P111</f>
        <v>0</v>
      </c>
      <c r="K111">
        <f>'Entrada datos'!Q111</f>
        <v>0</v>
      </c>
      <c r="L111">
        <f>'Entrada datos'!R111</f>
        <v>0</v>
      </c>
      <c r="M111">
        <f>'Entrada datos'!S111</f>
        <v>0</v>
      </c>
      <c r="N111">
        <f>'Entrada datos'!T111</f>
        <v>0</v>
      </c>
      <c r="O111">
        <f>'Entrada datos'!U111</f>
        <v>0</v>
      </c>
      <c r="P111" s="17">
        <f t="shared" si="21"/>
        <v>0</v>
      </c>
      <c r="Q111">
        <f>'Entrada datos'!V111</f>
        <v>0</v>
      </c>
      <c r="R111">
        <f>'Entrada datos'!W111</f>
        <v>0</v>
      </c>
      <c r="S111">
        <f>'Entrada datos'!X111</f>
        <v>0</v>
      </c>
      <c r="T111">
        <f>'Entrada datos'!Y111</f>
        <v>0</v>
      </c>
      <c r="U111">
        <f>'Entrada datos'!Z111</f>
        <v>0</v>
      </c>
      <c r="V111">
        <f>'Entrada datos'!AA111</f>
        <v>0</v>
      </c>
      <c r="W111" s="17">
        <f t="shared" si="22"/>
        <v>0</v>
      </c>
      <c r="X111">
        <f>'Entrada datos'!AB111</f>
        <v>0</v>
      </c>
      <c r="Y111">
        <f>'Entrada datos'!AC111</f>
        <v>0</v>
      </c>
      <c r="Z111">
        <f>'Entrada datos'!AD111</f>
        <v>0</v>
      </c>
      <c r="AA111">
        <f>'Entrada datos'!AE111</f>
        <v>0</v>
      </c>
      <c r="AB111">
        <f>'Entrada datos'!AF111</f>
        <v>0</v>
      </c>
      <c r="AC111">
        <f>'Entrada datos'!AG111</f>
        <v>0</v>
      </c>
      <c r="AD111" s="17">
        <f t="shared" si="23"/>
        <v>0</v>
      </c>
      <c r="AE111">
        <f>'Entrada datos'!AH111</f>
        <v>0</v>
      </c>
      <c r="AF111">
        <f>'Entrada datos'!AI111</f>
        <v>0</v>
      </c>
      <c r="AG111">
        <f>'Entrada datos'!AJ111</f>
        <v>0</v>
      </c>
      <c r="AH111">
        <f>'Entrada datos'!AK111</f>
        <v>0</v>
      </c>
      <c r="AI111">
        <f>'Entrada datos'!AL111</f>
        <v>0</v>
      </c>
      <c r="AJ111">
        <f>'Entrada datos'!AM111</f>
        <v>0</v>
      </c>
      <c r="AK111" s="17">
        <f t="shared" si="24"/>
        <v>0</v>
      </c>
      <c r="AL111">
        <f>'Entrada datos'!AN111</f>
        <v>0</v>
      </c>
      <c r="AM111">
        <f>'Entrada datos'!AO111</f>
        <v>0</v>
      </c>
      <c r="AN111">
        <f>'Entrada datos'!AP111</f>
        <v>0</v>
      </c>
      <c r="AO111">
        <f>'Entrada datos'!AQ111</f>
        <v>0</v>
      </c>
      <c r="AP111">
        <f>'Entrada datos'!AR111</f>
        <v>0</v>
      </c>
      <c r="AQ111">
        <f>'Entrada datos'!AS111</f>
        <v>0</v>
      </c>
      <c r="AR111" s="17">
        <f t="shared" si="25"/>
        <v>0</v>
      </c>
      <c r="AS111" s="23">
        <f t="shared" si="26"/>
        <v>0</v>
      </c>
      <c r="AT111">
        <f t="shared" si="27"/>
        <v>1900</v>
      </c>
      <c r="AU111" s="41" t="str">
        <f t="shared" si="28"/>
        <v>enero</v>
      </c>
      <c r="AV111">
        <f t="shared" si="29"/>
        <v>0</v>
      </c>
      <c r="AW111">
        <f t="shared" si="30"/>
        <v>0</v>
      </c>
      <c r="AX111" s="24">
        <f t="shared" si="17"/>
        <v>0</v>
      </c>
      <c r="AY111" s="24">
        <f t="shared" si="18"/>
        <v>0</v>
      </c>
      <c r="AZ111" s="24">
        <f t="shared" si="31"/>
        <v>0</v>
      </c>
      <c r="BA111">
        <f t="shared" si="32"/>
        <v>0</v>
      </c>
      <c r="BB111">
        <f t="shared" si="19"/>
        <v>0</v>
      </c>
      <c r="BC111" s="24">
        <f t="shared" si="20"/>
        <v>0</v>
      </c>
      <c r="BD111">
        <f t="shared" si="33"/>
        <v>0</v>
      </c>
    </row>
    <row r="112" spans="1:56" x14ac:dyDescent="0.3">
      <c r="A112">
        <f>'Entrada datos'!A112</f>
        <v>0</v>
      </c>
      <c r="B112">
        <f>'Entrada datos'!B112</f>
        <v>0</v>
      </c>
      <c r="C112">
        <f>'Entrada datos'!C112</f>
        <v>0</v>
      </c>
      <c r="D112">
        <f>'Entrada datos'!D112</f>
        <v>0</v>
      </c>
      <c r="E112" s="18">
        <f>'Entrada datos'!G112</f>
        <v>0</v>
      </c>
      <c r="F112" s="18">
        <f>'Entrada datos'!H112</f>
        <v>0</v>
      </c>
      <c r="G112">
        <f>'Entrada datos'!J112</f>
        <v>0</v>
      </c>
      <c r="H112">
        <f>'Entrada datos'!L112</f>
        <v>0</v>
      </c>
      <c r="I112">
        <f>'Entrada datos'!O112</f>
        <v>0</v>
      </c>
      <c r="J112">
        <f>'Entrada datos'!P112</f>
        <v>0</v>
      </c>
      <c r="K112">
        <f>'Entrada datos'!Q112</f>
        <v>0</v>
      </c>
      <c r="L112">
        <f>'Entrada datos'!R112</f>
        <v>0</v>
      </c>
      <c r="M112">
        <f>'Entrada datos'!S112</f>
        <v>0</v>
      </c>
      <c r="N112">
        <f>'Entrada datos'!T112</f>
        <v>0</v>
      </c>
      <c r="O112">
        <f>'Entrada datos'!U112</f>
        <v>0</v>
      </c>
      <c r="P112" s="17">
        <f t="shared" si="21"/>
        <v>0</v>
      </c>
      <c r="Q112">
        <f>'Entrada datos'!V112</f>
        <v>0</v>
      </c>
      <c r="R112">
        <f>'Entrada datos'!W112</f>
        <v>0</v>
      </c>
      <c r="S112">
        <f>'Entrada datos'!X112</f>
        <v>0</v>
      </c>
      <c r="T112">
        <f>'Entrada datos'!Y112</f>
        <v>0</v>
      </c>
      <c r="U112">
        <f>'Entrada datos'!Z112</f>
        <v>0</v>
      </c>
      <c r="V112">
        <f>'Entrada datos'!AA112</f>
        <v>0</v>
      </c>
      <c r="W112" s="17">
        <f t="shared" si="22"/>
        <v>0</v>
      </c>
      <c r="X112">
        <f>'Entrada datos'!AB112</f>
        <v>0</v>
      </c>
      <c r="Y112">
        <f>'Entrada datos'!AC112</f>
        <v>0</v>
      </c>
      <c r="Z112">
        <f>'Entrada datos'!AD112</f>
        <v>0</v>
      </c>
      <c r="AA112">
        <f>'Entrada datos'!AE112</f>
        <v>0</v>
      </c>
      <c r="AB112">
        <f>'Entrada datos'!AF112</f>
        <v>0</v>
      </c>
      <c r="AC112">
        <f>'Entrada datos'!AG112</f>
        <v>0</v>
      </c>
      <c r="AD112" s="17">
        <f t="shared" si="23"/>
        <v>0</v>
      </c>
      <c r="AE112">
        <f>'Entrada datos'!AH112</f>
        <v>0</v>
      </c>
      <c r="AF112">
        <f>'Entrada datos'!AI112</f>
        <v>0</v>
      </c>
      <c r="AG112">
        <f>'Entrada datos'!AJ112</f>
        <v>0</v>
      </c>
      <c r="AH112">
        <f>'Entrada datos'!AK112</f>
        <v>0</v>
      </c>
      <c r="AI112">
        <f>'Entrada datos'!AL112</f>
        <v>0</v>
      </c>
      <c r="AJ112">
        <f>'Entrada datos'!AM112</f>
        <v>0</v>
      </c>
      <c r="AK112" s="17">
        <f t="shared" si="24"/>
        <v>0</v>
      </c>
      <c r="AL112">
        <f>'Entrada datos'!AN112</f>
        <v>0</v>
      </c>
      <c r="AM112">
        <f>'Entrada datos'!AO112</f>
        <v>0</v>
      </c>
      <c r="AN112">
        <f>'Entrada datos'!AP112</f>
        <v>0</v>
      </c>
      <c r="AO112">
        <f>'Entrada datos'!AQ112</f>
        <v>0</v>
      </c>
      <c r="AP112">
        <f>'Entrada datos'!AR112</f>
        <v>0</v>
      </c>
      <c r="AQ112">
        <f>'Entrada datos'!AS112</f>
        <v>0</v>
      </c>
      <c r="AR112" s="17">
        <f t="shared" si="25"/>
        <v>0</v>
      </c>
      <c r="AS112" s="23">
        <f t="shared" si="26"/>
        <v>0</v>
      </c>
      <c r="AT112">
        <f t="shared" si="27"/>
        <v>1900</v>
      </c>
      <c r="AU112" s="41" t="str">
        <f t="shared" si="28"/>
        <v>enero</v>
      </c>
      <c r="AV112">
        <f t="shared" si="29"/>
        <v>0</v>
      </c>
      <c r="AW112">
        <f t="shared" si="30"/>
        <v>0</v>
      </c>
      <c r="AX112" s="24">
        <f t="shared" si="17"/>
        <v>0</v>
      </c>
      <c r="AY112" s="24">
        <f t="shared" si="18"/>
        <v>0</v>
      </c>
      <c r="AZ112" s="24">
        <f t="shared" si="31"/>
        <v>0</v>
      </c>
      <c r="BA112">
        <f t="shared" si="32"/>
        <v>0</v>
      </c>
      <c r="BB112">
        <f t="shared" si="19"/>
        <v>0</v>
      </c>
      <c r="BC112" s="24">
        <f t="shared" si="20"/>
        <v>0</v>
      </c>
      <c r="BD112">
        <f t="shared" si="33"/>
        <v>0</v>
      </c>
    </row>
    <row r="113" spans="1:56" x14ac:dyDescent="0.3">
      <c r="A113">
        <f>'Entrada datos'!A113</f>
        <v>0</v>
      </c>
      <c r="B113">
        <f>'Entrada datos'!B113</f>
        <v>0</v>
      </c>
      <c r="C113">
        <f>'Entrada datos'!C113</f>
        <v>0</v>
      </c>
      <c r="D113">
        <f>'Entrada datos'!D113</f>
        <v>0</v>
      </c>
      <c r="E113" s="18">
        <f>'Entrada datos'!G113</f>
        <v>0</v>
      </c>
      <c r="F113" s="18">
        <f>'Entrada datos'!H113</f>
        <v>0</v>
      </c>
      <c r="G113">
        <f>'Entrada datos'!J113</f>
        <v>0</v>
      </c>
      <c r="H113">
        <f>'Entrada datos'!L113</f>
        <v>0</v>
      </c>
      <c r="I113">
        <f>'Entrada datos'!O113</f>
        <v>0</v>
      </c>
      <c r="J113">
        <f>'Entrada datos'!P113</f>
        <v>0</v>
      </c>
      <c r="K113">
        <f>'Entrada datos'!Q113</f>
        <v>0</v>
      </c>
      <c r="L113">
        <f>'Entrada datos'!R113</f>
        <v>0</v>
      </c>
      <c r="M113">
        <f>'Entrada datos'!S113</f>
        <v>0</v>
      </c>
      <c r="N113">
        <f>'Entrada datos'!T113</f>
        <v>0</v>
      </c>
      <c r="O113">
        <f>'Entrada datos'!U113</f>
        <v>0</v>
      </c>
      <c r="P113" s="17">
        <f t="shared" si="21"/>
        <v>0</v>
      </c>
      <c r="Q113">
        <f>'Entrada datos'!V113</f>
        <v>0</v>
      </c>
      <c r="R113">
        <f>'Entrada datos'!W113</f>
        <v>0</v>
      </c>
      <c r="S113">
        <f>'Entrada datos'!X113</f>
        <v>0</v>
      </c>
      <c r="T113">
        <f>'Entrada datos'!Y113</f>
        <v>0</v>
      </c>
      <c r="U113">
        <f>'Entrada datos'!Z113</f>
        <v>0</v>
      </c>
      <c r="V113">
        <f>'Entrada datos'!AA113</f>
        <v>0</v>
      </c>
      <c r="W113" s="17">
        <f t="shared" si="22"/>
        <v>0</v>
      </c>
      <c r="X113">
        <f>'Entrada datos'!AB113</f>
        <v>0</v>
      </c>
      <c r="Y113">
        <f>'Entrada datos'!AC113</f>
        <v>0</v>
      </c>
      <c r="Z113">
        <f>'Entrada datos'!AD113</f>
        <v>0</v>
      </c>
      <c r="AA113">
        <f>'Entrada datos'!AE113</f>
        <v>0</v>
      </c>
      <c r="AB113">
        <f>'Entrada datos'!AF113</f>
        <v>0</v>
      </c>
      <c r="AC113">
        <f>'Entrada datos'!AG113</f>
        <v>0</v>
      </c>
      <c r="AD113" s="17">
        <f t="shared" si="23"/>
        <v>0</v>
      </c>
      <c r="AE113">
        <f>'Entrada datos'!AH113</f>
        <v>0</v>
      </c>
      <c r="AF113">
        <f>'Entrada datos'!AI113</f>
        <v>0</v>
      </c>
      <c r="AG113">
        <f>'Entrada datos'!AJ113</f>
        <v>0</v>
      </c>
      <c r="AH113">
        <f>'Entrada datos'!AK113</f>
        <v>0</v>
      </c>
      <c r="AI113">
        <f>'Entrada datos'!AL113</f>
        <v>0</v>
      </c>
      <c r="AJ113">
        <f>'Entrada datos'!AM113</f>
        <v>0</v>
      </c>
      <c r="AK113" s="17">
        <f t="shared" si="24"/>
        <v>0</v>
      </c>
      <c r="AL113">
        <f>'Entrada datos'!AN113</f>
        <v>0</v>
      </c>
      <c r="AM113">
        <f>'Entrada datos'!AO113</f>
        <v>0</v>
      </c>
      <c r="AN113">
        <f>'Entrada datos'!AP113</f>
        <v>0</v>
      </c>
      <c r="AO113">
        <f>'Entrada datos'!AQ113</f>
        <v>0</v>
      </c>
      <c r="AP113">
        <f>'Entrada datos'!AR113</f>
        <v>0</v>
      </c>
      <c r="AQ113">
        <f>'Entrada datos'!AS113</f>
        <v>0</v>
      </c>
      <c r="AR113" s="17">
        <f t="shared" si="25"/>
        <v>0</v>
      </c>
      <c r="AS113" s="23">
        <f t="shared" si="26"/>
        <v>0</v>
      </c>
      <c r="AT113">
        <f t="shared" si="27"/>
        <v>1900</v>
      </c>
      <c r="AU113" s="41" t="str">
        <f t="shared" si="28"/>
        <v>enero</v>
      </c>
      <c r="AV113">
        <f t="shared" si="29"/>
        <v>0</v>
      </c>
      <c r="AW113">
        <f t="shared" si="30"/>
        <v>0</v>
      </c>
      <c r="AX113" s="24">
        <f t="shared" si="17"/>
        <v>0</v>
      </c>
      <c r="AY113" s="24">
        <f t="shared" si="18"/>
        <v>0</v>
      </c>
      <c r="AZ113" s="24">
        <f t="shared" si="31"/>
        <v>0</v>
      </c>
      <c r="BA113">
        <f t="shared" si="32"/>
        <v>0</v>
      </c>
      <c r="BB113">
        <f t="shared" si="19"/>
        <v>0</v>
      </c>
      <c r="BC113" s="24">
        <f t="shared" si="20"/>
        <v>0</v>
      </c>
      <c r="BD113">
        <f t="shared" si="33"/>
        <v>0</v>
      </c>
    </row>
    <row r="114" spans="1:56" x14ac:dyDescent="0.3">
      <c r="A114">
        <f>'Entrada datos'!A114</f>
        <v>0</v>
      </c>
      <c r="B114">
        <f>'Entrada datos'!B114</f>
        <v>0</v>
      </c>
      <c r="C114">
        <f>'Entrada datos'!C114</f>
        <v>0</v>
      </c>
      <c r="D114">
        <f>'Entrada datos'!D114</f>
        <v>0</v>
      </c>
      <c r="E114" s="18">
        <f>'Entrada datos'!G114</f>
        <v>0</v>
      </c>
      <c r="F114" s="18">
        <f>'Entrada datos'!H114</f>
        <v>0</v>
      </c>
      <c r="G114">
        <f>'Entrada datos'!J114</f>
        <v>0</v>
      </c>
      <c r="H114">
        <f>'Entrada datos'!L114</f>
        <v>0</v>
      </c>
      <c r="I114">
        <f>'Entrada datos'!O114</f>
        <v>0</v>
      </c>
      <c r="J114">
        <f>'Entrada datos'!P114</f>
        <v>0</v>
      </c>
      <c r="K114">
        <f>'Entrada datos'!Q114</f>
        <v>0</v>
      </c>
      <c r="L114">
        <f>'Entrada datos'!R114</f>
        <v>0</v>
      </c>
      <c r="M114">
        <f>'Entrada datos'!S114</f>
        <v>0</v>
      </c>
      <c r="N114">
        <f>'Entrada datos'!T114</f>
        <v>0</v>
      </c>
      <c r="O114">
        <f>'Entrada datos'!U114</f>
        <v>0</v>
      </c>
      <c r="P114" s="17">
        <f t="shared" si="21"/>
        <v>0</v>
      </c>
      <c r="Q114">
        <f>'Entrada datos'!V114</f>
        <v>0</v>
      </c>
      <c r="R114">
        <f>'Entrada datos'!W114</f>
        <v>0</v>
      </c>
      <c r="S114">
        <f>'Entrada datos'!X114</f>
        <v>0</v>
      </c>
      <c r="T114">
        <f>'Entrada datos'!Y114</f>
        <v>0</v>
      </c>
      <c r="U114">
        <f>'Entrada datos'!Z114</f>
        <v>0</v>
      </c>
      <c r="V114">
        <f>'Entrada datos'!AA114</f>
        <v>0</v>
      </c>
      <c r="W114" s="17">
        <f t="shared" si="22"/>
        <v>0</v>
      </c>
      <c r="X114">
        <f>'Entrada datos'!AB114</f>
        <v>0</v>
      </c>
      <c r="Y114">
        <f>'Entrada datos'!AC114</f>
        <v>0</v>
      </c>
      <c r="Z114">
        <f>'Entrada datos'!AD114</f>
        <v>0</v>
      </c>
      <c r="AA114">
        <f>'Entrada datos'!AE114</f>
        <v>0</v>
      </c>
      <c r="AB114">
        <f>'Entrada datos'!AF114</f>
        <v>0</v>
      </c>
      <c r="AC114">
        <f>'Entrada datos'!AG114</f>
        <v>0</v>
      </c>
      <c r="AD114" s="17">
        <f t="shared" si="23"/>
        <v>0</v>
      </c>
      <c r="AE114">
        <f>'Entrada datos'!AH114</f>
        <v>0</v>
      </c>
      <c r="AF114">
        <f>'Entrada datos'!AI114</f>
        <v>0</v>
      </c>
      <c r="AG114">
        <f>'Entrada datos'!AJ114</f>
        <v>0</v>
      </c>
      <c r="AH114">
        <f>'Entrada datos'!AK114</f>
        <v>0</v>
      </c>
      <c r="AI114">
        <f>'Entrada datos'!AL114</f>
        <v>0</v>
      </c>
      <c r="AJ114">
        <f>'Entrada datos'!AM114</f>
        <v>0</v>
      </c>
      <c r="AK114" s="17">
        <f t="shared" si="24"/>
        <v>0</v>
      </c>
      <c r="AL114">
        <f>'Entrada datos'!AN114</f>
        <v>0</v>
      </c>
      <c r="AM114">
        <f>'Entrada datos'!AO114</f>
        <v>0</v>
      </c>
      <c r="AN114">
        <f>'Entrada datos'!AP114</f>
        <v>0</v>
      </c>
      <c r="AO114">
        <f>'Entrada datos'!AQ114</f>
        <v>0</v>
      </c>
      <c r="AP114">
        <f>'Entrada datos'!AR114</f>
        <v>0</v>
      </c>
      <c r="AQ114">
        <f>'Entrada datos'!AS114</f>
        <v>0</v>
      </c>
      <c r="AR114" s="17">
        <f t="shared" si="25"/>
        <v>0</v>
      </c>
      <c r="AS114" s="23">
        <f t="shared" si="26"/>
        <v>0</v>
      </c>
      <c r="AT114">
        <f t="shared" si="27"/>
        <v>1900</v>
      </c>
      <c r="AU114" s="41" t="str">
        <f t="shared" si="28"/>
        <v>enero</v>
      </c>
      <c r="AV114">
        <f t="shared" si="29"/>
        <v>0</v>
      </c>
      <c r="AW114">
        <f t="shared" si="30"/>
        <v>0</v>
      </c>
      <c r="AX114" s="24">
        <f t="shared" si="17"/>
        <v>0</v>
      </c>
      <c r="AY114" s="24">
        <f t="shared" si="18"/>
        <v>0</v>
      </c>
      <c r="AZ114" s="24">
        <f t="shared" si="31"/>
        <v>0</v>
      </c>
      <c r="BA114">
        <f t="shared" si="32"/>
        <v>0</v>
      </c>
      <c r="BB114">
        <f t="shared" si="19"/>
        <v>0</v>
      </c>
      <c r="BC114" s="24">
        <f t="shared" si="20"/>
        <v>0</v>
      </c>
      <c r="BD114">
        <f t="shared" si="33"/>
        <v>0</v>
      </c>
    </row>
    <row r="115" spans="1:56" x14ac:dyDescent="0.3">
      <c r="A115">
        <f>'Entrada datos'!A115</f>
        <v>0</v>
      </c>
      <c r="B115">
        <f>'Entrada datos'!B115</f>
        <v>0</v>
      </c>
      <c r="C115">
        <f>'Entrada datos'!C115</f>
        <v>0</v>
      </c>
      <c r="D115">
        <f>'Entrada datos'!D115</f>
        <v>0</v>
      </c>
      <c r="E115" s="18">
        <f>'Entrada datos'!G115</f>
        <v>0</v>
      </c>
      <c r="F115" s="18">
        <f>'Entrada datos'!H115</f>
        <v>0</v>
      </c>
      <c r="G115">
        <f>'Entrada datos'!J115</f>
        <v>0</v>
      </c>
      <c r="H115">
        <f>'Entrada datos'!L115</f>
        <v>0</v>
      </c>
      <c r="I115">
        <f>'Entrada datos'!O115</f>
        <v>0</v>
      </c>
      <c r="J115">
        <f>'Entrada datos'!P115</f>
        <v>0</v>
      </c>
      <c r="K115">
        <f>'Entrada datos'!Q115</f>
        <v>0</v>
      </c>
      <c r="L115">
        <f>'Entrada datos'!R115</f>
        <v>0</v>
      </c>
      <c r="M115">
        <f>'Entrada datos'!S115</f>
        <v>0</v>
      </c>
      <c r="N115">
        <f>'Entrada datos'!T115</f>
        <v>0</v>
      </c>
      <c r="O115">
        <f>'Entrada datos'!U115</f>
        <v>0</v>
      </c>
      <c r="P115" s="17">
        <f t="shared" si="21"/>
        <v>0</v>
      </c>
      <c r="Q115">
        <f>'Entrada datos'!V115</f>
        <v>0</v>
      </c>
      <c r="R115">
        <f>'Entrada datos'!W115</f>
        <v>0</v>
      </c>
      <c r="S115">
        <f>'Entrada datos'!X115</f>
        <v>0</v>
      </c>
      <c r="T115">
        <f>'Entrada datos'!Y115</f>
        <v>0</v>
      </c>
      <c r="U115">
        <f>'Entrada datos'!Z115</f>
        <v>0</v>
      </c>
      <c r="V115">
        <f>'Entrada datos'!AA115</f>
        <v>0</v>
      </c>
      <c r="W115" s="17">
        <f t="shared" si="22"/>
        <v>0</v>
      </c>
      <c r="X115">
        <f>'Entrada datos'!AB115</f>
        <v>0</v>
      </c>
      <c r="Y115">
        <f>'Entrada datos'!AC115</f>
        <v>0</v>
      </c>
      <c r="Z115">
        <f>'Entrada datos'!AD115</f>
        <v>0</v>
      </c>
      <c r="AA115">
        <f>'Entrada datos'!AE115</f>
        <v>0</v>
      </c>
      <c r="AB115">
        <f>'Entrada datos'!AF115</f>
        <v>0</v>
      </c>
      <c r="AC115">
        <f>'Entrada datos'!AG115</f>
        <v>0</v>
      </c>
      <c r="AD115" s="17">
        <f t="shared" si="23"/>
        <v>0</v>
      </c>
      <c r="AE115">
        <f>'Entrada datos'!AH115</f>
        <v>0</v>
      </c>
      <c r="AF115">
        <f>'Entrada datos'!AI115</f>
        <v>0</v>
      </c>
      <c r="AG115">
        <f>'Entrada datos'!AJ115</f>
        <v>0</v>
      </c>
      <c r="AH115">
        <f>'Entrada datos'!AK115</f>
        <v>0</v>
      </c>
      <c r="AI115">
        <f>'Entrada datos'!AL115</f>
        <v>0</v>
      </c>
      <c r="AJ115">
        <f>'Entrada datos'!AM115</f>
        <v>0</v>
      </c>
      <c r="AK115" s="17">
        <f t="shared" si="24"/>
        <v>0</v>
      </c>
      <c r="AL115">
        <f>'Entrada datos'!AN115</f>
        <v>0</v>
      </c>
      <c r="AM115">
        <f>'Entrada datos'!AO115</f>
        <v>0</v>
      </c>
      <c r="AN115">
        <f>'Entrada datos'!AP115</f>
        <v>0</v>
      </c>
      <c r="AO115">
        <f>'Entrada datos'!AQ115</f>
        <v>0</v>
      </c>
      <c r="AP115">
        <f>'Entrada datos'!AR115</f>
        <v>0</v>
      </c>
      <c r="AQ115">
        <f>'Entrada datos'!AS115</f>
        <v>0</v>
      </c>
      <c r="AR115" s="17">
        <f t="shared" si="25"/>
        <v>0</v>
      </c>
      <c r="AS115" s="23">
        <f t="shared" si="26"/>
        <v>0</v>
      </c>
      <c r="AT115">
        <f t="shared" si="27"/>
        <v>1900</v>
      </c>
      <c r="AU115" s="41" t="str">
        <f t="shared" si="28"/>
        <v>enero</v>
      </c>
      <c r="AV115">
        <f t="shared" si="29"/>
        <v>0</v>
      </c>
      <c r="AW115">
        <f t="shared" si="30"/>
        <v>0</v>
      </c>
      <c r="AX115" s="24">
        <f t="shared" si="17"/>
        <v>0</v>
      </c>
      <c r="AY115" s="24">
        <f t="shared" si="18"/>
        <v>0</v>
      </c>
      <c r="AZ115" s="24">
        <f t="shared" si="31"/>
        <v>0</v>
      </c>
      <c r="BA115">
        <f t="shared" si="32"/>
        <v>0</v>
      </c>
      <c r="BB115">
        <f t="shared" si="19"/>
        <v>0</v>
      </c>
      <c r="BC115" s="24">
        <f t="shared" si="20"/>
        <v>0</v>
      </c>
      <c r="BD115">
        <f t="shared" si="33"/>
        <v>0</v>
      </c>
    </row>
    <row r="116" spans="1:56" x14ac:dyDescent="0.3">
      <c r="A116">
        <f>'Entrada datos'!A116</f>
        <v>0</v>
      </c>
      <c r="B116">
        <f>'Entrada datos'!B116</f>
        <v>0</v>
      </c>
      <c r="C116">
        <f>'Entrada datos'!C116</f>
        <v>0</v>
      </c>
      <c r="D116">
        <f>'Entrada datos'!D116</f>
        <v>0</v>
      </c>
      <c r="E116" s="18">
        <f>'Entrada datos'!G116</f>
        <v>0</v>
      </c>
      <c r="F116" s="18">
        <f>'Entrada datos'!H116</f>
        <v>0</v>
      </c>
      <c r="G116">
        <f>'Entrada datos'!J116</f>
        <v>0</v>
      </c>
      <c r="H116">
        <f>'Entrada datos'!L116</f>
        <v>0</v>
      </c>
      <c r="I116">
        <f>'Entrada datos'!O116</f>
        <v>0</v>
      </c>
      <c r="J116">
        <f>'Entrada datos'!P116</f>
        <v>0</v>
      </c>
      <c r="K116">
        <f>'Entrada datos'!Q116</f>
        <v>0</v>
      </c>
      <c r="L116">
        <f>'Entrada datos'!R116</f>
        <v>0</v>
      </c>
      <c r="M116">
        <f>'Entrada datos'!S116</f>
        <v>0</v>
      </c>
      <c r="N116">
        <f>'Entrada datos'!T116</f>
        <v>0</v>
      </c>
      <c r="O116">
        <f>'Entrada datos'!U116</f>
        <v>0</v>
      </c>
      <c r="P116" s="17">
        <f t="shared" si="21"/>
        <v>0</v>
      </c>
      <c r="Q116">
        <f>'Entrada datos'!V116</f>
        <v>0</v>
      </c>
      <c r="R116">
        <f>'Entrada datos'!W116</f>
        <v>0</v>
      </c>
      <c r="S116">
        <f>'Entrada datos'!X116</f>
        <v>0</v>
      </c>
      <c r="T116">
        <f>'Entrada datos'!Y116</f>
        <v>0</v>
      </c>
      <c r="U116">
        <f>'Entrada datos'!Z116</f>
        <v>0</v>
      </c>
      <c r="V116">
        <f>'Entrada datos'!AA116</f>
        <v>0</v>
      </c>
      <c r="W116" s="17">
        <f t="shared" si="22"/>
        <v>0</v>
      </c>
      <c r="X116">
        <f>'Entrada datos'!AB116</f>
        <v>0</v>
      </c>
      <c r="Y116">
        <f>'Entrada datos'!AC116</f>
        <v>0</v>
      </c>
      <c r="Z116">
        <f>'Entrada datos'!AD116</f>
        <v>0</v>
      </c>
      <c r="AA116">
        <f>'Entrada datos'!AE116</f>
        <v>0</v>
      </c>
      <c r="AB116">
        <f>'Entrada datos'!AF116</f>
        <v>0</v>
      </c>
      <c r="AC116">
        <f>'Entrada datos'!AG116</f>
        <v>0</v>
      </c>
      <c r="AD116" s="17">
        <f t="shared" si="23"/>
        <v>0</v>
      </c>
      <c r="AE116">
        <f>'Entrada datos'!AH116</f>
        <v>0</v>
      </c>
      <c r="AF116">
        <f>'Entrada datos'!AI116</f>
        <v>0</v>
      </c>
      <c r="AG116">
        <f>'Entrada datos'!AJ116</f>
        <v>0</v>
      </c>
      <c r="AH116">
        <f>'Entrada datos'!AK116</f>
        <v>0</v>
      </c>
      <c r="AI116">
        <f>'Entrada datos'!AL116</f>
        <v>0</v>
      </c>
      <c r="AJ116">
        <f>'Entrada datos'!AM116</f>
        <v>0</v>
      </c>
      <c r="AK116" s="17">
        <f t="shared" si="24"/>
        <v>0</v>
      </c>
      <c r="AL116">
        <f>'Entrada datos'!AN116</f>
        <v>0</v>
      </c>
      <c r="AM116">
        <f>'Entrada datos'!AO116</f>
        <v>0</v>
      </c>
      <c r="AN116">
        <f>'Entrada datos'!AP116</f>
        <v>0</v>
      </c>
      <c r="AO116">
        <f>'Entrada datos'!AQ116</f>
        <v>0</v>
      </c>
      <c r="AP116">
        <f>'Entrada datos'!AR116</f>
        <v>0</v>
      </c>
      <c r="AQ116">
        <f>'Entrada datos'!AS116</f>
        <v>0</v>
      </c>
      <c r="AR116" s="17">
        <f t="shared" si="25"/>
        <v>0</v>
      </c>
      <c r="AS116" s="23">
        <f t="shared" si="26"/>
        <v>0</v>
      </c>
      <c r="AT116">
        <f t="shared" si="27"/>
        <v>1900</v>
      </c>
      <c r="AU116" s="41" t="str">
        <f t="shared" si="28"/>
        <v>enero</v>
      </c>
      <c r="AV116">
        <f t="shared" si="29"/>
        <v>0</v>
      </c>
      <c r="AW116">
        <f t="shared" si="30"/>
        <v>0</v>
      </c>
      <c r="AX116" s="24">
        <f t="shared" si="17"/>
        <v>0</v>
      </c>
      <c r="AY116" s="24">
        <f t="shared" si="18"/>
        <v>0</v>
      </c>
      <c r="AZ116" s="24">
        <f t="shared" si="31"/>
        <v>0</v>
      </c>
      <c r="BA116">
        <f t="shared" si="32"/>
        <v>0</v>
      </c>
      <c r="BB116">
        <f t="shared" si="19"/>
        <v>0</v>
      </c>
      <c r="BC116" s="24">
        <f t="shared" si="20"/>
        <v>0</v>
      </c>
      <c r="BD116">
        <f t="shared" si="33"/>
        <v>0</v>
      </c>
    </row>
    <row r="117" spans="1:56" x14ac:dyDescent="0.3">
      <c r="A117">
        <f>'Entrada datos'!A117</f>
        <v>0</v>
      </c>
      <c r="B117">
        <f>'Entrada datos'!B117</f>
        <v>0</v>
      </c>
      <c r="C117">
        <f>'Entrada datos'!C117</f>
        <v>0</v>
      </c>
      <c r="D117">
        <f>'Entrada datos'!D117</f>
        <v>0</v>
      </c>
      <c r="E117" s="18">
        <f>'Entrada datos'!G117</f>
        <v>0</v>
      </c>
      <c r="F117" s="18">
        <f>'Entrada datos'!H117</f>
        <v>0</v>
      </c>
      <c r="G117">
        <f>'Entrada datos'!J117</f>
        <v>0</v>
      </c>
      <c r="H117">
        <f>'Entrada datos'!L117</f>
        <v>0</v>
      </c>
      <c r="I117">
        <f>'Entrada datos'!O117</f>
        <v>0</v>
      </c>
      <c r="J117">
        <f>'Entrada datos'!P117</f>
        <v>0</v>
      </c>
      <c r="K117">
        <f>'Entrada datos'!Q117</f>
        <v>0</v>
      </c>
      <c r="L117">
        <f>'Entrada datos'!R117</f>
        <v>0</v>
      </c>
      <c r="M117">
        <f>'Entrada datos'!S117</f>
        <v>0</v>
      </c>
      <c r="N117">
        <f>'Entrada datos'!T117</f>
        <v>0</v>
      </c>
      <c r="O117">
        <f>'Entrada datos'!U117</f>
        <v>0</v>
      </c>
      <c r="P117" s="17">
        <f t="shared" si="21"/>
        <v>0</v>
      </c>
      <c r="Q117">
        <f>'Entrada datos'!V117</f>
        <v>0</v>
      </c>
      <c r="R117">
        <f>'Entrada datos'!W117</f>
        <v>0</v>
      </c>
      <c r="S117">
        <f>'Entrada datos'!X117</f>
        <v>0</v>
      </c>
      <c r="T117">
        <f>'Entrada datos'!Y117</f>
        <v>0</v>
      </c>
      <c r="U117">
        <f>'Entrada datos'!Z117</f>
        <v>0</v>
      </c>
      <c r="V117">
        <f>'Entrada datos'!AA117</f>
        <v>0</v>
      </c>
      <c r="W117" s="17">
        <f t="shared" si="22"/>
        <v>0</v>
      </c>
      <c r="X117">
        <f>'Entrada datos'!AB117</f>
        <v>0</v>
      </c>
      <c r="Y117">
        <f>'Entrada datos'!AC117</f>
        <v>0</v>
      </c>
      <c r="Z117">
        <f>'Entrada datos'!AD117</f>
        <v>0</v>
      </c>
      <c r="AA117">
        <f>'Entrada datos'!AE117</f>
        <v>0</v>
      </c>
      <c r="AB117">
        <f>'Entrada datos'!AF117</f>
        <v>0</v>
      </c>
      <c r="AC117">
        <f>'Entrada datos'!AG117</f>
        <v>0</v>
      </c>
      <c r="AD117" s="17">
        <f t="shared" si="23"/>
        <v>0</v>
      </c>
      <c r="AE117">
        <f>'Entrada datos'!AH117</f>
        <v>0</v>
      </c>
      <c r="AF117">
        <f>'Entrada datos'!AI117</f>
        <v>0</v>
      </c>
      <c r="AG117">
        <f>'Entrada datos'!AJ117</f>
        <v>0</v>
      </c>
      <c r="AH117">
        <f>'Entrada datos'!AK117</f>
        <v>0</v>
      </c>
      <c r="AI117">
        <f>'Entrada datos'!AL117</f>
        <v>0</v>
      </c>
      <c r="AJ117">
        <f>'Entrada datos'!AM117</f>
        <v>0</v>
      </c>
      <c r="AK117" s="17">
        <f t="shared" si="24"/>
        <v>0</v>
      </c>
      <c r="AL117">
        <f>'Entrada datos'!AN117</f>
        <v>0</v>
      </c>
      <c r="AM117">
        <f>'Entrada datos'!AO117</f>
        <v>0</v>
      </c>
      <c r="AN117">
        <f>'Entrada datos'!AP117</f>
        <v>0</v>
      </c>
      <c r="AO117">
        <f>'Entrada datos'!AQ117</f>
        <v>0</v>
      </c>
      <c r="AP117">
        <f>'Entrada datos'!AR117</f>
        <v>0</v>
      </c>
      <c r="AQ117">
        <f>'Entrada datos'!AS117</f>
        <v>0</v>
      </c>
      <c r="AR117" s="17">
        <f t="shared" si="25"/>
        <v>0</v>
      </c>
      <c r="AS117" s="23">
        <f t="shared" si="26"/>
        <v>0</v>
      </c>
      <c r="AT117">
        <f t="shared" si="27"/>
        <v>1900</v>
      </c>
      <c r="AU117" s="41" t="str">
        <f t="shared" si="28"/>
        <v>enero</v>
      </c>
      <c r="AV117">
        <f t="shared" si="29"/>
        <v>0</v>
      </c>
      <c r="AW117">
        <f t="shared" si="30"/>
        <v>0</v>
      </c>
      <c r="AX117" s="24">
        <f t="shared" si="17"/>
        <v>0</v>
      </c>
      <c r="AY117" s="24">
        <f t="shared" si="18"/>
        <v>0</v>
      </c>
      <c r="AZ117" s="24">
        <f t="shared" si="31"/>
        <v>0</v>
      </c>
      <c r="BA117">
        <f t="shared" si="32"/>
        <v>0</v>
      </c>
      <c r="BB117">
        <f t="shared" si="19"/>
        <v>0</v>
      </c>
      <c r="BC117" s="24">
        <f t="shared" si="20"/>
        <v>0</v>
      </c>
      <c r="BD117">
        <f t="shared" si="33"/>
        <v>0</v>
      </c>
    </row>
    <row r="118" spans="1:56" x14ac:dyDescent="0.3">
      <c r="A118">
        <f>'Entrada datos'!A118</f>
        <v>0</v>
      </c>
      <c r="B118">
        <f>'Entrada datos'!B118</f>
        <v>0</v>
      </c>
      <c r="C118">
        <f>'Entrada datos'!C118</f>
        <v>0</v>
      </c>
      <c r="D118">
        <f>'Entrada datos'!D118</f>
        <v>0</v>
      </c>
      <c r="E118" s="18">
        <f>'Entrada datos'!G118</f>
        <v>0</v>
      </c>
      <c r="F118" s="18">
        <f>'Entrada datos'!H118</f>
        <v>0</v>
      </c>
      <c r="G118">
        <f>'Entrada datos'!J118</f>
        <v>0</v>
      </c>
      <c r="H118">
        <f>'Entrada datos'!L118</f>
        <v>0</v>
      </c>
      <c r="I118">
        <f>'Entrada datos'!O118</f>
        <v>0</v>
      </c>
      <c r="J118">
        <f>'Entrada datos'!P118</f>
        <v>0</v>
      </c>
      <c r="K118">
        <f>'Entrada datos'!Q118</f>
        <v>0</v>
      </c>
      <c r="L118">
        <f>'Entrada datos'!R118</f>
        <v>0</v>
      </c>
      <c r="M118">
        <f>'Entrada datos'!S118</f>
        <v>0</v>
      </c>
      <c r="N118">
        <f>'Entrada datos'!T118</f>
        <v>0</v>
      </c>
      <c r="O118">
        <f>'Entrada datos'!U118</f>
        <v>0</v>
      </c>
      <c r="P118" s="17">
        <f t="shared" si="21"/>
        <v>0</v>
      </c>
      <c r="Q118">
        <f>'Entrada datos'!V118</f>
        <v>0</v>
      </c>
      <c r="R118">
        <f>'Entrada datos'!W118</f>
        <v>0</v>
      </c>
      <c r="S118">
        <f>'Entrada datos'!X118</f>
        <v>0</v>
      </c>
      <c r="T118">
        <f>'Entrada datos'!Y118</f>
        <v>0</v>
      </c>
      <c r="U118">
        <f>'Entrada datos'!Z118</f>
        <v>0</v>
      </c>
      <c r="V118">
        <f>'Entrada datos'!AA118</f>
        <v>0</v>
      </c>
      <c r="W118" s="17">
        <f t="shared" si="22"/>
        <v>0</v>
      </c>
      <c r="X118">
        <f>'Entrada datos'!AB118</f>
        <v>0</v>
      </c>
      <c r="Y118">
        <f>'Entrada datos'!AC118</f>
        <v>0</v>
      </c>
      <c r="Z118">
        <f>'Entrada datos'!AD118</f>
        <v>0</v>
      </c>
      <c r="AA118">
        <f>'Entrada datos'!AE118</f>
        <v>0</v>
      </c>
      <c r="AB118">
        <f>'Entrada datos'!AF118</f>
        <v>0</v>
      </c>
      <c r="AC118">
        <f>'Entrada datos'!AG118</f>
        <v>0</v>
      </c>
      <c r="AD118" s="17">
        <f t="shared" si="23"/>
        <v>0</v>
      </c>
      <c r="AE118">
        <f>'Entrada datos'!AH118</f>
        <v>0</v>
      </c>
      <c r="AF118">
        <f>'Entrada datos'!AI118</f>
        <v>0</v>
      </c>
      <c r="AG118">
        <f>'Entrada datos'!AJ118</f>
        <v>0</v>
      </c>
      <c r="AH118">
        <f>'Entrada datos'!AK118</f>
        <v>0</v>
      </c>
      <c r="AI118">
        <f>'Entrada datos'!AL118</f>
        <v>0</v>
      </c>
      <c r="AJ118">
        <f>'Entrada datos'!AM118</f>
        <v>0</v>
      </c>
      <c r="AK118" s="17">
        <f t="shared" si="24"/>
        <v>0</v>
      </c>
      <c r="AL118">
        <f>'Entrada datos'!AN118</f>
        <v>0</v>
      </c>
      <c r="AM118">
        <f>'Entrada datos'!AO118</f>
        <v>0</v>
      </c>
      <c r="AN118">
        <f>'Entrada datos'!AP118</f>
        <v>0</v>
      </c>
      <c r="AO118">
        <f>'Entrada datos'!AQ118</f>
        <v>0</v>
      </c>
      <c r="AP118">
        <f>'Entrada datos'!AR118</f>
        <v>0</v>
      </c>
      <c r="AQ118">
        <f>'Entrada datos'!AS118</f>
        <v>0</v>
      </c>
      <c r="AR118" s="17">
        <f t="shared" si="25"/>
        <v>0</v>
      </c>
      <c r="AS118" s="23">
        <f t="shared" si="26"/>
        <v>0</v>
      </c>
      <c r="AT118">
        <f t="shared" si="27"/>
        <v>1900</v>
      </c>
      <c r="AU118" s="41" t="str">
        <f t="shared" si="28"/>
        <v>enero</v>
      </c>
      <c r="AV118">
        <f t="shared" si="29"/>
        <v>0</v>
      </c>
      <c r="AW118">
        <f t="shared" si="30"/>
        <v>0</v>
      </c>
      <c r="AX118" s="24">
        <f t="shared" si="17"/>
        <v>0</v>
      </c>
      <c r="AY118" s="24">
        <f t="shared" si="18"/>
        <v>0</v>
      </c>
      <c r="AZ118" s="24">
        <f t="shared" si="31"/>
        <v>0</v>
      </c>
      <c r="BA118">
        <f t="shared" si="32"/>
        <v>0</v>
      </c>
      <c r="BB118">
        <f t="shared" si="19"/>
        <v>0</v>
      </c>
      <c r="BC118" s="24">
        <f t="shared" si="20"/>
        <v>0</v>
      </c>
      <c r="BD118">
        <f t="shared" si="33"/>
        <v>0</v>
      </c>
    </row>
    <row r="119" spans="1:56" x14ac:dyDescent="0.3">
      <c r="A119">
        <f>'Entrada datos'!A119</f>
        <v>0</v>
      </c>
      <c r="B119">
        <f>'Entrada datos'!B119</f>
        <v>0</v>
      </c>
      <c r="C119">
        <f>'Entrada datos'!C119</f>
        <v>0</v>
      </c>
      <c r="D119">
        <f>'Entrada datos'!D119</f>
        <v>0</v>
      </c>
      <c r="E119" s="18">
        <f>'Entrada datos'!G119</f>
        <v>0</v>
      </c>
      <c r="F119" s="18">
        <f>'Entrada datos'!H119</f>
        <v>0</v>
      </c>
      <c r="G119">
        <f>'Entrada datos'!J119</f>
        <v>0</v>
      </c>
      <c r="H119">
        <f>'Entrada datos'!L119</f>
        <v>0</v>
      </c>
      <c r="I119">
        <f>'Entrada datos'!O119</f>
        <v>0</v>
      </c>
      <c r="J119">
        <f>'Entrada datos'!P119</f>
        <v>0</v>
      </c>
      <c r="K119">
        <f>'Entrada datos'!Q119</f>
        <v>0</v>
      </c>
      <c r="L119">
        <f>'Entrada datos'!R119</f>
        <v>0</v>
      </c>
      <c r="M119">
        <f>'Entrada datos'!S119</f>
        <v>0</v>
      </c>
      <c r="N119">
        <f>'Entrada datos'!T119</f>
        <v>0</v>
      </c>
      <c r="O119">
        <f>'Entrada datos'!U119</f>
        <v>0</v>
      </c>
      <c r="P119" s="17">
        <f t="shared" si="21"/>
        <v>0</v>
      </c>
      <c r="Q119">
        <f>'Entrada datos'!V119</f>
        <v>0</v>
      </c>
      <c r="R119">
        <f>'Entrada datos'!W119</f>
        <v>0</v>
      </c>
      <c r="S119">
        <f>'Entrada datos'!X119</f>
        <v>0</v>
      </c>
      <c r="T119">
        <f>'Entrada datos'!Y119</f>
        <v>0</v>
      </c>
      <c r="U119">
        <f>'Entrada datos'!Z119</f>
        <v>0</v>
      </c>
      <c r="V119">
        <f>'Entrada datos'!AA119</f>
        <v>0</v>
      </c>
      <c r="W119" s="17">
        <f t="shared" si="22"/>
        <v>0</v>
      </c>
      <c r="X119">
        <f>'Entrada datos'!AB119</f>
        <v>0</v>
      </c>
      <c r="Y119">
        <f>'Entrada datos'!AC119</f>
        <v>0</v>
      </c>
      <c r="Z119">
        <f>'Entrada datos'!AD119</f>
        <v>0</v>
      </c>
      <c r="AA119">
        <f>'Entrada datos'!AE119</f>
        <v>0</v>
      </c>
      <c r="AB119">
        <f>'Entrada datos'!AF119</f>
        <v>0</v>
      </c>
      <c r="AC119">
        <f>'Entrada datos'!AG119</f>
        <v>0</v>
      </c>
      <c r="AD119" s="17">
        <f t="shared" si="23"/>
        <v>0</v>
      </c>
      <c r="AE119">
        <f>'Entrada datos'!AH119</f>
        <v>0</v>
      </c>
      <c r="AF119">
        <f>'Entrada datos'!AI119</f>
        <v>0</v>
      </c>
      <c r="AG119">
        <f>'Entrada datos'!AJ119</f>
        <v>0</v>
      </c>
      <c r="AH119">
        <f>'Entrada datos'!AK119</f>
        <v>0</v>
      </c>
      <c r="AI119">
        <f>'Entrada datos'!AL119</f>
        <v>0</v>
      </c>
      <c r="AJ119">
        <f>'Entrada datos'!AM119</f>
        <v>0</v>
      </c>
      <c r="AK119" s="17">
        <f t="shared" si="24"/>
        <v>0</v>
      </c>
      <c r="AL119">
        <f>'Entrada datos'!AN119</f>
        <v>0</v>
      </c>
      <c r="AM119">
        <f>'Entrada datos'!AO119</f>
        <v>0</v>
      </c>
      <c r="AN119">
        <f>'Entrada datos'!AP119</f>
        <v>0</v>
      </c>
      <c r="AO119">
        <f>'Entrada datos'!AQ119</f>
        <v>0</v>
      </c>
      <c r="AP119">
        <f>'Entrada datos'!AR119</f>
        <v>0</v>
      </c>
      <c r="AQ119">
        <f>'Entrada datos'!AS119</f>
        <v>0</v>
      </c>
      <c r="AR119" s="17">
        <f t="shared" si="25"/>
        <v>0</v>
      </c>
      <c r="AS119" s="23">
        <f t="shared" si="26"/>
        <v>0</v>
      </c>
      <c r="AT119">
        <f t="shared" si="27"/>
        <v>1900</v>
      </c>
      <c r="AU119" s="41" t="str">
        <f t="shared" si="28"/>
        <v>enero</v>
      </c>
      <c r="AV119">
        <f t="shared" si="29"/>
        <v>0</v>
      </c>
      <c r="AW119">
        <f t="shared" si="30"/>
        <v>0</v>
      </c>
      <c r="AX119" s="24">
        <f t="shared" si="17"/>
        <v>0</v>
      </c>
      <c r="AY119" s="24">
        <f t="shared" si="18"/>
        <v>0</v>
      </c>
      <c r="AZ119" s="24">
        <f t="shared" si="31"/>
        <v>0</v>
      </c>
      <c r="BA119">
        <f t="shared" si="32"/>
        <v>0</v>
      </c>
      <c r="BB119">
        <f t="shared" si="19"/>
        <v>0</v>
      </c>
      <c r="BC119" s="24">
        <f t="shared" si="20"/>
        <v>0</v>
      </c>
      <c r="BD119">
        <f t="shared" si="33"/>
        <v>0</v>
      </c>
    </row>
    <row r="120" spans="1:56" x14ac:dyDescent="0.3">
      <c r="A120">
        <f>'Entrada datos'!A120</f>
        <v>0</v>
      </c>
      <c r="B120">
        <f>'Entrada datos'!B120</f>
        <v>0</v>
      </c>
      <c r="C120">
        <f>'Entrada datos'!C120</f>
        <v>0</v>
      </c>
      <c r="D120">
        <f>'Entrada datos'!D120</f>
        <v>0</v>
      </c>
      <c r="E120" s="18">
        <f>'Entrada datos'!G120</f>
        <v>0</v>
      </c>
      <c r="F120" s="18">
        <f>'Entrada datos'!H120</f>
        <v>0</v>
      </c>
      <c r="G120">
        <f>'Entrada datos'!J120</f>
        <v>0</v>
      </c>
      <c r="H120">
        <f>'Entrada datos'!L120</f>
        <v>0</v>
      </c>
      <c r="I120">
        <f>'Entrada datos'!O120</f>
        <v>0</v>
      </c>
      <c r="J120">
        <f>'Entrada datos'!P120</f>
        <v>0</v>
      </c>
      <c r="K120">
        <f>'Entrada datos'!Q120</f>
        <v>0</v>
      </c>
      <c r="L120">
        <f>'Entrada datos'!R120</f>
        <v>0</v>
      </c>
      <c r="M120">
        <f>'Entrada datos'!S120</f>
        <v>0</v>
      </c>
      <c r="N120">
        <f>'Entrada datos'!T120</f>
        <v>0</v>
      </c>
      <c r="O120">
        <f>'Entrada datos'!U120</f>
        <v>0</v>
      </c>
      <c r="P120" s="17">
        <f t="shared" si="21"/>
        <v>0</v>
      </c>
      <c r="Q120">
        <f>'Entrada datos'!V120</f>
        <v>0</v>
      </c>
      <c r="R120">
        <f>'Entrada datos'!W120</f>
        <v>0</v>
      </c>
      <c r="S120">
        <f>'Entrada datos'!X120</f>
        <v>0</v>
      </c>
      <c r="T120">
        <f>'Entrada datos'!Y120</f>
        <v>0</v>
      </c>
      <c r="U120">
        <f>'Entrada datos'!Z120</f>
        <v>0</v>
      </c>
      <c r="V120">
        <f>'Entrada datos'!AA120</f>
        <v>0</v>
      </c>
      <c r="W120" s="17">
        <f t="shared" si="22"/>
        <v>0</v>
      </c>
      <c r="X120">
        <f>'Entrada datos'!AB120</f>
        <v>0</v>
      </c>
      <c r="Y120">
        <f>'Entrada datos'!AC120</f>
        <v>0</v>
      </c>
      <c r="Z120">
        <f>'Entrada datos'!AD120</f>
        <v>0</v>
      </c>
      <c r="AA120">
        <f>'Entrada datos'!AE120</f>
        <v>0</v>
      </c>
      <c r="AB120">
        <f>'Entrada datos'!AF120</f>
        <v>0</v>
      </c>
      <c r="AC120">
        <f>'Entrada datos'!AG120</f>
        <v>0</v>
      </c>
      <c r="AD120" s="17">
        <f t="shared" si="23"/>
        <v>0</v>
      </c>
      <c r="AE120">
        <f>'Entrada datos'!AH120</f>
        <v>0</v>
      </c>
      <c r="AF120">
        <f>'Entrada datos'!AI120</f>
        <v>0</v>
      </c>
      <c r="AG120">
        <f>'Entrada datos'!AJ120</f>
        <v>0</v>
      </c>
      <c r="AH120">
        <f>'Entrada datos'!AK120</f>
        <v>0</v>
      </c>
      <c r="AI120">
        <f>'Entrada datos'!AL120</f>
        <v>0</v>
      </c>
      <c r="AJ120">
        <f>'Entrada datos'!AM120</f>
        <v>0</v>
      </c>
      <c r="AK120" s="17">
        <f t="shared" si="24"/>
        <v>0</v>
      </c>
      <c r="AL120">
        <f>'Entrada datos'!AN120</f>
        <v>0</v>
      </c>
      <c r="AM120">
        <f>'Entrada datos'!AO120</f>
        <v>0</v>
      </c>
      <c r="AN120">
        <f>'Entrada datos'!AP120</f>
        <v>0</v>
      </c>
      <c r="AO120">
        <f>'Entrada datos'!AQ120</f>
        <v>0</v>
      </c>
      <c r="AP120">
        <f>'Entrada datos'!AR120</f>
        <v>0</v>
      </c>
      <c r="AQ120">
        <f>'Entrada datos'!AS120</f>
        <v>0</v>
      </c>
      <c r="AR120" s="17">
        <f t="shared" si="25"/>
        <v>0</v>
      </c>
      <c r="AS120" s="23">
        <f t="shared" si="26"/>
        <v>0</v>
      </c>
      <c r="AT120">
        <f t="shared" si="27"/>
        <v>1900</v>
      </c>
      <c r="AU120" s="41" t="str">
        <f t="shared" si="28"/>
        <v>enero</v>
      </c>
      <c r="AV120">
        <f t="shared" si="29"/>
        <v>0</v>
      </c>
      <c r="AW120">
        <f t="shared" si="30"/>
        <v>0</v>
      </c>
      <c r="AX120" s="24">
        <f t="shared" si="17"/>
        <v>0</v>
      </c>
      <c r="AY120" s="24">
        <f t="shared" si="18"/>
        <v>0</v>
      </c>
      <c r="AZ120" s="24">
        <f t="shared" si="31"/>
        <v>0</v>
      </c>
      <c r="BA120">
        <f t="shared" si="32"/>
        <v>0</v>
      </c>
      <c r="BB120">
        <f t="shared" si="19"/>
        <v>0</v>
      </c>
      <c r="BC120" s="24">
        <f t="shared" si="20"/>
        <v>0</v>
      </c>
      <c r="BD120">
        <f t="shared" si="33"/>
        <v>0</v>
      </c>
    </row>
    <row r="121" spans="1:56" x14ac:dyDescent="0.3">
      <c r="A121">
        <f>'Entrada datos'!A121</f>
        <v>0</v>
      </c>
      <c r="B121">
        <f>'Entrada datos'!B121</f>
        <v>0</v>
      </c>
      <c r="C121">
        <f>'Entrada datos'!C121</f>
        <v>0</v>
      </c>
      <c r="D121">
        <f>'Entrada datos'!D121</f>
        <v>0</v>
      </c>
      <c r="E121" s="18">
        <f>'Entrada datos'!G121</f>
        <v>0</v>
      </c>
      <c r="F121" s="18">
        <f>'Entrada datos'!H121</f>
        <v>0</v>
      </c>
      <c r="G121">
        <f>'Entrada datos'!J121</f>
        <v>0</v>
      </c>
      <c r="H121">
        <f>'Entrada datos'!L121</f>
        <v>0</v>
      </c>
      <c r="I121">
        <f>'Entrada datos'!O121</f>
        <v>0</v>
      </c>
      <c r="J121">
        <f>'Entrada datos'!P121</f>
        <v>0</v>
      </c>
      <c r="K121">
        <f>'Entrada datos'!Q121</f>
        <v>0</v>
      </c>
      <c r="L121">
        <f>'Entrada datos'!R121</f>
        <v>0</v>
      </c>
      <c r="M121">
        <f>'Entrada datos'!S121</f>
        <v>0</v>
      </c>
      <c r="N121">
        <f>'Entrada datos'!T121</f>
        <v>0</v>
      </c>
      <c r="O121">
        <f>'Entrada datos'!U121</f>
        <v>0</v>
      </c>
      <c r="P121" s="17">
        <f t="shared" si="21"/>
        <v>0</v>
      </c>
      <c r="Q121">
        <f>'Entrada datos'!V121</f>
        <v>0</v>
      </c>
      <c r="R121">
        <f>'Entrada datos'!W121</f>
        <v>0</v>
      </c>
      <c r="S121">
        <f>'Entrada datos'!X121</f>
        <v>0</v>
      </c>
      <c r="T121">
        <f>'Entrada datos'!Y121</f>
        <v>0</v>
      </c>
      <c r="U121">
        <f>'Entrada datos'!Z121</f>
        <v>0</v>
      </c>
      <c r="V121">
        <f>'Entrada datos'!AA121</f>
        <v>0</v>
      </c>
      <c r="W121" s="17">
        <f t="shared" si="22"/>
        <v>0</v>
      </c>
      <c r="X121">
        <f>'Entrada datos'!AB121</f>
        <v>0</v>
      </c>
      <c r="Y121">
        <f>'Entrada datos'!AC121</f>
        <v>0</v>
      </c>
      <c r="Z121">
        <f>'Entrada datos'!AD121</f>
        <v>0</v>
      </c>
      <c r="AA121">
        <f>'Entrada datos'!AE121</f>
        <v>0</v>
      </c>
      <c r="AB121">
        <f>'Entrada datos'!AF121</f>
        <v>0</v>
      </c>
      <c r="AC121">
        <f>'Entrada datos'!AG121</f>
        <v>0</v>
      </c>
      <c r="AD121" s="17">
        <f t="shared" si="23"/>
        <v>0</v>
      </c>
      <c r="AE121">
        <f>'Entrada datos'!AH121</f>
        <v>0</v>
      </c>
      <c r="AF121">
        <f>'Entrada datos'!AI121</f>
        <v>0</v>
      </c>
      <c r="AG121">
        <f>'Entrada datos'!AJ121</f>
        <v>0</v>
      </c>
      <c r="AH121">
        <f>'Entrada datos'!AK121</f>
        <v>0</v>
      </c>
      <c r="AI121">
        <f>'Entrada datos'!AL121</f>
        <v>0</v>
      </c>
      <c r="AJ121">
        <f>'Entrada datos'!AM121</f>
        <v>0</v>
      </c>
      <c r="AK121" s="17">
        <f t="shared" si="24"/>
        <v>0</v>
      </c>
      <c r="AL121">
        <f>'Entrada datos'!AN121</f>
        <v>0</v>
      </c>
      <c r="AM121">
        <f>'Entrada datos'!AO121</f>
        <v>0</v>
      </c>
      <c r="AN121">
        <f>'Entrada datos'!AP121</f>
        <v>0</v>
      </c>
      <c r="AO121">
        <f>'Entrada datos'!AQ121</f>
        <v>0</v>
      </c>
      <c r="AP121">
        <f>'Entrada datos'!AR121</f>
        <v>0</v>
      </c>
      <c r="AQ121">
        <f>'Entrada datos'!AS121</f>
        <v>0</v>
      </c>
      <c r="AR121" s="17">
        <f t="shared" si="25"/>
        <v>0</v>
      </c>
      <c r="AS121" s="23">
        <f t="shared" si="26"/>
        <v>0</v>
      </c>
      <c r="AT121">
        <f t="shared" si="27"/>
        <v>1900</v>
      </c>
      <c r="AU121" s="41" t="str">
        <f t="shared" si="28"/>
        <v>enero</v>
      </c>
      <c r="AV121">
        <f t="shared" si="29"/>
        <v>0</v>
      </c>
      <c r="AW121">
        <f t="shared" si="30"/>
        <v>0</v>
      </c>
      <c r="AX121" s="24">
        <f t="shared" si="17"/>
        <v>0</v>
      </c>
      <c r="AY121" s="24">
        <f t="shared" si="18"/>
        <v>0</v>
      </c>
      <c r="AZ121" s="24">
        <f t="shared" si="31"/>
        <v>0</v>
      </c>
      <c r="BA121">
        <f t="shared" si="32"/>
        <v>0</v>
      </c>
      <c r="BB121">
        <f t="shared" si="19"/>
        <v>0</v>
      </c>
      <c r="BC121" s="24">
        <f t="shared" si="20"/>
        <v>0</v>
      </c>
      <c r="BD121">
        <f t="shared" si="33"/>
        <v>0</v>
      </c>
    </row>
    <row r="122" spans="1:56" x14ac:dyDescent="0.3">
      <c r="A122">
        <f>'Entrada datos'!A122</f>
        <v>0</v>
      </c>
      <c r="B122">
        <f>'Entrada datos'!B122</f>
        <v>0</v>
      </c>
      <c r="C122">
        <f>'Entrada datos'!C122</f>
        <v>0</v>
      </c>
      <c r="D122">
        <f>'Entrada datos'!D122</f>
        <v>0</v>
      </c>
      <c r="E122" s="18">
        <f>'Entrada datos'!G122</f>
        <v>0</v>
      </c>
      <c r="F122" s="18">
        <f>'Entrada datos'!H122</f>
        <v>0</v>
      </c>
      <c r="G122">
        <f>'Entrada datos'!J122</f>
        <v>0</v>
      </c>
      <c r="H122">
        <f>'Entrada datos'!L122</f>
        <v>0</v>
      </c>
      <c r="I122">
        <f>'Entrada datos'!O122</f>
        <v>0</v>
      </c>
      <c r="J122">
        <f>'Entrada datos'!P122</f>
        <v>0</v>
      </c>
      <c r="K122">
        <f>'Entrada datos'!Q122</f>
        <v>0</v>
      </c>
      <c r="L122">
        <f>'Entrada datos'!R122</f>
        <v>0</v>
      </c>
      <c r="M122">
        <f>'Entrada datos'!S122</f>
        <v>0</v>
      </c>
      <c r="N122">
        <f>'Entrada datos'!T122</f>
        <v>0</v>
      </c>
      <c r="O122">
        <f>'Entrada datos'!U122</f>
        <v>0</v>
      </c>
      <c r="P122" s="17">
        <f t="shared" si="21"/>
        <v>0</v>
      </c>
      <c r="Q122">
        <f>'Entrada datos'!V122</f>
        <v>0</v>
      </c>
      <c r="R122">
        <f>'Entrada datos'!W122</f>
        <v>0</v>
      </c>
      <c r="S122">
        <f>'Entrada datos'!X122</f>
        <v>0</v>
      </c>
      <c r="T122">
        <f>'Entrada datos'!Y122</f>
        <v>0</v>
      </c>
      <c r="U122">
        <f>'Entrada datos'!Z122</f>
        <v>0</v>
      </c>
      <c r="V122">
        <f>'Entrada datos'!AA122</f>
        <v>0</v>
      </c>
      <c r="W122" s="17">
        <f t="shared" si="22"/>
        <v>0</v>
      </c>
      <c r="X122">
        <f>'Entrada datos'!AB122</f>
        <v>0</v>
      </c>
      <c r="Y122">
        <f>'Entrada datos'!AC122</f>
        <v>0</v>
      </c>
      <c r="Z122">
        <f>'Entrada datos'!AD122</f>
        <v>0</v>
      </c>
      <c r="AA122">
        <f>'Entrada datos'!AE122</f>
        <v>0</v>
      </c>
      <c r="AB122">
        <f>'Entrada datos'!AF122</f>
        <v>0</v>
      </c>
      <c r="AC122">
        <f>'Entrada datos'!AG122</f>
        <v>0</v>
      </c>
      <c r="AD122" s="17">
        <f t="shared" si="23"/>
        <v>0</v>
      </c>
      <c r="AE122">
        <f>'Entrada datos'!AH122</f>
        <v>0</v>
      </c>
      <c r="AF122">
        <f>'Entrada datos'!AI122</f>
        <v>0</v>
      </c>
      <c r="AG122">
        <f>'Entrada datos'!AJ122</f>
        <v>0</v>
      </c>
      <c r="AH122">
        <f>'Entrada datos'!AK122</f>
        <v>0</v>
      </c>
      <c r="AI122">
        <f>'Entrada datos'!AL122</f>
        <v>0</v>
      </c>
      <c r="AJ122">
        <f>'Entrada datos'!AM122</f>
        <v>0</v>
      </c>
      <c r="AK122" s="17">
        <f t="shared" si="24"/>
        <v>0</v>
      </c>
      <c r="AL122">
        <f>'Entrada datos'!AN122</f>
        <v>0</v>
      </c>
      <c r="AM122">
        <f>'Entrada datos'!AO122</f>
        <v>0</v>
      </c>
      <c r="AN122">
        <f>'Entrada datos'!AP122</f>
        <v>0</v>
      </c>
      <c r="AO122">
        <f>'Entrada datos'!AQ122</f>
        <v>0</v>
      </c>
      <c r="AP122">
        <f>'Entrada datos'!AR122</f>
        <v>0</v>
      </c>
      <c r="AQ122">
        <f>'Entrada datos'!AS122</f>
        <v>0</v>
      </c>
      <c r="AR122" s="17">
        <f t="shared" si="25"/>
        <v>0</v>
      </c>
      <c r="AS122" s="23">
        <f t="shared" si="26"/>
        <v>0</v>
      </c>
      <c r="AT122">
        <f t="shared" si="27"/>
        <v>1900</v>
      </c>
      <c r="AU122" s="41" t="str">
        <f t="shared" si="28"/>
        <v>enero</v>
      </c>
      <c r="AV122">
        <f t="shared" si="29"/>
        <v>0</v>
      </c>
      <c r="AW122">
        <f t="shared" si="30"/>
        <v>0</v>
      </c>
      <c r="AX122" s="24">
        <f t="shared" si="17"/>
        <v>0</v>
      </c>
      <c r="AY122" s="24">
        <f t="shared" si="18"/>
        <v>0</v>
      </c>
      <c r="AZ122" s="24">
        <f t="shared" si="31"/>
        <v>0</v>
      </c>
      <c r="BA122">
        <f t="shared" si="32"/>
        <v>0</v>
      </c>
      <c r="BB122">
        <f t="shared" si="19"/>
        <v>0</v>
      </c>
      <c r="BC122" s="24">
        <f t="shared" si="20"/>
        <v>0</v>
      </c>
      <c r="BD122">
        <f t="shared" si="33"/>
        <v>0</v>
      </c>
    </row>
    <row r="123" spans="1:56" x14ac:dyDescent="0.3">
      <c r="A123">
        <f>'Entrada datos'!A123</f>
        <v>0</v>
      </c>
      <c r="B123">
        <f>'Entrada datos'!B123</f>
        <v>0</v>
      </c>
      <c r="C123">
        <f>'Entrada datos'!C123</f>
        <v>0</v>
      </c>
      <c r="D123">
        <f>'Entrada datos'!D123</f>
        <v>0</v>
      </c>
      <c r="E123" s="18">
        <f>'Entrada datos'!G123</f>
        <v>0</v>
      </c>
      <c r="F123" s="18">
        <f>'Entrada datos'!H123</f>
        <v>0</v>
      </c>
      <c r="G123">
        <f>'Entrada datos'!J123</f>
        <v>0</v>
      </c>
      <c r="H123">
        <f>'Entrada datos'!L123</f>
        <v>0</v>
      </c>
      <c r="I123">
        <f>'Entrada datos'!O123</f>
        <v>0</v>
      </c>
      <c r="J123">
        <f>'Entrada datos'!P123</f>
        <v>0</v>
      </c>
      <c r="K123">
        <f>'Entrada datos'!Q123</f>
        <v>0</v>
      </c>
      <c r="L123">
        <f>'Entrada datos'!R123</f>
        <v>0</v>
      </c>
      <c r="M123">
        <f>'Entrada datos'!S123</f>
        <v>0</v>
      </c>
      <c r="N123">
        <f>'Entrada datos'!T123</f>
        <v>0</v>
      </c>
      <c r="O123">
        <f>'Entrada datos'!U123</f>
        <v>0</v>
      </c>
      <c r="P123" s="17">
        <f t="shared" si="21"/>
        <v>0</v>
      </c>
      <c r="Q123">
        <f>'Entrada datos'!V123</f>
        <v>0</v>
      </c>
      <c r="R123">
        <f>'Entrada datos'!W123</f>
        <v>0</v>
      </c>
      <c r="S123">
        <f>'Entrada datos'!X123</f>
        <v>0</v>
      </c>
      <c r="T123">
        <f>'Entrada datos'!Y123</f>
        <v>0</v>
      </c>
      <c r="U123">
        <f>'Entrada datos'!Z123</f>
        <v>0</v>
      </c>
      <c r="V123">
        <f>'Entrada datos'!AA123</f>
        <v>0</v>
      </c>
      <c r="W123" s="17">
        <f t="shared" si="22"/>
        <v>0</v>
      </c>
      <c r="X123">
        <f>'Entrada datos'!AB123</f>
        <v>0</v>
      </c>
      <c r="Y123">
        <f>'Entrada datos'!AC123</f>
        <v>0</v>
      </c>
      <c r="Z123">
        <f>'Entrada datos'!AD123</f>
        <v>0</v>
      </c>
      <c r="AA123">
        <f>'Entrada datos'!AE123</f>
        <v>0</v>
      </c>
      <c r="AB123">
        <f>'Entrada datos'!AF123</f>
        <v>0</v>
      </c>
      <c r="AC123">
        <f>'Entrada datos'!AG123</f>
        <v>0</v>
      </c>
      <c r="AD123" s="17">
        <f t="shared" si="23"/>
        <v>0</v>
      </c>
      <c r="AE123">
        <f>'Entrada datos'!AH123</f>
        <v>0</v>
      </c>
      <c r="AF123">
        <f>'Entrada datos'!AI123</f>
        <v>0</v>
      </c>
      <c r="AG123">
        <f>'Entrada datos'!AJ123</f>
        <v>0</v>
      </c>
      <c r="AH123">
        <f>'Entrada datos'!AK123</f>
        <v>0</v>
      </c>
      <c r="AI123">
        <f>'Entrada datos'!AL123</f>
        <v>0</v>
      </c>
      <c r="AJ123">
        <f>'Entrada datos'!AM123</f>
        <v>0</v>
      </c>
      <c r="AK123" s="17">
        <f t="shared" si="24"/>
        <v>0</v>
      </c>
      <c r="AL123">
        <f>'Entrada datos'!AN123</f>
        <v>0</v>
      </c>
      <c r="AM123">
        <f>'Entrada datos'!AO123</f>
        <v>0</v>
      </c>
      <c r="AN123">
        <f>'Entrada datos'!AP123</f>
        <v>0</v>
      </c>
      <c r="AO123">
        <f>'Entrada datos'!AQ123</f>
        <v>0</v>
      </c>
      <c r="AP123">
        <f>'Entrada datos'!AR123</f>
        <v>0</v>
      </c>
      <c r="AQ123">
        <f>'Entrada datos'!AS123</f>
        <v>0</v>
      </c>
      <c r="AR123" s="17">
        <f t="shared" si="25"/>
        <v>0</v>
      </c>
      <c r="AS123" s="23">
        <f t="shared" si="26"/>
        <v>0</v>
      </c>
      <c r="AT123">
        <f t="shared" si="27"/>
        <v>1900</v>
      </c>
      <c r="AU123" s="41" t="str">
        <f t="shared" si="28"/>
        <v>enero</v>
      </c>
      <c r="AV123">
        <f t="shared" si="29"/>
        <v>0</v>
      </c>
      <c r="AW123">
        <f t="shared" si="30"/>
        <v>0</v>
      </c>
      <c r="AX123" s="24">
        <f t="shared" si="17"/>
        <v>0</v>
      </c>
      <c r="AY123" s="24">
        <f t="shared" si="18"/>
        <v>0</v>
      </c>
      <c r="AZ123" s="24">
        <f t="shared" si="31"/>
        <v>0</v>
      </c>
      <c r="BA123">
        <f t="shared" si="32"/>
        <v>0</v>
      </c>
      <c r="BB123">
        <f t="shared" si="19"/>
        <v>0</v>
      </c>
      <c r="BC123" s="24">
        <f t="shared" si="20"/>
        <v>0</v>
      </c>
      <c r="BD123">
        <f t="shared" si="33"/>
        <v>0</v>
      </c>
    </row>
    <row r="124" spans="1:56" x14ac:dyDescent="0.3">
      <c r="A124">
        <f>'Entrada datos'!A124</f>
        <v>0</v>
      </c>
      <c r="B124">
        <f>'Entrada datos'!B124</f>
        <v>0</v>
      </c>
      <c r="C124">
        <f>'Entrada datos'!C124</f>
        <v>0</v>
      </c>
      <c r="D124">
        <f>'Entrada datos'!D124</f>
        <v>0</v>
      </c>
      <c r="E124" s="18">
        <f>'Entrada datos'!G124</f>
        <v>0</v>
      </c>
      <c r="F124" s="18">
        <f>'Entrada datos'!H124</f>
        <v>0</v>
      </c>
      <c r="G124">
        <f>'Entrada datos'!J124</f>
        <v>0</v>
      </c>
      <c r="H124">
        <f>'Entrada datos'!L124</f>
        <v>0</v>
      </c>
      <c r="I124">
        <f>'Entrada datos'!O124</f>
        <v>0</v>
      </c>
      <c r="J124">
        <f>'Entrada datos'!P124</f>
        <v>0</v>
      </c>
      <c r="K124">
        <f>'Entrada datos'!Q124</f>
        <v>0</v>
      </c>
      <c r="L124">
        <f>'Entrada datos'!R124</f>
        <v>0</v>
      </c>
      <c r="M124">
        <f>'Entrada datos'!S124</f>
        <v>0</v>
      </c>
      <c r="N124">
        <f>'Entrada datos'!T124</f>
        <v>0</v>
      </c>
      <c r="O124">
        <f>'Entrada datos'!U124</f>
        <v>0</v>
      </c>
      <c r="P124" s="17">
        <f t="shared" si="21"/>
        <v>0</v>
      </c>
      <c r="Q124">
        <f>'Entrada datos'!V124</f>
        <v>0</v>
      </c>
      <c r="R124">
        <f>'Entrada datos'!W124</f>
        <v>0</v>
      </c>
      <c r="S124">
        <f>'Entrada datos'!X124</f>
        <v>0</v>
      </c>
      <c r="T124">
        <f>'Entrada datos'!Y124</f>
        <v>0</v>
      </c>
      <c r="U124">
        <f>'Entrada datos'!Z124</f>
        <v>0</v>
      </c>
      <c r="V124">
        <f>'Entrada datos'!AA124</f>
        <v>0</v>
      </c>
      <c r="W124" s="17">
        <f t="shared" si="22"/>
        <v>0</v>
      </c>
      <c r="X124">
        <f>'Entrada datos'!AB124</f>
        <v>0</v>
      </c>
      <c r="Y124">
        <f>'Entrada datos'!AC124</f>
        <v>0</v>
      </c>
      <c r="Z124">
        <f>'Entrada datos'!AD124</f>
        <v>0</v>
      </c>
      <c r="AA124">
        <f>'Entrada datos'!AE124</f>
        <v>0</v>
      </c>
      <c r="AB124">
        <f>'Entrada datos'!AF124</f>
        <v>0</v>
      </c>
      <c r="AC124">
        <f>'Entrada datos'!AG124</f>
        <v>0</v>
      </c>
      <c r="AD124" s="17">
        <f t="shared" si="23"/>
        <v>0</v>
      </c>
      <c r="AE124">
        <f>'Entrada datos'!AH124</f>
        <v>0</v>
      </c>
      <c r="AF124">
        <f>'Entrada datos'!AI124</f>
        <v>0</v>
      </c>
      <c r="AG124">
        <f>'Entrada datos'!AJ124</f>
        <v>0</v>
      </c>
      <c r="AH124">
        <f>'Entrada datos'!AK124</f>
        <v>0</v>
      </c>
      <c r="AI124">
        <f>'Entrada datos'!AL124</f>
        <v>0</v>
      </c>
      <c r="AJ124">
        <f>'Entrada datos'!AM124</f>
        <v>0</v>
      </c>
      <c r="AK124" s="17">
        <f t="shared" si="24"/>
        <v>0</v>
      </c>
      <c r="AL124">
        <f>'Entrada datos'!AN124</f>
        <v>0</v>
      </c>
      <c r="AM124">
        <f>'Entrada datos'!AO124</f>
        <v>0</v>
      </c>
      <c r="AN124">
        <f>'Entrada datos'!AP124</f>
        <v>0</v>
      </c>
      <c r="AO124">
        <f>'Entrada datos'!AQ124</f>
        <v>0</v>
      </c>
      <c r="AP124">
        <f>'Entrada datos'!AR124</f>
        <v>0</v>
      </c>
      <c r="AQ124">
        <f>'Entrada datos'!AS124</f>
        <v>0</v>
      </c>
      <c r="AR124" s="17">
        <f t="shared" si="25"/>
        <v>0</v>
      </c>
      <c r="AS124" s="23">
        <f t="shared" si="26"/>
        <v>0</v>
      </c>
      <c r="AT124">
        <f t="shared" si="27"/>
        <v>1900</v>
      </c>
      <c r="AU124" s="41" t="str">
        <f t="shared" si="28"/>
        <v>enero</v>
      </c>
      <c r="AV124">
        <f t="shared" si="29"/>
        <v>0</v>
      </c>
      <c r="AW124">
        <f t="shared" si="30"/>
        <v>0</v>
      </c>
      <c r="AX124" s="24">
        <f t="shared" si="17"/>
        <v>0</v>
      </c>
      <c r="AY124" s="24">
        <f t="shared" si="18"/>
        <v>0</v>
      </c>
      <c r="AZ124" s="24">
        <f t="shared" si="31"/>
        <v>0</v>
      </c>
      <c r="BA124">
        <f t="shared" si="32"/>
        <v>0</v>
      </c>
      <c r="BB124">
        <f t="shared" si="19"/>
        <v>0</v>
      </c>
      <c r="BC124" s="24">
        <f t="shared" si="20"/>
        <v>0</v>
      </c>
      <c r="BD124">
        <f t="shared" si="33"/>
        <v>0</v>
      </c>
    </row>
    <row r="125" spans="1:56" x14ac:dyDescent="0.3">
      <c r="A125">
        <f>'Entrada datos'!A125</f>
        <v>0</v>
      </c>
      <c r="B125">
        <f>'Entrada datos'!B125</f>
        <v>0</v>
      </c>
      <c r="C125">
        <f>'Entrada datos'!C125</f>
        <v>0</v>
      </c>
      <c r="D125">
        <f>'Entrada datos'!D125</f>
        <v>0</v>
      </c>
      <c r="E125" s="18">
        <f>'Entrada datos'!G125</f>
        <v>0</v>
      </c>
      <c r="F125" s="18">
        <f>'Entrada datos'!H125</f>
        <v>0</v>
      </c>
      <c r="G125">
        <f>'Entrada datos'!J125</f>
        <v>0</v>
      </c>
      <c r="H125">
        <f>'Entrada datos'!L125</f>
        <v>0</v>
      </c>
      <c r="I125">
        <f>'Entrada datos'!O125</f>
        <v>0</v>
      </c>
      <c r="J125">
        <f>'Entrada datos'!P125</f>
        <v>0</v>
      </c>
      <c r="K125">
        <f>'Entrada datos'!Q125</f>
        <v>0</v>
      </c>
      <c r="L125">
        <f>'Entrada datos'!R125</f>
        <v>0</v>
      </c>
      <c r="M125">
        <f>'Entrada datos'!S125</f>
        <v>0</v>
      </c>
      <c r="N125">
        <f>'Entrada datos'!T125</f>
        <v>0</v>
      </c>
      <c r="O125">
        <f>'Entrada datos'!U125</f>
        <v>0</v>
      </c>
      <c r="P125" s="17">
        <f t="shared" si="21"/>
        <v>0</v>
      </c>
      <c r="Q125">
        <f>'Entrada datos'!V125</f>
        <v>0</v>
      </c>
      <c r="R125">
        <f>'Entrada datos'!W125</f>
        <v>0</v>
      </c>
      <c r="S125">
        <f>'Entrada datos'!X125</f>
        <v>0</v>
      </c>
      <c r="T125">
        <f>'Entrada datos'!Y125</f>
        <v>0</v>
      </c>
      <c r="U125">
        <f>'Entrada datos'!Z125</f>
        <v>0</v>
      </c>
      <c r="V125">
        <f>'Entrada datos'!AA125</f>
        <v>0</v>
      </c>
      <c r="W125" s="17">
        <f t="shared" si="22"/>
        <v>0</v>
      </c>
      <c r="X125">
        <f>'Entrada datos'!AB125</f>
        <v>0</v>
      </c>
      <c r="Y125">
        <f>'Entrada datos'!AC125</f>
        <v>0</v>
      </c>
      <c r="Z125">
        <f>'Entrada datos'!AD125</f>
        <v>0</v>
      </c>
      <c r="AA125">
        <f>'Entrada datos'!AE125</f>
        <v>0</v>
      </c>
      <c r="AB125">
        <f>'Entrada datos'!AF125</f>
        <v>0</v>
      </c>
      <c r="AC125">
        <f>'Entrada datos'!AG125</f>
        <v>0</v>
      </c>
      <c r="AD125" s="17">
        <f t="shared" si="23"/>
        <v>0</v>
      </c>
      <c r="AE125">
        <f>'Entrada datos'!AH125</f>
        <v>0</v>
      </c>
      <c r="AF125">
        <f>'Entrada datos'!AI125</f>
        <v>0</v>
      </c>
      <c r="AG125">
        <f>'Entrada datos'!AJ125</f>
        <v>0</v>
      </c>
      <c r="AH125">
        <f>'Entrada datos'!AK125</f>
        <v>0</v>
      </c>
      <c r="AI125">
        <f>'Entrada datos'!AL125</f>
        <v>0</v>
      </c>
      <c r="AJ125">
        <f>'Entrada datos'!AM125</f>
        <v>0</v>
      </c>
      <c r="AK125" s="17">
        <f t="shared" si="24"/>
        <v>0</v>
      </c>
      <c r="AL125">
        <f>'Entrada datos'!AN125</f>
        <v>0</v>
      </c>
      <c r="AM125">
        <f>'Entrada datos'!AO125</f>
        <v>0</v>
      </c>
      <c r="AN125">
        <f>'Entrada datos'!AP125</f>
        <v>0</v>
      </c>
      <c r="AO125">
        <f>'Entrada datos'!AQ125</f>
        <v>0</v>
      </c>
      <c r="AP125">
        <f>'Entrada datos'!AR125</f>
        <v>0</v>
      </c>
      <c r="AQ125">
        <f>'Entrada datos'!AS125</f>
        <v>0</v>
      </c>
      <c r="AR125" s="17">
        <f t="shared" si="25"/>
        <v>0</v>
      </c>
      <c r="AS125" s="23">
        <f t="shared" si="26"/>
        <v>0</v>
      </c>
      <c r="AT125">
        <f t="shared" si="27"/>
        <v>1900</v>
      </c>
      <c r="AU125" s="41" t="str">
        <f t="shared" si="28"/>
        <v>enero</v>
      </c>
      <c r="AV125">
        <f t="shared" si="29"/>
        <v>0</v>
      </c>
      <c r="AW125">
        <f t="shared" si="30"/>
        <v>0</v>
      </c>
      <c r="AX125" s="24">
        <f t="shared" si="17"/>
        <v>0</v>
      </c>
      <c r="AY125" s="24">
        <f t="shared" si="18"/>
        <v>0</v>
      </c>
      <c r="AZ125" s="24">
        <f t="shared" si="31"/>
        <v>0</v>
      </c>
      <c r="BA125">
        <f t="shared" si="32"/>
        <v>0</v>
      </c>
      <c r="BB125">
        <f t="shared" si="19"/>
        <v>0</v>
      </c>
      <c r="BC125" s="24">
        <f t="shared" si="20"/>
        <v>0</v>
      </c>
      <c r="BD125">
        <f t="shared" si="33"/>
        <v>0</v>
      </c>
    </row>
    <row r="126" spans="1:56" x14ac:dyDescent="0.3">
      <c r="A126">
        <f>'Entrada datos'!A126</f>
        <v>0</v>
      </c>
      <c r="B126">
        <f>'Entrada datos'!B126</f>
        <v>0</v>
      </c>
      <c r="C126">
        <f>'Entrada datos'!C126</f>
        <v>0</v>
      </c>
      <c r="D126">
        <f>'Entrada datos'!D126</f>
        <v>0</v>
      </c>
      <c r="E126" s="18">
        <f>'Entrada datos'!G126</f>
        <v>0</v>
      </c>
      <c r="F126" s="18">
        <f>'Entrada datos'!H126</f>
        <v>0</v>
      </c>
      <c r="G126">
        <f>'Entrada datos'!J126</f>
        <v>0</v>
      </c>
      <c r="H126">
        <f>'Entrada datos'!L126</f>
        <v>0</v>
      </c>
      <c r="I126">
        <f>'Entrada datos'!O126</f>
        <v>0</v>
      </c>
      <c r="J126">
        <f>'Entrada datos'!P126</f>
        <v>0</v>
      </c>
      <c r="K126">
        <f>'Entrada datos'!Q126</f>
        <v>0</v>
      </c>
      <c r="L126">
        <f>'Entrada datos'!R126</f>
        <v>0</v>
      </c>
      <c r="M126">
        <f>'Entrada datos'!S126</f>
        <v>0</v>
      </c>
      <c r="N126">
        <f>'Entrada datos'!T126</f>
        <v>0</v>
      </c>
      <c r="O126">
        <f>'Entrada datos'!U126</f>
        <v>0</v>
      </c>
      <c r="P126" s="17">
        <f t="shared" si="21"/>
        <v>0</v>
      </c>
      <c r="Q126">
        <f>'Entrada datos'!V126</f>
        <v>0</v>
      </c>
      <c r="R126">
        <f>'Entrada datos'!W126</f>
        <v>0</v>
      </c>
      <c r="S126">
        <f>'Entrada datos'!X126</f>
        <v>0</v>
      </c>
      <c r="T126">
        <f>'Entrada datos'!Y126</f>
        <v>0</v>
      </c>
      <c r="U126">
        <f>'Entrada datos'!Z126</f>
        <v>0</v>
      </c>
      <c r="V126">
        <f>'Entrada datos'!AA126</f>
        <v>0</v>
      </c>
      <c r="W126" s="17">
        <f t="shared" si="22"/>
        <v>0</v>
      </c>
      <c r="X126">
        <f>'Entrada datos'!AB126</f>
        <v>0</v>
      </c>
      <c r="Y126">
        <f>'Entrada datos'!AC126</f>
        <v>0</v>
      </c>
      <c r="Z126">
        <f>'Entrada datos'!AD126</f>
        <v>0</v>
      </c>
      <c r="AA126">
        <f>'Entrada datos'!AE126</f>
        <v>0</v>
      </c>
      <c r="AB126">
        <f>'Entrada datos'!AF126</f>
        <v>0</v>
      </c>
      <c r="AC126">
        <f>'Entrada datos'!AG126</f>
        <v>0</v>
      </c>
      <c r="AD126" s="17">
        <f t="shared" si="23"/>
        <v>0</v>
      </c>
      <c r="AE126">
        <f>'Entrada datos'!AH126</f>
        <v>0</v>
      </c>
      <c r="AF126">
        <f>'Entrada datos'!AI126</f>
        <v>0</v>
      </c>
      <c r="AG126">
        <f>'Entrada datos'!AJ126</f>
        <v>0</v>
      </c>
      <c r="AH126">
        <f>'Entrada datos'!AK126</f>
        <v>0</v>
      </c>
      <c r="AI126">
        <f>'Entrada datos'!AL126</f>
        <v>0</v>
      </c>
      <c r="AJ126">
        <f>'Entrada datos'!AM126</f>
        <v>0</v>
      </c>
      <c r="AK126" s="17">
        <f t="shared" si="24"/>
        <v>0</v>
      </c>
      <c r="AL126">
        <f>'Entrada datos'!AN126</f>
        <v>0</v>
      </c>
      <c r="AM126">
        <f>'Entrada datos'!AO126</f>
        <v>0</v>
      </c>
      <c r="AN126">
        <f>'Entrada datos'!AP126</f>
        <v>0</v>
      </c>
      <c r="AO126">
        <f>'Entrada datos'!AQ126</f>
        <v>0</v>
      </c>
      <c r="AP126">
        <f>'Entrada datos'!AR126</f>
        <v>0</v>
      </c>
      <c r="AQ126">
        <f>'Entrada datos'!AS126</f>
        <v>0</v>
      </c>
      <c r="AR126" s="17">
        <f t="shared" si="25"/>
        <v>0</v>
      </c>
      <c r="AS126" s="23">
        <f t="shared" si="26"/>
        <v>0</v>
      </c>
      <c r="AT126">
        <f t="shared" si="27"/>
        <v>1900</v>
      </c>
      <c r="AU126" s="41" t="str">
        <f t="shared" si="28"/>
        <v>enero</v>
      </c>
      <c r="AV126">
        <f t="shared" si="29"/>
        <v>0</v>
      </c>
      <c r="AW126">
        <f t="shared" si="30"/>
        <v>0</v>
      </c>
      <c r="AX126" s="24">
        <f t="shared" si="17"/>
        <v>0</v>
      </c>
      <c r="AY126" s="24">
        <f t="shared" si="18"/>
        <v>0</v>
      </c>
      <c r="AZ126" s="24">
        <f t="shared" si="31"/>
        <v>0</v>
      </c>
      <c r="BA126">
        <f t="shared" si="32"/>
        <v>0</v>
      </c>
      <c r="BB126">
        <f t="shared" si="19"/>
        <v>0</v>
      </c>
      <c r="BC126" s="24">
        <f t="shared" si="20"/>
        <v>0</v>
      </c>
      <c r="BD126">
        <f t="shared" si="33"/>
        <v>0</v>
      </c>
    </row>
    <row r="127" spans="1:56" x14ac:dyDescent="0.3">
      <c r="A127">
        <f>'Entrada datos'!A127</f>
        <v>0</v>
      </c>
      <c r="B127">
        <f>'Entrada datos'!B127</f>
        <v>0</v>
      </c>
      <c r="C127">
        <f>'Entrada datos'!C127</f>
        <v>0</v>
      </c>
      <c r="D127">
        <f>'Entrada datos'!D127</f>
        <v>0</v>
      </c>
      <c r="E127" s="18">
        <f>'Entrada datos'!G127</f>
        <v>0</v>
      </c>
      <c r="F127" s="18">
        <f>'Entrada datos'!H127</f>
        <v>0</v>
      </c>
      <c r="G127">
        <f>'Entrada datos'!J127</f>
        <v>0</v>
      </c>
      <c r="H127">
        <f>'Entrada datos'!L127</f>
        <v>0</v>
      </c>
      <c r="I127">
        <f>'Entrada datos'!O127</f>
        <v>0</v>
      </c>
      <c r="J127">
        <f>'Entrada datos'!P127</f>
        <v>0</v>
      </c>
      <c r="K127">
        <f>'Entrada datos'!Q127</f>
        <v>0</v>
      </c>
      <c r="L127">
        <f>'Entrada datos'!R127</f>
        <v>0</v>
      </c>
      <c r="M127">
        <f>'Entrada datos'!S127</f>
        <v>0</v>
      </c>
      <c r="N127">
        <f>'Entrada datos'!T127</f>
        <v>0</v>
      </c>
      <c r="O127">
        <f>'Entrada datos'!U127</f>
        <v>0</v>
      </c>
      <c r="P127" s="17">
        <f t="shared" si="21"/>
        <v>0</v>
      </c>
      <c r="Q127">
        <f>'Entrada datos'!V127</f>
        <v>0</v>
      </c>
      <c r="R127">
        <f>'Entrada datos'!W127</f>
        <v>0</v>
      </c>
      <c r="S127">
        <f>'Entrada datos'!X127</f>
        <v>0</v>
      </c>
      <c r="T127">
        <f>'Entrada datos'!Y127</f>
        <v>0</v>
      </c>
      <c r="U127">
        <f>'Entrada datos'!Z127</f>
        <v>0</v>
      </c>
      <c r="V127">
        <f>'Entrada datos'!AA127</f>
        <v>0</v>
      </c>
      <c r="W127" s="17">
        <f t="shared" si="22"/>
        <v>0</v>
      </c>
      <c r="X127">
        <f>'Entrada datos'!AB127</f>
        <v>0</v>
      </c>
      <c r="Y127">
        <f>'Entrada datos'!AC127</f>
        <v>0</v>
      </c>
      <c r="Z127">
        <f>'Entrada datos'!AD127</f>
        <v>0</v>
      </c>
      <c r="AA127">
        <f>'Entrada datos'!AE127</f>
        <v>0</v>
      </c>
      <c r="AB127">
        <f>'Entrada datos'!AF127</f>
        <v>0</v>
      </c>
      <c r="AC127">
        <f>'Entrada datos'!AG127</f>
        <v>0</v>
      </c>
      <c r="AD127" s="17">
        <f t="shared" si="23"/>
        <v>0</v>
      </c>
      <c r="AE127">
        <f>'Entrada datos'!AH127</f>
        <v>0</v>
      </c>
      <c r="AF127">
        <f>'Entrada datos'!AI127</f>
        <v>0</v>
      </c>
      <c r="AG127">
        <f>'Entrada datos'!AJ127</f>
        <v>0</v>
      </c>
      <c r="AH127">
        <f>'Entrada datos'!AK127</f>
        <v>0</v>
      </c>
      <c r="AI127">
        <f>'Entrada datos'!AL127</f>
        <v>0</v>
      </c>
      <c r="AJ127">
        <f>'Entrada datos'!AM127</f>
        <v>0</v>
      </c>
      <c r="AK127" s="17">
        <f t="shared" si="24"/>
        <v>0</v>
      </c>
      <c r="AL127">
        <f>'Entrada datos'!AN127</f>
        <v>0</v>
      </c>
      <c r="AM127">
        <f>'Entrada datos'!AO127</f>
        <v>0</v>
      </c>
      <c r="AN127">
        <f>'Entrada datos'!AP127</f>
        <v>0</v>
      </c>
      <c r="AO127">
        <f>'Entrada datos'!AQ127</f>
        <v>0</v>
      </c>
      <c r="AP127">
        <f>'Entrada datos'!AR127</f>
        <v>0</v>
      </c>
      <c r="AQ127">
        <f>'Entrada datos'!AS127</f>
        <v>0</v>
      </c>
      <c r="AR127" s="17">
        <f t="shared" si="25"/>
        <v>0</v>
      </c>
      <c r="AS127" s="23">
        <f t="shared" si="26"/>
        <v>0</v>
      </c>
      <c r="AT127">
        <f t="shared" si="27"/>
        <v>1900</v>
      </c>
      <c r="AU127" s="41" t="str">
        <f t="shared" si="28"/>
        <v>enero</v>
      </c>
      <c r="AV127">
        <f t="shared" si="29"/>
        <v>0</v>
      </c>
      <c r="AW127">
        <f t="shared" si="30"/>
        <v>0</v>
      </c>
      <c r="AX127" s="24">
        <f t="shared" si="17"/>
        <v>0</v>
      </c>
      <c r="AY127" s="24">
        <f t="shared" si="18"/>
        <v>0</v>
      </c>
      <c r="AZ127" s="24">
        <f t="shared" si="31"/>
        <v>0</v>
      </c>
      <c r="BA127">
        <f t="shared" si="32"/>
        <v>0</v>
      </c>
      <c r="BB127">
        <f t="shared" si="19"/>
        <v>0</v>
      </c>
      <c r="BC127" s="24">
        <f t="shared" si="20"/>
        <v>0</v>
      </c>
      <c r="BD127">
        <f t="shared" si="33"/>
        <v>0</v>
      </c>
    </row>
    <row r="128" spans="1:56" x14ac:dyDescent="0.3">
      <c r="A128">
        <f>'Entrada datos'!A128</f>
        <v>0</v>
      </c>
      <c r="B128">
        <f>'Entrada datos'!B128</f>
        <v>0</v>
      </c>
      <c r="C128">
        <f>'Entrada datos'!C128</f>
        <v>0</v>
      </c>
      <c r="D128">
        <f>'Entrada datos'!D128</f>
        <v>0</v>
      </c>
      <c r="E128" s="18">
        <f>'Entrada datos'!G128</f>
        <v>0</v>
      </c>
      <c r="F128" s="18">
        <f>'Entrada datos'!H128</f>
        <v>0</v>
      </c>
      <c r="G128">
        <f>'Entrada datos'!J128</f>
        <v>0</v>
      </c>
      <c r="H128">
        <f>'Entrada datos'!L128</f>
        <v>0</v>
      </c>
      <c r="I128">
        <f>'Entrada datos'!O128</f>
        <v>0</v>
      </c>
      <c r="J128">
        <f>'Entrada datos'!P128</f>
        <v>0</v>
      </c>
      <c r="K128">
        <f>'Entrada datos'!Q128</f>
        <v>0</v>
      </c>
      <c r="L128">
        <f>'Entrada datos'!R128</f>
        <v>0</v>
      </c>
      <c r="M128">
        <f>'Entrada datos'!S128</f>
        <v>0</v>
      </c>
      <c r="N128">
        <f>'Entrada datos'!T128</f>
        <v>0</v>
      </c>
      <c r="O128">
        <f>'Entrada datos'!U128</f>
        <v>0</v>
      </c>
      <c r="P128" s="17">
        <f t="shared" si="21"/>
        <v>0</v>
      </c>
      <c r="Q128">
        <f>'Entrada datos'!V128</f>
        <v>0</v>
      </c>
      <c r="R128">
        <f>'Entrada datos'!W128</f>
        <v>0</v>
      </c>
      <c r="S128">
        <f>'Entrada datos'!X128</f>
        <v>0</v>
      </c>
      <c r="T128">
        <f>'Entrada datos'!Y128</f>
        <v>0</v>
      </c>
      <c r="U128">
        <f>'Entrada datos'!Z128</f>
        <v>0</v>
      </c>
      <c r="V128">
        <f>'Entrada datos'!AA128</f>
        <v>0</v>
      </c>
      <c r="W128" s="17">
        <f t="shared" si="22"/>
        <v>0</v>
      </c>
      <c r="X128">
        <f>'Entrada datos'!AB128</f>
        <v>0</v>
      </c>
      <c r="Y128">
        <f>'Entrada datos'!AC128</f>
        <v>0</v>
      </c>
      <c r="Z128">
        <f>'Entrada datos'!AD128</f>
        <v>0</v>
      </c>
      <c r="AA128">
        <f>'Entrada datos'!AE128</f>
        <v>0</v>
      </c>
      <c r="AB128">
        <f>'Entrada datos'!AF128</f>
        <v>0</v>
      </c>
      <c r="AC128">
        <f>'Entrada datos'!AG128</f>
        <v>0</v>
      </c>
      <c r="AD128" s="17">
        <f t="shared" si="23"/>
        <v>0</v>
      </c>
      <c r="AE128">
        <f>'Entrada datos'!AH128</f>
        <v>0</v>
      </c>
      <c r="AF128">
        <f>'Entrada datos'!AI128</f>
        <v>0</v>
      </c>
      <c r="AG128">
        <f>'Entrada datos'!AJ128</f>
        <v>0</v>
      </c>
      <c r="AH128">
        <f>'Entrada datos'!AK128</f>
        <v>0</v>
      </c>
      <c r="AI128">
        <f>'Entrada datos'!AL128</f>
        <v>0</v>
      </c>
      <c r="AJ128">
        <f>'Entrada datos'!AM128</f>
        <v>0</v>
      </c>
      <c r="AK128" s="17">
        <f t="shared" si="24"/>
        <v>0</v>
      </c>
      <c r="AL128">
        <f>'Entrada datos'!AN128</f>
        <v>0</v>
      </c>
      <c r="AM128">
        <f>'Entrada datos'!AO128</f>
        <v>0</v>
      </c>
      <c r="AN128">
        <f>'Entrada datos'!AP128</f>
        <v>0</v>
      </c>
      <c r="AO128">
        <f>'Entrada datos'!AQ128</f>
        <v>0</v>
      </c>
      <c r="AP128">
        <f>'Entrada datos'!AR128</f>
        <v>0</v>
      </c>
      <c r="AQ128">
        <f>'Entrada datos'!AS128</f>
        <v>0</v>
      </c>
      <c r="AR128" s="17">
        <f t="shared" si="25"/>
        <v>0</v>
      </c>
      <c r="AS128" s="23">
        <f t="shared" si="26"/>
        <v>0</v>
      </c>
      <c r="AT128">
        <f t="shared" si="27"/>
        <v>1900</v>
      </c>
      <c r="AU128" s="41" t="str">
        <f t="shared" si="28"/>
        <v>enero</v>
      </c>
      <c r="AV128">
        <f t="shared" si="29"/>
        <v>0</v>
      </c>
      <c r="AW128">
        <f t="shared" si="30"/>
        <v>0</v>
      </c>
      <c r="AX128" s="24">
        <f t="shared" si="17"/>
        <v>0</v>
      </c>
      <c r="AY128" s="24">
        <f t="shared" si="18"/>
        <v>0</v>
      </c>
      <c r="AZ128" s="24">
        <f t="shared" si="31"/>
        <v>0</v>
      </c>
      <c r="BA128">
        <f t="shared" si="32"/>
        <v>0</v>
      </c>
      <c r="BB128">
        <f t="shared" si="19"/>
        <v>0</v>
      </c>
      <c r="BC128" s="24">
        <f t="shared" si="20"/>
        <v>0</v>
      </c>
      <c r="BD128">
        <f t="shared" si="33"/>
        <v>0</v>
      </c>
    </row>
    <row r="129" spans="1:56" x14ac:dyDescent="0.3">
      <c r="A129">
        <f>'Entrada datos'!A129</f>
        <v>0</v>
      </c>
      <c r="B129">
        <f>'Entrada datos'!B129</f>
        <v>0</v>
      </c>
      <c r="C129">
        <f>'Entrada datos'!C129</f>
        <v>0</v>
      </c>
      <c r="D129">
        <f>'Entrada datos'!D129</f>
        <v>0</v>
      </c>
      <c r="E129" s="18">
        <f>'Entrada datos'!G129</f>
        <v>0</v>
      </c>
      <c r="F129" s="18">
        <f>'Entrada datos'!H129</f>
        <v>0</v>
      </c>
      <c r="G129">
        <f>'Entrada datos'!J129</f>
        <v>0</v>
      </c>
      <c r="H129">
        <f>'Entrada datos'!L129</f>
        <v>0</v>
      </c>
      <c r="I129">
        <f>'Entrada datos'!O129</f>
        <v>0</v>
      </c>
      <c r="J129">
        <f>'Entrada datos'!P129</f>
        <v>0</v>
      </c>
      <c r="K129">
        <f>'Entrada datos'!Q129</f>
        <v>0</v>
      </c>
      <c r="L129">
        <f>'Entrada datos'!R129</f>
        <v>0</v>
      </c>
      <c r="M129">
        <f>'Entrada datos'!S129</f>
        <v>0</v>
      </c>
      <c r="N129">
        <f>'Entrada datos'!T129</f>
        <v>0</v>
      </c>
      <c r="O129">
        <f>'Entrada datos'!U129</f>
        <v>0</v>
      </c>
      <c r="P129" s="17">
        <f t="shared" si="21"/>
        <v>0</v>
      </c>
      <c r="Q129">
        <f>'Entrada datos'!V129</f>
        <v>0</v>
      </c>
      <c r="R129">
        <f>'Entrada datos'!W129</f>
        <v>0</v>
      </c>
      <c r="S129">
        <f>'Entrada datos'!X129</f>
        <v>0</v>
      </c>
      <c r="T129">
        <f>'Entrada datos'!Y129</f>
        <v>0</v>
      </c>
      <c r="U129">
        <f>'Entrada datos'!Z129</f>
        <v>0</v>
      </c>
      <c r="V129">
        <f>'Entrada datos'!AA129</f>
        <v>0</v>
      </c>
      <c r="W129" s="17">
        <f t="shared" si="22"/>
        <v>0</v>
      </c>
      <c r="X129">
        <f>'Entrada datos'!AB129</f>
        <v>0</v>
      </c>
      <c r="Y129">
        <f>'Entrada datos'!AC129</f>
        <v>0</v>
      </c>
      <c r="Z129">
        <f>'Entrada datos'!AD129</f>
        <v>0</v>
      </c>
      <c r="AA129">
        <f>'Entrada datos'!AE129</f>
        <v>0</v>
      </c>
      <c r="AB129">
        <f>'Entrada datos'!AF129</f>
        <v>0</v>
      </c>
      <c r="AC129">
        <f>'Entrada datos'!AG129</f>
        <v>0</v>
      </c>
      <c r="AD129" s="17">
        <f t="shared" si="23"/>
        <v>0</v>
      </c>
      <c r="AE129">
        <f>'Entrada datos'!AH129</f>
        <v>0</v>
      </c>
      <c r="AF129">
        <f>'Entrada datos'!AI129</f>
        <v>0</v>
      </c>
      <c r="AG129">
        <f>'Entrada datos'!AJ129</f>
        <v>0</v>
      </c>
      <c r="AH129">
        <f>'Entrada datos'!AK129</f>
        <v>0</v>
      </c>
      <c r="AI129">
        <f>'Entrada datos'!AL129</f>
        <v>0</v>
      </c>
      <c r="AJ129">
        <f>'Entrada datos'!AM129</f>
        <v>0</v>
      </c>
      <c r="AK129" s="17">
        <f t="shared" si="24"/>
        <v>0</v>
      </c>
      <c r="AL129">
        <f>'Entrada datos'!AN129</f>
        <v>0</v>
      </c>
      <c r="AM129">
        <f>'Entrada datos'!AO129</f>
        <v>0</v>
      </c>
      <c r="AN129">
        <f>'Entrada datos'!AP129</f>
        <v>0</v>
      </c>
      <c r="AO129">
        <f>'Entrada datos'!AQ129</f>
        <v>0</v>
      </c>
      <c r="AP129">
        <f>'Entrada datos'!AR129</f>
        <v>0</v>
      </c>
      <c r="AQ129">
        <f>'Entrada datos'!AS129</f>
        <v>0</v>
      </c>
      <c r="AR129" s="17">
        <f t="shared" si="25"/>
        <v>0</v>
      </c>
      <c r="AS129" s="23">
        <f t="shared" si="26"/>
        <v>0</v>
      </c>
      <c r="AT129">
        <f t="shared" si="27"/>
        <v>1900</v>
      </c>
      <c r="AU129" s="41" t="str">
        <f t="shared" si="28"/>
        <v>enero</v>
      </c>
      <c r="AV129">
        <f t="shared" si="29"/>
        <v>0</v>
      </c>
      <c r="AW129">
        <f t="shared" si="30"/>
        <v>0</v>
      </c>
      <c r="AX129" s="24">
        <f t="shared" si="17"/>
        <v>0</v>
      </c>
      <c r="AY129" s="24">
        <f t="shared" si="18"/>
        <v>0</v>
      </c>
      <c r="AZ129" s="24">
        <f t="shared" si="31"/>
        <v>0</v>
      </c>
      <c r="BA129">
        <f t="shared" si="32"/>
        <v>0</v>
      </c>
      <c r="BB129">
        <f t="shared" si="19"/>
        <v>0</v>
      </c>
      <c r="BC129" s="24">
        <f t="shared" si="20"/>
        <v>0</v>
      </c>
      <c r="BD129">
        <f t="shared" si="33"/>
        <v>0</v>
      </c>
    </row>
    <row r="130" spans="1:56" x14ac:dyDescent="0.3">
      <c r="A130">
        <f>'Entrada datos'!A130</f>
        <v>0</v>
      </c>
      <c r="B130">
        <f>'Entrada datos'!B130</f>
        <v>0</v>
      </c>
      <c r="C130">
        <f>'Entrada datos'!C130</f>
        <v>0</v>
      </c>
      <c r="D130">
        <f>'Entrada datos'!D130</f>
        <v>0</v>
      </c>
      <c r="E130" s="18">
        <f>'Entrada datos'!G130</f>
        <v>0</v>
      </c>
      <c r="F130" s="18">
        <f>'Entrada datos'!H130</f>
        <v>0</v>
      </c>
      <c r="G130">
        <f>'Entrada datos'!J130</f>
        <v>0</v>
      </c>
      <c r="H130">
        <f>'Entrada datos'!L130</f>
        <v>0</v>
      </c>
      <c r="I130">
        <f>'Entrada datos'!O130</f>
        <v>0</v>
      </c>
      <c r="J130">
        <f>'Entrada datos'!P130</f>
        <v>0</v>
      </c>
      <c r="K130">
        <f>'Entrada datos'!Q130</f>
        <v>0</v>
      </c>
      <c r="L130">
        <f>'Entrada datos'!R130</f>
        <v>0</v>
      </c>
      <c r="M130">
        <f>'Entrada datos'!S130</f>
        <v>0</v>
      </c>
      <c r="N130">
        <f>'Entrada datos'!T130</f>
        <v>0</v>
      </c>
      <c r="O130">
        <f>'Entrada datos'!U130</f>
        <v>0</v>
      </c>
      <c r="P130" s="17">
        <f t="shared" si="21"/>
        <v>0</v>
      </c>
      <c r="Q130">
        <f>'Entrada datos'!V130</f>
        <v>0</v>
      </c>
      <c r="R130">
        <f>'Entrada datos'!W130</f>
        <v>0</v>
      </c>
      <c r="S130">
        <f>'Entrada datos'!X130</f>
        <v>0</v>
      </c>
      <c r="T130">
        <f>'Entrada datos'!Y130</f>
        <v>0</v>
      </c>
      <c r="U130">
        <f>'Entrada datos'!Z130</f>
        <v>0</v>
      </c>
      <c r="V130">
        <f>'Entrada datos'!AA130</f>
        <v>0</v>
      </c>
      <c r="W130" s="17">
        <f t="shared" si="22"/>
        <v>0</v>
      </c>
      <c r="X130">
        <f>'Entrada datos'!AB130</f>
        <v>0</v>
      </c>
      <c r="Y130">
        <f>'Entrada datos'!AC130</f>
        <v>0</v>
      </c>
      <c r="Z130">
        <f>'Entrada datos'!AD130</f>
        <v>0</v>
      </c>
      <c r="AA130">
        <f>'Entrada datos'!AE130</f>
        <v>0</v>
      </c>
      <c r="AB130">
        <f>'Entrada datos'!AF130</f>
        <v>0</v>
      </c>
      <c r="AC130">
        <f>'Entrada datos'!AG130</f>
        <v>0</v>
      </c>
      <c r="AD130" s="17">
        <f t="shared" si="23"/>
        <v>0</v>
      </c>
      <c r="AE130">
        <f>'Entrada datos'!AH130</f>
        <v>0</v>
      </c>
      <c r="AF130">
        <f>'Entrada datos'!AI130</f>
        <v>0</v>
      </c>
      <c r="AG130">
        <f>'Entrada datos'!AJ130</f>
        <v>0</v>
      </c>
      <c r="AH130">
        <f>'Entrada datos'!AK130</f>
        <v>0</v>
      </c>
      <c r="AI130">
        <f>'Entrada datos'!AL130</f>
        <v>0</v>
      </c>
      <c r="AJ130">
        <f>'Entrada datos'!AM130</f>
        <v>0</v>
      </c>
      <c r="AK130" s="17">
        <f t="shared" si="24"/>
        <v>0</v>
      </c>
      <c r="AL130">
        <f>'Entrada datos'!AN130</f>
        <v>0</v>
      </c>
      <c r="AM130">
        <f>'Entrada datos'!AO130</f>
        <v>0</v>
      </c>
      <c r="AN130">
        <f>'Entrada datos'!AP130</f>
        <v>0</v>
      </c>
      <c r="AO130">
        <f>'Entrada datos'!AQ130</f>
        <v>0</v>
      </c>
      <c r="AP130">
        <f>'Entrada datos'!AR130</f>
        <v>0</v>
      </c>
      <c r="AQ130">
        <f>'Entrada datos'!AS130</f>
        <v>0</v>
      </c>
      <c r="AR130" s="17">
        <f t="shared" si="25"/>
        <v>0</v>
      </c>
      <c r="AS130" s="23">
        <f t="shared" si="26"/>
        <v>0</v>
      </c>
      <c r="AT130">
        <f t="shared" si="27"/>
        <v>1900</v>
      </c>
      <c r="AU130" s="41" t="str">
        <f t="shared" si="28"/>
        <v>enero</v>
      </c>
      <c r="AV130">
        <f t="shared" si="29"/>
        <v>0</v>
      </c>
      <c r="AW130">
        <f t="shared" si="30"/>
        <v>0</v>
      </c>
      <c r="AX130" s="24">
        <f t="shared" si="17"/>
        <v>0</v>
      </c>
      <c r="AY130" s="24">
        <f t="shared" si="18"/>
        <v>0</v>
      </c>
      <c r="AZ130" s="24">
        <f t="shared" si="31"/>
        <v>0</v>
      </c>
      <c r="BA130">
        <f t="shared" si="32"/>
        <v>0</v>
      </c>
      <c r="BB130">
        <f t="shared" si="19"/>
        <v>0</v>
      </c>
      <c r="BC130" s="24">
        <f t="shared" si="20"/>
        <v>0</v>
      </c>
      <c r="BD130">
        <f t="shared" si="33"/>
        <v>0</v>
      </c>
    </row>
    <row r="131" spans="1:56" x14ac:dyDescent="0.3">
      <c r="A131">
        <f>'Entrada datos'!A131</f>
        <v>0</v>
      </c>
      <c r="B131">
        <f>'Entrada datos'!B131</f>
        <v>0</v>
      </c>
      <c r="C131">
        <f>'Entrada datos'!C131</f>
        <v>0</v>
      </c>
      <c r="D131">
        <f>'Entrada datos'!D131</f>
        <v>0</v>
      </c>
      <c r="E131" s="18">
        <f>'Entrada datos'!G131</f>
        <v>0</v>
      </c>
      <c r="F131" s="18">
        <f>'Entrada datos'!H131</f>
        <v>0</v>
      </c>
      <c r="G131">
        <f>'Entrada datos'!J131</f>
        <v>0</v>
      </c>
      <c r="H131">
        <f>'Entrada datos'!L131</f>
        <v>0</v>
      </c>
      <c r="I131">
        <f>'Entrada datos'!O131</f>
        <v>0</v>
      </c>
      <c r="J131">
        <f>'Entrada datos'!P131</f>
        <v>0</v>
      </c>
      <c r="K131">
        <f>'Entrada datos'!Q131</f>
        <v>0</v>
      </c>
      <c r="L131">
        <f>'Entrada datos'!R131</f>
        <v>0</v>
      </c>
      <c r="M131">
        <f>'Entrada datos'!S131</f>
        <v>0</v>
      </c>
      <c r="N131">
        <f>'Entrada datos'!T131</f>
        <v>0</v>
      </c>
      <c r="O131">
        <f>'Entrada datos'!U131</f>
        <v>0</v>
      </c>
      <c r="P131" s="17">
        <f t="shared" si="21"/>
        <v>0</v>
      </c>
      <c r="Q131">
        <f>'Entrada datos'!V131</f>
        <v>0</v>
      </c>
      <c r="R131">
        <f>'Entrada datos'!W131</f>
        <v>0</v>
      </c>
      <c r="S131">
        <f>'Entrada datos'!X131</f>
        <v>0</v>
      </c>
      <c r="T131">
        <f>'Entrada datos'!Y131</f>
        <v>0</v>
      </c>
      <c r="U131">
        <f>'Entrada datos'!Z131</f>
        <v>0</v>
      </c>
      <c r="V131">
        <f>'Entrada datos'!AA131</f>
        <v>0</v>
      </c>
      <c r="W131" s="17">
        <f t="shared" si="22"/>
        <v>0</v>
      </c>
      <c r="X131">
        <f>'Entrada datos'!AB131</f>
        <v>0</v>
      </c>
      <c r="Y131">
        <f>'Entrada datos'!AC131</f>
        <v>0</v>
      </c>
      <c r="Z131">
        <f>'Entrada datos'!AD131</f>
        <v>0</v>
      </c>
      <c r="AA131">
        <f>'Entrada datos'!AE131</f>
        <v>0</v>
      </c>
      <c r="AB131">
        <f>'Entrada datos'!AF131</f>
        <v>0</v>
      </c>
      <c r="AC131">
        <f>'Entrada datos'!AG131</f>
        <v>0</v>
      </c>
      <c r="AD131" s="17">
        <f t="shared" si="23"/>
        <v>0</v>
      </c>
      <c r="AE131">
        <f>'Entrada datos'!AH131</f>
        <v>0</v>
      </c>
      <c r="AF131">
        <f>'Entrada datos'!AI131</f>
        <v>0</v>
      </c>
      <c r="AG131">
        <f>'Entrada datos'!AJ131</f>
        <v>0</v>
      </c>
      <c r="AH131">
        <f>'Entrada datos'!AK131</f>
        <v>0</v>
      </c>
      <c r="AI131">
        <f>'Entrada datos'!AL131</f>
        <v>0</v>
      </c>
      <c r="AJ131">
        <f>'Entrada datos'!AM131</f>
        <v>0</v>
      </c>
      <c r="AK131" s="17">
        <f t="shared" si="24"/>
        <v>0</v>
      </c>
      <c r="AL131">
        <f>'Entrada datos'!AN131</f>
        <v>0</v>
      </c>
      <c r="AM131">
        <f>'Entrada datos'!AO131</f>
        <v>0</v>
      </c>
      <c r="AN131">
        <f>'Entrada datos'!AP131</f>
        <v>0</v>
      </c>
      <c r="AO131">
        <f>'Entrada datos'!AQ131</f>
        <v>0</v>
      </c>
      <c r="AP131">
        <f>'Entrada datos'!AR131</f>
        <v>0</v>
      </c>
      <c r="AQ131">
        <f>'Entrada datos'!AS131</f>
        <v>0</v>
      </c>
      <c r="AR131" s="17">
        <f t="shared" si="25"/>
        <v>0</v>
      </c>
      <c r="AS131" s="23">
        <f t="shared" si="26"/>
        <v>0</v>
      </c>
      <c r="AT131">
        <f t="shared" si="27"/>
        <v>1900</v>
      </c>
      <c r="AU131" s="41" t="str">
        <f t="shared" si="28"/>
        <v>enero</v>
      </c>
      <c r="AV131">
        <f t="shared" si="29"/>
        <v>0</v>
      </c>
      <c r="AW131">
        <f t="shared" si="30"/>
        <v>0</v>
      </c>
      <c r="AX131" s="24">
        <f t="shared" ref="AX131:AX194" si="34">IFERROR(P131/AW131,0)</f>
        <v>0</v>
      </c>
      <c r="AY131" s="24">
        <f t="shared" ref="AY131:AY194" si="35">IFERROR(AV131/AW131,0)</f>
        <v>0</v>
      </c>
      <c r="AZ131" s="24">
        <f t="shared" si="31"/>
        <v>0</v>
      </c>
      <c r="BA131">
        <f t="shared" si="32"/>
        <v>0</v>
      </c>
      <c r="BB131">
        <f t="shared" ref="BB131:BB194" si="36">IFERROR(BA131/AW131,0)</f>
        <v>0</v>
      </c>
      <c r="BC131" s="24">
        <f t="shared" ref="BC131:BC194" si="37">IFERROR(BB131-AX131,0)</f>
        <v>0</v>
      </c>
      <c r="BD131">
        <f t="shared" si="33"/>
        <v>0</v>
      </c>
    </row>
    <row r="132" spans="1:56" x14ac:dyDescent="0.3">
      <c r="A132">
        <f>'Entrada datos'!A132</f>
        <v>0</v>
      </c>
      <c r="B132">
        <f>'Entrada datos'!B132</f>
        <v>0</v>
      </c>
      <c r="C132">
        <f>'Entrada datos'!C132</f>
        <v>0</v>
      </c>
      <c r="D132">
        <f>'Entrada datos'!D132</f>
        <v>0</v>
      </c>
      <c r="E132" s="18">
        <f>'Entrada datos'!G132</f>
        <v>0</v>
      </c>
      <c r="F132" s="18">
        <f>'Entrada datos'!H132</f>
        <v>0</v>
      </c>
      <c r="G132">
        <f>'Entrada datos'!J132</f>
        <v>0</v>
      </c>
      <c r="H132">
        <f>'Entrada datos'!L132</f>
        <v>0</v>
      </c>
      <c r="I132">
        <f>'Entrada datos'!O132</f>
        <v>0</v>
      </c>
      <c r="J132">
        <f>'Entrada datos'!P132</f>
        <v>0</v>
      </c>
      <c r="K132">
        <f>'Entrada datos'!Q132</f>
        <v>0</v>
      </c>
      <c r="L132">
        <f>'Entrada datos'!R132</f>
        <v>0</v>
      </c>
      <c r="M132">
        <f>'Entrada datos'!S132</f>
        <v>0</v>
      </c>
      <c r="N132">
        <f>'Entrada datos'!T132</f>
        <v>0</v>
      </c>
      <c r="O132">
        <f>'Entrada datos'!U132</f>
        <v>0</v>
      </c>
      <c r="P132" s="17">
        <f t="shared" ref="P132:P195" si="38">SUM(J132:O132)</f>
        <v>0</v>
      </c>
      <c r="Q132">
        <f>'Entrada datos'!V132</f>
        <v>0</v>
      </c>
      <c r="R132">
        <f>'Entrada datos'!W132</f>
        <v>0</v>
      </c>
      <c r="S132">
        <f>'Entrada datos'!X132</f>
        <v>0</v>
      </c>
      <c r="T132">
        <f>'Entrada datos'!Y132</f>
        <v>0</v>
      </c>
      <c r="U132">
        <f>'Entrada datos'!Z132</f>
        <v>0</v>
      </c>
      <c r="V132">
        <f>'Entrada datos'!AA132</f>
        <v>0</v>
      </c>
      <c r="W132" s="17">
        <f t="shared" ref="W132:W195" si="39">SUM(Q132:V132)</f>
        <v>0</v>
      </c>
      <c r="X132">
        <f>'Entrada datos'!AB132</f>
        <v>0</v>
      </c>
      <c r="Y132">
        <f>'Entrada datos'!AC132</f>
        <v>0</v>
      </c>
      <c r="Z132">
        <f>'Entrada datos'!AD132</f>
        <v>0</v>
      </c>
      <c r="AA132">
        <f>'Entrada datos'!AE132</f>
        <v>0</v>
      </c>
      <c r="AB132">
        <f>'Entrada datos'!AF132</f>
        <v>0</v>
      </c>
      <c r="AC132">
        <f>'Entrada datos'!AG132</f>
        <v>0</v>
      </c>
      <c r="AD132" s="17">
        <f t="shared" ref="AD132:AD195" si="40">SUM(X132:AC132)</f>
        <v>0</v>
      </c>
      <c r="AE132">
        <f>'Entrada datos'!AH132</f>
        <v>0</v>
      </c>
      <c r="AF132">
        <f>'Entrada datos'!AI132</f>
        <v>0</v>
      </c>
      <c r="AG132">
        <f>'Entrada datos'!AJ132</f>
        <v>0</v>
      </c>
      <c r="AH132">
        <f>'Entrada datos'!AK132</f>
        <v>0</v>
      </c>
      <c r="AI132">
        <f>'Entrada datos'!AL132</f>
        <v>0</v>
      </c>
      <c r="AJ132">
        <f>'Entrada datos'!AM132</f>
        <v>0</v>
      </c>
      <c r="AK132" s="17">
        <f t="shared" ref="AK132:AK195" si="41">SUM(AE132:AJ132)</f>
        <v>0</v>
      </c>
      <c r="AL132">
        <f>'Entrada datos'!AN132</f>
        <v>0</v>
      </c>
      <c r="AM132">
        <f>'Entrada datos'!AO132</f>
        <v>0</v>
      </c>
      <c r="AN132">
        <f>'Entrada datos'!AP132</f>
        <v>0</v>
      </c>
      <c r="AO132">
        <f>'Entrada datos'!AQ132</f>
        <v>0</v>
      </c>
      <c r="AP132">
        <f>'Entrada datos'!AR132</f>
        <v>0</v>
      </c>
      <c r="AQ132">
        <f>'Entrada datos'!AS132</f>
        <v>0</v>
      </c>
      <c r="AR132" s="17">
        <f t="shared" ref="AR132:AR195" si="42">MAX(AL132:AQ132)</f>
        <v>0</v>
      </c>
      <c r="AS132" s="23">
        <f t="shared" ref="AS132:AS195" si="43">IF(AR132&gt;900,AR132/1000,AR132)</f>
        <v>0</v>
      </c>
      <c r="AT132">
        <f t="shared" ref="AT132:AT195" si="44">YEAR(E132)</f>
        <v>1900</v>
      </c>
      <c r="AU132" s="41" t="str">
        <f t="shared" ref="AU132:AU195" si="45">TEXT(E132,"mmmm")</f>
        <v>enero</v>
      </c>
      <c r="AV132">
        <f t="shared" ref="AV132:AV195" si="46">SUM(AD132,P132)</f>
        <v>0</v>
      </c>
      <c r="AW132">
        <f t="shared" ref="AW132:AW195" si="47">F132-E132</f>
        <v>0</v>
      </c>
      <c r="AX132" s="24">
        <f t="shared" si="34"/>
        <v>0</v>
      </c>
      <c r="AY132" s="24">
        <f t="shared" si="35"/>
        <v>0</v>
      </c>
      <c r="AZ132" s="24">
        <f t="shared" ref="AZ132:AZ195" si="48">AY132-AX132</f>
        <v>0</v>
      </c>
      <c r="BA132">
        <f t="shared" ref="BA132:BA195" si="49">P132+AK132</f>
        <v>0</v>
      </c>
      <c r="BB132">
        <f t="shared" si="36"/>
        <v>0</v>
      </c>
      <c r="BC132" s="24">
        <f t="shared" si="37"/>
        <v>0</v>
      </c>
      <c r="BD132">
        <f t="shared" ref="BD132:BD195" si="50">P132+AD132+AK132</f>
        <v>0</v>
      </c>
    </row>
    <row r="133" spans="1:56" x14ac:dyDescent="0.3">
      <c r="A133">
        <f>'Entrada datos'!A133</f>
        <v>0</v>
      </c>
      <c r="B133">
        <f>'Entrada datos'!B133</f>
        <v>0</v>
      </c>
      <c r="C133">
        <f>'Entrada datos'!C133</f>
        <v>0</v>
      </c>
      <c r="D133">
        <f>'Entrada datos'!D133</f>
        <v>0</v>
      </c>
      <c r="E133" s="18">
        <f>'Entrada datos'!G133</f>
        <v>0</v>
      </c>
      <c r="F133" s="18">
        <f>'Entrada datos'!H133</f>
        <v>0</v>
      </c>
      <c r="G133">
        <f>'Entrada datos'!J133</f>
        <v>0</v>
      </c>
      <c r="H133">
        <f>'Entrada datos'!L133</f>
        <v>0</v>
      </c>
      <c r="I133">
        <f>'Entrada datos'!O133</f>
        <v>0</v>
      </c>
      <c r="J133">
        <f>'Entrada datos'!P133</f>
        <v>0</v>
      </c>
      <c r="K133">
        <f>'Entrada datos'!Q133</f>
        <v>0</v>
      </c>
      <c r="L133">
        <f>'Entrada datos'!R133</f>
        <v>0</v>
      </c>
      <c r="M133">
        <f>'Entrada datos'!S133</f>
        <v>0</v>
      </c>
      <c r="N133">
        <f>'Entrada datos'!T133</f>
        <v>0</v>
      </c>
      <c r="O133">
        <f>'Entrada datos'!U133</f>
        <v>0</v>
      </c>
      <c r="P133" s="17">
        <f t="shared" si="38"/>
        <v>0</v>
      </c>
      <c r="Q133">
        <f>'Entrada datos'!V133</f>
        <v>0</v>
      </c>
      <c r="R133">
        <f>'Entrada datos'!W133</f>
        <v>0</v>
      </c>
      <c r="S133">
        <f>'Entrada datos'!X133</f>
        <v>0</v>
      </c>
      <c r="T133">
        <f>'Entrada datos'!Y133</f>
        <v>0</v>
      </c>
      <c r="U133">
        <f>'Entrada datos'!Z133</f>
        <v>0</v>
      </c>
      <c r="V133">
        <f>'Entrada datos'!AA133</f>
        <v>0</v>
      </c>
      <c r="W133" s="17">
        <f t="shared" si="39"/>
        <v>0</v>
      </c>
      <c r="X133">
        <f>'Entrada datos'!AB133</f>
        <v>0</v>
      </c>
      <c r="Y133">
        <f>'Entrada datos'!AC133</f>
        <v>0</v>
      </c>
      <c r="Z133">
        <f>'Entrada datos'!AD133</f>
        <v>0</v>
      </c>
      <c r="AA133">
        <f>'Entrada datos'!AE133</f>
        <v>0</v>
      </c>
      <c r="AB133">
        <f>'Entrada datos'!AF133</f>
        <v>0</v>
      </c>
      <c r="AC133">
        <f>'Entrada datos'!AG133</f>
        <v>0</v>
      </c>
      <c r="AD133" s="17">
        <f t="shared" si="40"/>
        <v>0</v>
      </c>
      <c r="AE133">
        <f>'Entrada datos'!AH133</f>
        <v>0</v>
      </c>
      <c r="AF133">
        <f>'Entrada datos'!AI133</f>
        <v>0</v>
      </c>
      <c r="AG133">
        <f>'Entrada datos'!AJ133</f>
        <v>0</v>
      </c>
      <c r="AH133">
        <f>'Entrada datos'!AK133</f>
        <v>0</v>
      </c>
      <c r="AI133">
        <f>'Entrada datos'!AL133</f>
        <v>0</v>
      </c>
      <c r="AJ133">
        <f>'Entrada datos'!AM133</f>
        <v>0</v>
      </c>
      <c r="AK133" s="17">
        <f t="shared" si="41"/>
        <v>0</v>
      </c>
      <c r="AL133">
        <f>'Entrada datos'!AN133</f>
        <v>0</v>
      </c>
      <c r="AM133">
        <f>'Entrada datos'!AO133</f>
        <v>0</v>
      </c>
      <c r="AN133">
        <f>'Entrada datos'!AP133</f>
        <v>0</v>
      </c>
      <c r="AO133">
        <f>'Entrada datos'!AQ133</f>
        <v>0</v>
      </c>
      <c r="AP133">
        <f>'Entrada datos'!AR133</f>
        <v>0</v>
      </c>
      <c r="AQ133">
        <f>'Entrada datos'!AS133</f>
        <v>0</v>
      </c>
      <c r="AR133" s="17">
        <f t="shared" si="42"/>
        <v>0</v>
      </c>
      <c r="AS133" s="23">
        <f t="shared" si="43"/>
        <v>0</v>
      </c>
      <c r="AT133">
        <f t="shared" si="44"/>
        <v>1900</v>
      </c>
      <c r="AU133" s="41" t="str">
        <f t="shared" si="45"/>
        <v>enero</v>
      </c>
      <c r="AV133">
        <f t="shared" si="46"/>
        <v>0</v>
      </c>
      <c r="AW133">
        <f t="shared" si="47"/>
        <v>0</v>
      </c>
      <c r="AX133" s="24">
        <f t="shared" si="34"/>
        <v>0</v>
      </c>
      <c r="AY133" s="24">
        <f t="shared" si="35"/>
        <v>0</v>
      </c>
      <c r="AZ133" s="24">
        <f t="shared" si="48"/>
        <v>0</v>
      </c>
      <c r="BA133">
        <f t="shared" si="49"/>
        <v>0</v>
      </c>
      <c r="BB133">
        <f t="shared" si="36"/>
        <v>0</v>
      </c>
      <c r="BC133" s="24">
        <f t="shared" si="37"/>
        <v>0</v>
      </c>
      <c r="BD133">
        <f t="shared" si="50"/>
        <v>0</v>
      </c>
    </row>
    <row r="134" spans="1:56" x14ac:dyDescent="0.3">
      <c r="A134">
        <f>'Entrada datos'!A134</f>
        <v>0</v>
      </c>
      <c r="B134">
        <f>'Entrada datos'!B134</f>
        <v>0</v>
      </c>
      <c r="C134">
        <f>'Entrada datos'!C134</f>
        <v>0</v>
      </c>
      <c r="D134">
        <f>'Entrada datos'!D134</f>
        <v>0</v>
      </c>
      <c r="E134" s="18">
        <f>'Entrada datos'!G134</f>
        <v>0</v>
      </c>
      <c r="F134" s="18">
        <f>'Entrada datos'!H134</f>
        <v>0</v>
      </c>
      <c r="G134">
        <f>'Entrada datos'!J134</f>
        <v>0</v>
      </c>
      <c r="H134">
        <f>'Entrada datos'!L134</f>
        <v>0</v>
      </c>
      <c r="I134">
        <f>'Entrada datos'!O134</f>
        <v>0</v>
      </c>
      <c r="J134">
        <f>'Entrada datos'!P134</f>
        <v>0</v>
      </c>
      <c r="K134">
        <f>'Entrada datos'!Q134</f>
        <v>0</v>
      </c>
      <c r="L134">
        <f>'Entrada datos'!R134</f>
        <v>0</v>
      </c>
      <c r="M134">
        <f>'Entrada datos'!S134</f>
        <v>0</v>
      </c>
      <c r="N134">
        <f>'Entrada datos'!T134</f>
        <v>0</v>
      </c>
      <c r="O134">
        <f>'Entrada datos'!U134</f>
        <v>0</v>
      </c>
      <c r="P134" s="17">
        <f t="shared" si="38"/>
        <v>0</v>
      </c>
      <c r="Q134">
        <f>'Entrada datos'!V134</f>
        <v>0</v>
      </c>
      <c r="R134">
        <f>'Entrada datos'!W134</f>
        <v>0</v>
      </c>
      <c r="S134">
        <f>'Entrada datos'!X134</f>
        <v>0</v>
      </c>
      <c r="T134">
        <f>'Entrada datos'!Y134</f>
        <v>0</v>
      </c>
      <c r="U134">
        <f>'Entrada datos'!Z134</f>
        <v>0</v>
      </c>
      <c r="V134">
        <f>'Entrada datos'!AA134</f>
        <v>0</v>
      </c>
      <c r="W134" s="17">
        <f t="shared" si="39"/>
        <v>0</v>
      </c>
      <c r="X134">
        <f>'Entrada datos'!AB134</f>
        <v>0</v>
      </c>
      <c r="Y134">
        <f>'Entrada datos'!AC134</f>
        <v>0</v>
      </c>
      <c r="Z134">
        <f>'Entrada datos'!AD134</f>
        <v>0</v>
      </c>
      <c r="AA134">
        <f>'Entrada datos'!AE134</f>
        <v>0</v>
      </c>
      <c r="AB134">
        <f>'Entrada datos'!AF134</f>
        <v>0</v>
      </c>
      <c r="AC134">
        <f>'Entrada datos'!AG134</f>
        <v>0</v>
      </c>
      <c r="AD134" s="17">
        <f t="shared" si="40"/>
        <v>0</v>
      </c>
      <c r="AE134">
        <f>'Entrada datos'!AH134</f>
        <v>0</v>
      </c>
      <c r="AF134">
        <f>'Entrada datos'!AI134</f>
        <v>0</v>
      </c>
      <c r="AG134">
        <f>'Entrada datos'!AJ134</f>
        <v>0</v>
      </c>
      <c r="AH134">
        <f>'Entrada datos'!AK134</f>
        <v>0</v>
      </c>
      <c r="AI134">
        <f>'Entrada datos'!AL134</f>
        <v>0</v>
      </c>
      <c r="AJ134">
        <f>'Entrada datos'!AM134</f>
        <v>0</v>
      </c>
      <c r="AK134" s="17">
        <f t="shared" si="41"/>
        <v>0</v>
      </c>
      <c r="AL134">
        <f>'Entrada datos'!AN134</f>
        <v>0</v>
      </c>
      <c r="AM134">
        <f>'Entrada datos'!AO134</f>
        <v>0</v>
      </c>
      <c r="AN134">
        <f>'Entrada datos'!AP134</f>
        <v>0</v>
      </c>
      <c r="AO134">
        <f>'Entrada datos'!AQ134</f>
        <v>0</v>
      </c>
      <c r="AP134">
        <f>'Entrada datos'!AR134</f>
        <v>0</v>
      </c>
      <c r="AQ134">
        <f>'Entrada datos'!AS134</f>
        <v>0</v>
      </c>
      <c r="AR134" s="17">
        <f t="shared" si="42"/>
        <v>0</v>
      </c>
      <c r="AS134" s="23">
        <f t="shared" si="43"/>
        <v>0</v>
      </c>
      <c r="AT134">
        <f t="shared" si="44"/>
        <v>1900</v>
      </c>
      <c r="AU134" s="41" t="str">
        <f t="shared" si="45"/>
        <v>enero</v>
      </c>
      <c r="AV134">
        <f t="shared" si="46"/>
        <v>0</v>
      </c>
      <c r="AW134">
        <f t="shared" si="47"/>
        <v>0</v>
      </c>
      <c r="AX134" s="24">
        <f t="shared" si="34"/>
        <v>0</v>
      </c>
      <c r="AY134" s="24">
        <f t="shared" si="35"/>
        <v>0</v>
      </c>
      <c r="AZ134" s="24">
        <f t="shared" si="48"/>
        <v>0</v>
      </c>
      <c r="BA134">
        <f t="shared" si="49"/>
        <v>0</v>
      </c>
      <c r="BB134">
        <f t="shared" si="36"/>
        <v>0</v>
      </c>
      <c r="BC134" s="24">
        <f t="shared" si="37"/>
        <v>0</v>
      </c>
      <c r="BD134">
        <f t="shared" si="50"/>
        <v>0</v>
      </c>
    </row>
    <row r="135" spans="1:56" x14ac:dyDescent="0.3">
      <c r="A135">
        <f>'Entrada datos'!A135</f>
        <v>0</v>
      </c>
      <c r="B135">
        <f>'Entrada datos'!B135</f>
        <v>0</v>
      </c>
      <c r="C135">
        <f>'Entrada datos'!C135</f>
        <v>0</v>
      </c>
      <c r="D135">
        <f>'Entrada datos'!D135</f>
        <v>0</v>
      </c>
      <c r="E135" s="18">
        <f>'Entrada datos'!G135</f>
        <v>0</v>
      </c>
      <c r="F135" s="18">
        <f>'Entrada datos'!H135</f>
        <v>0</v>
      </c>
      <c r="G135">
        <f>'Entrada datos'!J135</f>
        <v>0</v>
      </c>
      <c r="H135">
        <f>'Entrada datos'!L135</f>
        <v>0</v>
      </c>
      <c r="I135">
        <f>'Entrada datos'!O135</f>
        <v>0</v>
      </c>
      <c r="J135">
        <f>'Entrada datos'!P135</f>
        <v>0</v>
      </c>
      <c r="K135">
        <f>'Entrada datos'!Q135</f>
        <v>0</v>
      </c>
      <c r="L135">
        <f>'Entrada datos'!R135</f>
        <v>0</v>
      </c>
      <c r="M135">
        <f>'Entrada datos'!S135</f>
        <v>0</v>
      </c>
      <c r="N135">
        <f>'Entrada datos'!T135</f>
        <v>0</v>
      </c>
      <c r="O135">
        <f>'Entrada datos'!U135</f>
        <v>0</v>
      </c>
      <c r="P135" s="17">
        <f t="shared" si="38"/>
        <v>0</v>
      </c>
      <c r="Q135">
        <f>'Entrada datos'!V135</f>
        <v>0</v>
      </c>
      <c r="R135">
        <f>'Entrada datos'!W135</f>
        <v>0</v>
      </c>
      <c r="S135">
        <f>'Entrada datos'!X135</f>
        <v>0</v>
      </c>
      <c r="T135">
        <f>'Entrada datos'!Y135</f>
        <v>0</v>
      </c>
      <c r="U135">
        <f>'Entrada datos'!Z135</f>
        <v>0</v>
      </c>
      <c r="V135">
        <f>'Entrada datos'!AA135</f>
        <v>0</v>
      </c>
      <c r="W135" s="17">
        <f t="shared" si="39"/>
        <v>0</v>
      </c>
      <c r="X135">
        <f>'Entrada datos'!AB135</f>
        <v>0</v>
      </c>
      <c r="Y135">
        <f>'Entrada datos'!AC135</f>
        <v>0</v>
      </c>
      <c r="Z135">
        <f>'Entrada datos'!AD135</f>
        <v>0</v>
      </c>
      <c r="AA135">
        <f>'Entrada datos'!AE135</f>
        <v>0</v>
      </c>
      <c r="AB135">
        <f>'Entrada datos'!AF135</f>
        <v>0</v>
      </c>
      <c r="AC135">
        <f>'Entrada datos'!AG135</f>
        <v>0</v>
      </c>
      <c r="AD135" s="17">
        <f t="shared" si="40"/>
        <v>0</v>
      </c>
      <c r="AE135">
        <f>'Entrada datos'!AH135</f>
        <v>0</v>
      </c>
      <c r="AF135">
        <f>'Entrada datos'!AI135</f>
        <v>0</v>
      </c>
      <c r="AG135">
        <f>'Entrada datos'!AJ135</f>
        <v>0</v>
      </c>
      <c r="AH135">
        <f>'Entrada datos'!AK135</f>
        <v>0</v>
      </c>
      <c r="AI135">
        <f>'Entrada datos'!AL135</f>
        <v>0</v>
      </c>
      <c r="AJ135">
        <f>'Entrada datos'!AM135</f>
        <v>0</v>
      </c>
      <c r="AK135" s="17">
        <f t="shared" si="41"/>
        <v>0</v>
      </c>
      <c r="AL135">
        <f>'Entrada datos'!AN135</f>
        <v>0</v>
      </c>
      <c r="AM135">
        <f>'Entrada datos'!AO135</f>
        <v>0</v>
      </c>
      <c r="AN135">
        <f>'Entrada datos'!AP135</f>
        <v>0</v>
      </c>
      <c r="AO135">
        <f>'Entrada datos'!AQ135</f>
        <v>0</v>
      </c>
      <c r="AP135">
        <f>'Entrada datos'!AR135</f>
        <v>0</v>
      </c>
      <c r="AQ135">
        <f>'Entrada datos'!AS135</f>
        <v>0</v>
      </c>
      <c r="AR135" s="17">
        <f t="shared" si="42"/>
        <v>0</v>
      </c>
      <c r="AS135" s="23">
        <f t="shared" si="43"/>
        <v>0</v>
      </c>
      <c r="AT135">
        <f t="shared" si="44"/>
        <v>1900</v>
      </c>
      <c r="AU135" s="41" t="str">
        <f t="shared" si="45"/>
        <v>enero</v>
      </c>
      <c r="AV135">
        <f t="shared" si="46"/>
        <v>0</v>
      </c>
      <c r="AW135">
        <f t="shared" si="47"/>
        <v>0</v>
      </c>
      <c r="AX135" s="24">
        <f t="shared" si="34"/>
        <v>0</v>
      </c>
      <c r="AY135" s="24">
        <f t="shared" si="35"/>
        <v>0</v>
      </c>
      <c r="AZ135" s="24">
        <f t="shared" si="48"/>
        <v>0</v>
      </c>
      <c r="BA135">
        <f t="shared" si="49"/>
        <v>0</v>
      </c>
      <c r="BB135">
        <f t="shared" si="36"/>
        <v>0</v>
      </c>
      <c r="BC135" s="24">
        <f t="shared" si="37"/>
        <v>0</v>
      </c>
      <c r="BD135">
        <f t="shared" si="50"/>
        <v>0</v>
      </c>
    </row>
    <row r="136" spans="1:56" x14ac:dyDescent="0.3">
      <c r="A136">
        <f>'Entrada datos'!A136</f>
        <v>0</v>
      </c>
      <c r="B136">
        <f>'Entrada datos'!B136</f>
        <v>0</v>
      </c>
      <c r="C136">
        <f>'Entrada datos'!C136</f>
        <v>0</v>
      </c>
      <c r="D136">
        <f>'Entrada datos'!D136</f>
        <v>0</v>
      </c>
      <c r="E136" s="18">
        <f>'Entrada datos'!G136</f>
        <v>0</v>
      </c>
      <c r="F136" s="18">
        <f>'Entrada datos'!H136</f>
        <v>0</v>
      </c>
      <c r="G136">
        <f>'Entrada datos'!J136</f>
        <v>0</v>
      </c>
      <c r="H136">
        <f>'Entrada datos'!L136</f>
        <v>0</v>
      </c>
      <c r="I136">
        <f>'Entrada datos'!O136</f>
        <v>0</v>
      </c>
      <c r="J136">
        <f>'Entrada datos'!P136</f>
        <v>0</v>
      </c>
      <c r="K136">
        <f>'Entrada datos'!Q136</f>
        <v>0</v>
      </c>
      <c r="L136">
        <f>'Entrada datos'!R136</f>
        <v>0</v>
      </c>
      <c r="M136">
        <f>'Entrada datos'!S136</f>
        <v>0</v>
      </c>
      <c r="N136">
        <f>'Entrada datos'!T136</f>
        <v>0</v>
      </c>
      <c r="O136">
        <f>'Entrada datos'!U136</f>
        <v>0</v>
      </c>
      <c r="P136" s="17">
        <f t="shared" si="38"/>
        <v>0</v>
      </c>
      <c r="Q136">
        <f>'Entrada datos'!V136</f>
        <v>0</v>
      </c>
      <c r="R136">
        <f>'Entrada datos'!W136</f>
        <v>0</v>
      </c>
      <c r="S136">
        <f>'Entrada datos'!X136</f>
        <v>0</v>
      </c>
      <c r="T136">
        <f>'Entrada datos'!Y136</f>
        <v>0</v>
      </c>
      <c r="U136">
        <f>'Entrada datos'!Z136</f>
        <v>0</v>
      </c>
      <c r="V136">
        <f>'Entrada datos'!AA136</f>
        <v>0</v>
      </c>
      <c r="W136" s="17">
        <f t="shared" si="39"/>
        <v>0</v>
      </c>
      <c r="X136">
        <f>'Entrada datos'!AB136</f>
        <v>0</v>
      </c>
      <c r="Y136">
        <f>'Entrada datos'!AC136</f>
        <v>0</v>
      </c>
      <c r="Z136">
        <f>'Entrada datos'!AD136</f>
        <v>0</v>
      </c>
      <c r="AA136">
        <f>'Entrada datos'!AE136</f>
        <v>0</v>
      </c>
      <c r="AB136">
        <f>'Entrada datos'!AF136</f>
        <v>0</v>
      </c>
      <c r="AC136">
        <f>'Entrada datos'!AG136</f>
        <v>0</v>
      </c>
      <c r="AD136" s="17">
        <f t="shared" si="40"/>
        <v>0</v>
      </c>
      <c r="AE136">
        <f>'Entrada datos'!AH136</f>
        <v>0</v>
      </c>
      <c r="AF136">
        <f>'Entrada datos'!AI136</f>
        <v>0</v>
      </c>
      <c r="AG136">
        <f>'Entrada datos'!AJ136</f>
        <v>0</v>
      </c>
      <c r="AH136">
        <f>'Entrada datos'!AK136</f>
        <v>0</v>
      </c>
      <c r="AI136">
        <f>'Entrada datos'!AL136</f>
        <v>0</v>
      </c>
      <c r="AJ136">
        <f>'Entrada datos'!AM136</f>
        <v>0</v>
      </c>
      <c r="AK136" s="17">
        <f t="shared" si="41"/>
        <v>0</v>
      </c>
      <c r="AL136">
        <f>'Entrada datos'!AN136</f>
        <v>0</v>
      </c>
      <c r="AM136">
        <f>'Entrada datos'!AO136</f>
        <v>0</v>
      </c>
      <c r="AN136">
        <f>'Entrada datos'!AP136</f>
        <v>0</v>
      </c>
      <c r="AO136">
        <f>'Entrada datos'!AQ136</f>
        <v>0</v>
      </c>
      <c r="AP136">
        <f>'Entrada datos'!AR136</f>
        <v>0</v>
      </c>
      <c r="AQ136">
        <f>'Entrada datos'!AS136</f>
        <v>0</v>
      </c>
      <c r="AR136" s="17">
        <f t="shared" si="42"/>
        <v>0</v>
      </c>
      <c r="AS136" s="23">
        <f t="shared" si="43"/>
        <v>0</v>
      </c>
      <c r="AT136">
        <f t="shared" si="44"/>
        <v>1900</v>
      </c>
      <c r="AU136" s="41" t="str">
        <f t="shared" si="45"/>
        <v>enero</v>
      </c>
      <c r="AV136">
        <f t="shared" si="46"/>
        <v>0</v>
      </c>
      <c r="AW136">
        <f t="shared" si="47"/>
        <v>0</v>
      </c>
      <c r="AX136" s="24">
        <f t="shared" si="34"/>
        <v>0</v>
      </c>
      <c r="AY136" s="24">
        <f t="shared" si="35"/>
        <v>0</v>
      </c>
      <c r="AZ136" s="24">
        <f t="shared" si="48"/>
        <v>0</v>
      </c>
      <c r="BA136">
        <f t="shared" si="49"/>
        <v>0</v>
      </c>
      <c r="BB136">
        <f t="shared" si="36"/>
        <v>0</v>
      </c>
      <c r="BC136" s="24">
        <f t="shared" si="37"/>
        <v>0</v>
      </c>
      <c r="BD136">
        <f t="shared" si="50"/>
        <v>0</v>
      </c>
    </row>
    <row r="137" spans="1:56" x14ac:dyDescent="0.3">
      <c r="A137">
        <f>'Entrada datos'!A137</f>
        <v>0</v>
      </c>
      <c r="B137">
        <f>'Entrada datos'!B137</f>
        <v>0</v>
      </c>
      <c r="C137">
        <f>'Entrada datos'!C137</f>
        <v>0</v>
      </c>
      <c r="D137">
        <f>'Entrada datos'!D137</f>
        <v>0</v>
      </c>
      <c r="E137" s="18">
        <f>'Entrada datos'!G137</f>
        <v>0</v>
      </c>
      <c r="F137" s="18">
        <f>'Entrada datos'!H137</f>
        <v>0</v>
      </c>
      <c r="G137">
        <f>'Entrada datos'!J137</f>
        <v>0</v>
      </c>
      <c r="H137">
        <f>'Entrada datos'!L137</f>
        <v>0</v>
      </c>
      <c r="I137">
        <f>'Entrada datos'!O137</f>
        <v>0</v>
      </c>
      <c r="J137">
        <f>'Entrada datos'!P137</f>
        <v>0</v>
      </c>
      <c r="K137">
        <f>'Entrada datos'!Q137</f>
        <v>0</v>
      </c>
      <c r="L137">
        <f>'Entrada datos'!R137</f>
        <v>0</v>
      </c>
      <c r="M137">
        <f>'Entrada datos'!S137</f>
        <v>0</v>
      </c>
      <c r="N137">
        <f>'Entrada datos'!T137</f>
        <v>0</v>
      </c>
      <c r="O137">
        <f>'Entrada datos'!U137</f>
        <v>0</v>
      </c>
      <c r="P137" s="17">
        <f t="shared" si="38"/>
        <v>0</v>
      </c>
      <c r="Q137">
        <f>'Entrada datos'!V137</f>
        <v>0</v>
      </c>
      <c r="R137">
        <f>'Entrada datos'!W137</f>
        <v>0</v>
      </c>
      <c r="S137">
        <f>'Entrada datos'!X137</f>
        <v>0</v>
      </c>
      <c r="T137">
        <f>'Entrada datos'!Y137</f>
        <v>0</v>
      </c>
      <c r="U137">
        <f>'Entrada datos'!Z137</f>
        <v>0</v>
      </c>
      <c r="V137">
        <f>'Entrada datos'!AA137</f>
        <v>0</v>
      </c>
      <c r="W137" s="17">
        <f t="shared" si="39"/>
        <v>0</v>
      </c>
      <c r="X137">
        <f>'Entrada datos'!AB137</f>
        <v>0</v>
      </c>
      <c r="Y137">
        <f>'Entrada datos'!AC137</f>
        <v>0</v>
      </c>
      <c r="Z137">
        <f>'Entrada datos'!AD137</f>
        <v>0</v>
      </c>
      <c r="AA137">
        <f>'Entrada datos'!AE137</f>
        <v>0</v>
      </c>
      <c r="AB137">
        <f>'Entrada datos'!AF137</f>
        <v>0</v>
      </c>
      <c r="AC137">
        <f>'Entrada datos'!AG137</f>
        <v>0</v>
      </c>
      <c r="AD137" s="17">
        <f t="shared" si="40"/>
        <v>0</v>
      </c>
      <c r="AE137">
        <f>'Entrada datos'!AH137</f>
        <v>0</v>
      </c>
      <c r="AF137">
        <f>'Entrada datos'!AI137</f>
        <v>0</v>
      </c>
      <c r="AG137">
        <f>'Entrada datos'!AJ137</f>
        <v>0</v>
      </c>
      <c r="AH137">
        <f>'Entrada datos'!AK137</f>
        <v>0</v>
      </c>
      <c r="AI137">
        <f>'Entrada datos'!AL137</f>
        <v>0</v>
      </c>
      <c r="AJ137">
        <f>'Entrada datos'!AM137</f>
        <v>0</v>
      </c>
      <c r="AK137" s="17">
        <f t="shared" si="41"/>
        <v>0</v>
      </c>
      <c r="AL137">
        <f>'Entrada datos'!AN137</f>
        <v>0</v>
      </c>
      <c r="AM137">
        <f>'Entrada datos'!AO137</f>
        <v>0</v>
      </c>
      <c r="AN137">
        <f>'Entrada datos'!AP137</f>
        <v>0</v>
      </c>
      <c r="AO137">
        <f>'Entrada datos'!AQ137</f>
        <v>0</v>
      </c>
      <c r="AP137">
        <f>'Entrada datos'!AR137</f>
        <v>0</v>
      </c>
      <c r="AQ137">
        <f>'Entrada datos'!AS137</f>
        <v>0</v>
      </c>
      <c r="AR137" s="17">
        <f t="shared" si="42"/>
        <v>0</v>
      </c>
      <c r="AS137" s="23">
        <f t="shared" si="43"/>
        <v>0</v>
      </c>
      <c r="AT137">
        <f t="shared" si="44"/>
        <v>1900</v>
      </c>
      <c r="AU137" s="41" t="str">
        <f t="shared" si="45"/>
        <v>enero</v>
      </c>
      <c r="AV137">
        <f t="shared" si="46"/>
        <v>0</v>
      </c>
      <c r="AW137">
        <f t="shared" si="47"/>
        <v>0</v>
      </c>
      <c r="AX137" s="24">
        <f t="shared" si="34"/>
        <v>0</v>
      </c>
      <c r="AY137" s="24">
        <f t="shared" si="35"/>
        <v>0</v>
      </c>
      <c r="AZ137" s="24">
        <f t="shared" si="48"/>
        <v>0</v>
      </c>
      <c r="BA137">
        <f t="shared" si="49"/>
        <v>0</v>
      </c>
      <c r="BB137">
        <f t="shared" si="36"/>
        <v>0</v>
      </c>
      <c r="BC137" s="24">
        <f t="shared" si="37"/>
        <v>0</v>
      </c>
      <c r="BD137">
        <f t="shared" si="50"/>
        <v>0</v>
      </c>
    </row>
    <row r="138" spans="1:56" x14ac:dyDescent="0.3">
      <c r="A138">
        <f>'Entrada datos'!A138</f>
        <v>0</v>
      </c>
      <c r="B138">
        <f>'Entrada datos'!B138</f>
        <v>0</v>
      </c>
      <c r="C138">
        <f>'Entrada datos'!C138</f>
        <v>0</v>
      </c>
      <c r="D138">
        <f>'Entrada datos'!D138</f>
        <v>0</v>
      </c>
      <c r="E138" s="18">
        <f>'Entrada datos'!G138</f>
        <v>0</v>
      </c>
      <c r="F138" s="18">
        <f>'Entrada datos'!H138</f>
        <v>0</v>
      </c>
      <c r="G138">
        <f>'Entrada datos'!J138</f>
        <v>0</v>
      </c>
      <c r="H138">
        <f>'Entrada datos'!L138</f>
        <v>0</v>
      </c>
      <c r="I138">
        <f>'Entrada datos'!O138</f>
        <v>0</v>
      </c>
      <c r="J138">
        <f>'Entrada datos'!P138</f>
        <v>0</v>
      </c>
      <c r="K138">
        <f>'Entrada datos'!Q138</f>
        <v>0</v>
      </c>
      <c r="L138">
        <f>'Entrada datos'!R138</f>
        <v>0</v>
      </c>
      <c r="M138">
        <f>'Entrada datos'!S138</f>
        <v>0</v>
      </c>
      <c r="N138">
        <f>'Entrada datos'!T138</f>
        <v>0</v>
      </c>
      <c r="O138">
        <f>'Entrada datos'!U138</f>
        <v>0</v>
      </c>
      <c r="P138" s="17">
        <f t="shared" si="38"/>
        <v>0</v>
      </c>
      <c r="Q138">
        <f>'Entrada datos'!V138</f>
        <v>0</v>
      </c>
      <c r="R138">
        <f>'Entrada datos'!W138</f>
        <v>0</v>
      </c>
      <c r="S138">
        <f>'Entrada datos'!X138</f>
        <v>0</v>
      </c>
      <c r="T138">
        <f>'Entrada datos'!Y138</f>
        <v>0</v>
      </c>
      <c r="U138">
        <f>'Entrada datos'!Z138</f>
        <v>0</v>
      </c>
      <c r="V138">
        <f>'Entrada datos'!AA138</f>
        <v>0</v>
      </c>
      <c r="W138" s="17">
        <f t="shared" si="39"/>
        <v>0</v>
      </c>
      <c r="X138">
        <f>'Entrada datos'!AB138</f>
        <v>0</v>
      </c>
      <c r="Y138">
        <f>'Entrada datos'!AC138</f>
        <v>0</v>
      </c>
      <c r="Z138">
        <f>'Entrada datos'!AD138</f>
        <v>0</v>
      </c>
      <c r="AA138">
        <f>'Entrada datos'!AE138</f>
        <v>0</v>
      </c>
      <c r="AB138">
        <f>'Entrada datos'!AF138</f>
        <v>0</v>
      </c>
      <c r="AC138">
        <f>'Entrada datos'!AG138</f>
        <v>0</v>
      </c>
      <c r="AD138" s="17">
        <f t="shared" si="40"/>
        <v>0</v>
      </c>
      <c r="AE138">
        <f>'Entrada datos'!AH138</f>
        <v>0</v>
      </c>
      <c r="AF138">
        <f>'Entrada datos'!AI138</f>
        <v>0</v>
      </c>
      <c r="AG138">
        <f>'Entrada datos'!AJ138</f>
        <v>0</v>
      </c>
      <c r="AH138">
        <f>'Entrada datos'!AK138</f>
        <v>0</v>
      </c>
      <c r="AI138">
        <f>'Entrada datos'!AL138</f>
        <v>0</v>
      </c>
      <c r="AJ138">
        <f>'Entrada datos'!AM138</f>
        <v>0</v>
      </c>
      <c r="AK138" s="17">
        <f t="shared" si="41"/>
        <v>0</v>
      </c>
      <c r="AL138">
        <f>'Entrada datos'!AN138</f>
        <v>0</v>
      </c>
      <c r="AM138">
        <f>'Entrada datos'!AO138</f>
        <v>0</v>
      </c>
      <c r="AN138">
        <f>'Entrada datos'!AP138</f>
        <v>0</v>
      </c>
      <c r="AO138">
        <f>'Entrada datos'!AQ138</f>
        <v>0</v>
      </c>
      <c r="AP138">
        <f>'Entrada datos'!AR138</f>
        <v>0</v>
      </c>
      <c r="AQ138">
        <f>'Entrada datos'!AS138</f>
        <v>0</v>
      </c>
      <c r="AR138" s="17">
        <f t="shared" si="42"/>
        <v>0</v>
      </c>
      <c r="AS138" s="23">
        <f t="shared" si="43"/>
        <v>0</v>
      </c>
      <c r="AT138">
        <f t="shared" si="44"/>
        <v>1900</v>
      </c>
      <c r="AU138" s="41" t="str">
        <f t="shared" si="45"/>
        <v>enero</v>
      </c>
      <c r="AV138">
        <f t="shared" si="46"/>
        <v>0</v>
      </c>
      <c r="AW138">
        <f t="shared" si="47"/>
        <v>0</v>
      </c>
      <c r="AX138" s="24">
        <f t="shared" si="34"/>
        <v>0</v>
      </c>
      <c r="AY138" s="24">
        <f t="shared" si="35"/>
        <v>0</v>
      </c>
      <c r="AZ138" s="24">
        <f t="shared" si="48"/>
        <v>0</v>
      </c>
      <c r="BA138">
        <f t="shared" si="49"/>
        <v>0</v>
      </c>
      <c r="BB138">
        <f t="shared" si="36"/>
        <v>0</v>
      </c>
      <c r="BC138" s="24">
        <f t="shared" si="37"/>
        <v>0</v>
      </c>
      <c r="BD138">
        <f t="shared" si="50"/>
        <v>0</v>
      </c>
    </row>
    <row r="139" spans="1:56" x14ac:dyDescent="0.3">
      <c r="A139">
        <f>'Entrada datos'!A139</f>
        <v>0</v>
      </c>
      <c r="B139">
        <f>'Entrada datos'!B139</f>
        <v>0</v>
      </c>
      <c r="C139">
        <f>'Entrada datos'!C139</f>
        <v>0</v>
      </c>
      <c r="D139">
        <f>'Entrada datos'!D139</f>
        <v>0</v>
      </c>
      <c r="E139" s="18">
        <f>'Entrada datos'!G139</f>
        <v>0</v>
      </c>
      <c r="F139" s="18">
        <f>'Entrada datos'!H139</f>
        <v>0</v>
      </c>
      <c r="G139">
        <f>'Entrada datos'!J139</f>
        <v>0</v>
      </c>
      <c r="H139">
        <f>'Entrada datos'!L139</f>
        <v>0</v>
      </c>
      <c r="I139">
        <f>'Entrada datos'!O139</f>
        <v>0</v>
      </c>
      <c r="J139">
        <f>'Entrada datos'!P139</f>
        <v>0</v>
      </c>
      <c r="K139">
        <f>'Entrada datos'!Q139</f>
        <v>0</v>
      </c>
      <c r="L139">
        <f>'Entrada datos'!R139</f>
        <v>0</v>
      </c>
      <c r="M139">
        <f>'Entrada datos'!S139</f>
        <v>0</v>
      </c>
      <c r="N139">
        <f>'Entrada datos'!T139</f>
        <v>0</v>
      </c>
      <c r="O139">
        <f>'Entrada datos'!U139</f>
        <v>0</v>
      </c>
      <c r="P139" s="17">
        <f t="shared" si="38"/>
        <v>0</v>
      </c>
      <c r="Q139">
        <f>'Entrada datos'!V139</f>
        <v>0</v>
      </c>
      <c r="R139">
        <f>'Entrada datos'!W139</f>
        <v>0</v>
      </c>
      <c r="S139">
        <f>'Entrada datos'!X139</f>
        <v>0</v>
      </c>
      <c r="T139">
        <f>'Entrada datos'!Y139</f>
        <v>0</v>
      </c>
      <c r="U139">
        <f>'Entrada datos'!Z139</f>
        <v>0</v>
      </c>
      <c r="V139">
        <f>'Entrada datos'!AA139</f>
        <v>0</v>
      </c>
      <c r="W139" s="17">
        <f t="shared" si="39"/>
        <v>0</v>
      </c>
      <c r="X139">
        <f>'Entrada datos'!AB139</f>
        <v>0</v>
      </c>
      <c r="Y139">
        <f>'Entrada datos'!AC139</f>
        <v>0</v>
      </c>
      <c r="Z139">
        <f>'Entrada datos'!AD139</f>
        <v>0</v>
      </c>
      <c r="AA139">
        <f>'Entrada datos'!AE139</f>
        <v>0</v>
      </c>
      <c r="AB139">
        <f>'Entrada datos'!AF139</f>
        <v>0</v>
      </c>
      <c r="AC139">
        <f>'Entrada datos'!AG139</f>
        <v>0</v>
      </c>
      <c r="AD139" s="17">
        <f t="shared" si="40"/>
        <v>0</v>
      </c>
      <c r="AE139">
        <f>'Entrada datos'!AH139</f>
        <v>0</v>
      </c>
      <c r="AF139">
        <f>'Entrada datos'!AI139</f>
        <v>0</v>
      </c>
      <c r="AG139">
        <f>'Entrada datos'!AJ139</f>
        <v>0</v>
      </c>
      <c r="AH139">
        <f>'Entrada datos'!AK139</f>
        <v>0</v>
      </c>
      <c r="AI139">
        <f>'Entrada datos'!AL139</f>
        <v>0</v>
      </c>
      <c r="AJ139">
        <f>'Entrada datos'!AM139</f>
        <v>0</v>
      </c>
      <c r="AK139" s="17">
        <f t="shared" si="41"/>
        <v>0</v>
      </c>
      <c r="AL139">
        <f>'Entrada datos'!AN139</f>
        <v>0</v>
      </c>
      <c r="AM139">
        <f>'Entrada datos'!AO139</f>
        <v>0</v>
      </c>
      <c r="AN139">
        <f>'Entrada datos'!AP139</f>
        <v>0</v>
      </c>
      <c r="AO139">
        <f>'Entrada datos'!AQ139</f>
        <v>0</v>
      </c>
      <c r="AP139">
        <f>'Entrada datos'!AR139</f>
        <v>0</v>
      </c>
      <c r="AQ139">
        <f>'Entrada datos'!AS139</f>
        <v>0</v>
      </c>
      <c r="AR139" s="17">
        <f t="shared" si="42"/>
        <v>0</v>
      </c>
      <c r="AS139" s="23">
        <f t="shared" si="43"/>
        <v>0</v>
      </c>
      <c r="AT139">
        <f t="shared" si="44"/>
        <v>1900</v>
      </c>
      <c r="AU139" s="41" t="str">
        <f t="shared" si="45"/>
        <v>enero</v>
      </c>
      <c r="AV139">
        <f t="shared" si="46"/>
        <v>0</v>
      </c>
      <c r="AW139">
        <f t="shared" si="47"/>
        <v>0</v>
      </c>
      <c r="AX139" s="24">
        <f t="shared" si="34"/>
        <v>0</v>
      </c>
      <c r="AY139" s="24">
        <f t="shared" si="35"/>
        <v>0</v>
      </c>
      <c r="AZ139" s="24">
        <f t="shared" si="48"/>
        <v>0</v>
      </c>
      <c r="BA139">
        <f t="shared" si="49"/>
        <v>0</v>
      </c>
      <c r="BB139">
        <f t="shared" si="36"/>
        <v>0</v>
      </c>
      <c r="BC139" s="24">
        <f t="shared" si="37"/>
        <v>0</v>
      </c>
      <c r="BD139">
        <f t="shared" si="50"/>
        <v>0</v>
      </c>
    </row>
    <row r="140" spans="1:56" x14ac:dyDescent="0.3">
      <c r="A140">
        <f>'Entrada datos'!A140</f>
        <v>0</v>
      </c>
      <c r="B140">
        <f>'Entrada datos'!B140</f>
        <v>0</v>
      </c>
      <c r="C140">
        <f>'Entrada datos'!C140</f>
        <v>0</v>
      </c>
      <c r="D140">
        <f>'Entrada datos'!D140</f>
        <v>0</v>
      </c>
      <c r="E140" s="18">
        <f>'Entrada datos'!G140</f>
        <v>0</v>
      </c>
      <c r="F140" s="18">
        <f>'Entrada datos'!H140</f>
        <v>0</v>
      </c>
      <c r="G140">
        <f>'Entrada datos'!J140</f>
        <v>0</v>
      </c>
      <c r="H140">
        <f>'Entrada datos'!L140</f>
        <v>0</v>
      </c>
      <c r="I140">
        <f>'Entrada datos'!O140</f>
        <v>0</v>
      </c>
      <c r="J140">
        <f>'Entrada datos'!P140</f>
        <v>0</v>
      </c>
      <c r="K140">
        <f>'Entrada datos'!Q140</f>
        <v>0</v>
      </c>
      <c r="L140">
        <f>'Entrada datos'!R140</f>
        <v>0</v>
      </c>
      <c r="M140">
        <f>'Entrada datos'!S140</f>
        <v>0</v>
      </c>
      <c r="N140">
        <f>'Entrada datos'!T140</f>
        <v>0</v>
      </c>
      <c r="O140">
        <f>'Entrada datos'!U140</f>
        <v>0</v>
      </c>
      <c r="P140" s="17">
        <f t="shared" si="38"/>
        <v>0</v>
      </c>
      <c r="Q140">
        <f>'Entrada datos'!V140</f>
        <v>0</v>
      </c>
      <c r="R140">
        <f>'Entrada datos'!W140</f>
        <v>0</v>
      </c>
      <c r="S140">
        <f>'Entrada datos'!X140</f>
        <v>0</v>
      </c>
      <c r="T140">
        <f>'Entrada datos'!Y140</f>
        <v>0</v>
      </c>
      <c r="U140">
        <f>'Entrada datos'!Z140</f>
        <v>0</v>
      </c>
      <c r="V140">
        <f>'Entrada datos'!AA140</f>
        <v>0</v>
      </c>
      <c r="W140" s="17">
        <f t="shared" si="39"/>
        <v>0</v>
      </c>
      <c r="X140">
        <f>'Entrada datos'!AB140</f>
        <v>0</v>
      </c>
      <c r="Y140">
        <f>'Entrada datos'!AC140</f>
        <v>0</v>
      </c>
      <c r="Z140">
        <f>'Entrada datos'!AD140</f>
        <v>0</v>
      </c>
      <c r="AA140">
        <f>'Entrada datos'!AE140</f>
        <v>0</v>
      </c>
      <c r="AB140">
        <f>'Entrada datos'!AF140</f>
        <v>0</v>
      </c>
      <c r="AC140">
        <f>'Entrada datos'!AG140</f>
        <v>0</v>
      </c>
      <c r="AD140" s="17">
        <f t="shared" si="40"/>
        <v>0</v>
      </c>
      <c r="AE140">
        <f>'Entrada datos'!AH140</f>
        <v>0</v>
      </c>
      <c r="AF140">
        <f>'Entrada datos'!AI140</f>
        <v>0</v>
      </c>
      <c r="AG140">
        <f>'Entrada datos'!AJ140</f>
        <v>0</v>
      </c>
      <c r="AH140">
        <f>'Entrada datos'!AK140</f>
        <v>0</v>
      </c>
      <c r="AI140">
        <f>'Entrada datos'!AL140</f>
        <v>0</v>
      </c>
      <c r="AJ140">
        <f>'Entrada datos'!AM140</f>
        <v>0</v>
      </c>
      <c r="AK140" s="17">
        <f t="shared" si="41"/>
        <v>0</v>
      </c>
      <c r="AL140">
        <f>'Entrada datos'!AN140</f>
        <v>0</v>
      </c>
      <c r="AM140">
        <f>'Entrada datos'!AO140</f>
        <v>0</v>
      </c>
      <c r="AN140">
        <f>'Entrada datos'!AP140</f>
        <v>0</v>
      </c>
      <c r="AO140">
        <f>'Entrada datos'!AQ140</f>
        <v>0</v>
      </c>
      <c r="AP140">
        <f>'Entrada datos'!AR140</f>
        <v>0</v>
      </c>
      <c r="AQ140">
        <f>'Entrada datos'!AS140</f>
        <v>0</v>
      </c>
      <c r="AR140" s="17">
        <f t="shared" si="42"/>
        <v>0</v>
      </c>
      <c r="AS140" s="23">
        <f t="shared" si="43"/>
        <v>0</v>
      </c>
      <c r="AT140">
        <f t="shared" si="44"/>
        <v>1900</v>
      </c>
      <c r="AU140" s="41" t="str">
        <f t="shared" si="45"/>
        <v>enero</v>
      </c>
      <c r="AV140">
        <f t="shared" si="46"/>
        <v>0</v>
      </c>
      <c r="AW140">
        <f t="shared" si="47"/>
        <v>0</v>
      </c>
      <c r="AX140" s="24">
        <f t="shared" si="34"/>
        <v>0</v>
      </c>
      <c r="AY140" s="24">
        <f t="shared" si="35"/>
        <v>0</v>
      </c>
      <c r="AZ140" s="24">
        <f t="shared" si="48"/>
        <v>0</v>
      </c>
      <c r="BA140">
        <f t="shared" si="49"/>
        <v>0</v>
      </c>
      <c r="BB140">
        <f t="shared" si="36"/>
        <v>0</v>
      </c>
      <c r="BC140" s="24">
        <f t="shared" si="37"/>
        <v>0</v>
      </c>
      <c r="BD140">
        <f t="shared" si="50"/>
        <v>0</v>
      </c>
    </row>
    <row r="141" spans="1:56" x14ac:dyDescent="0.3">
      <c r="A141">
        <f>'Entrada datos'!A141</f>
        <v>0</v>
      </c>
      <c r="B141">
        <f>'Entrada datos'!B141</f>
        <v>0</v>
      </c>
      <c r="C141">
        <f>'Entrada datos'!C141</f>
        <v>0</v>
      </c>
      <c r="D141">
        <f>'Entrada datos'!D141</f>
        <v>0</v>
      </c>
      <c r="E141" s="18">
        <f>'Entrada datos'!G141</f>
        <v>0</v>
      </c>
      <c r="F141" s="18">
        <f>'Entrada datos'!H141</f>
        <v>0</v>
      </c>
      <c r="G141">
        <f>'Entrada datos'!J141</f>
        <v>0</v>
      </c>
      <c r="H141">
        <f>'Entrada datos'!L141</f>
        <v>0</v>
      </c>
      <c r="I141">
        <f>'Entrada datos'!O141</f>
        <v>0</v>
      </c>
      <c r="J141">
        <f>'Entrada datos'!P141</f>
        <v>0</v>
      </c>
      <c r="K141">
        <f>'Entrada datos'!Q141</f>
        <v>0</v>
      </c>
      <c r="L141">
        <f>'Entrada datos'!R141</f>
        <v>0</v>
      </c>
      <c r="M141">
        <f>'Entrada datos'!S141</f>
        <v>0</v>
      </c>
      <c r="N141">
        <f>'Entrada datos'!T141</f>
        <v>0</v>
      </c>
      <c r="O141">
        <f>'Entrada datos'!U141</f>
        <v>0</v>
      </c>
      <c r="P141" s="17">
        <f t="shared" si="38"/>
        <v>0</v>
      </c>
      <c r="Q141">
        <f>'Entrada datos'!V141</f>
        <v>0</v>
      </c>
      <c r="R141">
        <f>'Entrada datos'!W141</f>
        <v>0</v>
      </c>
      <c r="S141">
        <f>'Entrada datos'!X141</f>
        <v>0</v>
      </c>
      <c r="T141">
        <f>'Entrada datos'!Y141</f>
        <v>0</v>
      </c>
      <c r="U141">
        <f>'Entrada datos'!Z141</f>
        <v>0</v>
      </c>
      <c r="V141">
        <f>'Entrada datos'!AA141</f>
        <v>0</v>
      </c>
      <c r="W141" s="17">
        <f t="shared" si="39"/>
        <v>0</v>
      </c>
      <c r="X141">
        <f>'Entrada datos'!AB141</f>
        <v>0</v>
      </c>
      <c r="Y141">
        <f>'Entrada datos'!AC141</f>
        <v>0</v>
      </c>
      <c r="Z141">
        <f>'Entrada datos'!AD141</f>
        <v>0</v>
      </c>
      <c r="AA141">
        <f>'Entrada datos'!AE141</f>
        <v>0</v>
      </c>
      <c r="AB141">
        <f>'Entrada datos'!AF141</f>
        <v>0</v>
      </c>
      <c r="AC141">
        <f>'Entrada datos'!AG141</f>
        <v>0</v>
      </c>
      <c r="AD141" s="17">
        <f t="shared" si="40"/>
        <v>0</v>
      </c>
      <c r="AE141">
        <f>'Entrada datos'!AH141</f>
        <v>0</v>
      </c>
      <c r="AF141">
        <f>'Entrada datos'!AI141</f>
        <v>0</v>
      </c>
      <c r="AG141">
        <f>'Entrada datos'!AJ141</f>
        <v>0</v>
      </c>
      <c r="AH141">
        <f>'Entrada datos'!AK141</f>
        <v>0</v>
      </c>
      <c r="AI141">
        <f>'Entrada datos'!AL141</f>
        <v>0</v>
      </c>
      <c r="AJ141">
        <f>'Entrada datos'!AM141</f>
        <v>0</v>
      </c>
      <c r="AK141" s="17">
        <f t="shared" si="41"/>
        <v>0</v>
      </c>
      <c r="AL141">
        <f>'Entrada datos'!AN141</f>
        <v>0</v>
      </c>
      <c r="AM141">
        <f>'Entrada datos'!AO141</f>
        <v>0</v>
      </c>
      <c r="AN141">
        <f>'Entrada datos'!AP141</f>
        <v>0</v>
      </c>
      <c r="AO141">
        <f>'Entrada datos'!AQ141</f>
        <v>0</v>
      </c>
      <c r="AP141">
        <f>'Entrada datos'!AR141</f>
        <v>0</v>
      </c>
      <c r="AQ141">
        <f>'Entrada datos'!AS141</f>
        <v>0</v>
      </c>
      <c r="AR141" s="17">
        <f t="shared" si="42"/>
        <v>0</v>
      </c>
      <c r="AS141" s="23">
        <f t="shared" si="43"/>
        <v>0</v>
      </c>
      <c r="AT141">
        <f t="shared" si="44"/>
        <v>1900</v>
      </c>
      <c r="AU141" s="41" t="str">
        <f t="shared" si="45"/>
        <v>enero</v>
      </c>
      <c r="AV141">
        <f t="shared" si="46"/>
        <v>0</v>
      </c>
      <c r="AW141">
        <f t="shared" si="47"/>
        <v>0</v>
      </c>
      <c r="AX141" s="24">
        <f t="shared" si="34"/>
        <v>0</v>
      </c>
      <c r="AY141" s="24">
        <f t="shared" si="35"/>
        <v>0</v>
      </c>
      <c r="AZ141" s="24">
        <f t="shared" si="48"/>
        <v>0</v>
      </c>
      <c r="BA141">
        <f t="shared" si="49"/>
        <v>0</v>
      </c>
      <c r="BB141">
        <f t="shared" si="36"/>
        <v>0</v>
      </c>
      <c r="BC141" s="24">
        <f t="shared" si="37"/>
        <v>0</v>
      </c>
      <c r="BD141">
        <f t="shared" si="50"/>
        <v>0</v>
      </c>
    </row>
    <row r="142" spans="1:56" x14ac:dyDescent="0.3">
      <c r="A142">
        <f>'Entrada datos'!A142</f>
        <v>0</v>
      </c>
      <c r="B142">
        <f>'Entrada datos'!B142</f>
        <v>0</v>
      </c>
      <c r="C142">
        <f>'Entrada datos'!C142</f>
        <v>0</v>
      </c>
      <c r="D142">
        <f>'Entrada datos'!D142</f>
        <v>0</v>
      </c>
      <c r="E142" s="18">
        <f>'Entrada datos'!G142</f>
        <v>0</v>
      </c>
      <c r="F142" s="18">
        <f>'Entrada datos'!H142</f>
        <v>0</v>
      </c>
      <c r="G142">
        <f>'Entrada datos'!J142</f>
        <v>0</v>
      </c>
      <c r="H142">
        <f>'Entrada datos'!L142</f>
        <v>0</v>
      </c>
      <c r="I142">
        <f>'Entrada datos'!O142</f>
        <v>0</v>
      </c>
      <c r="J142">
        <f>'Entrada datos'!P142</f>
        <v>0</v>
      </c>
      <c r="K142">
        <f>'Entrada datos'!Q142</f>
        <v>0</v>
      </c>
      <c r="L142">
        <f>'Entrada datos'!R142</f>
        <v>0</v>
      </c>
      <c r="M142">
        <f>'Entrada datos'!S142</f>
        <v>0</v>
      </c>
      <c r="N142">
        <f>'Entrada datos'!T142</f>
        <v>0</v>
      </c>
      <c r="O142">
        <f>'Entrada datos'!U142</f>
        <v>0</v>
      </c>
      <c r="P142" s="17">
        <f t="shared" si="38"/>
        <v>0</v>
      </c>
      <c r="Q142">
        <f>'Entrada datos'!V142</f>
        <v>0</v>
      </c>
      <c r="R142">
        <f>'Entrada datos'!W142</f>
        <v>0</v>
      </c>
      <c r="S142">
        <f>'Entrada datos'!X142</f>
        <v>0</v>
      </c>
      <c r="T142">
        <f>'Entrada datos'!Y142</f>
        <v>0</v>
      </c>
      <c r="U142">
        <f>'Entrada datos'!Z142</f>
        <v>0</v>
      </c>
      <c r="V142">
        <f>'Entrada datos'!AA142</f>
        <v>0</v>
      </c>
      <c r="W142" s="17">
        <f t="shared" si="39"/>
        <v>0</v>
      </c>
      <c r="X142">
        <f>'Entrada datos'!AB142</f>
        <v>0</v>
      </c>
      <c r="Y142">
        <f>'Entrada datos'!AC142</f>
        <v>0</v>
      </c>
      <c r="Z142">
        <f>'Entrada datos'!AD142</f>
        <v>0</v>
      </c>
      <c r="AA142">
        <f>'Entrada datos'!AE142</f>
        <v>0</v>
      </c>
      <c r="AB142">
        <f>'Entrada datos'!AF142</f>
        <v>0</v>
      </c>
      <c r="AC142">
        <f>'Entrada datos'!AG142</f>
        <v>0</v>
      </c>
      <c r="AD142" s="17">
        <f t="shared" si="40"/>
        <v>0</v>
      </c>
      <c r="AE142">
        <f>'Entrada datos'!AH142</f>
        <v>0</v>
      </c>
      <c r="AF142">
        <f>'Entrada datos'!AI142</f>
        <v>0</v>
      </c>
      <c r="AG142">
        <f>'Entrada datos'!AJ142</f>
        <v>0</v>
      </c>
      <c r="AH142">
        <f>'Entrada datos'!AK142</f>
        <v>0</v>
      </c>
      <c r="AI142">
        <f>'Entrada datos'!AL142</f>
        <v>0</v>
      </c>
      <c r="AJ142">
        <f>'Entrada datos'!AM142</f>
        <v>0</v>
      </c>
      <c r="AK142" s="17">
        <f t="shared" si="41"/>
        <v>0</v>
      </c>
      <c r="AL142">
        <f>'Entrada datos'!AN142</f>
        <v>0</v>
      </c>
      <c r="AM142">
        <f>'Entrada datos'!AO142</f>
        <v>0</v>
      </c>
      <c r="AN142">
        <f>'Entrada datos'!AP142</f>
        <v>0</v>
      </c>
      <c r="AO142">
        <f>'Entrada datos'!AQ142</f>
        <v>0</v>
      </c>
      <c r="AP142">
        <f>'Entrada datos'!AR142</f>
        <v>0</v>
      </c>
      <c r="AQ142">
        <f>'Entrada datos'!AS142</f>
        <v>0</v>
      </c>
      <c r="AR142" s="17">
        <f t="shared" si="42"/>
        <v>0</v>
      </c>
      <c r="AS142" s="23">
        <f t="shared" si="43"/>
        <v>0</v>
      </c>
      <c r="AT142">
        <f t="shared" si="44"/>
        <v>1900</v>
      </c>
      <c r="AU142" s="41" t="str">
        <f t="shared" si="45"/>
        <v>enero</v>
      </c>
      <c r="AV142">
        <f t="shared" si="46"/>
        <v>0</v>
      </c>
      <c r="AW142">
        <f t="shared" si="47"/>
        <v>0</v>
      </c>
      <c r="AX142" s="24">
        <f t="shared" si="34"/>
        <v>0</v>
      </c>
      <c r="AY142" s="24">
        <f t="shared" si="35"/>
        <v>0</v>
      </c>
      <c r="AZ142" s="24">
        <f t="shared" si="48"/>
        <v>0</v>
      </c>
      <c r="BA142">
        <f t="shared" si="49"/>
        <v>0</v>
      </c>
      <c r="BB142">
        <f t="shared" si="36"/>
        <v>0</v>
      </c>
      <c r="BC142" s="24">
        <f t="shared" si="37"/>
        <v>0</v>
      </c>
      <c r="BD142">
        <f t="shared" si="50"/>
        <v>0</v>
      </c>
    </row>
    <row r="143" spans="1:56" x14ac:dyDescent="0.3">
      <c r="A143">
        <f>'Entrada datos'!A143</f>
        <v>0</v>
      </c>
      <c r="B143">
        <f>'Entrada datos'!B143</f>
        <v>0</v>
      </c>
      <c r="C143">
        <f>'Entrada datos'!C143</f>
        <v>0</v>
      </c>
      <c r="D143">
        <f>'Entrada datos'!D143</f>
        <v>0</v>
      </c>
      <c r="E143" s="18">
        <f>'Entrada datos'!G143</f>
        <v>0</v>
      </c>
      <c r="F143" s="18">
        <f>'Entrada datos'!H143</f>
        <v>0</v>
      </c>
      <c r="G143">
        <f>'Entrada datos'!J143</f>
        <v>0</v>
      </c>
      <c r="H143">
        <f>'Entrada datos'!L143</f>
        <v>0</v>
      </c>
      <c r="I143">
        <f>'Entrada datos'!O143</f>
        <v>0</v>
      </c>
      <c r="J143">
        <f>'Entrada datos'!P143</f>
        <v>0</v>
      </c>
      <c r="K143">
        <f>'Entrada datos'!Q143</f>
        <v>0</v>
      </c>
      <c r="L143">
        <f>'Entrada datos'!R143</f>
        <v>0</v>
      </c>
      <c r="M143">
        <f>'Entrada datos'!S143</f>
        <v>0</v>
      </c>
      <c r="N143">
        <f>'Entrada datos'!T143</f>
        <v>0</v>
      </c>
      <c r="O143">
        <f>'Entrada datos'!U143</f>
        <v>0</v>
      </c>
      <c r="P143" s="17">
        <f t="shared" si="38"/>
        <v>0</v>
      </c>
      <c r="Q143">
        <f>'Entrada datos'!V143</f>
        <v>0</v>
      </c>
      <c r="R143">
        <f>'Entrada datos'!W143</f>
        <v>0</v>
      </c>
      <c r="S143">
        <f>'Entrada datos'!X143</f>
        <v>0</v>
      </c>
      <c r="T143">
        <f>'Entrada datos'!Y143</f>
        <v>0</v>
      </c>
      <c r="U143">
        <f>'Entrada datos'!Z143</f>
        <v>0</v>
      </c>
      <c r="V143">
        <f>'Entrada datos'!AA143</f>
        <v>0</v>
      </c>
      <c r="W143" s="17">
        <f t="shared" si="39"/>
        <v>0</v>
      </c>
      <c r="X143">
        <f>'Entrada datos'!AB143</f>
        <v>0</v>
      </c>
      <c r="Y143">
        <f>'Entrada datos'!AC143</f>
        <v>0</v>
      </c>
      <c r="Z143">
        <f>'Entrada datos'!AD143</f>
        <v>0</v>
      </c>
      <c r="AA143">
        <f>'Entrada datos'!AE143</f>
        <v>0</v>
      </c>
      <c r="AB143">
        <f>'Entrada datos'!AF143</f>
        <v>0</v>
      </c>
      <c r="AC143">
        <f>'Entrada datos'!AG143</f>
        <v>0</v>
      </c>
      <c r="AD143" s="17">
        <f t="shared" si="40"/>
        <v>0</v>
      </c>
      <c r="AE143">
        <f>'Entrada datos'!AH143</f>
        <v>0</v>
      </c>
      <c r="AF143">
        <f>'Entrada datos'!AI143</f>
        <v>0</v>
      </c>
      <c r="AG143">
        <f>'Entrada datos'!AJ143</f>
        <v>0</v>
      </c>
      <c r="AH143">
        <f>'Entrada datos'!AK143</f>
        <v>0</v>
      </c>
      <c r="AI143">
        <f>'Entrada datos'!AL143</f>
        <v>0</v>
      </c>
      <c r="AJ143">
        <f>'Entrada datos'!AM143</f>
        <v>0</v>
      </c>
      <c r="AK143" s="17">
        <f t="shared" si="41"/>
        <v>0</v>
      </c>
      <c r="AL143">
        <f>'Entrada datos'!AN143</f>
        <v>0</v>
      </c>
      <c r="AM143">
        <f>'Entrada datos'!AO143</f>
        <v>0</v>
      </c>
      <c r="AN143">
        <f>'Entrada datos'!AP143</f>
        <v>0</v>
      </c>
      <c r="AO143">
        <f>'Entrada datos'!AQ143</f>
        <v>0</v>
      </c>
      <c r="AP143">
        <f>'Entrada datos'!AR143</f>
        <v>0</v>
      </c>
      <c r="AQ143">
        <f>'Entrada datos'!AS143</f>
        <v>0</v>
      </c>
      <c r="AR143" s="17">
        <f t="shared" si="42"/>
        <v>0</v>
      </c>
      <c r="AS143" s="23">
        <f t="shared" si="43"/>
        <v>0</v>
      </c>
      <c r="AT143">
        <f t="shared" si="44"/>
        <v>1900</v>
      </c>
      <c r="AU143" s="41" t="str">
        <f t="shared" si="45"/>
        <v>enero</v>
      </c>
      <c r="AV143">
        <f t="shared" si="46"/>
        <v>0</v>
      </c>
      <c r="AW143">
        <f t="shared" si="47"/>
        <v>0</v>
      </c>
      <c r="AX143" s="24">
        <f t="shared" si="34"/>
        <v>0</v>
      </c>
      <c r="AY143" s="24">
        <f t="shared" si="35"/>
        <v>0</v>
      </c>
      <c r="AZ143" s="24">
        <f t="shared" si="48"/>
        <v>0</v>
      </c>
      <c r="BA143">
        <f t="shared" si="49"/>
        <v>0</v>
      </c>
      <c r="BB143">
        <f t="shared" si="36"/>
        <v>0</v>
      </c>
      <c r="BC143" s="24">
        <f t="shared" si="37"/>
        <v>0</v>
      </c>
      <c r="BD143">
        <f t="shared" si="50"/>
        <v>0</v>
      </c>
    </row>
    <row r="144" spans="1:56" x14ac:dyDescent="0.3">
      <c r="A144">
        <f>'Entrada datos'!A144</f>
        <v>0</v>
      </c>
      <c r="B144">
        <f>'Entrada datos'!B144</f>
        <v>0</v>
      </c>
      <c r="C144">
        <f>'Entrada datos'!C144</f>
        <v>0</v>
      </c>
      <c r="D144">
        <f>'Entrada datos'!D144</f>
        <v>0</v>
      </c>
      <c r="E144" s="18">
        <f>'Entrada datos'!G144</f>
        <v>0</v>
      </c>
      <c r="F144" s="18">
        <f>'Entrada datos'!H144</f>
        <v>0</v>
      </c>
      <c r="G144">
        <f>'Entrada datos'!J144</f>
        <v>0</v>
      </c>
      <c r="H144">
        <f>'Entrada datos'!L144</f>
        <v>0</v>
      </c>
      <c r="I144">
        <f>'Entrada datos'!O144</f>
        <v>0</v>
      </c>
      <c r="J144">
        <f>'Entrada datos'!P144</f>
        <v>0</v>
      </c>
      <c r="K144">
        <f>'Entrada datos'!Q144</f>
        <v>0</v>
      </c>
      <c r="L144">
        <f>'Entrada datos'!R144</f>
        <v>0</v>
      </c>
      <c r="M144">
        <f>'Entrada datos'!S144</f>
        <v>0</v>
      </c>
      <c r="N144">
        <f>'Entrada datos'!T144</f>
        <v>0</v>
      </c>
      <c r="O144">
        <f>'Entrada datos'!U144</f>
        <v>0</v>
      </c>
      <c r="P144" s="17">
        <f t="shared" si="38"/>
        <v>0</v>
      </c>
      <c r="Q144">
        <f>'Entrada datos'!V144</f>
        <v>0</v>
      </c>
      <c r="R144">
        <f>'Entrada datos'!W144</f>
        <v>0</v>
      </c>
      <c r="S144">
        <f>'Entrada datos'!X144</f>
        <v>0</v>
      </c>
      <c r="T144">
        <f>'Entrada datos'!Y144</f>
        <v>0</v>
      </c>
      <c r="U144">
        <f>'Entrada datos'!Z144</f>
        <v>0</v>
      </c>
      <c r="V144">
        <f>'Entrada datos'!AA144</f>
        <v>0</v>
      </c>
      <c r="W144" s="17">
        <f t="shared" si="39"/>
        <v>0</v>
      </c>
      <c r="X144">
        <f>'Entrada datos'!AB144</f>
        <v>0</v>
      </c>
      <c r="Y144">
        <f>'Entrada datos'!AC144</f>
        <v>0</v>
      </c>
      <c r="Z144">
        <f>'Entrada datos'!AD144</f>
        <v>0</v>
      </c>
      <c r="AA144">
        <f>'Entrada datos'!AE144</f>
        <v>0</v>
      </c>
      <c r="AB144">
        <f>'Entrada datos'!AF144</f>
        <v>0</v>
      </c>
      <c r="AC144">
        <f>'Entrada datos'!AG144</f>
        <v>0</v>
      </c>
      <c r="AD144" s="17">
        <f t="shared" si="40"/>
        <v>0</v>
      </c>
      <c r="AE144">
        <f>'Entrada datos'!AH144</f>
        <v>0</v>
      </c>
      <c r="AF144">
        <f>'Entrada datos'!AI144</f>
        <v>0</v>
      </c>
      <c r="AG144">
        <f>'Entrada datos'!AJ144</f>
        <v>0</v>
      </c>
      <c r="AH144">
        <f>'Entrada datos'!AK144</f>
        <v>0</v>
      </c>
      <c r="AI144">
        <f>'Entrada datos'!AL144</f>
        <v>0</v>
      </c>
      <c r="AJ144">
        <f>'Entrada datos'!AM144</f>
        <v>0</v>
      </c>
      <c r="AK144" s="17">
        <f t="shared" si="41"/>
        <v>0</v>
      </c>
      <c r="AL144">
        <f>'Entrada datos'!AN144</f>
        <v>0</v>
      </c>
      <c r="AM144">
        <f>'Entrada datos'!AO144</f>
        <v>0</v>
      </c>
      <c r="AN144">
        <f>'Entrada datos'!AP144</f>
        <v>0</v>
      </c>
      <c r="AO144">
        <f>'Entrada datos'!AQ144</f>
        <v>0</v>
      </c>
      <c r="AP144">
        <f>'Entrada datos'!AR144</f>
        <v>0</v>
      </c>
      <c r="AQ144">
        <f>'Entrada datos'!AS144</f>
        <v>0</v>
      </c>
      <c r="AR144" s="17">
        <f t="shared" si="42"/>
        <v>0</v>
      </c>
      <c r="AS144" s="23">
        <f t="shared" si="43"/>
        <v>0</v>
      </c>
      <c r="AT144">
        <f t="shared" si="44"/>
        <v>1900</v>
      </c>
      <c r="AU144" s="41" t="str">
        <f t="shared" si="45"/>
        <v>enero</v>
      </c>
      <c r="AV144">
        <f t="shared" si="46"/>
        <v>0</v>
      </c>
      <c r="AW144">
        <f t="shared" si="47"/>
        <v>0</v>
      </c>
      <c r="AX144" s="24">
        <f t="shared" si="34"/>
        <v>0</v>
      </c>
      <c r="AY144" s="24">
        <f t="shared" si="35"/>
        <v>0</v>
      </c>
      <c r="AZ144" s="24">
        <f t="shared" si="48"/>
        <v>0</v>
      </c>
      <c r="BA144">
        <f t="shared" si="49"/>
        <v>0</v>
      </c>
      <c r="BB144">
        <f t="shared" si="36"/>
        <v>0</v>
      </c>
      <c r="BC144" s="24">
        <f t="shared" si="37"/>
        <v>0</v>
      </c>
      <c r="BD144">
        <f t="shared" si="50"/>
        <v>0</v>
      </c>
    </row>
    <row r="145" spans="1:56" x14ac:dyDescent="0.3">
      <c r="A145">
        <f>'Entrada datos'!A145</f>
        <v>0</v>
      </c>
      <c r="B145">
        <f>'Entrada datos'!B145</f>
        <v>0</v>
      </c>
      <c r="C145">
        <f>'Entrada datos'!C145</f>
        <v>0</v>
      </c>
      <c r="D145">
        <f>'Entrada datos'!D145</f>
        <v>0</v>
      </c>
      <c r="E145" s="18">
        <f>'Entrada datos'!G145</f>
        <v>0</v>
      </c>
      <c r="F145" s="18">
        <f>'Entrada datos'!H145</f>
        <v>0</v>
      </c>
      <c r="G145">
        <f>'Entrada datos'!J145</f>
        <v>0</v>
      </c>
      <c r="H145">
        <f>'Entrada datos'!L145</f>
        <v>0</v>
      </c>
      <c r="I145">
        <f>'Entrada datos'!O145</f>
        <v>0</v>
      </c>
      <c r="J145">
        <f>'Entrada datos'!P145</f>
        <v>0</v>
      </c>
      <c r="K145">
        <f>'Entrada datos'!Q145</f>
        <v>0</v>
      </c>
      <c r="L145">
        <f>'Entrada datos'!R145</f>
        <v>0</v>
      </c>
      <c r="M145">
        <f>'Entrada datos'!S145</f>
        <v>0</v>
      </c>
      <c r="N145">
        <f>'Entrada datos'!T145</f>
        <v>0</v>
      </c>
      <c r="O145">
        <f>'Entrada datos'!U145</f>
        <v>0</v>
      </c>
      <c r="P145" s="17">
        <f t="shared" si="38"/>
        <v>0</v>
      </c>
      <c r="Q145">
        <f>'Entrada datos'!V145</f>
        <v>0</v>
      </c>
      <c r="R145">
        <f>'Entrada datos'!W145</f>
        <v>0</v>
      </c>
      <c r="S145">
        <f>'Entrada datos'!X145</f>
        <v>0</v>
      </c>
      <c r="T145">
        <f>'Entrada datos'!Y145</f>
        <v>0</v>
      </c>
      <c r="U145">
        <f>'Entrada datos'!Z145</f>
        <v>0</v>
      </c>
      <c r="V145">
        <f>'Entrada datos'!AA145</f>
        <v>0</v>
      </c>
      <c r="W145" s="17">
        <f t="shared" si="39"/>
        <v>0</v>
      </c>
      <c r="X145">
        <f>'Entrada datos'!AB145</f>
        <v>0</v>
      </c>
      <c r="Y145">
        <f>'Entrada datos'!AC145</f>
        <v>0</v>
      </c>
      <c r="Z145">
        <f>'Entrada datos'!AD145</f>
        <v>0</v>
      </c>
      <c r="AA145">
        <f>'Entrada datos'!AE145</f>
        <v>0</v>
      </c>
      <c r="AB145">
        <f>'Entrada datos'!AF145</f>
        <v>0</v>
      </c>
      <c r="AC145">
        <f>'Entrada datos'!AG145</f>
        <v>0</v>
      </c>
      <c r="AD145" s="17">
        <f t="shared" si="40"/>
        <v>0</v>
      </c>
      <c r="AE145">
        <f>'Entrada datos'!AH145</f>
        <v>0</v>
      </c>
      <c r="AF145">
        <f>'Entrada datos'!AI145</f>
        <v>0</v>
      </c>
      <c r="AG145">
        <f>'Entrada datos'!AJ145</f>
        <v>0</v>
      </c>
      <c r="AH145">
        <f>'Entrada datos'!AK145</f>
        <v>0</v>
      </c>
      <c r="AI145">
        <f>'Entrada datos'!AL145</f>
        <v>0</v>
      </c>
      <c r="AJ145">
        <f>'Entrada datos'!AM145</f>
        <v>0</v>
      </c>
      <c r="AK145" s="17">
        <f t="shared" si="41"/>
        <v>0</v>
      </c>
      <c r="AL145">
        <f>'Entrada datos'!AN145</f>
        <v>0</v>
      </c>
      <c r="AM145">
        <f>'Entrada datos'!AO145</f>
        <v>0</v>
      </c>
      <c r="AN145">
        <f>'Entrada datos'!AP145</f>
        <v>0</v>
      </c>
      <c r="AO145">
        <f>'Entrada datos'!AQ145</f>
        <v>0</v>
      </c>
      <c r="AP145">
        <f>'Entrada datos'!AR145</f>
        <v>0</v>
      </c>
      <c r="AQ145">
        <f>'Entrada datos'!AS145</f>
        <v>0</v>
      </c>
      <c r="AR145" s="17">
        <f t="shared" si="42"/>
        <v>0</v>
      </c>
      <c r="AS145" s="23">
        <f t="shared" si="43"/>
        <v>0</v>
      </c>
      <c r="AT145">
        <f t="shared" si="44"/>
        <v>1900</v>
      </c>
      <c r="AU145" s="41" t="str">
        <f t="shared" si="45"/>
        <v>enero</v>
      </c>
      <c r="AV145">
        <f t="shared" si="46"/>
        <v>0</v>
      </c>
      <c r="AW145">
        <f t="shared" si="47"/>
        <v>0</v>
      </c>
      <c r="AX145" s="24">
        <f t="shared" si="34"/>
        <v>0</v>
      </c>
      <c r="AY145" s="24">
        <f t="shared" si="35"/>
        <v>0</v>
      </c>
      <c r="AZ145" s="24">
        <f t="shared" si="48"/>
        <v>0</v>
      </c>
      <c r="BA145">
        <f t="shared" si="49"/>
        <v>0</v>
      </c>
      <c r="BB145">
        <f t="shared" si="36"/>
        <v>0</v>
      </c>
      <c r="BC145" s="24">
        <f t="shared" si="37"/>
        <v>0</v>
      </c>
      <c r="BD145">
        <f t="shared" si="50"/>
        <v>0</v>
      </c>
    </row>
    <row r="146" spans="1:56" x14ac:dyDescent="0.3">
      <c r="A146">
        <f>'Entrada datos'!A146</f>
        <v>0</v>
      </c>
      <c r="B146">
        <f>'Entrada datos'!B146</f>
        <v>0</v>
      </c>
      <c r="C146">
        <f>'Entrada datos'!C146</f>
        <v>0</v>
      </c>
      <c r="D146">
        <f>'Entrada datos'!D146</f>
        <v>0</v>
      </c>
      <c r="E146" s="18">
        <f>'Entrada datos'!G146</f>
        <v>0</v>
      </c>
      <c r="F146" s="18">
        <f>'Entrada datos'!H146</f>
        <v>0</v>
      </c>
      <c r="G146">
        <f>'Entrada datos'!J146</f>
        <v>0</v>
      </c>
      <c r="H146">
        <f>'Entrada datos'!L146</f>
        <v>0</v>
      </c>
      <c r="I146">
        <f>'Entrada datos'!O146</f>
        <v>0</v>
      </c>
      <c r="J146">
        <f>'Entrada datos'!P146</f>
        <v>0</v>
      </c>
      <c r="K146">
        <f>'Entrada datos'!Q146</f>
        <v>0</v>
      </c>
      <c r="L146">
        <f>'Entrada datos'!R146</f>
        <v>0</v>
      </c>
      <c r="M146">
        <f>'Entrada datos'!S146</f>
        <v>0</v>
      </c>
      <c r="N146">
        <f>'Entrada datos'!T146</f>
        <v>0</v>
      </c>
      <c r="O146">
        <f>'Entrada datos'!U146</f>
        <v>0</v>
      </c>
      <c r="P146" s="17">
        <f t="shared" si="38"/>
        <v>0</v>
      </c>
      <c r="Q146">
        <f>'Entrada datos'!V146</f>
        <v>0</v>
      </c>
      <c r="R146">
        <f>'Entrada datos'!W146</f>
        <v>0</v>
      </c>
      <c r="S146">
        <f>'Entrada datos'!X146</f>
        <v>0</v>
      </c>
      <c r="T146">
        <f>'Entrada datos'!Y146</f>
        <v>0</v>
      </c>
      <c r="U146">
        <f>'Entrada datos'!Z146</f>
        <v>0</v>
      </c>
      <c r="V146">
        <f>'Entrada datos'!AA146</f>
        <v>0</v>
      </c>
      <c r="W146" s="17">
        <f t="shared" si="39"/>
        <v>0</v>
      </c>
      <c r="X146">
        <f>'Entrada datos'!AB146</f>
        <v>0</v>
      </c>
      <c r="Y146">
        <f>'Entrada datos'!AC146</f>
        <v>0</v>
      </c>
      <c r="Z146">
        <f>'Entrada datos'!AD146</f>
        <v>0</v>
      </c>
      <c r="AA146">
        <f>'Entrada datos'!AE146</f>
        <v>0</v>
      </c>
      <c r="AB146">
        <f>'Entrada datos'!AF146</f>
        <v>0</v>
      </c>
      <c r="AC146">
        <f>'Entrada datos'!AG146</f>
        <v>0</v>
      </c>
      <c r="AD146" s="17">
        <f t="shared" si="40"/>
        <v>0</v>
      </c>
      <c r="AE146">
        <f>'Entrada datos'!AH146</f>
        <v>0</v>
      </c>
      <c r="AF146">
        <f>'Entrada datos'!AI146</f>
        <v>0</v>
      </c>
      <c r="AG146">
        <f>'Entrada datos'!AJ146</f>
        <v>0</v>
      </c>
      <c r="AH146">
        <f>'Entrada datos'!AK146</f>
        <v>0</v>
      </c>
      <c r="AI146">
        <f>'Entrada datos'!AL146</f>
        <v>0</v>
      </c>
      <c r="AJ146">
        <f>'Entrada datos'!AM146</f>
        <v>0</v>
      </c>
      <c r="AK146" s="17">
        <f t="shared" si="41"/>
        <v>0</v>
      </c>
      <c r="AL146">
        <f>'Entrada datos'!AN146</f>
        <v>0</v>
      </c>
      <c r="AM146">
        <f>'Entrada datos'!AO146</f>
        <v>0</v>
      </c>
      <c r="AN146">
        <f>'Entrada datos'!AP146</f>
        <v>0</v>
      </c>
      <c r="AO146">
        <f>'Entrada datos'!AQ146</f>
        <v>0</v>
      </c>
      <c r="AP146">
        <f>'Entrada datos'!AR146</f>
        <v>0</v>
      </c>
      <c r="AQ146">
        <f>'Entrada datos'!AS146</f>
        <v>0</v>
      </c>
      <c r="AR146" s="17">
        <f t="shared" si="42"/>
        <v>0</v>
      </c>
      <c r="AS146" s="23">
        <f t="shared" si="43"/>
        <v>0</v>
      </c>
      <c r="AT146">
        <f t="shared" si="44"/>
        <v>1900</v>
      </c>
      <c r="AU146" s="41" t="str">
        <f t="shared" si="45"/>
        <v>enero</v>
      </c>
      <c r="AV146">
        <f t="shared" si="46"/>
        <v>0</v>
      </c>
      <c r="AW146">
        <f t="shared" si="47"/>
        <v>0</v>
      </c>
      <c r="AX146" s="24">
        <f t="shared" si="34"/>
        <v>0</v>
      </c>
      <c r="AY146" s="24">
        <f t="shared" si="35"/>
        <v>0</v>
      </c>
      <c r="AZ146" s="24">
        <f t="shared" si="48"/>
        <v>0</v>
      </c>
      <c r="BA146">
        <f t="shared" si="49"/>
        <v>0</v>
      </c>
      <c r="BB146">
        <f t="shared" si="36"/>
        <v>0</v>
      </c>
      <c r="BC146" s="24">
        <f t="shared" si="37"/>
        <v>0</v>
      </c>
      <c r="BD146">
        <f t="shared" si="50"/>
        <v>0</v>
      </c>
    </row>
    <row r="147" spans="1:56" x14ac:dyDescent="0.3">
      <c r="A147">
        <f>'Entrada datos'!A147</f>
        <v>0</v>
      </c>
      <c r="B147">
        <f>'Entrada datos'!B147</f>
        <v>0</v>
      </c>
      <c r="C147">
        <f>'Entrada datos'!C147</f>
        <v>0</v>
      </c>
      <c r="D147">
        <f>'Entrada datos'!D147</f>
        <v>0</v>
      </c>
      <c r="E147" s="18">
        <f>'Entrada datos'!G147</f>
        <v>0</v>
      </c>
      <c r="F147" s="18">
        <f>'Entrada datos'!H147</f>
        <v>0</v>
      </c>
      <c r="G147">
        <f>'Entrada datos'!J147</f>
        <v>0</v>
      </c>
      <c r="H147">
        <f>'Entrada datos'!L147</f>
        <v>0</v>
      </c>
      <c r="I147">
        <f>'Entrada datos'!O147</f>
        <v>0</v>
      </c>
      <c r="J147">
        <f>'Entrada datos'!P147</f>
        <v>0</v>
      </c>
      <c r="K147">
        <f>'Entrada datos'!Q147</f>
        <v>0</v>
      </c>
      <c r="L147">
        <f>'Entrada datos'!R147</f>
        <v>0</v>
      </c>
      <c r="M147">
        <f>'Entrada datos'!S147</f>
        <v>0</v>
      </c>
      <c r="N147">
        <f>'Entrada datos'!T147</f>
        <v>0</v>
      </c>
      <c r="O147">
        <f>'Entrada datos'!U147</f>
        <v>0</v>
      </c>
      <c r="P147" s="17">
        <f t="shared" si="38"/>
        <v>0</v>
      </c>
      <c r="Q147">
        <f>'Entrada datos'!V147</f>
        <v>0</v>
      </c>
      <c r="R147">
        <f>'Entrada datos'!W147</f>
        <v>0</v>
      </c>
      <c r="S147">
        <f>'Entrada datos'!X147</f>
        <v>0</v>
      </c>
      <c r="T147">
        <f>'Entrada datos'!Y147</f>
        <v>0</v>
      </c>
      <c r="U147">
        <f>'Entrada datos'!Z147</f>
        <v>0</v>
      </c>
      <c r="V147">
        <f>'Entrada datos'!AA147</f>
        <v>0</v>
      </c>
      <c r="W147" s="17">
        <f t="shared" si="39"/>
        <v>0</v>
      </c>
      <c r="X147">
        <f>'Entrada datos'!AB147</f>
        <v>0</v>
      </c>
      <c r="Y147">
        <f>'Entrada datos'!AC147</f>
        <v>0</v>
      </c>
      <c r="Z147">
        <f>'Entrada datos'!AD147</f>
        <v>0</v>
      </c>
      <c r="AA147">
        <f>'Entrada datos'!AE147</f>
        <v>0</v>
      </c>
      <c r="AB147">
        <f>'Entrada datos'!AF147</f>
        <v>0</v>
      </c>
      <c r="AC147">
        <f>'Entrada datos'!AG147</f>
        <v>0</v>
      </c>
      <c r="AD147" s="17">
        <f t="shared" si="40"/>
        <v>0</v>
      </c>
      <c r="AE147">
        <f>'Entrada datos'!AH147</f>
        <v>0</v>
      </c>
      <c r="AF147">
        <f>'Entrada datos'!AI147</f>
        <v>0</v>
      </c>
      <c r="AG147">
        <f>'Entrada datos'!AJ147</f>
        <v>0</v>
      </c>
      <c r="AH147">
        <f>'Entrada datos'!AK147</f>
        <v>0</v>
      </c>
      <c r="AI147">
        <f>'Entrada datos'!AL147</f>
        <v>0</v>
      </c>
      <c r="AJ147">
        <f>'Entrada datos'!AM147</f>
        <v>0</v>
      </c>
      <c r="AK147" s="17">
        <f t="shared" si="41"/>
        <v>0</v>
      </c>
      <c r="AL147">
        <f>'Entrada datos'!AN147</f>
        <v>0</v>
      </c>
      <c r="AM147">
        <f>'Entrada datos'!AO147</f>
        <v>0</v>
      </c>
      <c r="AN147">
        <f>'Entrada datos'!AP147</f>
        <v>0</v>
      </c>
      <c r="AO147">
        <f>'Entrada datos'!AQ147</f>
        <v>0</v>
      </c>
      <c r="AP147">
        <f>'Entrada datos'!AR147</f>
        <v>0</v>
      </c>
      <c r="AQ147">
        <f>'Entrada datos'!AS147</f>
        <v>0</v>
      </c>
      <c r="AR147" s="17">
        <f t="shared" si="42"/>
        <v>0</v>
      </c>
      <c r="AS147" s="23">
        <f t="shared" si="43"/>
        <v>0</v>
      </c>
      <c r="AT147">
        <f t="shared" si="44"/>
        <v>1900</v>
      </c>
      <c r="AU147" s="41" t="str">
        <f t="shared" si="45"/>
        <v>enero</v>
      </c>
      <c r="AV147">
        <f t="shared" si="46"/>
        <v>0</v>
      </c>
      <c r="AW147">
        <f t="shared" si="47"/>
        <v>0</v>
      </c>
      <c r="AX147" s="24">
        <f t="shared" si="34"/>
        <v>0</v>
      </c>
      <c r="AY147" s="24">
        <f t="shared" si="35"/>
        <v>0</v>
      </c>
      <c r="AZ147" s="24">
        <f t="shared" si="48"/>
        <v>0</v>
      </c>
      <c r="BA147">
        <f t="shared" si="49"/>
        <v>0</v>
      </c>
      <c r="BB147">
        <f t="shared" si="36"/>
        <v>0</v>
      </c>
      <c r="BC147" s="24">
        <f t="shared" si="37"/>
        <v>0</v>
      </c>
      <c r="BD147">
        <f t="shared" si="50"/>
        <v>0</v>
      </c>
    </row>
    <row r="148" spans="1:56" x14ac:dyDescent="0.3">
      <c r="A148">
        <f>'Entrada datos'!A148</f>
        <v>0</v>
      </c>
      <c r="B148">
        <f>'Entrada datos'!B148</f>
        <v>0</v>
      </c>
      <c r="C148">
        <f>'Entrada datos'!C148</f>
        <v>0</v>
      </c>
      <c r="D148">
        <f>'Entrada datos'!D148</f>
        <v>0</v>
      </c>
      <c r="E148" s="18">
        <f>'Entrada datos'!G148</f>
        <v>0</v>
      </c>
      <c r="F148" s="18">
        <f>'Entrada datos'!H148</f>
        <v>0</v>
      </c>
      <c r="G148">
        <f>'Entrada datos'!J148</f>
        <v>0</v>
      </c>
      <c r="H148">
        <f>'Entrada datos'!L148</f>
        <v>0</v>
      </c>
      <c r="I148">
        <f>'Entrada datos'!O148</f>
        <v>0</v>
      </c>
      <c r="J148">
        <f>'Entrada datos'!P148</f>
        <v>0</v>
      </c>
      <c r="K148">
        <f>'Entrada datos'!Q148</f>
        <v>0</v>
      </c>
      <c r="L148">
        <f>'Entrada datos'!R148</f>
        <v>0</v>
      </c>
      <c r="M148">
        <f>'Entrada datos'!S148</f>
        <v>0</v>
      </c>
      <c r="N148">
        <f>'Entrada datos'!T148</f>
        <v>0</v>
      </c>
      <c r="O148">
        <f>'Entrada datos'!U148</f>
        <v>0</v>
      </c>
      <c r="P148" s="17">
        <f t="shared" si="38"/>
        <v>0</v>
      </c>
      <c r="Q148">
        <f>'Entrada datos'!V148</f>
        <v>0</v>
      </c>
      <c r="R148">
        <f>'Entrada datos'!W148</f>
        <v>0</v>
      </c>
      <c r="S148">
        <f>'Entrada datos'!X148</f>
        <v>0</v>
      </c>
      <c r="T148">
        <f>'Entrada datos'!Y148</f>
        <v>0</v>
      </c>
      <c r="U148">
        <f>'Entrada datos'!Z148</f>
        <v>0</v>
      </c>
      <c r="V148">
        <f>'Entrada datos'!AA148</f>
        <v>0</v>
      </c>
      <c r="W148" s="17">
        <f t="shared" si="39"/>
        <v>0</v>
      </c>
      <c r="X148">
        <f>'Entrada datos'!AB148</f>
        <v>0</v>
      </c>
      <c r="Y148">
        <f>'Entrada datos'!AC148</f>
        <v>0</v>
      </c>
      <c r="Z148">
        <f>'Entrada datos'!AD148</f>
        <v>0</v>
      </c>
      <c r="AA148">
        <f>'Entrada datos'!AE148</f>
        <v>0</v>
      </c>
      <c r="AB148">
        <f>'Entrada datos'!AF148</f>
        <v>0</v>
      </c>
      <c r="AC148">
        <f>'Entrada datos'!AG148</f>
        <v>0</v>
      </c>
      <c r="AD148" s="17">
        <f t="shared" si="40"/>
        <v>0</v>
      </c>
      <c r="AE148">
        <f>'Entrada datos'!AH148</f>
        <v>0</v>
      </c>
      <c r="AF148">
        <f>'Entrada datos'!AI148</f>
        <v>0</v>
      </c>
      <c r="AG148">
        <f>'Entrada datos'!AJ148</f>
        <v>0</v>
      </c>
      <c r="AH148">
        <f>'Entrada datos'!AK148</f>
        <v>0</v>
      </c>
      <c r="AI148">
        <f>'Entrada datos'!AL148</f>
        <v>0</v>
      </c>
      <c r="AJ148">
        <f>'Entrada datos'!AM148</f>
        <v>0</v>
      </c>
      <c r="AK148" s="17">
        <f t="shared" si="41"/>
        <v>0</v>
      </c>
      <c r="AL148">
        <f>'Entrada datos'!AN148</f>
        <v>0</v>
      </c>
      <c r="AM148">
        <f>'Entrada datos'!AO148</f>
        <v>0</v>
      </c>
      <c r="AN148">
        <f>'Entrada datos'!AP148</f>
        <v>0</v>
      </c>
      <c r="AO148">
        <f>'Entrada datos'!AQ148</f>
        <v>0</v>
      </c>
      <c r="AP148">
        <f>'Entrada datos'!AR148</f>
        <v>0</v>
      </c>
      <c r="AQ148">
        <f>'Entrada datos'!AS148</f>
        <v>0</v>
      </c>
      <c r="AR148" s="17">
        <f t="shared" si="42"/>
        <v>0</v>
      </c>
      <c r="AS148" s="23">
        <f t="shared" si="43"/>
        <v>0</v>
      </c>
      <c r="AT148">
        <f t="shared" si="44"/>
        <v>1900</v>
      </c>
      <c r="AU148" s="41" t="str">
        <f t="shared" si="45"/>
        <v>enero</v>
      </c>
      <c r="AV148">
        <f t="shared" si="46"/>
        <v>0</v>
      </c>
      <c r="AW148">
        <f t="shared" si="47"/>
        <v>0</v>
      </c>
      <c r="AX148" s="24">
        <f t="shared" si="34"/>
        <v>0</v>
      </c>
      <c r="AY148" s="24">
        <f t="shared" si="35"/>
        <v>0</v>
      </c>
      <c r="AZ148" s="24">
        <f t="shared" si="48"/>
        <v>0</v>
      </c>
      <c r="BA148">
        <f t="shared" si="49"/>
        <v>0</v>
      </c>
      <c r="BB148">
        <f t="shared" si="36"/>
        <v>0</v>
      </c>
      <c r="BC148" s="24">
        <f t="shared" si="37"/>
        <v>0</v>
      </c>
      <c r="BD148">
        <f t="shared" si="50"/>
        <v>0</v>
      </c>
    </row>
    <row r="149" spans="1:56" x14ac:dyDescent="0.3">
      <c r="A149">
        <f>'Entrada datos'!A149</f>
        <v>0</v>
      </c>
      <c r="B149">
        <f>'Entrada datos'!B149</f>
        <v>0</v>
      </c>
      <c r="C149">
        <f>'Entrada datos'!C149</f>
        <v>0</v>
      </c>
      <c r="D149">
        <f>'Entrada datos'!D149</f>
        <v>0</v>
      </c>
      <c r="E149" s="18">
        <f>'Entrada datos'!G149</f>
        <v>0</v>
      </c>
      <c r="F149" s="18">
        <f>'Entrada datos'!H149</f>
        <v>0</v>
      </c>
      <c r="G149">
        <f>'Entrada datos'!J149</f>
        <v>0</v>
      </c>
      <c r="H149">
        <f>'Entrada datos'!L149</f>
        <v>0</v>
      </c>
      <c r="I149">
        <f>'Entrada datos'!O149</f>
        <v>0</v>
      </c>
      <c r="J149">
        <f>'Entrada datos'!P149</f>
        <v>0</v>
      </c>
      <c r="K149">
        <f>'Entrada datos'!Q149</f>
        <v>0</v>
      </c>
      <c r="L149">
        <f>'Entrada datos'!R149</f>
        <v>0</v>
      </c>
      <c r="M149">
        <f>'Entrada datos'!S149</f>
        <v>0</v>
      </c>
      <c r="N149">
        <f>'Entrada datos'!T149</f>
        <v>0</v>
      </c>
      <c r="O149">
        <f>'Entrada datos'!U149</f>
        <v>0</v>
      </c>
      <c r="P149" s="17">
        <f t="shared" si="38"/>
        <v>0</v>
      </c>
      <c r="Q149">
        <f>'Entrada datos'!V149</f>
        <v>0</v>
      </c>
      <c r="R149">
        <f>'Entrada datos'!W149</f>
        <v>0</v>
      </c>
      <c r="S149">
        <f>'Entrada datos'!X149</f>
        <v>0</v>
      </c>
      <c r="T149">
        <f>'Entrada datos'!Y149</f>
        <v>0</v>
      </c>
      <c r="U149">
        <f>'Entrada datos'!Z149</f>
        <v>0</v>
      </c>
      <c r="V149">
        <f>'Entrada datos'!AA149</f>
        <v>0</v>
      </c>
      <c r="W149" s="17">
        <f t="shared" si="39"/>
        <v>0</v>
      </c>
      <c r="X149">
        <f>'Entrada datos'!AB149</f>
        <v>0</v>
      </c>
      <c r="Y149">
        <f>'Entrada datos'!AC149</f>
        <v>0</v>
      </c>
      <c r="Z149">
        <f>'Entrada datos'!AD149</f>
        <v>0</v>
      </c>
      <c r="AA149">
        <f>'Entrada datos'!AE149</f>
        <v>0</v>
      </c>
      <c r="AB149">
        <f>'Entrada datos'!AF149</f>
        <v>0</v>
      </c>
      <c r="AC149">
        <f>'Entrada datos'!AG149</f>
        <v>0</v>
      </c>
      <c r="AD149" s="17">
        <f t="shared" si="40"/>
        <v>0</v>
      </c>
      <c r="AE149">
        <f>'Entrada datos'!AH149</f>
        <v>0</v>
      </c>
      <c r="AF149">
        <f>'Entrada datos'!AI149</f>
        <v>0</v>
      </c>
      <c r="AG149">
        <f>'Entrada datos'!AJ149</f>
        <v>0</v>
      </c>
      <c r="AH149">
        <f>'Entrada datos'!AK149</f>
        <v>0</v>
      </c>
      <c r="AI149">
        <f>'Entrada datos'!AL149</f>
        <v>0</v>
      </c>
      <c r="AJ149">
        <f>'Entrada datos'!AM149</f>
        <v>0</v>
      </c>
      <c r="AK149" s="17">
        <f t="shared" si="41"/>
        <v>0</v>
      </c>
      <c r="AL149">
        <f>'Entrada datos'!AN149</f>
        <v>0</v>
      </c>
      <c r="AM149">
        <f>'Entrada datos'!AO149</f>
        <v>0</v>
      </c>
      <c r="AN149">
        <f>'Entrada datos'!AP149</f>
        <v>0</v>
      </c>
      <c r="AO149">
        <f>'Entrada datos'!AQ149</f>
        <v>0</v>
      </c>
      <c r="AP149">
        <f>'Entrada datos'!AR149</f>
        <v>0</v>
      </c>
      <c r="AQ149">
        <f>'Entrada datos'!AS149</f>
        <v>0</v>
      </c>
      <c r="AR149" s="17">
        <f t="shared" si="42"/>
        <v>0</v>
      </c>
      <c r="AS149" s="23">
        <f t="shared" si="43"/>
        <v>0</v>
      </c>
      <c r="AT149">
        <f t="shared" si="44"/>
        <v>1900</v>
      </c>
      <c r="AU149" s="41" t="str">
        <f t="shared" si="45"/>
        <v>enero</v>
      </c>
      <c r="AV149">
        <f t="shared" si="46"/>
        <v>0</v>
      </c>
      <c r="AW149">
        <f t="shared" si="47"/>
        <v>0</v>
      </c>
      <c r="AX149" s="24">
        <f t="shared" si="34"/>
        <v>0</v>
      </c>
      <c r="AY149" s="24">
        <f t="shared" si="35"/>
        <v>0</v>
      </c>
      <c r="AZ149" s="24">
        <f t="shared" si="48"/>
        <v>0</v>
      </c>
      <c r="BA149">
        <f t="shared" si="49"/>
        <v>0</v>
      </c>
      <c r="BB149">
        <f t="shared" si="36"/>
        <v>0</v>
      </c>
      <c r="BC149" s="24">
        <f t="shared" si="37"/>
        <v>0</v>
      </c>
      <c r="BD149">
        <f t="shared" si="50"/>
        <v>0</v>
      </c>
    </row>
    <row r="150" spans="1:56" x14ac:dyDescent="0.3">
      <c r="A150">
        <f>'Entrada datos'!A150</f>
        <v>0</v>
      </c>
      <c r="B150">
        <f>'Entrada datos'!B150</f>
        <v>0</v>
      </c>
      <c r="C150">
        <f>'Entrada datos'!C150</f>
        <v>0</v>
      </c>
      <c r="D150">
        <f>'Entrada datos'!D150</f>
        <v>0</v>
      </c>
      <c r="E150" s="18">
        <f>'Entrada datos'!G150</f>
        <v>0</v>
      </c>
      <c r="F150" s="18">
        <f>'Entrada datos'!H150</f>
        <v>0</v>
      </c>
      <c r="G150">
        <f>'Entrada datos'!J150</f>
        <v>0</v>
      </c>
      <c r="H150">
        <f>'Entrada datos'!L150</f>
        <v>0</v>
      </c>
      <c r="I150">
        <f>'Entrada datos'!O150</f>
        <v>0</v>
      </c>
      <c r="J150">
        <f>'Entrada datos'!P150</f>
        <v>0</v>
      </c>
      <c r="K150">
        <f>'Entrada datos'!Q150</f>
        <v>0</v>
      </c>
      <c r="L150">
        <f>'Entrada datos'!R150</f>
        <v>0</v>
      </c>
      <c r="M150">
        <f>'Entrada datos'!S150</f>
        <v>0</v>
      </c>
      <c r="N150">
        <f>'Entrada datos'!T150</f>
        <v>0</v>
      </c>
      <c r="O150">
        <f>'Entrada datos'!U150</f>
        <v>0</v>
      </c>
      <c r="P150" s="17">
        <f t="shared" si="38"/>
        <v>0</v>
      </c>
      <c r="Q150">
        <f>'Entrada datos'!V150</f>
        <v>0</v>
      </c>
      <c r="R150">
        <f>'Entrada datos'!W150</f>
        <v>0</v>
      </c>
      <c r="S150">
        <f>'Entrada datos'!X150</f>
        <v>0</v>
      </c>
      <c r="T150">
        <f>'Entrada datos'!Y150</f>
        <v>0</v>
      </c>
      <c r="U150">
        <f>'Entrada datos'!Z150</f>
        <v>0</v>
      </c>
      <c r="V150">
        <f>'Entrada datos'!AA150</f>
        <v>0</v>
      </c>
      <c r="W150" s="17">
        <f t="shared" si="39"/>
        <v>0</v>
      </c>
      <c r="X150">
        <f>'Entrada datos'!AB150</f>
        <v>0</v>
      </c>
      <c r="Y150">
        <f>'Entrada datos'!AC150</f>
        <v>0</v>
      </c>
      <c r="Z150">
        <f>'Entrada datos'!AD150</f>
        <v>0</v>
      </c>
      <c r="AA150">
        <f>'Entrada datos'!AE150</f>
        <v>0</v>
      </c>
      <c r="AB150">
        <f>'Entrada datos'!AF150</f>
        <v>0</v>
      </c>
      <c r="AC150">
        <f>'Entrada datos'!AG150</f>
        <v>0</v>
      </c>
      <c r="AD150" s="17">
        <f t="shared" si="40"/>
        <v>0</v>
      </c>
      <c r="AE150">
        <f>'Entrada datos'!AH150</f>
        <v>0</v>
      </c>
      <c r="AF150">
        <f>'Entrada datos'!AI150</f>
        <v>0</v>
      </c>
      <c r="AG150">
        <f>'Entrada datos'!AJ150</f>
        <v>0</v>
      </c>
      <c r="AH150">
        <f>'Entrada datos'!AK150</f>
        <v>0</v>
      </c>
      <c r="AI150">
        <f>'Entrada datos'!AL150</f>
        <v>0</v>
      </c>
      <c r="AJ150">
        <f>'Entrada datos'!AM150</f>
        <v>0</v>
      </c>
      <c r="AK150" s="17">
        <f t="shared" si="41"/>
        <v>0</v>
      </c>
      <c r="AL150">
        <f>'Entrada datos'!AN150</f>
        <v>0</v>
      </c>
      <c r="AM150">
        <f>'Entrada datos'!AO150</f>
        <v>0</v>
      </c>
      <c r="AN150">
        <f>'Entrada datos'!AP150</f>
        <v>0</v>
      </c>
      <c r="AO150">
        <f>'Entrada datos'!AQ150</f>
        <v>0</v>
      </c>
      <c r="AP150">
        <f>'Entrada datos'!AR150</f>
        <v>0</v>
      </c>
      <c r="AQ150">
        <f>'Entrada datos'!AS150</f>
        <v>0</v>
      </c>
      <c r="AR150" s="17">
        <f t="shared" si="42"/>
        <v>0</v>
      </c>
      <c r="AS150" s="23">
        <f t="shared" si="43"/>
        <v>0</v>
      </c>
      <c r="AT150">
        <f t="shared" si="44"/>
        <v>1900</v>
      </c>
      <c r="AU150" s="41" t="str">
        <f t="shared" si="45"/>
        <v>enero</v>
      </c>
      <c r="AV150">
        <f t="shared" si="46"/>
        <v>0</v>
      </c>
      <c r="AW150">
        <f t="shared" si="47"/>
        <v>0</v>
      </c>
      <c r="AX150" s="24">
        <f t="shared" si="34"/>
        <v>0</v>
      </c>
      <c r="AY150" s="24">
        <f t="shared" si="35"/>
        <v>0</v>
      </c>
      <c r="AZ150" s="24">
        <f t="shared" si="48"/>
        <v>0</v>
      </c>
      <c r="BA150">
        <f t="shared" si="49"/>
        <v>0</v>
      </c>
      <c r="BB150">
        <f t="shared" si="36"/>
        <v>0</v>
      </c>
      <c r="BC150" s="24">
        <f t="shared" si="37"/>
        <v>0</v>
      </c>
      <c r="BD150">
        <f t="shared" si="50"/>
        <v>0</v>
      </c>
    </row>
    <row r="151" spans="1:56" x14ac:dyDescent="0.3">
      <c r="A151">
        <f>'Entrada datos'!A151</f>
        <v>0</v>
      </c>
      <c r="B151">
        <f>'Entrada datos'!B151</f>
        <v>0</v>
      </c>
      <c r="C151">
        <f>'Entrada datos'!C151</f>
        <v>0</v>
      </c>
      <c r="D151">
        <f>'Entrada datos'!D151</f>
        <v>0</v>
      </c>
      <c r="E151" s="18">
        <f>'Entrada datos'!G151</f>
        <v>0</v>
      </c>
      <c r="F151" s="18">
        <f>'Entrada datos'!H151</f>
        <v>0</v>
      </c>
      <c r="G151">
        <f>'Entrada datos'!J151</f>
        <v>0</v>
      </c>
      <c r="H151">
        <f>'Entrada datos'!L151</f>
        <v>0</v>
      </c>
      <c r="I151">
        <f>'Entrada datos'!O151</f>
        <v>0</v>
      </c>
      <c r="J151">
        <f>'Entrada datos'!P151</f>
        <v>0</v>
      </c>
      <c r="K151">
        <f>'Entrada datos'!Q151</f>
        <v>0</v>
      </c>
      <c r="L151">
        <f>'Entrada datos'!R151</f>
        <v>0</v>
      </c>
      <c r="M151">
        <f>'Entrada datos'!S151</f>
        <v>0</v>
      </c>
      <c r="N151">
        <f>'Entrada datos'!T151</f>
        <v>0</v>
      </c>
      <c r="O151">
        <f>'Entrada datos'!U151</f>
        <v>0</v>
      </c>
      <c r="P151" s="17">
        <f t="shared" si="38"/>
        <v>0</v>
      </c>
      <c r="Q151">
        <f>'Entrada datos'!V151</f>
        <v>0</v>
      </c>
      <c r="R151">
        <f>'Entrada datos'!W151</f>
        <v>0</v>
      </c>
      <c r="S151">
        <f>'Entrada datos'!X151</f>
        <v>0</v>
      </c>
      <c r="T151">
        <f>'Entrada datos'!Y151</f>
        <v>0</v>
      </c>
      <c r="U151">
        <f>'Entrada datos'!Z151</f>
        <v>0</v>
      </c>
      <c r="V151">
        <f>'Entrada datos'!AA151</f>
        <v>0</v>
      </c>
      <c r="W151" s="17">
        <f t="shared" si="39"/>
        <v>0</v>
      </c>
      <c r="X151">
        <f>'Entrada datos'!AB151</f>
        <v>0</v>
      </c>
      <c r="Y151">
        <f>'Entrada datos'!AC151</f>
        <v>0</v>
      </c>
      <c r="Z151">
        <f>'Entrada datos'!AD151</f>
        <v>0</v>
      </c>
      <c r="AA151">
        <f>'Entrada datos'!AE151</f>
        <v>0</v>
      </c>
      <c r="AB151">
        <f>'Entrada datos'!AF151</f>
        <v>0</v>
      </c>
      <c r="AC151">
        <f>'Entrada datos'!AG151</f>
        <v>0</v>
      </c>
      <c r="AD151" s="17">
        <f t="shared" si="40"/>
        <v>0</v>
      </c>
      <c r="AE151">
        <f>'Entrada datos'!AH151</f>
        <v>0</v>
      </c>
      <c r="AF151">
        <f>'Entrada datos'!AI151</f>
        <v>0</v>
      </c>
      <c r="AG151">
        <f>'Entrada datos'!AJ151</f>
        <v>0</v>
      </c>
      <c r="AH151">
        <f>'Entrada datos'!AK151</f>
        <v>0</v>
      </c>
      <c r="AI151">
        <f>'Entrada datos'!AL151</f>
        <v>0</v>
      </c>
      <c r="AJ151">
        <f>'Entrada datos'!AM151</f>
        <v>0</v>
      </c>
      <c r="AK151" s="17">
        <f t="shared" si="41"/>
        <v>0</v>
      </c>
      <c r="AL151">
        <f>'Entrada datos'!AN151</f>
        <v>0</v>
      </c>
      <c r="AM151">
        <f>'Entrada datos'!AO151</f>
        <v>0</v>
      </c>
      <c r="AN151">
        <f>'Entrada datos'!AP151</f>
        <v>0</v>
      </c>
      <c r="AO151">
        <f>'Entrada datos'!AQ151</f>
        <v>0</v>
      </c>
      <c r="AP151">
        <f>'Entrada datos'!AR151</f>
        <v>0</v>
      </c>
      <c r="AQ151">
        <f>'Entrada datos'!AS151</f>
        <v>0</v>
      </c>
      <c r="AR151" s="17">
        <f t="shared" si="42"/>
        <v>0</v>
      </c>
      <c r="AS151" s="23">
        <f t="shared" si="43"/>
        <v>0</v>
      </c>
      <c r="AT151">
        <f t="shared" si="44"/>
        <v>1900</v>
      </c>
      <c r="AU151" s="41" t="str">
        <f t="shared" si="45"/>
        <v>enero</v>
      </c>
      <c r="AV151">
        <f t="shared" si="46"/>
        <v>0</v>
      </c>
      <c r="AW151">
        <f t="shared" si="47"/>
        <v>0</v>
      </c>
      <c r="AX151" s="24">
        <f t="shared" si="34"/>
        <v>0</v>
      </c>
      <c r="AY151" s="24">
        <f t="shared" si="35"/>
        <v>0</v>
      </c>
      <c r="AZ151" s="24">
        <f t="shared" si="48"/>
        <v>0</v>
      </c>
      <c r="BA151">
        <f t="shared" si="49"/>
        <v>0</v>
      </c>
      <c r="BB151">
        <f t="shared" si="36"/>
        <v>0</v>
      </c>
      <c r="BC151" s="24">
        <f t="shared" si="37"/>
        <v>0</v>
      </c>
      <c r="BD151">
        <f t="shared" si="50"/>
        <v>0</v>
      </c>
    </row>
    <row r="152" spans="1:56" x14ac:dyDescent="0.3">
      <c r="A152">
        <f>'Entrada datos'!A152</f>
        <v>0</v>
      </c>
      <c r="B152">
        <f>'Entrada datos'!B152</f>
        <v>0</v>
      </c>
      <c r="C152">
        <f>'Entrada datos'!C152</f>
        <v>0</v>
      </c>
      <c r="D152">
        <f>'Entrada datos'!D152</f>
        <v>0</v>
      </c>
      <c r="E152" s="18">
        <f>'Entrada datos'!G152</f>
        <v>0</v>
      </c>
      <c r="F152" s="18">
        <f>'Entrada datos'!H152</f>
        <v>0</v>
      </c>
      <c r="G152">
        <f>'Entrada datos'!J152</f>
        <v>0</v>
      </c>
      <c r="H152">
        <f>'Entrada datos'!L152</f>
        <v>0</v>
      </c>
      <c r="I152">
        <f>'Entrada datos'!O152</f>
        <v>0</v>
      </c>
      <c r="J152">
        <f>'Entrada datos'!P152</f>
        <v>0</v>
      </c>
      <c r="K152">
        <f>'Entrada datos'!Q152</f>
        <v>0</v>
      </c>
      <c r="L152">
        <f>'Entrada datos'!R152</f>
        <v>0</v>
      </c>
      <c r="M152">
        <f>'Entrada datos'!S152</f>
        <v>0</v>
      </c>
      <c r="N152">
        <f>'Entrada datos'!T152</f>
        <v>0</v>
      </c>
      <c r="O152">
        <f>'Entrada datos'!U152</f>
        <v>0</v>
      </c>
      <c r="P152" s="17">
        <f t="shared" si="38"/>
        <v>0</v>
      </c>
      <c r="Q152">
        <f>'Entrada datos'!V152</f>
        <v>0</v>
      </c>
      <c r="R152">
        <f>'Entrada datos'!W152</f>
        <v>0</v>
      </c>
      <c r="S152">
        <f>'Entrada datos'!X152</f>
        <v>0</v>
      </c>
      <c r="T152">
        <f>'Entrada datos'!Y152</f>
        <v>0</v>
      </c>
      <c r="U152">
        <f>'Entrada datos'!Z152</f>
        <v>0</v>
      </c>
      <c r="V152">
        <f>'Entrada datos'!AA152</f>
        <v>0</v>
      </c>
      <c r="W152" s="17">
        <f t="shared" si="39"/>
        <v>0</v>
      </c>
      <c r="X152">
        <f>'Entrada datos'!AB152</f>
        <v>0</v>
      </c>
      <c r="Y152">
        <f>'Entrada datos'!AC152</f>
        <v>0</v>
      </c>
      <c r="Z152">
        <f>'Entrada datos'!AD152</f>
        <v>0</v>
      </c>
      <c r="AA152">
        <f>'Entrada datos'!AE152</f>
        <v>0</v>
      </c>
      <c r="AB152">
        <f>'Entrada datos'!AF152</f>
        <v>0</v>
      </c>
      <c r="AC152">
        <f>'Entrada datos'!AG152</f>
        <v>0</v>
      </c>
      <c r="AD152" s="17">
        <f t="shared" si="40"/>
        <v>0</v>
      </c>
      <c r="AE152">
        <f>'Entrada datos'!AH152</f>
        <v>0</v>
      </c>
      <c r="AF152">
        <f>'Entrada datos'!AI152</f>
        <v>0</v>
      </c>
      <c r="AG152">
        <f>'Entrada datos'!AJ152</f>
        <v>0</v>
      </c>
      <c r="AH152">
        <f>'Entrada datos'!AK152</f>
        <v>0</v>
      </c>
      <c r="AI152">
        <f>'Entrada datos'!AL152</f>
        <v>0</v>
      </c>
      <c r="AJ152">
        <f>'Entrada datos'!AM152</f>
        <v>0</v>
      </c>
      <c r="AK152" s="17">
        <f t="shared" si="41"/>
        <v>0</v>
      </c>
      <c r="AL152">
        <f>'Entrada datos'!AN152</f>
        <v>0</v>
      </c>
      <c r="AM152">
        <f>'Entrada datos'!AO152</f>
        <v>0</v>
      </c>
      <c r="AN152">
        <f>'Entrada datos'!AP152</f>
        <v>0</v>
      </c>
      <c r="AO152">
        <f>'Entrada datos'!AQ152</f>
        <v>0</v>
      </c>
      <c r="AP152">
        <f>'Entrada datos'!AR152</f>
        <v>0</v>
      </c>
      <c r="AQ152">
        <f>'Entrada datos'!AS152</f>
        <v>0</v>
      </c>
      <c r="AR152" s="17">
        <f t="shared" si="42"/>
        <v>0</v>
      </c>
      <c r="AS152" s="23">
        <f t="shared" si="43"/>
        <v>0</v>
      </c>
      <c r="AT152">
        <f t="shared" si="44"/>
        <v>1900</v>
      </c>
      <c r="AU152" s="41" t="str">
        <f t="shared" si="45"/>
        <v>enero</v>
      </c>
      <c r="AV152">
        <f t="shared" si="46"/>
        <v>0</v>
      </c>
      <c r="AW152">
        <f t="shared" si="47"/>
        <v>0</v>
      </c>
      <c r="AX152" s="24">
        <f t="shared" si="34"/>
        <v>0</v>
      </c>
      <c r="AY152" s="24">
        <f t="shared" si="35"/>
        <v>0</v>
      </c>
      <c r="AZ152" s="24">
        <f t="shared" si="48"/>
        <v>0</v>
      </c>
      <c r="BA152">
        <f t="shared" si="49"/>
        <v>0</v>
      </c>
      <c r="BB152">
        <f t="shared" si="36"/>
        <v>0</v>
      </c>
      <c r="BC152" s="24">
        <f t="shared" si="37"/>
        <v>0</v>
      </c>
      <c r="BD152">
        <f t="shared" si="50"/>
        <v>0</v>
      </c>
    </row>
    <row r="153" spans="1:56" x14ac:dyDescent="0.3">
      <c r="A153">
        <f>'Entrada datos'!A153</f>
        <v>0</v>
      </c>
      <c r="B153">
        <f>'Entrada datos'!B153</f>
        <v>0</v>
      </c>
      <c r="C153">
        <f>'Entrada datos'!C153</f>
        <v>0</v>
      </c>
      <c r="D153">
        <f>'Entrada datos'!D153</f>
        <v>0</v>
      </c>
      <c r="E153" s="18">
        <f>'Entrada datos'!G153</f>
        <v>0</v>
      </c>
      <c r="F153" s="18">
        <f>'Entrada datos'!H153</f>
        <v>0</v>
      </c>
      <c r="G153">
        <f>'Entrada datos'!J153</f>
        <v>0</v>
      </c>
      <c r="H153">
        <f>'Entrada datos'!L153</f>
        <v>0</v>
      </c>
      <c r="I153">
        <f>'Entrada datos'!O153</f>
        <v>0</v>
      </c>
      <c r="J153">
        <f>'Entrada datos'!P153</f>
        <v>0</v>
      </c>
      <c r="K153">
        <f>'Entrada datos'!Q153</f>
        <v>0</v>
      </c>
      <c r="L153">
        <f>'Entrada datos'!R153</f>
        <v>0</v>
      </c>
      <c r="M153">
        <f>'Entrada datos'!S153</f>
        <v>0</v>
      </c>
      <c r="N153">
        <f>'Entrada datos'!T153</f>
        <v>0</v>
      </c>
      <c r="O153">
        <f>'Entrada datos'!U153</f>
        <v>0</v>
      </c>
      <c r="P153" s="17">
        <f t="shared" si="38"/>
        <v>0</v>
      </c>
      <c r="Q153">
        <f>'Entrada datos'!V153</f>
        <v>0</v>
      </c>
      <c r="R153">
        <f>'Entrada datos'!W153</f>
        <v>0</v>
      </c>
      <c r="S153">
        <f>'Entrada datos'!X153</f>
        <v>0</v>
      </c>
      <c r="T153">
        <f>'Entrada datos'!Y153</f>
        <v>0</v>
      </c>
      <c r="U153">
        <f>'Entrada datos'!Z153</f>
        <v>0</v>
      </c>
      <c r="V153">
        <f>'Entrada datos'!AA153</f>
        <v>0</v>
      </c>
      <c r="W153" s="17">
        <f t="shared" si="39"/>
        <v>0</v>
      </c>
      <c r="X153">
        <f>'Entrada datos'!AB153</f>
        <v>0</v>
      </c>
      <c r="Y153">
        <f>'Entrada datos'!AC153</f>
        <v>0</v>
      </c>
      <c r="Z153">
        <f>'Entrada datos'!AD153</f>
        <v>0</v>
      </c>
      <c r="AA153">
        <f>'Entrada datos'!AE153</f>
        <v>0</v>
      </c>
      <c r="AB153">
        <f>'Entrada datos'!AF153</f>
        <v>0</v>
      </c>
      <c r="AC153">
        <f>'Entrada datos'!AG153</f>
        <v>0</v>
      </c>
      <c r="AD153" s="17">
        <f t="shared" si="40"/>
        <v>0</v>
      </c>
      <c r="AE153">
        <f>'Entrada datos'!AH153</f>
        <v>0</v>
      </c>
      <c r="AF153">
        <f>'Entrada datos'!AI153</f>
        <v>0</v>
      </c>
      <c r="AG153">
        <f>'Entrada datos'!AJ153</f>
        <v>0</v>
      </c>
      <c r="AH153">
        <f>'Entrada datos'!AK153</f>
        <v>0</v>
      </c>
      <c r="AI153">
        <f>'Entrada datos'!AL153</f>
        <v>0</v>
      </c>
      <c r="AJ153">
        <f>'Entrada datos'!AM153</f>
        <v>0</v>
      </c>
      <c r="AK153" s="17">
        <f t="shared" si="41"/>
        <v>0</v>
      </c>
      <c r="AL153">
        <f>'Entrada datos'!AN153</f>
        <v>0</v>
      </c>
      <c r="AM153">
        <f>'Entrada datos'!AO153</f>
        <v>0</v>
      </c>
      <c r="AN153">
        <f>'Entrada datos'!AP153</f>
        <v>0</v>
      </c>
      <c r="AO153">
        <f>'Entrada datos'!AQ153</f>
        <v>0</v>
      </c>
      <c r="AP153">
        <f>'Entrada datos'!AR153</f>
        <v>0</v>
      </c>
      <c r="AQ153">
        <f>'Entrada datos'!AS153</f>
        <v>0</v>
      </c>
      <c r="AR153" s="17">
        <f t="shared" si="42"/>
        <v>0</v>
      </c>
      <c r="AS153" s="23">
        <f t="shared" si="43"/>
        <v>0</v>
      </c>
      <c r="AT153">
        <f t="shared" si="44"/>
        <v>1900</v>
      </c>
      <c r="AU153" s="41" t="str">
        <f t="shared" si="45"/>
        <v>enero</v>
      </c>
      <c r="AV153">
        <f t="shared" si="46"/>
        <v>0</v>
      </c>
      <c r="AW153">
        <f t="shared" si="47"/>
        <v>0</v>
      </c>
      <c r="AX153" s="24">
        <f t="shared" si="34"/>
        <v>0</v>
      </c>
      <c r="AY153" s="24">
        <f t="shared" si="35"/>
        <v>0</v>
      </c>
      <c r="AZ153" s="24">
        <f t="shared" si="48"/>
        <v>0</v>
      </c>
      <c r="BA153">
        <f t="shared" si="49"/>
        <v>0</v>
      </c>
      <c r="BB153">
        <f t="shared" si="36"/>
        <v>0</v>
      </c>
      <c r="BC153" s="24">
        <f t="shared" si="37"/>
        <v>0</v>
      </c>
      <c r="BD153">
        <f t="shared" si="50"/>
        <v>0</v>
      </c>
    </row>
    <row r="154" spans="1:56" x14ac:dyDescent="0.3">
      <c r="A154">
        <f>'Entrada datos'!A154</f>
        <v>0</v>
      </c>
      <c r="B154">
        <f>'Entrada datos'!B154</f>
        <v>0</v>
      </c>
      <c r="C154">
        <f>'Entrada datos'!C154</f>
        <v>0</v>
      </c>
      <c r="D154">
        <f>'Entrada datos'!D154</f>
        <v>0</v>
      </c>
      <c r="E154" s="18">
        <f>'Entrada datos'!G154</f>
        <v>0</v>
      </c>
      <c r="F154" s="18">
        <f>'Entrada datos'!H154</f>
        <v>0</v>
      </c>
      <c r="G154">
        <f>'Entrada datos'!J154</f>
        <v>0</v>
      </c>
      <c r="H154">
        <f>'Entrada datos'!L154</f>
        <v>0</v>
      </c>
      <c r="I154">
        <f>'Entrada datos'!O154</f>
        <v>0</v>
      </c>
      <c r="J154">
        <f>'Entrada datos'!P154</f>
        <v>0</v>
      </c>
      <c r="K154">
        <f>'Entrada datos'!Q154</f>
        <v>0</v>
      </c>
      <c r="L154">
        <f>'Entrada datos'!R154</f>
        <v>0</v>
      </c>
      <c r="M154">
        <f>'Entrada datos'!S154</f>
        <v>0</v>
      </c>
      <c r="N154">
        <f>'Entrada datos'!T154</f>
        <v>0</v>
      </c>
      <c r="O154">
        <f>'Entrada datos'!U154</f>
        <v>0</v>
      </c>
      <c r="P154" s="17">
        <f t="shared" si="38"/>
        <v>0</v>
      </c>
      <c r="Q154">
        <f>'Entrada datos'!V154</f>
        <v>0</v>
      </c>
      <c r="R154">
        <f>'Entrada datos'!W154</f>
        <v>0</v>
      </c>
      <c r="S154">
        <f>'Entrada datos'!X154</f>
        <v>0</v>
      </c>
      <c r="T154">
        <f>'Entrada datos'!Y154</f>
        <v>0</v>
      </c>
      <c r="U154">
        <f>'Entrada datos'!Z154</f>
        <v>0</v>
      </c>
      <c r="V154">
        <f>'Entrada datos'!AA154</f>
        <v>0</v>
      </c>
      <c r="W154" s="17">
        <f t="shared" si="39"/>
        <v>0</v>
      </c>
      <c r="X154">
        <f>'Entrada datos'!AB154</f>
        <v>0</v>
      </c>
      <c r="Y154">
        <f>'Entrada datos'!AC154</f>
        <v>0</v>
      </c>
      <c r="Z154">
        <f>'Entrada datos'!AD154</f>
        <v>0</v>
      </c>
      <c r="AA154">
        <f>'Entrada datos'!AE154</f>
        <v>0</v>
      </c>
      <c r="AB154">
        <f>'Entrada datos'!AF154</f>
        <v>0</v>
      </c>
      <c r="AC154">
        <f>'Entrada datos'!AG154</f>
        <v>0</v>
      </c>
      <c r="AD154" s="17">
        <f t="shared" si="40"/>
        <v>0</v>
      </c>
      <c r="AE154">
        <f>'Entrada datos'!AH154</f>
        <v>0</v>
      </c>
      <c r="AF154">
        <f>'Entrada datos'!AI154</f>
        <v>0</v>
      </c>
      <c r="AG154">
        <f>'Entrada datos'!AJ154</f>
        <v>0</v>
      </c>
      <c r="AH154">
        <f>'Entrada datos'!AK154</f>
        <v>0</v>
      </c>
      <c r="AI154">
        <f>'Entrada datos'!AL154</f>
        <v>0</v>
      </c>
      <c r="AJ154">
        <f>'Entrada datos'!AM154</f>
        <v>0</v>
      </c>
      <c r="AK154" s="17">
        <f t="shared" si="41"/>
        <v>0</v>
      </c>
      <c r="AL154">
        <f>'Entrada datos'!AN154</f>
        <v>0</v>
      </c>
      <c r="AM154">
        <f>'Entrada datos'!AO154</f>
        <v>0</v>
      </c>
      <c r="AN154">
        <f>'Entrada datos'!AP154</f>
        <v>0</v>
      </c>
      <c r="AO154">
        <f>'Entrada datos'!AQ154</f>
        <v>0</v>
      </c>
      <c r="AP154">
        <f>'Entrada datos'!AR154</f>
        <v>0</v>
      </c>
      <c r="AQ154">
        <f>'Entrada datos'!AS154</f>
        <v>0</v>
      </c>
      <c r="AR154" s="17">
        <f t="shared" si="42"/>
        <v>0</v>
      </c>
      <c r="AS154" s="23">
        <f t="shared" si="43"/>
        <v>0</v>
      </c>
      <c r="AT154">
        <f t="shared" si="44"/>
        <v>1900</v>
      </c>
      <c r="AU154" s="41" t="str">
        <f t="shared" si="45"/>
        <v>enero</v>
      </c>
      <c r="AV154">
        <f t="shared" si="46"/>
        <v>0</v>
      </c>
      <c r="AW154">
        <f t="shared" si="47"/>
        <v>0</v>
      </c>
      <c r="AX154" s="24">
        <f t="shared" si="34"/>
        <v>0</v>
      </c>
      <c r="AY154" s="24">
        <f t="shared" si="35"/>
        <v>0</v>
      </c>
      <c r="AZ154" s="24">
        <f t="shared" si="48"/>
        <v>0</v>
      </c>
      <c r="BA154">
        <f t="shared" si="49"/>
        <v>0</v>
      </c>
      <c r="BB154">
        <f t="shared" si="36"/>
        <v>0</v>
      </c>
      <c r="BC154" s="24">
        <f t="shared" si="37"/>
        <v>0</v>
      </c>
      <c r="BD154">
        <f t="shared" si="50"/>
        <v>0</v>
      </c>
    </row>
    <row r="155" spans="1:56" x14ac:dyDescent="0.3">
      <c r="A155">
        <f>'Entrada datos'!A155</f>
        <v>0</v>
      </c>
      <c r="B155">
        <f>'Entrada datos'!B155</f>
        <v>0</v>
      </c>
      <c r="C155">
        <f>'Entrada datos'!C155</f>
        <v>0</v>
      </c>
      <c r="D155">
        <f>'Entrada datos'!D155</f>
        <v>0</v>
      </c>
      <c r="E155" s="18">
        <f>'Entrada datos'!G155</f>
        <v>0</v>
      </c>
      <c r="F155" s="18">
        <f>'Entrada datos'!H155</f>
        <v>0</v>
      </c>
      <c r="G155">
        <f>'Entrada datos'!J155</f>
        <v>0</v>
      </c>
      <c r="H155">
        <f>'Entrada datos'!L155</f>
        <v>0</v>
      </c>
      <c r="I155">
        <f>'Entrada datos'!O155</f>
        <v>0</v>
      </c>
      <c r="J155">
        <f>'Entrada datos'!P155</f>
        <v>0</v>
      </c>
      <c r="K155">
        <f>'Entrada datos'!Q155</f>
        <v>0</v>
      </c>
      <c r="L155">
        <f>'Entrada datos'!R155</f>
        <v>0</v>
      </c>
      <c r="M155">
        <f>'Entrada datos'!S155</f>
        <v>0</v>
      </c>
      <c r="N155">
        <f>'Entrada datos'!T155</f>
        <v>0</v>
      </c>
      <c r="O155">
        <f>'Entrada datos'!U155</f>
        <v>0</v>
      </c>
      <c r="P155" s="17">
        <f t="shared" si="38"/>
        <v>0</v>
      </c>
      <c r="Q155">
        <f>'Entrada datos'!V155</f>
        <v>0</v>
      </c>
      <c r="R155">
        <f>'Entrada datos'!W155</f>
        <v>0</v>
      </c>
      <c r="S155">
        <f>'Entrada datos'!X155</f>
        <v>0</v>
      </c>
      <c r="T155">
        <f>'Entrada datos'!Y155</f>
        <v>0</v>
      </c>
      <c r="U155">
        <f>'Entrada datos'!Z155</f>
        <v>0</v>
      </c>
      <c r="V155">
        <f>'Entrada datos'!AA155</f>
        <v>0</v>
      </c>
      <c r="W155" s="17">
        <f t="shared" si="39"/>
        <v>0</v>
      </c>
      <c r="X155">
        <f>'Entrada datos'!AB155</f>
        <v>0</v>
      </c>
      <c r="Y155">
        <f>'Entrada datos'!AC155</f>
        <v>0</v>
      </c>
      <c r="Z155">
        <f>'Entrada datos'!AD155</f>
        <v>0</v>
      </c>
      <c r="AA155">
        <f>'Entrada datos'!AE155</f>
        <v>0</v>
      </c>
      <c r="AB155">
        <f>'Entrada datos'!AF155</f>
        <v>0</v>
      </c>
      <c r="AC155">
        <f>'Entrada datos'!AG155</f>
        <v>0</v>
      </c>
      <c r="AD155" s="17">
        <f t="shared" si="40"/>
        <v>0</v>
      </c>
      <c r="AE155">
        <f>'Entrada datos'!AH155</f>
        <v>0</v>
      </c>
      <c r="AF155">
        <f>'Entrada datos'!AI155</f>
        <v>0</v>
      </c>
      <c r="AG155">
        <f>'Entrada datos'!AJ155</f>
        <v>0</v>
      </c>
      <c r="AH155">
        <f>'Entrada datos'!AK155</f>
        <v>0</v>
      </c>
      <c r="AI155">
        <f>'Entrada datos'!AL155</f>
        <v>0</v>
      </c>
      <c r="AJ155">
        <f>'Entrada datos'!AM155</f>
        <v>0</v>
      </c>
      <c r="AK155" s="17">
        <f t="shared" si="41"/>
        <v>0</v>
      </c>
      <c r="AL155">
        <f>'Entrada datos'!AN155</f>
        <v>0</v>
      </c>
      <c r="AM155">
        <f>'Entrada datos'!AO155</f>
        <v>0</v>
      </c>
      <c r="AN155">
        <f>'Entrada datos'!AP155</f>
        <v>0</v>
      </c>
      <c r="AO155">
        <f>'Entrada datos'!AQ155</f>
        <v>0</v>
      </c>
      <c r="AP155">
        <f>'Entrada datos'!AR155</f>
        <v>0</v>
      </c>
      <c r="AQ155">
        <f>'Entrada datos'!AS155</f>
        <v>0</v>
      </c>
      <c r="AR155" s="17">
        <f t="shared" si="42"/>
        <v>0</v>
      </c>
      <c r="AS155" s="23">
        <f t="shared" si="43"/>
        <v>0</v>
      </c>
      <c r="AT155">
        <f t="shared" si="44"/>
        <v>1900</v>
      </c>
      <c r="AU155" s="41" t="str">
        <f t="shared" si="45"/>
        <v>enero</v>
      </c>
      <c r="AV155">
        <f t="shared" si="46"/>
        <v>0</v>
      </c>
      <c r="AW155">
        <f t="shared" si="47"/>
        <v>0</v>
      </c>
      <c r="AX155" s="24">
        <f t="shared" si="34"/>
        <v>0</v>
      </c>
      <c r="AY155" s="24">
        <f t="shared" si="35"/>
        <v>0</v>
      </c>
      <c r="AZ155" s="24">
        <f t="shared" si="48"/>
        <v>0</v>
      </c>
      <c r="BA155">
        <f t="shared" si="49"/>
        <v>0</v>
      </c>
      <c r="BB155">
        <f t="shared" si="36"/>
        <v>0</v>
      </c>
      <c r="BC155" s="24">
        <f t="shared" si="37"/>
        <v>0</v>
      </c>
      <c r="BD155">
        <f t="shared" si="50"/>
        <v>0</v>
      </c>
    </row>
    <row r="156" spans="1:56" x14ac:dyDescent="0.3">
      <c r="A156">
        <f>'Entrada datos'!A156</f>
        <v>0</v>
      </c>
      <c r="B156">
        <f>'Entrada datos'!B156</f>
        <v>0</v>
      </c>
      <c r="C156">
        <f>'Entrada datos'!C156</f>
        <v>0</v>
      </c>
      <c r="D156">
        <f>'Entrada datos'!D156</f>
        <v>0</v>
      </c>
      <c r="E156" s="18">
        <f>'Entrada datos'!G156</f>
        <v>0</v>
      </c>
      <c r="F156" s="18">
        <f>'Entrada datos'!H156</f>
        <v>0</v>
      </c>
      <c r="G156">
        <f>'Entrada datos'!J156</f>
        <v>0</v>
      </c>
      <c r="H156">
        <f>'Entrada datos'!L156</f>
        <v>0</v>
      </c>
      <c r="I156">
        <f>'Entrada datos'!O156</f>
        <v>0</v>
      </c>
      <c r="J156">
        <f>'Entrada datos'!P156</f>
        <v>0</v>
      </c>
      <c r="K156">
        <f>'Entrada datos'!Q156</f>
        <v>0</v>
      </c>
      <c r="L156">
        <f>'Entrada datos'!R156</f>
        <v>0</v>
      </c>
      <c r="M156">
        <f>'Entrada datos'!S156</f>
        <v>0</v>
      </c>
      <c r="N156">
        <f>'Entrada datos'!T156</f>
        <v>0</v>
      </c>
      <c r="O156">
        <f>'Entrada datos'!U156</f>
        <v>0</v>
      </c>
      <c r="P156" s="17">
        <f t="shared" si="38"/>
        <v>0</v>
      </c>
      <c r="Q156">
        <f>'Entrada datos'!V156</f>
        <v>0</v>
      </c>
      <c r="R156">
        <f>'Entrada datos'!W156</f>
        <v>0</v>
      </c>
      <c r="S156">
        <f>'Entrada datos'!X156</f>
        <v>0</v>
      </c>
      <c r="T156">
        <f>'Entrada datos'!Y156</f>
        <v>0</v>
      </c>
      <c r="U156">
        <f>'Entrada datos'!Z156</f>
        <v>0</v>
      </c>
      <c r="V156">
        <f>'Entrada datos'!AA156</f>
        <v>0</v>
      </c>
      <c r="W156" s="17">
        <f t="shared" si="39"/>
        <v>0</v>
      </c>
      <c r="X156">
        <f>'Entrada datos'!AB156</f>
        <v>0</v>
      </c>
      <c r="Y156">
        <f>'Entrada datos'!AC156</f>
        <v>0</v>
      </c>
      <c r="Z156">
        <f>'Entrada datos'!AD156</f>
        <v>0</v>
      </c>
      <c r="AA156">
        <f>'Entrada datos'!AE156</f>
        <v>0</v>
      </c>
      <c r="AB156">
        <f>'Entrada datos'!AF156</f>
        <v>0</v>
      </c>
      <c r="AC156">
        <f>'Entrada datos'!AG156</f>
        <v>0</v>
      </c>
      <c r="AD156" s="17">
        <f t="shared" si="40"/>
        <v>0</v>
      </c>
      <c r="AE156">
        <f>'Entrada datos'!AH156</f>
        <v>0</v>
      </c>
      <c r="AF156">
        <f>'Entrada datos'!AI156</f>
        <v>0</v>
      </c>
      <c r="AG156">
        <f>'Entrada datos'!AJ156</f>
        <v>0</v>
      </c>
      <c r="AH156">
        <f>'Entrada datos'!AK156</f>
        <v>0</v>
      </c>
      <c r="AI156">
        <f>'Entrada datos'!AL156</f>
        <v>0</v>
      </c>
      <c r="AJ156">
        <f>'Entrada datos'!AM156</f>
        <v>0</v>
      </c>
      <c r="AK156" s="17">
        <f t="shared" si="41"/>
        <v>0</v>
      </c>
      <c r="AL156">
        <f>'Entrada datos'!AN156</f>
        <v>0</v>
      </c>
      <c r="AM156">
        <f>'Entrada datos'!AO156</f>
        <v>0</v>
      </c>
      <c r="AN156">
        <f>'Entrada datos'!AP156</f>
        <v>0</v>
      </c>
      <c r="AO156">
        <f>'Entrada datos'!AQ156</f>
        <v>0</v>
      </c>
      <c r="AP156">
        <f>'Entrada datos'!AR156</f>
        <v>0</v>
      </c>
      <c r="AQ156">
        <f>'Entrada datos'!AS156</f>
        <v>0</v>
      </c>
      <c r="AR156" s="17">
        <f t="shared" si="42"/>
        <v>0</v>
      </c>
      <c r="AS156" s="23">
        <f t="shared" si="43"/>
        <v>0</v>
      </c>
      <c r="AT156">
        <f t="shared" si="44"/>
        <v>1900</v>
      </c>
      <c r="AU156" s="41" t="str">
        <f t="shared" si="45"/>
        <v>enero</v>
      </c>
      <c r="AV156">
        <f t="shared" si="46"/>
        <v>0</v>
      </c>
      <c r="AW156">
        <f t="shared" si="47"/>
        <v>0</v>
      </c>
      <c r="AX156" s="24">
        <f t="shared" si="34"/>
        <v>0</v>
      </c>
      <c r="AY156" s="24">
        <f t="shared" si="35"/>
        <v>0</v>
      </c>
      <c r="AZ156" s="24">
        <f t="shared" si="48"/>
        <v>0</v>
      </c>
      <c r="BA156">
        <f t="shared" si="49"/>
        <v>0</v>
      </c>
      <c r="BB156">
        <f t="shared" si="36"/>
        <v>0</v>
      </c>
      <c r="BC156" s="24">
        <f t="shared" si="37"/>
        <v>0</v>
      </c>
      <c r="BD156">
        <f t="shared" si="50"/>
        <v>0</v>
      </c>
    </row>
    <row r="157" spans="1:56" x14ac:dyDescent="0.3">
      <c r="A157">
        <f>'Entrada datos'!A157</f>
        <v>0</v>
      </c>
      <c r="B157">
        <f>'Entrada datos'!B157</f>
        <v>0</v>
      </c>
      <c r="C157">
        <f>'Entrada datos'!C157</f>
        <v>0</v>
      </c>
      <c r="D157">
        <f>'Entrada datos'!D157</f>
        <v>0</v>
      </c>
      <c r="E157" s="18">
        <f>'Entrada datos'!G157</f>
        <v>0</v>
      </c>
      <c r="F157" s="18">
        <f>'Entrada datos'!H157</f>
        <v>0</v>
      </c>
      <c r="G157">
        <f>'Entrada datos'!J157</f>
        <v>0</v>
      </c>
      <c r="H157">
        <f>'Entrada datos'!L157</f>
        <v>0</v>
      </c>
      <c r="I157">
        <f>'Entrada datos'!O157</f>
        <v>0</v>
      </c>
      <c r="J157">
        <f>'Entrada datos'!P157</f>
        <v>0</v>
      </c>
      <c r="K157">
        <f>'Entrada datos'!Q157</f>
        <v>0</v>
      </c>
      <c r="L157">
        <f>'Entrada datos'!R157</f>
        <v>0</v>
      </c>
      <c r="M157">
        <f>'Entrada datos'!S157</f>
        <v>0</v>
      </c>
      <c r="N157">
        <f>'Entrada datos'!T157</f>
        <v>0</v>
      </c>
      <c r="O157">
        <f>'Entrada datos'!U157</f>
        <v>0</v>
      </c>
      <c r="P157" s="17">
        <f t="shared" si="38"/>
        <v>0</v>
      </c>
      <c r="Q157">
        <f>'Entrada datos'!V157</f>
        <v>0</v>
      </c>
      <c r="R157">
        <f>'Entrada datos'!W157</f>
        <v>0</v>
      </c>
      <c r="S157">
        <f>'Entrada datos'!X157</f>
        <v>0</v>
      </c>
      <c r="T157">
        <f>'Entrada datos'!Y157</f>
        <v>0</v>
      </c>
      <c r="U157">
        <f>'Entrada datos'!Z157</f>
        <v>0</v>
      </c>
      <c r="V157">
        <f>'Entrada datos'!AA157</f>
        <v>0</v>
      </c>
      <c r="W157" s="17">
        <f t="shared" si="39"/>
        <v>0</v>
      </c>
      <c r="X157">
        <f>'Entrada datos'!AB157</f>
        <v>0</v>
      </c>
      <c r="Y157">
        <f>'Entrada datos'!AC157</f>
        <v>0</v>
      </c>
      <c r="Z157">
        <f>'Entrada datos'!AD157</f>
        <v>0</v>
      </c>
      <c r="AA157">
        <f>'Entrada datos'!AE157</f>
        <v>0</v>
      </c>
      <c r="AB157">
        <f>'Entrada datos'!AF157</f>
        <v>0</v>
      </c>
      <c r="AC157">
        <f>'Entrada datos'!AG157</f>
        <v>0</v>
      </c>
      <c r="AD157" s="17">
        <f t="shared" si="40"/>
        <v>0</v>
      </c>
      <c r="AE157">
        <f>'Entrada datos'!AH157</f>
        <v>0</v>
      </c>
      <c r="AF157">
        <f>'Entrada datos'!AI157</f>
        <v>0</v>
      </c>
      <c r="AG157">
        <f>'Entrada datos'!AJ157</f>
        <v>0</v>
      </c>
      <c r="AH157">
        <f>'Entrada datos'!AK157</f>
        <v>0</v>
      </c>
      <c r="AI157">
        <f>'Entrada datos'!AL157</f>
        <v>0</v>
      </c>
      <c r="AJ157">
        <f>'Entrada datos'!AM157</f>
        <v>0</v>
      </c>
      <c r="AK157" s="17">
        <f t="shared" si="41"/>
        <v>0</v>
      </c>
      <c r="AL157">
        <f>'Entrada datos'!AN157</f>
        <v>0</v>
      </c>
      <c r="AM157">
        <f>'Entrada datos'!AO157</f>
        <v>0</v>
      </c>
      <c r="AN157">
        <f>'Entrada datos'!AP157</f>
        <v>0</v>
      </c>
      <c r="AO157">
        <f>'Entrada datos'!AQ157</f>
        <v>0</v>
      </c>
      <c r="AP157">
        <f>'Entrada datos'!AR157</f>
        <v>0</v>
      </c>
      <c r="AQ157">
        <f>'Entrada datos'!AS157</f>
        <v>0</v>
      </c>
      <c r="AR157" s="17">
        <f t="shared" si="42"/>
        <v>0</v>
      </c>
      <c r="AS157" s="23">
        <f t="shared" si="43"/>
        <v>0</v>
      </c>
      <c r="AT157">
        <f t="shared" si="44"/>
        <v>1900</v>
      </c>
      <c r="AU157" s="41" t="str">
        <f t="shared" si="45"/>
        <v>enero</v>
      </c>
      <c r="AV157">
        <f t="shared" si="46"/>
        <v>0</v>
      </c>
      <c r="AW157">
        <f t="shared" si="47"/>
        <v>0</v>
      </c>
      <c r="AX157" s="24">
        <f t="shared" si="34"/>
        <v>0</v>
      </c>
      <c r="AY157" s="24">
        <f t="shared" si="35"/>
        <v>0</v>
      </c>
      <c r="AZ157" s="24">
        <f t="shared" si="48"/>
        <v>0</v>
      </c>
      <c r="BA157">
        <f t="shared" si="49"/>
        <v>0</v>
      </c>
      <c r="BB157">
        <f t="shared" si="36"/>
        <v>0</v>
      </c>
      <c r="BC157" s="24">
        <f t="shared" si="37"/>
        <v>0</v>
      </c>
      <c r="BD157">
        <f t="shared" si="50"/>
        <v>0</v>
      </c>
    </row>
    <row r="158" spans="1:56" x14ac:dyDescent="0.3">
      <c r="A158">
        <f>'Entrada datos'!A158</f>
        <v>0</v>
      </c>
      <c r="B158">
        <f>'Entrada datos'!B158</f>
        <v>0</v>
      </c>
      <c r="C158">
        <f>'Entrada datos'!C158</f>
        <v>0</v>
      </c>
      <c r="D158">
        <f>'Entrada datos'!D158</f>
        <v>0</v>
      </c>
      <c r="E158" s="18">
        <f>'Entrada datos'!G158</f>
        <v>0</v>
      </c>
      <c r="F158" s="18">
        <f>'Entrada datos'!H158</f>
        <v>0</v>
      </c>
      <c r="G158">
        <f>'Entrada datos'!J158</f>
        <v>0</v>
      </c>
      <c r="H158">
        <f>'Entrada datos'!L158</f>
        <v>0</v>
      </c>
      <c r="I158">
        <f>'Entrada datos'!O158</f>
        <v>0</v>
      </c>
      <c r="J158">
        <f>'Entrada datos'!P158</f>
        <v>0</v>
      </c>
      <c r="K158">
        <f>'Entrada datos'!Q158</f>
        <v>0</v>
      </c>
      <c r="L158">
        <f>'Entrada datos'!R158</f>
        <v>0</v>
      </c>
      <c r="M158">
        <f>'Entrada datos'!S158</f>
        <v>0</v>
      </c>
      <c r="N158">
        <f>'Entrada datos'!T158</f>
        <v>0</v>
      </c>
      <c r="O158">
        <f>'Entrada datos'!U158</f>
        <v>0</v>
      </c>
      <c r="P158" s="17">
        <f t="shared" si="38"/>
        <v>0</v>
      </c>
      <c r="Q158">
        <f>'Entrada datos'!V158</f>
        <v>0</v>
      </c>
      <c r="R158">
        <f>'Entrada datos'!W158</f>
        <v>0</v>
      </c>
      <c r="S158">
        <f>'Entrada datos'!X158</f>
        <v>0</v>
      </c>
      <c r="T158">
        <f>'Entrada datos'!Y158</f>
        <v>0</v>
      </c>
      <c r="U158">
        <f>'Entrada datos'!Z158</f>
        <v>0</v>
      </c>
      <c r="V158">
        <f>'Entrada datos'!AA158</f>
        <v>0</v>
      </c>
      <c r="W158" s="17">
        <f t="shared" si="39"/>
        <v>0</v>
      </c>
      <c r="X158">
        <f>'Entrada datos'!AB158</f>
        <v>0</v>
      </c>
      <c r="Y158">
        <f>'Entrada datos'!AC158</f>
        <v>0</v>
      </c>
      <c r="Z158">
        <f>'Entrada datos'!AD158</f>
        <v>0</v>
      </c>
      <c r="AA158">
        <f>'Entrada datos'!AE158</f>
        <v>0</v>
      </c>
      <c r="AB158">
        <f>'Entrada datos'!AF158</f>
        <v>0</v>
      </c>
      <c r="AC158">
        <f>'Entrada datos'!AG158</f>
        <v>0</v>
      </c>
      <c r="AD158" s="17">
        <f t="shared" si="40"/>
        <v>0</v>
      </c>
      <c r="AE158">
        <f>'Entrada datos'!AH158</f>
        <v>0</v>
      </c>
      <c r="AF158">
        <f>'Entrada datos'!AI158</f>
        <v>0</v>
      </c>
      <c r="AG158">
        <f>'Entrada datos'!AJ158</f>
        <v>0</v>
      </c>
      <c r="AH158">
        <f>'Entrada datos'!AK158</f>
        <v>0</v>
      </c>
      <c r="AI158">
        <f>'Entrada datos'!AL158</f>
        <v>0</v>
      </c>
      <c r="AJ158">
        <f>'Entrada datos'!AM158</f>
        <v>0</v>
      </c>
      <c r="AK158" s="17">
        <f t="shared" si="41"/>
        <v>0</v>
      </c>
      <c r="AL158">
        <f>'Entrada datos'!AN158</f>
        <v>0</v>
      </c>
      <c r="AM158">
        <f>'Entrada datos'!AO158</f>
        <v>0</v>
      </c>
      <c r="AN158">
        <f>'Entrada datos'!AP158</f>
        <v>0</v>
      </c>
      <c r="AO158">
        <f>'Entrada datos'!AQ158</f>
        <v>0</v>
      </c>
      <c r="AP158">
        <f>'Entrada datos'!AR158</f>
        <v>0</v>
      </c>
      <c r="AQ158">
        <f>'Entrada datos'!AS158</f>
        <v>0</v>
      </c>
      <c r="AR158" s="17">
        <f t="shared" si="42"/>
        <v>0</v>
      </c>
      <c r="AS158" s="23">
        <f t="shared" si="43"/>
        <v>0</v>
      </c>
      <c r="AT158">
        <f t="shared" si="44"/>
        <v>1900</v>
      </c>
      <c r="AU158" s="41" t="str">
        <f t="shared" si="45"/>
        <v>enero</v>
      </c>
      <c r="AV158">
        <f t="shared" si="46"/>
        <v>0</v>
      </c>
      <c r="AW158">
        <f t="shared" si="47"/>
        <v>0</v>
      </c>
      <c r="AX158" s="24">
        <f t="shared" si="34"/>
        <v>0</v>
      </c>
      <c r="AY158" s="24">
        <f t="shared" si="35"/>
        <v>0</v>
      </c>
      <c r="AZ158" s="24">
        <f t="shared" si="48"/>
        <v>0</v>
      </c>
      <c r="BA158">
        <f t="shared" si="49"/>
        <v>0</v>
      </c>
      <c r="BB158">
        <f t="shared" si="36"/>
        <v>0</v>
      </c>
      <c r="BC158" s="24">
        <f t="shared" si="37"/>
        <v>0</v>
      </c>
      <c r="BD158">
        <f t="shared" si="50"/>
        <v>0</v>
      </c>
    </row>
    <row r="159" spans="1:56" x14ac:dyDescent="0.3">
      <c r="A159">
        <f>'Entrada datos'!A159</f>
        <v>0</v>
      </c>
      <c r="B159">
        <f>'Entrada datos'!B159</f>
        <v>0</v>
      </c>
      <c r="C159">
        <f>'Entrada datos'!C159</f>
        <v>0</v>
      </c>
      <c r="D159">
        <f>'Entrada datos'!D159</f>
        <v>0</v>
      </c>
      <c r="E159" s="18">
        <f>'Entrada datos'!G159</f>
        <v>0</v>
      </c>
      <c r="F159" s="18">
        <f>'Entrada datos'!H159</f>
        <v>0</v>
      </c>
      <c r="G159">
        <f>'Entrada datos'!J159</f>
        <v>0</v>
      </c>
      <c r="H159">
        <f>'Entrada datos'!L159</f>
        <v>0</v>
      </c>
      <c r="I159">
        <f>'Entrada datos'!O159</f>
        <v>0</v>
      </c>
      <c r="J159">
        <f>'Entrada datos'!P159</f>
        <v>0</v>
      </c>
      <c r="K159">
        <f>'Entrada datos'!Q159</f>
        <v>0</v>
      </c>
      <c r="L159">
        <f>'Entrada datos'!R159</f>
        <v>0</v>
      </c>
      <c r="M159">
        <f>'Entrada datos'!S159</f>
        <v>0</v>
      </c>
      <c r="N159">
        <f>'Entrada datos'!T159</f>
        <v>0</v>
      </c>
      <c r="O159">
        <f>'Entrada datos'!U159</f>
        <v>0</v>
      </c>
      <c r="P159" s="17">
        <f t="shared" si="38"/>
        <v>0</v>
      </c>
      <c r="Q159">
        <f>'Entrada datos'!V159</f>
        <v>0</v>
      </c>
      <c r="R159">
        <f>'Entrada datos'!W159</f>
        <v>0</v>
      </c>
      <c r="S159">
        <f>'Entrada datos'!X159</f>
        <v>0</v>
      </c>
      <c r="T159">
        <f>'Entrada datos'!Y159</f>
        <v>0</v>
      </c>
      <c r="U159">
        <f>'Entrada datos'!Z159</f>
        <v>0</v>
      </c>
      <c r="V159">
        <f>'Entrada datos'!AA159</f>
        <v>0</v>
      </c>
      <c r="W159" s="17">
        <f t="shared" si="39"/>
        <v>0</v>
      </c>
      <c r="X159">
        <f>'Entrada datos'!AB159</f>
        <v>0</v>
      </c>
      <c r="Y159">
        <f>'Entrada datos'!AC159</f>
        <v>0</v>
      </c>
      <c r="Z159">
        <f>'Entrada datos'!AD159</f>
        <v>0</v>
      </c>
      <c r="AA159">
        <f>'Entrada datos'!AE159</f>
        <v>0</v>
      </c>
      <c r="AB159">
        <f>'Entrada datos'!AF159</f>
        <v>0</v>
      </c>
      <c r="AC159">
        <f>'Entrada datos'!AG159</f>
        <v>0</v>
      </c>
      <c r="AD159" s="17">
        <f t="shared" si="40"/>
        <v>0</v>
      </c>
      <c r="AE159">
        <f>'Entrada datos'!AH159</f>
        <v>0</v>
      </c>
      <c r="AF159">
        <f>'Entrada datos'!AI159</f>
        <v>0</v>
      </c>
      <c r="AG159">
        <f>'Entrada datos'!AJ159</f>
        <v>0</v>
      </c>
      <c r="AH159">
        <f>'Entrada datos'!AK159</f>
        <v>0</v>
      </c>
      <c r="AI159">
        <f>'Entrada datos'!AL159</f>
        <v>0</v>
      </c>
      <c r="AJ159">
        <f>'Entrada datos'!AM159</f>
        <v>0</v>
      </c>
      <c r="AK159" s="17">
        <f t="shared" si="41"/>
        <v>0</v>
      </c>
      <c r="AL159">
        <f>'Entrada datos'!AN159</f>
        <v>0</v>
      </c>
      <c r="AM159">
        <f>'Entrada datos'!AO159</f>
        <v>0</v>
      </c>
      <c r="AN159">
        <f>'Entrada datos'!AP159</f>
        <v>0</v>
      </c>
      <c r="AO159">
        <f>'Entrada datos'!AQ159</f>
        <v>0</v>
      </c>
      <c r="AP159">
        <f>'Entrada datos'!AR159</f>
        <v>0</v>
      </c>
      <c r="AQ159">
        <f>'Entrada datos'!AS159</f>
        <v>0</v>
      </c>
      <c r="AR159" s="17">
        <f t="shared" si="42"/>
        <v>0</v>
      </c>
      <c r="AS159" s="23">
        <f t="shared" si="43"/>
        <v>0</v>
      </c>
      <c r="AT159">
        <f t="shared" si="44"/>
        <v>1900</v>
      </c>
      <c r="AU159" s="41" t="str">
        <f t="shared" si="45"/>
        <v>enero</v>
      </c>
      <c r="AV159">
        <f t="shared" si="46"/>
        <v>0</v>
      </c>
      <c r="AW159">
        <f t="shared" si="47"/>
        <v>0</v>
      </c>
      <c r="AX159" s="24">
        <f t="shared" si="34"/>
        <v>0</v>
      </c>
      <c r="AY159" s="24">
        <f t="shared" si="35"/>
        <v>0</v>
      </c>
      <c r="AZ159" s="24">
        <f t="shared" si="48"/>
        <v>0</v>
      </c>
      <c r="BA159">
        <f t="shared" si="49"/>
        <v>0</v>
      </c>
      <c r="BB159">
        <f t="shared" si="36"/>
        <v>0</v>
      </c>
      <c r="BC159" s="24">
        <f t="shared" si="37"/>
        <v>0</v>
      </c>
      <c r="BD159">
        <f t="shared" si="50"/>
        <v>0</v>
      </c>
    </row>
    <row r="160" spans="1:56" x14ac:dyDescent="0.3">
      <c r="A160">
        <f>'Entrada datos'!A160</f>
        <v>0</v>
      </c>
      <c r="B160">
        <f>'Entrada datos'!B160</f>
        <v>0</v>
      </c>
      <c r="C160">
        <f>'Entrada datos'!C160</f>
        <v>0</v>
      </c>
      <c r="D160">
        <f>'Entrada datos'!D160</f>
        <v>0</v>
      </c>
      <c r="E160" s="18">
        <f>'Entrada datos'!G160</f>
        <v>0</v>
      </c>
      <c r="F160" s="18">
        <f>'Entrada datos'!H160</f>
        <v>0</v>
      </c>
      <c r="G160">
        <f>'Entrada datos'!J160</f>
        <v>0</v>
      </c>
      <c r="H160">
        <f>'Entrada datos'!L160</f>
        <v>0</v>
      </c>
      <c r="I160">
        <f>'Entrada datos'!O160</f>
        <v>0</v>
      </c>
      <c r="J160">
        <f>'Entrada datos'!P160</f>
        <v>0</v>
      </c>
      <c r="K160">
        <f>'Entrada datos'!Q160</f>
        <v>0</v>
      </c>
      <c r="L160">
        <f>'Entrada datos'!R160</f>
        <v>0</v>
      </c>
      <c r="M160">
        <f>'Entrada datos'!S160</f>
        <v>0</v>
      </c>
      <c r="N160">
        <f>'Entrada datos'!T160</f>
        <v>0</v>
      </c>
      <c r="O160">
        <f>'Entrada datos'!U160</f>
        <v>0</v>
      </c>
      <c r="P160" s="17">
        <f t="shared" si="38"/>
        <v>0</v>
      </c>
      <c r="Q160">
        <f>'Entrada datos'!V160</f>
        <v>0</v>
      </c>
      <c r="R160">
        <f>'Entrada datos'!W160</f>
        <v>0</v>
      </c>
      <c r="S160">
        <f>'Entrada datos'!X160</f>
        <v>0</v>
      </c>
      <c r="T160">
        <f>'Entrada datos'!Y160</f>
        <v>0</v>
      </c>
      <c r="U160">
        <f>'Entrada datos'!Z160</f>
        <v>0</v>
      </c>
      <c r="V160">
        <f>'Entrada datos'!AA160</f>
        <v>0</v>
      </c>
      <c r="W160" s="17">
        <f t="shared" si="39"/>
        <v>0</v>
      </c>
      <c r="X160">
        <f>'Entrada datos'!AB160</f>
        <v>0</v>
      </c>
      <c r="Y160">
        <f>'Entrada datos'!AC160</f>
        <v>0</v>
      </c>
      <c r="Z160">
        <f>'Entrada datos'!AD160</f>
        <v>0</v>
      </c>
      <c r="AA160">
        <f>'Entrada datos'!AE160</f>
        <v>0</v>
      </c>
      <c r="AB160">
        <f>'Entrada datos'!AF160</f>
        <v>0</v>
      </c>
      <c r="AC160">
        <f>'Entrada datos'!AG160</f>
        <v>0</v>
      </c>
      <c r="AD160" s="17">
        <f t="shared" si="40"/>
        <v>0</v>
      </c>
      <c r="AE160">
        <f>'Entrada datos'!AH160</f>
        <v>0</v>
      </c>
      <c r="AF160">
        <f>'Entrada datos'!AI160</f>
        <v>0</v>
      </c>
      <c r="AG160">
        <f>'Entrada datos'!AJ160</f>
        <v>0</v>
      </c>
      <c r="AH160">
        <f>'Entrada datos'!AK160</f>
        <v>0</v>
      </c>
      <c r="AI160">
        <f>'Entrada datos'!AL160</f>
        <v>0</v>
      </c>
      <c r="AJ160">
        <f>'Entrada datos'!AM160</f>
        <v>0</v>
      </c>
      <c r="AK160" s="17">
        <f t="shared" si="41"/>
        <v>0</v>
      </c>
      <c r="AL160">
        <f>'Entrada datos'!AN160</f>
        <v>0</v>
      </c>
      <c r="AM160">
        <f>'Entrada datos'!AO160</f>
        <v>0</v>
      </c>
      <c r="AN160">
        <f>'Entrada datos'!AP160</f>
        <v>0</v>
      </c>
      <c r="AO160">
        <f>'Entrada datos'!AQ160</f>
        <v>0</v>
      </c>
      <c r="AP160">
        <f>'Entrada datos'!AR160</f>
        <v>0</v>
      </c>
      <c r="AQ160">
        <f>'Entrada datos'!AS160</f>
        <v>0</v>
      </c>
      <c r="AR160" s="17">
        <f t="shared" si="42"/>
        <v>0</v>
      </c>
      <c r="AS160" s="23">
        <f t="shared" si="43"/>
        <v>0</v>
      </c>
      <c r="AT160">
        <f t="shared" si="44"/>
        <v>1900</v>
      </c>
      <c r="AU160" s="41" t="str">
        <f t="shared" si="45"/>
        <v>enero</v>
      </c>
      <c r="AV160">
        <f t="shared" si="46"/>
        <v>0</v>
      </c>
      <c r="AW160">
        <f t="shared" si="47"/>
        <v>0</v>
      </c>
      <c r="AX160" s="24">
        <f t="shared" si="34"/>
        <v>0</v>
      </c>
      <c r="AY160" s="24">
        <f t="shared" si="35"/>
        <v>0</v>
      </c>
      <c r="AZ160" s="24">
        <f t="shared" si="48"/>
        <v>0</v>
      </c>
      <c r="BA160">
        <f t="shared" si="49"/>
        <v>0</v>
      </c>
      <c r="BB160">
        <f t="shared" si="36"/>
        <v>0</v>
      </c>
      <c r="BC160" s="24">
        <f t="shared" si="37"/>
        <v>0</v>
      </c>
      <c r="BD160">
        <f t="shared" si="50"/>
        <v>0</v>
      </c>
    </row>
    <row r="161" spans="1:56" x14ac:dyDescent="0.3">
      <c r="A161">
        <f>'Entrada datos'!A161</f>
        <v>0</v>
      </c>
      <c r="B161">
        <f>'Entrada datos'!B161</f>
        <v>0</v>
      </c>
      <c r="C161">
        <f>'Entrada datos'!C161</f>
        <v>0</v>
      </c>
      <c r="D161">
        <f>'Entrada datos'!D161</f>
        <v>0</v>
      </c>
      <c r="E161" s="18">
        <f>'Entrada datos'!G161</f>
        <v>0</v>
      </c>
      <c r="F161" s="18">
        <f>'Entrada datos'!H161</f>
        <v>0</v>
      </c>
      <c r="G161">
        <f>'Entrada datos'!J161</f>
        <v>0</v>
      </c>
      <c r="H161">
        <f>'Entrada datos'!L161</f>
        <v>0</v>
      </c>
      <c r="I161">
        <f>'Entrada datos'!O161</f>
        <v>0</v>
      </c>
      <c r="J161">
        <f>'Entrada datos'!P161</f>
        <v>0</v>
      </c>
      <c r="K161">
        <f>'Entrada datos'!Q161</f>
        <v>0</v>
      </c>
      <c r="L161">
        <f>'Entrada datos'!R161</f>
        <v>0</v>
      </c>
      <c r="M161">
        <f>'Entrada datos'!S161</f>
        <v>0</v>
      </c>
      <c r="N161">
        <f>'Entrada datos'!T161</f>
        <v>0</v>
      </c>
      <c r="O161">
        <f>'Entrada datos'!U161</f>
        <v>0</v>
      </c>
      <c r="P161" s="17">
        <f t="shared" si="38"/>
        <v>0</v>
      </c>
      <c r="Q161">
        <f>'Entrada datos'!V161</f>
        <v>0</v>
      </c>
      <c r="R161">
        <f>'Entrada datos'!W161</f>
        <v>0</v>
      </c>
      <c r="S161">
        <f>'Entrada datos'!X161</f>
        <v>0</v>
      </c>
      <c r="T161">
        <f>'Entrada datos'!Y161</f>
        <v>0</v>
      </c>
      <c r="U161">
        <f>'Entrada datos'!Z161</f>
        <v>0</v>
      </c>
      <c r="V161">
        <f>'Entrada datos'!AA161</f>
        <v>0</v>
      </c>
      <c r="W161" s="17">
        <f t="shared" si="39"/>
        <v>0</v>
      </c>
      <c r="X161">
        <f>'Entrada datos'!AB161</f>
        <v>0</v>
      </c>
      <c r="Y161">
        <f>'Entrada datos'!AC161</f>
        <v>0</v>
      </c>
      <c r="Z161">
        <f>'Entrada datos'!AD161</f>
        <v>0</v>
      </c>
      <c r="AA161">
        <f>'Entrada datos'!AE161</f>
        <v>0</v>
      </c>
      <c r="AB161">
        <f>'Entrada datos'!AF161</f>
        <v>0</v>
      </c>
      <c r="AC161">
        <f>'Entrada datos'!AG161</f>
        <v>0</v>
      </c>
      <c r="AD161" s="17">
        <f t="shared" si="40"/>
        <v>0</v>
      </c>
      <c r="AE161">
        <f>'Entrada datos'!AH161</f>
        <v>0</v>
      </c>
      <c r="AF161">
        <f>'Entrada datos'!AI161</f>
        <v>0</v>
      </c>
      <c r="AG161">
        <f>'Entrada datos'!AJ161</f>
        <v>0</v>
      </c>
      <c r="AH161">
        <f>'Entrada datos'!AK161</f>
        <v>0</v>
      </c>
      <c r="AI161">
        <f>'Entrada datos'!AL161</f>
        <v>0</v>
      </c>
      <c r="AJ161">
        <f>'Entrada datos'!AM161</f>
        <v>0</v>
      </c>
      <c r="AK161" s="17">
        <f t="shared" si="41"/>
        <v>0</v>
      </c>
      <c r="AL161">
        <f>'Entrada datos'!AN161</f>
        <v>0</v>
      </c>
      <c r="AM161">
        <f>'Entrada datos'!AO161</f>
        <v>0</v>
      </c>
      <c r="AN161">
        <f>'Entrada datos'!AP161</f>
        <v>0</v>
      </c>
      <c r="AO161">
        <f>'Entrada datos'!AQ161</f>
        <v>0</v>
      </c>
      <c r="AP161">
        <f>'Entrada datos'!AR161</f>
        <v>0</v>
      </c>
      <c r="AQ161">
        <f>'Entrada datos'!AS161</f>
        <v>0</v>
      </c>
      <c r="AR161" s="17">
        <f t="shared" si="42"/>
        <v>0</v>
      </c>
      <c r="AS161" s="23">
        <f t="shared" si="43"/>
        <v>0</v>
      </c>
      <c r="AT161">
        <f t="shared" si="44"/>
        <v>1900</v>
      </c>
      <c r="AU161" s="41" t="str">
        <f t="shared" si="45"/>
        <v>enero</v>
      </c>
      <c r="AV161">
        <f t="shared" si="46"/>
        <v>0</v>
      </c>
      <c r="AW161">
        <f t="shared" si="47"/>
        <v>0</v>
      </c>
      <c r="AX161" s="24">
        <f t="shared" si="34"/>
        <v>0</v>
      </c>
      <c r="AY161" s="24">
        <f t="shared" si="35"/>
        <v>0</v>
      </c>
      <c r="AZ161" s="24">
        <f t="shared" si="48"/>
        <v>0</v>
      </c>
      <c r="BA161">
        <f t="shared" si="49"/>
        <v>0</v>
      </c>
      <c r="BB161">
        <f t="shared" si="36"/>
        <v>0</v>
      </c>
      <c r="BC161" s="24">
        <f t="shared" si="37"/>
        <v>0</v>
      </c>
      <c r="BD161">
        <f t="shared" si="50"/>
        <v>0</v>
      </c>
    </row>
    <row r="162" spans="1:56" x14ac:dyDescent="0.3">
      <c r="A162">
        <f>'Entrada datos'!A162</f>
        <v>0</v>
      </c>
      <c r="B162">
        <f>'Entrada datos'!B162</f>
        <v>0</v>
      </c>
      <c r="C162">
        <f>'Entrada datos'!C162</f>
        <v>0</v>
      </c>
      <c r="D162">
        <f>'Entrada datos'!D162</f>
        <v>0</v>
      </c>
      <c r="E162" s="18">
        <f>'Entrada datos'!G162</f>
        <v>0</v>
      </c>
      <c r="F162" s="18">
        <f>'Entrada datos'!H162</f>
        <v>0</v>
      </c>
      <c r="G162">
        <f>'Entrada datos'!J162</f>
        <v>0</v>
      </c>
      <c r="H162">
        <f>'Entrada datos'!L162</f>
        <v>0</v>
      </c>
      <c r="I162">
        <f>'Entrada datos'!O162</f>
        <v>0</v>
      </c>
      <c r="J162">
        <f>'Entrada datos'!P162</f>
        <v>0</v>
      </c>
      <c r="K162">
        <f>'Entrada datos'!Q162</f>
        <v>0</v>
      </c>
      <c r="L162">
        <f>'Entrada datos'!R162</f>
        <v>0</v>
      </c>
      <c r="M162">
        <f>'Entrada datos'!S162</f>
        <v>0</v>
      </c>
      <c r="N162">
        <f>'Entrada datos'!T162</f>
        <v>0</v>
      </c>
      <c r="O162">
        <f>'Entrada datos'!U162</f>
        <v>0</v>
      </c>
      <c r="P162" s="17">
        <f t="shared" si="38"/>
        <v>0</v>
      </c>
      <c r="Q162">
        <f>'Entrada datos'!V162</f>
        <v>0</v>
      </c>
      <c r="R162">
        <f>'Entrada datos'!W162</f>
        <v>0</v>
      </c>
      <c r="S162">
        <f>'Entrada datos'!X162</f>
        <v>0</v>
      </c>
      <c r="T162">
        <f>'Entrada datos'!Y162</f>
        <v>0</v>
      </c>
      <c r="U162">
        <f>'Entrada datos'!Z162</f>
        <v>0</v>
      </c>
      <c r="V162">
        <f>'Entrada datos'!AA162</f>
        <v>0</v>
      </c>
      <c r="W162" s="17">
        <f t="shared" si="39"/>
        <v>0</v>
      </c>
      <c r="X162">
        <f>'Entrada datos'!AB162</f>
        <v>0</v>
      </c>
      <c r="Y162">
        <f>'Entrada datos'!AC162</f>
        <v>0</v>
      </c>
      <c r="Z162">
        <f>'Entrada datos'!AD162</f>
        <v>0</v>
      </c>
      <c r="AA162">
        <f>'Entrada datos'!AE162</f>
        <v>0</v>
      </c>
      <c r="AB162">
        <f>'Entrada datos'!AF162</f>
        <v>0</v>
      </c>
      <c r="AC162">
        <f>'Entrada datos'!AG162</f>
        <v>0</v>
      </c>
      <c r="AD162" s="17">
        <f t="shared" si="40"/>
        <v>0</v>
      </c>
      <c r="AE162">
        <f>'Entrada datos'!AH162</f>
        <v>0</v>
      </c>
      <c r="AF162">
        <f>'Entrada datos'!AI162</f>
        <v>0</v>
      </c>
      <c r="AG162">
        <f>'Entrada datos'!AJ162</f>
        <v>0</v>
      </c>
      <c r="AH162">
        <f>'Entrada datos'!AK162</f>
        <v>0</v>
      </c>
      <c r="AI162">
        <f>'Entrada datos'!AL162</f>
        <v>0</v>
      </c>
      <c r="AJ162">
        <f>'Entrada datos'!AM162</f>
        <v>0</v>
      </c>
      <c r="AK162" s="17">
        <f t="shared" si="41"/>
        <v>0</v>
      </c>
      <c r="AL162">
        <f>'Entrada datos'!AN162</f>
        <v>0</v>
      </c>
      <c r="AM162">
        <f>'Entrada datos'!AO162</f>
        <v>0</v>
      </c>
      <c r="AN162">
        <f>'Entrada datos'!AP162</f>
        <v>0</v>
      </c>
      <c r="AO162">
        <f>'Entrada datos'!AQ162</f>
        <v>0</v>
      </c>
      <c r="AP162">
        <f>'Entrada datos'!AR162</f>
        <v>0</v>
      </c>
      <c r="AQ162">
        <f>'Entrada datos'!AS162</f>
        <v>0</v>
      </c>
      <c r="AR162" s="17">
        <f t="shared" si="42"/>
        <v>0</v>
      </c>
      <c r="AS162" s="23">
        <f t="shared" si="43"/>
        <v>0</v>
      </c>
      <c r="AT162">
        <f t="shared" si="44"/>
        <v>1900</v>
      </c>
      <c r="AU162" s="41" t="str">
        <f t="shared" si="45"/>
        <v>enero</v>
      </c>
      <c r="AV162">
        <f t="shared" si="46"/>
        <v>0</v>
      </c>
      <c r="AW162">
        <f t="shared" si="47"/>
        <v>0</v>
      </c>
      <c r="AX162" s="24">
        <f t="shared" si="34"/>
        <v>0</v>
      </c>
      <c r="AY162" s="24">
        <f t="shared" si="35"/>
        <v>0</v>
      </c>
      <c r="AZ162" s="24">
        <f t="shared" si="48"/>
        <v>0</v>
      </c>
      <c r="BA162">
        <f t="shared" si="49"/>
        <v>0</v>
      </c>
      <c r="BB162">
        <f t="shared" si="36"/>
        <v>0</v>
      </c>
      <c r="BC162" s="24">
        <f t="shared" si="37"/>
        <v>0</v>
      </c>
      <c r="BD162">
        <f t="shared" si="50"/>
        <v>0</v>
      </c>
    </row>
    <row r="163" spans="1:56" x14ac:dyDescent="0.3">
      <c r="A163">
        <f>'Entrada datos'!A163</f>
        <v>0</v>
      </c>
      <c r="B163">
        <f>'Entrada datos'!B163</f>
        <v>0</v>
      </c>
      <c r="C163">
        <f>'Entrada datos'!C163</f>
        <v>0</v>
      </c>
      <c r="D163">
        <f>'Entrada datos'!D163</f>
        <v>0</v>
      </c>
      <c r="E163" s="18">
        <f>'Entrada datos'!G163</f>
        <v>0</v>
      </c>
      <c r="F163" s="18">
        <f>'Entrada datos'!H163</f>
        <v>0</v>
      </c>
      <c r="G163">
        <f>'Entrada datos'!J163</f>
        <v>0</v>
      </c>
      <c r="H163">
        <f>'Entrada datos'!L163</f>
        <v>0</v>
      </c>
      <c r="I163">
        <f>'Entrada datos'!O163</f>
        <v>0</v>
      </c>
      <c r="J163">
        <f>'Entrada datos'!P163</f>
        <v>0</v>
      </c>
      <c r="K163">
        <f>'Entrada datos'!Q163</f>
        <v>0</v>
      </c>
      <c r="L163">
        <f>'Entrada datos'!R163</f>
        <v>0</v>
      </c>
      <c r="M163">
        <f>'Entrada datos'!S163</f>
        <v>0</v>
      </c>
      <c r="N163">
        <f>'Entrada datos'!T163</f>
        <v>0</v>
      </c>
      <c r="O163">
        <f>'Entrada datos'!U163</f>
        <v>0</v>
      </c>
      <c r="P163" s="17">
        <f t="shared" si="38"/>
        <v>0</v>
      </c>
      <c r="Q163">
        <f>'Entrada datos'!V163</f>
        <v>0</v>
      </c>
      <c r="R163">
        <f>'Entrada datos'!W163</f>
        <v>0</v>
      </c>
      <c r="S163">
        <f>'Entrada datos'!X163</f>
        <v>0</v>
      </c>
      <c r="T163">
        <f>'Entrada datos'!Y163</f>
        <v>0</v>
      </c>
      <c r="U163">
        <f>'Entrada datos'!Z163</f>
        <v>0</v>
      </c>
      <c r="V163">
        <f>'Entrada datos'!AA163</f>
        <v>0</v>
      </c>
      <c r="W163" s="17">
        <f t="shared" si="39"/>
        <v>0</v>
      </c>
      <c r="X163">
        <f>'Entrada datos'!AB163</f>
        <v>0</v>
      </c>
      <c r="Y163">
        <f>'Entrada datos'!AC163</f>
        <v>0</v>
      </c>
      <c r="Z163">
        <f>'Entrada datos'!AD163</f>
        <v>0</v>
      </c>
      <c r="AA163">
        <f>'Entrada datos'!AE163</f>
        <v>0</v>
      </c>
      <c r="AB163">
        <f>'Entrada datos'!AF163</f>
        <v>0</v>
      </c>
      <c r="AC163">
        <f>'Entrada datos'!AG163</f>
        <v>0</v>
      </c>
      <c r="AD163" s="17">
        <f t="shared" si="40"/>
        <v>0</v>
      </c>
      <c r="AE163">
        <f>'Entrada datos'!AH163</f>
        <v>0</v>
      </c>
      <c r="AF163">
        <f>'Entrada datos'!AI163</f>
        <v>0</v>
      </c>
      <c r="AG163">
        <f>'Entrada datos'!AJ163</f>
        <v>0</v>
      </c>
      <c r="AH163">
        <f>'Entrada datos'!AK163</f>
        <v>0</v>
      </c>
      <c r="AI163">
        <f>'Entrada datos'!AL163</f>
        <v>0</v>
      </c>
      <c r="AJ163">
        <f>'Entrada datos'!AM163</f>
        <v>0</v>
      </c>
      <c r="AK163" s="17">
        <f t="shared" si="41"/>
        <v>0</v>
      </c>
      <c r="AL163">
        <f>'Entrada datos'!AN163</f>
        <v>0</v>
      </c>
      <c r="AM163">
        <f>'Entrada datos'!AO163</f>
        <v>0</v>
      </c>
      <c r="AN163">
        <f>'Entrada datos'!AP163</f>
        <v>0</v>
      </c>
      <c r="AO163">
        <f>'Entrada datos'!AQ163</f>
        <v>0</v>
      </c>
      <c r="AP163">
        <f>'Entrada datos'!AR163</f>
        <v>0</v>
      </c>
      <c r="AQ163">
        <f>'Entrada datos'!AS163</f>
        <v>0</v>
      </c>
      <c r="AR163" s="17">
        <f t="shared" si="42"/>
        <v>0</v>
      </c>
      <c r="AS163" s="23">
        <f t="shared" si="43"/>
        <v>0</v>
      </c>
      <c r="AT163">
        <f t="shared" si="44"/>
        <v>1900</v>
      </c>
      <c r="AU163" s="41" t="str">
        <f t="shared" si="45"/>
        <v>enero</v>
      </c>
      <c r="AV163">
        <f t="shared" si="46"/>
        <v>0</v>
      </c>
      <c r="AW163">
        <f t="shared" si="47"/>
        <v>0</v>
      </c>
      <c r="AX163" s="24">
        <f t="shared" si="34"/>
        <v>0</v>
      </c>
      <c r="AY163" s="24">
        <f t="shared" si="35"/>
        <v>0</v>
      </c>
      <c r="AZ163" s="24">
        <f t="shared" si="48"/>
        <v>0</v>
      </c>
      <c r="BA163">
        <f t="shared" si="49"/>
        <v>0</v>
      </c>
      <c r="BB163">
        <f t="shared" si="36"/>
        <v>0</v>
      </c>
      <c r="BC163" s="24">
        <f t="shared" si="37"/>
        <v>0</v>
      </c>
      <c r="BD163">
        <f t="shared" si="50"/>
        <v>0</v>
      </c>
    </row>
    <row r="164" spans="1:56" x14ac:dyDescent="0.3">
      <c r="A164">
        <f>'Entrada datos'!A164</f>
        <v>0</v>
      </c>
      <c r="B164">
        <f>'Entrada datos'!B164</f>
        <v>0</v>
      </c>
      <c r="C164">
        <f>'Entrada datos'!C164</f>
        <v>0</v>
      </c>
      <c r="D164">
        <f>'Entrada datos'!D164</f>
        <v>0</v>
      </c>
      <c r="E164" s="18">
        <f>'Entrada datos'!G164</f>
        <v>0</v>
      </c>
      <c r="F164" s="18">
        <f>'Entrada datos'!H164</f>
        <v>0</v>
      </c>
      <c r="G164">
        <f>'Entrada datos'!J164</f>
        <v>0</v>
      </c>
      <c r="H164">
        <f>'Entrada datos'!L164</f>
        <v>0</v>
      </c>
      <c r="I164">
        <f>'Entrada datos'!O164</f>
        <v>0</v>
      </c>
      <c r="J164">
        <f>'Entrada datos'!P164</f>
        <v>0</v>
      </c>
      <c r="K164">
        <f>'Entrada datos'!Q164</f>
        <v>0</v>
      </c>
      <c r="L164">
        <f>'Entrada datos'!R164</f>
        <v>0</v>
      </c>
      <c r="M164">
        <f>'Entrada datos'!S164</f>
        <v>0</v>
      </c>
      <c r="N164">
        <f>'Entrada datos'!T164</f>
        <v>0</v>
      </c>
      <c r="O164">
        <f>'Entrada datos'!U164</f>
        <v>0</v>
      </c>
      <c r="P164" s="17">
        <f t="shared" si="38"/>
        <v>0</v>
      </c>
      <c r="Q164">
        <f>'Entrada datos'!V164</f>
        <v>0</v>
      </c>
      <c r="R164">
        <f>'Entrada datos'!W164</f>
        <v>0</v>
      </c>
      <c r="S164">
        <f>'Entrada datos'!X164</f>
        <v>0</v>
      </c>
      <c r="T164">
        <f>'Entrada datos'!Y164</f>
        <v>0</v>
      </c>
      <c r="U164">
        <f>'Entrada datos'!Z164</f>
        <v>0</v>
      </c>
      <c r="V164">
        <f>'Entrada datos'!AA164</f>
        <v>0</v>
      </c>
      <c r="W164" s="17">
        <f t="shared" si="39"/>
        <v>0</v>
      </c>
      <c r="X164">
        <f>'Entrada datos'!AB164</f>
        <v>0</v>
      </c>
      <c r="Y164">
        <f>'Entrada datos'!AC164</f>
        <v>0</v>
      </c>
      <c r="Z164">
        <f>'Entrada datos'!AD164</f>
        <v>0</v>
      </c>
      <c r="AA164">
        <f>'Entrada datos'!AE164</f>
        <v>0</v>
      </c>
      <c r="AB164">
        <f>'Entrada datos'!AF164</f>
        <v>0</v>
      </c>
      <c r="AC164">
        <f>'Entrada datos'!AG164</f>
        <v>0</v>
      </c>
      <c r="AD164" s="17">
        <f t="shared" si="40"/>
        <v>0</v>
      </c>
      <c r="AE164">
        <f>'Entrada datos'!AH164</f>
        <v>0</v>
      </c>
      <c r="AF164">
        <f>'Entrada datos'!AI164</f>
        <v>0</v>
      </c>
      <c r="AG164">
        <f>'Entrada datos'!AJ164</f>
        <v>0</v>
      </c>
      <c r="AH164">
        <f>'Entrada datos'!AK164</f>
        <v>0</v>
      </c>
      <c r="AI164">
        <f>'Entrada datos'!AL164</f>
        <v>0</v>
      </c>
      <c r="AJ164">
        <f>'Entrada datos'!AM164</f>
        <v>0</v>
      </c>
      <c r="AK164" s="17">
        <f t="shared" si="41"/>
        <v>0</v>
      </c>
      <c r="AL164">
        <f>'Entrada datos'!AN164</f>
        <v>0</v>
      </c>
      <c r="AM164">
        <f>'Entrada datos'!AO164</f>
        <v>0</v>
      </c>
      <c r="AN164">
        <f>'Entrada datos'!AP164</f>
        <v>0</v>
      </c>
      <c r="AO164">
        <f>'Entrada datos'!AQ164</f>
        <v>0</v>
      </c>
      <c r="AP164">
        <f>'Entrada datos'!AR164</f>
        <v>0</v>
      </c>
      <c r="AQ164">
        <f>'Entrada datos'!AS164</f>
        <v>0</v>
      </c>
      <c r="AR164" s="17">
        <f t="shared" si="42"/>
        <v>0</v>
      </c>
      <c r="AS164" s="23">
        <f t="shared" si="43"/>
        <v>0</v>
      </c>
      <c r="AT164">
        <f t="shared" si="44"/>
        <v>1900</v>
      </c>
      <c r="AU164" s="41" t="str">
        <f t="shared" si="45"/>
        <v>enero</v>
      </c>
      <c r="AV164">
        <f t="shared" si="46"/>
        <v>0</v>
      </c>
      <c r="AW164">
        <f t="shared" si="47"/>
        <v>0</v>
      </c>
      <c r="AX164" s="24">
        <f t="shared" si="34"/>
        <v>0</v>
      </c>
      <c r="AY164" s="24">
        <f t="shared" si="35"/>
        <v>0</v>
      </c>
      <c r="AZ164" s="24">
        <f t="shared" si="48"/>
        <v>0</v>
      </c>
      <c r="BA164">
        <f t="shared" si="49"/>
        <v>0</v>
      </c>
      <c r="BB164">
        <f t="shared" si="36"/>
        <v>0</v>
      </c>
      <c r="BC164" s="24">
        <f t="shared" si="37"/>
        <v>0</v>
      </c>
      <c r="BD164">
        <f t="shared" si="50"/>
        <v>0</v>
      </c>
    </row>
    <row r="165" spans="1:56" x14ac:dyDescent="0.3">
      <c r="A165">
        <f>'Entrada datos'!A165</f>
        <v>0</v>
      </c>
      <c r="B165">
        <f>'Entrada datos'!B165</f>
        <v>0</v>
      </c>
      <c r="C165">
        <f>'Entrada datos'!C165</f>
        <v>0</v>
      </c>
      <c r="D165">
        <f>'Entrada datos'!D165</f>
        <v>0</v>
      </c>
      <c r="E165" s="18">
        <f>'Entrada datos'!G165</f>
        <v>0</v>
      </c>
      <c r="F165" s="18">
        <f>'Entrada datos'!H165</f>
        <v>0</v>
      </c>
      <c r="G165">
        <f>'Entrada datos'!J165</f>
        <v>0</v>
      </c>
      <c r="H165">
        <f>'Entrada datos'!L165</f>
        <v>0</v>
      </c>
      <c r="I165">
        <f>'Entrada datos'!O165</f>
        <v>0</v>
      </c>
      <c r="J165">
        <f>'Entrada datos'!P165</f>
        <v>0</v>
      </c>
      <c r="K165">
        <f>'Entrada datos'!Q165</f>
        <v>0</v>
      </c>
      <c r="L165">
        <f>'Entrada datos'!R165</f>
        <v>0</v>
      </c>
      <c r="M165">
        <f>'Entrada datos'!S165</f>
        <v>0</v>
      </c>
      <c r="N165">
        <f>'Entrada datos'!T165</f>
        <v>0</v>
      </c>
      <c r="O165">
        <f>'Entrada datos'!U165</f>
        <v>0</v>
      </c>
      <c r="P165" s="17">
        <f t="shared" si="38"/>
        <v>0</v>
      </c>
      <c r="Q165">
        <f>'Entrada datos'!V165</f>
        <v>0</v>
      </c>
      <c r="R165">
        <f>'Entrada datos'!W165</f>
        <v>0</v>
      </c>
      <c r="S165">
        <f>'Entrada datos'!X165</f>
        <v>0</v>
      </c>
      <c r="T165">
        <f>'Entrada datos'!Y165</f>
        <v>0</v>
      </c>
      <c r="U165">
        <f>'Entrada datos'!Z165</f>
        <v>0</v>
      </c>
      <c r="V165">
        <f>'Entrada datos'!AA165</f>
        <v>0</v>
      </c>
      <c r="W165" s="17">
        <f t="shared" si="39"/>
        <v>0</v>
      </c>
      <c r="X165">
        <f>'Entrada datos'!AB165</f>
        <v>0</v>
      </c>
      <c r="Y165">
        <f>'Entrada datos'!AC165</f>
        <v>0</v>
      </c>
      <c r="Z165">
        <f>'Entrada datos'!AD165</f>
        <v>0</v>
      </c>
      <c r="AA165">
        <f>'Entrada datos'!AE165</f>
        <v>0</v>
      </c>
      <c r="AB165">
        <f>'Entrada datos'!AF165</f>
        <v>0</v>
      </c>
      <c r="AC165">
        <f>'Entrada datos'!AG165</f>
        <v>0</v>
      </c>
      <c r="AD165" s="17">
        <f t="shared" si="40"/>
        <v>0</v>
      </c>
      <c r="AE165">
        <f>'Entrada datos'!AH165</f>
        <v>0</v>
      </c>
      <c r="AF165">
        <f>'Entrada datos'!AI165</f>
        <v>0</v>
      </c>
      <c r="AG165">
        <f>'Entrada datos'!AJ165</f>
        <v>0</v>
      </c>
      <c r="AH165">
        <f>'Entrada datos'!AK165</f>
        <v>0</v>
      </c>
      <c r="AI165">
        <f>'Entrada datos'!AL165</f>
        <v>0</v>
      </c>
      <c r="AJ165">
        <f>'Entrada datos'!AM165</f>
        <v>0</v>
      </c>
      <c r="AK165" s="17">
        <f t="shared" si="41"/>
        <v>0</v>
      </c>
      <c r="AL165">
        <f>'Entrada datos'!AN165</f>
        <v>0</v>
      </c>
      <c r="AM165">
        <f>'Entrada datos'!AO165</f>
        <v>0</v>
      </c>
      <c r="AN165">
        <f>'Entrada datos'!AP165</f>
        <v>0</v>
      </c>
      <c r="AO165">
        <f>'Entrada datos'!AQ165</f>
        <v>0</v>
      </c>
      <c r="AP165">
        <f>'Entrada datos'!AR165</f>
        <v>0</v>
      </c>
      <c r="AQ165">
        <f>'Entrada datos'!AS165</f>
        <v>0</v>
      </c>
      <c r="AR165" s="17">
        <f t="shared" si="42"/>
        <v>0</v>
      </c>
      <c r="AS165" s="23">
        <f t="shared" si="43"/>
        <v>0</v>
      </c>
      <c r="AT165">
        <f t="shared" si="44"/>
        <v>1900</v>
      </c>
      <c r="AU165" s="41" t="str">
        <f t="shared" si="45"/>
        <v>enero</v>
      </c>
      <c r="AV165">
        <f t="shared" si="46"/>
        <v>0</v>
      </c>
      <c r="AW165">
        <f t="shared" si="47"/>
        <v>0</v>
      </c>
      <c r="AX165" s="24">
        <f t="shared" si="34"/>
        <v>0</v>
      </c>
      <c r="AY165" s="24">
        <f t="shared" si="35"/>
        <v>0</v>
      </c>
      <c r="AZ165" s="24">
        <f t="shared" si="48"/>
        <v>0</v>
      </c>
      <c r="BA165">
        <f t="shared" si="49"/>
        <v>0</v>
      </c>
      <c r="BB165">
        <f t="shared" si="36"/>
        <v>0</v>
      </c>
      <c r="BC165" s="24">
        <f t="shared" si="37"/>
        <v>0</v>
      </c>
      <c r="BD165">
        <f t="shared" si="50"/>
        <v>0</v>
      </c>
    </row>
    <row r="166" spans="1:56" x14ac:dyDescent="0.3">
      <c r="A166">
        <f>'Entrada datos'!A166</f>
        <v>0</v>
      </c>
      <c r="B166">
        <f>'Entrada datos'!B166</f>
        <v>0</v>
      </c>
      <c r="C166">
        <f>'Entrada datos'!C166</f>
        <v>0</v>
      </c>
      <c r="D166">
        <f>'Entrada datos'!D166</f>
        <v>0</v>
      </c>
      <c r="E166" s="18">
        <f>'Entrada datos'!G166</f>
        <v>0</v>
      </c>
      <c r="F166" s="18">
        <f>'Entrada datos'!H166</f>
        <v>0</v>
      </c>
      <c r="G166">
        <f>'Entrada datos'!J166</f>
        <v>0</v>
      </c>
      <c r="H166">
        <f>'Entrada datos'!L166</f>
        <v>0</v>
      </c>
      <c r="I166">
        <f>'Entrada datos'!O166</f>
        <v>0</v>
      </c>
      <c r="J166">
        <f>'Entrada datos'!P166</f>
        <v>0</v>
      </c>
      <c r="K166">
        <f>'Entrada datos'!Q166</f>
        <v>0</v>
      </c>
      <c r="L166">
        <f>'Entrada datos'!R166</f>
        <v>0</v>
      </c>
      <c r="M166">
        <f>'Entrada datos'!S166</f>
        <v>0</v>
      </c>
      <c r="N166">
        <f>'Entrada datos'!T166</f>
        <v>0</v>
      </c>
      <c r="O166">
        <f>'Entrada datos'!U166</f>
        <v>0</v>
      </c>
      <c r="P166" s="17">
        <f t="shared" si="38"/>
        <v>0</v>
      </c>
      <c r="Q166">
        <f>'Entrada datos'!V166</f>
        <v>0</v>
      </c>
      <c r="R166">
        <f>'Entrada datos'!W166</f>
        <v>0</v>
      </c>
      <c r="S166">
        <f>'Entrada datos'!X166</f>
        <v>0</v>
      </c>
      <c r="T166">
        <f>'Entrada datos'!Y166</f>
        <v>0</v>
      </c>
      <c r="U166">
        <f>'Entrada datos'!Z166</f>
        <v>0</v>
      </c>
      <c r="V166">
        <f>'Entrada datos'!AA166</f>
        <v>0</v>
      </c>
      <c r="W166" s="17">
        <f t="shared" si="39"/>
        <v>0</v>
      </c>
      <c r="X166">
        <f>'Entrada datos'!AB166</f>
        <v>0</v>
      </c>
      <c r="Y166">
        <f>'Entrada datos'!AC166</f>
        <v>0</v>
      </c>
      <c r="Z166">
        <f>'Entrada datos'!AD166</f>
        <v>0</v>
      </c>
      <c r="AA166">
        <f>'Entrada datos'!AE166</f>
        <v>0</v>
      </c>
      <c r="AB166">
        <f>'Entrada datos'!AF166</f>
        <v>0</v>
      </c>
      <c r="AC166">
        <f>'Entrada datos'!AG166</f>
        <v>0</v>
      </c>
      <c r="AD166" s="17">
        <f t="shared" si="40"/>
        <v>0</v>
      </c>
      <c r="AE166">
        <f>'Entrada datos'!AH166</f>
        <v>0</v>
      </c>
      <c r="AF166">
        <f>'Entrada datos'!AI166</f>
        <v>0</v>
      </c>
      <c r="AG166">
        <f>'Entrada datos'!AJ166</f>
        <v>0</v>
      </c>
      <c r="AH166">
        <f>'Entrada datos'!AK166</f>
        <v>0</v>
      </c>
      <c r="AI166">
        <f>'Entrada datos'!AL166</f>
        <v>0</v>
      </c>
      <c r="AJ166">
        <f>'Entrada datos'!AM166</f>
        <v>0</v>
      </c>
      <c r="AK166" s="17">
        <f t="shared" si="41"/>
        <v>0</v>
      </c>
      <c r="AL166">
        <f>'Entrada datos'!AN166</f>
        <v>0</v>
      </c>
      <c r="AM166">
        <f>'Entrada datos'!AO166</f>
        <v>0</v>
      </c>
      <c r="AN166">
        <f>'Entrada datos'!AP166</f>
        <v>0</v>
      </c>
      <c r="AO166">
        <f>'Entrada datos'!AQ166</f>
        <v>0</v>
      </c>
      <c r="AP166">
        <f>'Entrada datos'!AR166</f>
        <v>0</v>
      </c>
      <c r="AQ166">
        <f>'Entrada datos'!AS166</f>
        <v>0</v>
      </c>
      <c r="AR166" s="17">
        <f t="shared" si="42"/>
        <v>0</v>
      </c>
      <c r="AS166" s="23">
        <f t="shared" si="43"/>
        <v>0</v>
      </c>
      <c r="AT166">
        <f t="shared" si="44"/>
        <v>1900</v>
      </c>
      <c r="AU166" s="41" t="str">
        <f t="shared" si="45"/>
        <v>enero</v>
      </c>
      <c r="AV166">
        <f t="shared" si="46"/>
        <v>0</v>
      </c>
      <c r="AW166">
        <f t="shared" si="47"/>
        <v>0</v>
      </c>
      <c r="AX166" s="24">
        <f t="shared" si="34"/>
        <v>0</v>
      </c>
      <c r="AY166" s="24">
        <f t="shared" si="35"/>
        <v>0</v>
      </c>
      <c r="AZ166" s="24">
        <f t="shared" si="48"/>
        <v>0</v>
      </c>
      <c r="BA166">
        <f t="shared" si="49"/>
        <v>0</v>
      </c>
      <c r="BB166">
        <f t="shared" si="36"/>
        <v>0</v>
      </c>
      <c r="BC166" s="24">
        <f t="shared" si="37"/>
        <v>0</v>
      </c>
      <c r="BD166">
        <f t="shared" si="50"/>
        <v>0</v>
      </c>
    </row>
    <row r="167" spans="1:56" x14ac:dyDescent="0.3">
      <c r="A167">
        <f>'Entrada datos'!A167</f>
        <v>0</v>
      </c>
      <c r="B167">
        <f>'Entrada datos'!B167</f>
        <v>0</v>
      </c>
      <c r="C167">
        <f>'Entrada datos'!C167</f>
        <v>0</v>
      </c>
      <c r="D167">
        <f>'Entrada datos'!D167</f>
        <v>0</v>
      </c>
      <c r="E167" s="18">
        <f>'Entrada datos'!G167</f>
        <v>0</v>
      </c>
      <c r="F167" s="18">
        <f>'Entrada datos'!H167</f>
        <v>0</v>
      </c>
      <c r="G167">
        <f>'Entrada datos'!J167</f>
        <v>0</v>
      </c>
      <c r="H167">
        <f>'Entrada datos'!L167</f>
        <v>0</v>
      </c>
      <c r="I167">
        <f>'Entrada datos'!O167</f>
        <v>0</v>
      </c>
      <c r="J167">
        <f>'Entrada datos'!P167</f>
        <v>0</v>
      </c>
      <c r="K167">
        <f>'Entrada datos'!Q167</f>
        <v>0</v>
      </c>
      <c r="L167">
        <f>'Entrada datos'!R167</f>
        <v>0</v>
      </c>
      <c r="M167">
        <f>'Entrada datos'!S167</f>
        <v>0</v>
      </c>
      <c r="N167">
        <f>'Entrada datos'!T167</f>
        <v>0</v>
      </c>
      <c r="O167">
        <f>'Entrada datos'!U167</f>
        <v>0</v>
      </c>
      <c r="P167" s="17">
        <f t="shared" si="38"/>
        <v>0</v>
      </c>
      <c r="Q167">
        <f>'Entrada datos'!V167</f>
        <v>0</v>
      </c>
      <c r="R167">
        <f>'Entrada datos'!W167</f>
        <v>0</v>
      </c>
      <c r="S167">
        <f>'Entrada datos'!X167</f>
        <v>0</v>
      </c>
      <c r="T167">
        <f>'Entrada datos'!Y167</f>
        <v>0</v>
      </c>
      <c r="U167">
        <f>'Entrada datos'!Z167</f>
        <v>0</v>
      </c>
      <c r="V167">
        <f>'Entrada datos'!AA167</f>
        <v>0</v>
      </c>
      <c r="W167" s="17">
        <f t="shared" si="39"/>
        <v>0</v>
      </c>
      <c r="X167">
        <f>'Entrada datos'!AB167</f>
        <v>0</v>
      </c>
      <c r="Y167">
        <f>'Entrada datos'!AC167</f>
        <v>0</v>
      </c>
      <c r="Z167">
        <f>'Entrada datos'!AD167</f>
        <v>0</v>
      </c>
      <c r="AA167">
        <f>'Entrada datos'!AE167</f>
        <v>0</v>
      </c>
      <c r="AB167">
        <f>'Entrada datos'!AF167</f>
        <v>0</v>
      </c>
      <c r="AC167">
        <f>'Entrada datos'!AG167</f>
        <v>0</v>
      </c>
      <c r="AD167" s="17">
        <f t="shared" si="40"/>
        <v>0</v>
      </c>
      <c r="AE167">
        <f>'Entrada datos'!AH167</f>
        <v>0</v>
      </c>
      <c r="AF167">
        <f>'Entrada datos'!AI167</f>
        <v>0</v>
      </c>
      <c r="AG167">
        <f>'Entrada datos'!AJ167</f>
        <v>0</v>
      </c>
      <c r="AH167">
        <f>'Entrada datos'!AK167</f>
        <v>0</v>
      </c>
      <c r="AI167">
        <f>'Entrada datos'!AL167</f>
        <v>0</v>
      </c>
      <c r="AJ167">
        <f>'Entrada datos'!AM167</f>
        <v>0</v>
      </c>
      <c r="AK167" s="17">
        <f t="shared" si="41"/>
        <v>0</v>
      </c>
      <c r="AL167">
        <f>'Entrada datos'!AN167</f>
        <v>0</v>
      </c>
      <c r="AM167">
        <f>'Entrada datos'!AO167</f>
        <v>0</v>
      </c>
      <c r="AN167">
        <f>'Entrada datos'!AP167</f>
        <v>0</v>
      </c>
      <c r="AO167">
        <f>'Entrada datos'!AQ167</f>
        <v>0</v>
      </c>
      <c r="AP167">
        <f>'Entrada datos'!AR167</f>
        <v>0</v>
      </c>
      <c r="AQ167">
        <f>'Entrada datos'!AS167</f>
        <v>0</v>
      </c>
      <c r="AR167" s="17">
        <f t="shared" si="42"/>
        <v>0</v>
      </c>
      <c r="AS167" s="23">
        <f t="shared" si="43"/>
        <v>0</v>
      </c>
      <c r="AT167">
        <f t="shared" si="44"/>
        <v>1900</v>
      </c>
      <c r="AU167" s="41" t="str">
        <f t="shared" si="45"/>
        <v>enero</v>
      </c>
      <c r="AV167">
        <f t="shared" si="46"/>
        <v>0</v>
      </c>
      <c r="AW167">
        <f t="shared" si="47"/>
        <v>0</v>
      </c>
      <c r="AX167" s="24">
        <f t="shared" si="34"/>
        <v>0</v>
      </c>
      <c r="AY167" s="24">
        <f t="shared" si="35"/>
        <v>0</v>
      </c>
      <c r="AZ167" s="24">
        <f t="shared" si="48"/>
        <v>0</v>
      </c>
      <c r="BA167">
        <f t="shared" si="49"/>
        <v>0</v>
      </c>
      <c r="BB167">
        <f t="shared" si="36"/>
        <v>0</v>
      </c>
      <c r="BC167" s="24">
        <f t="shared" si="37"/>
        <v>0</v>
      </c>
      <c r="BD167">
        <f t="shared" si="50"/>
        <v>0</v>
      </c>
    </row>
    <row r="168" spans="1:56" x14ac:dyDescent="0.3">
      <c r="A168">
        <f>'Entrada datos'!A168</f>
        <v>0</v>
      </c>
      <c r="B168">
        <f>'Entrada datos'!B168</f>
        <v>0</v>
      </c>
      <c r="C168">
        <f>'Entrada datos'!C168</f>
        <v>0</v>
      </c>
      <c r="D168">
        <f>'Entrada datos'!D168</f>
        <v>0</v>
      </c>
      <c r="E168" s="18">
        <f>'Entrada datos'!G168</f>
        <v>0</v>
      </c>
      <c r="F168" s="18">
        <f>'Entrada datos'!H168</f>
        <v>0</v>
      </c>
      <c r="G168">
        <f>'Entrada datos'!J168</f>
        <v>0</v>
      </c>
      <c r="H168">
        <f>'Entrada datos'!L168</f>
        <v>0</v>
      </c>
      <c r="I168">
        <f>'Entrada datos'!O168</f>
        <v>0</v>
      </c>
      <c r="J168">
        <f>'Entrada datos'!P168</f>
        <v>0</v>
      </c>
      <c r="K168">
        <f>'Entrada datos'!Q168</f>
        <v>0</v>
      </c>
      <c r="L168">
        <f>'Entrada datos'!R168</f>
        <v>0</v>
      </c>
      <c r="M168">
        <f>'Entrada datos'!S168</f>
        <v>0</v>
      </c>
      <c r="N168">
        <f>'Entrada datos'!T168</f>
        <v>0</v>
      </c>
      <c r="O168">
        <f>'Entrada datos'!U168</f>
        <v>0</v>
      </c>
      <c r="P168" s="17">
        <f t="shared" si="38"/>
        <v>0</v>
      </c>
      <c r="Q168">
        <f>'Entrada datos'!V168</f>
        <v>0</v>
      </c>
      <c r="R168">
        <f>'Entrada datos'!W168</f>
        <v>0</v>
      </c>
      <c r="S168">
        <f>'Entrada datos'!X168</f>
        <v>0</v>
      </c>
      <c r="T168">
        <f>'Entrada datos'!Y168</f>
        <v>0</v>
      </c>
      <c r="U168">
        <f>'Entrada datos'!Z168</f>
        <v>0</v>
      </c>
      <c r="V168">
        <f>'Entrada datos'!AA168</f>
        <v>0</v>
      </c>
      <c r="W168" s="17">
        <f t="shared" si="39"/>
        <v>0</v>
      </c>
      <c r="X168">
        <f>'Entrada datos'!AB168</f>
        <v>0</v>
      </c>
      <c r="Y168">
        <f>'Entrada datos'!AC168</f>
        <v>0</v>
      </c>
      <c r="Z168">
        <f>'Entrada datos'!AD168</f>
        <v>0</v>
      </c>
      <c r="AA168">
        <f>'Entrada datos'!AE168</f>
        <v>0</v>
      </c>
      <c r="AB168">
        <f>'Entrada datos'!AF168</f>
        <v>0</v>
      </c>
      <c r="AC168">
        <f>'Entrada datos'!AG168</f>
        <v>0</v>
      </c>
      <c r="AD168" s="17">
        <f t="shared" si="40"/>
        <v>0</v>
      </c>
      <c r="AE168">
        <f>'Entrada datos'!AH168</f>
        <v>0</v>
      </c>
      <c r="AF168">
        <f>'Entrada datos'!AI168</f>
        <v>0</v>
      </c>
      <c r="AG168">
        <f>'Entrada datos'!AJ168</f>
        <v>0</v>
      </c>
      <c r="AH168">
        <f>'Entrada datos'!AK168</f>
        <v>0</v>
      </c>
      <c r="AI168">
        <f>'Entrada datos'!AL168</f>
        <v>0</v>
      </c>
      <c r="AJ168">
        <f>'Entrada datos'!AM168</f>
        <v>0</v>
      </c>
      <c r="AK168" s="17">
        <f t="shared" si="41"/>
        <v>0</v>
      </c>
      <c r="AL168">
        <f>'Entrada datos'!AN168</f>
        <v>0</v>
      </c>
      <c r="AM168">
        <f>'Entrada datos'!AO168</f>
        <v>0</v>
      </c>
      <c r="AN168">
        <f>'Entrada datos'!AP168</f>
        <v>0</v>
      </c>
      <c r="AO168">
        <f>'Entrada datos'!AQ168</f>
        <v>0</v>
      </c>
      <c r="AP168">
        <f>'Entrada datos'!AR168</f>
        <v>0</v>
      </c>
      <c r="AQ168">
        <f>'Entrada datos'!AS168</f>
        <v>0</v>
      </c>
      <c r="AR168" s="17">
        <f t="shared" si="42"/>
        <v>0</v>
      </c>
      <c r="AS168" s="23">
        <f t="shared" si="43"/>
        <v>0</v>
      </c>
      <c r="AT168">
        <f t="shared" si="44"/>
        <v>1900</v>
      </c>
      <c r="AU168" s="41" t="str">
        <f t="shared" si="45"/>
        <v>enero</v>
      </c>
      <c r="AV168">
        <f t="shared" si="46"/>
        <v>0</v>
      </c>
      <c r="AW168">
        <f t="shared" si="47"/>
        <v>0</v>
      </c>
      <c r="AX168" s="24">
        <f t="shared" si="34"/>
        <v>0</v>
      </c>
      <c r="AY168" s="24">
        <f t="shared" si="35"/>
        <v>0</v>
      </c>
      <c r="AZ168" s="24">
        <f t="shared" si="48"/>
        <v>0</v>
      </c>
      <c r="BA168">
        <f t="shared" si="49"/>
        <v>0</v>
      </c>
      <c r="BB168">
        <f t="shared" si="36"/>
        <v>0</v>
      </c>
      <c r="BC168" s="24">
        <f t="shared" si="37"/>
        <v>0</v>
      </c>
      <c r="BD168">
        <f t="shared" si="50"/>
        <v>0</v>
      </c>
    </row>
    <row r="169" spans="1:56" x14ac:dyDescent="0.3">
      <c r="A169">
        <f>'Entrada datos'!A169</f>
        <v>0</v>
      </c>
      <c r="B169">
        <f>'Entrada datos'!B169</f>
        <v>0</v>
      </c>
      <c r="C169">
        <f>'Entrada datos'!C169</f>
        <v>0</v>
      </c>
      <c r="D169">
        <f>'Entrada datos'!D169</f>
        <v>0</v>
      </c>
      <c r="E169" s="18">
        <f>'Entrada datos'!G169</f>
        <v>0</v>
      </c>
      <c r="F169" s="18">
        <f>'Entrada datos'!H169</f>
        <v>0</v>
      </c>
      <c r="G169">
        <f>'Entrada datos'!J169</f>
        <v>0</v>
      </c>
      <c r="H169">
        <f>'Entrada datos'!L169</f>
        <v>0</v>
      </c>
      <c r="I169">
        <f>'Entrada datos'!O169</f>
        <v>0</v>
      </c>
      <c r="J169">
        <f>'Entrada datos'!P169</f>
        <v>0</v>
      </c>
      <c r="K169">
        <f>'Entrada datos'!Q169</f>
        <v>0</v>
      </c>
      <c r="L169">
        <f>'Entrada datos'!R169</f>
        <v>0</v>
      </c>
      <c r="M169">
        <f>'Entrada datos'!S169</f>
        <v>0</v>
      </c>
      <c r="N169">
        <f>'Entrada datos'!T169</f>
        <v>0</v>
      </c>
      <c r="O169">
        <f>'Entrada datos'!U169</f>
        <v>0</v>
      </c>
      <c r="P169" s="17">
        <f t="shared" si="38"/>
        <v>0</v>
      </c>
      <c r="Q169">
        <f>'Entrada datos'!V169</f>
        <v>0</v>
      </c>
      <c r="R169">
        <f>'Entrada datos'!W169</f>
        <v>0</v>
      </c>
      <c r="S169">
        <f>'Entrada datos'!X169</f>
        <v>0</v>
      </c>
      <c r="T169">
        <f>'Entrada datos'!Y169</f>
        <v>0</v>
      </c>
      <c r="U169">
        <f>'Entrada datos'!Z169</f>
        <v>0</v>
      </c>
      <c r="V169">
        <f>'Entrada datos'!AA169</f>
        <v>0</v>
      </c>
      <c r="W169" s="17">
        <f t="shared" si="39"/>
        <v>0</v>
      </c>
      <c r="X169">
        <f>'Entrada datos'!AB169</f>
        <v>0</v>
      </c>
      <c r="Y169">
        <f>'Entrada datos'!AC169</f>
        <v>0</v>
      </c>
      <c r="Z169">
        <f>'Entrada datos'!AD169</f>
        <v>0</v>
      </c>
      <c r="AA169">
        <f>'Entrada datos'!AE169</f>
        <v>0</v>
      </c>
      <c r="AB169">
        <f>'Entrada datos'!AF169</f>
        <v>0</v>
      </c>
      <c r="AC169">
        <f>'Entrada datos'!AG169</f>
        <v>0</v>
      </c>
      <c r="AD169" s="17">
        <f t="shared" si="40"/>
        <v>0</v>
      </c>
      <c r="AE169">
        <f>'Entrada datos'!AH169</f>
        <v>0</v>
      </c>
      <c r="AF169">
        <f>'Entrada datos'!AI169</f>
        <v>0</v>
      </c>
      <c r="AG169">
        <f>'Entrada datos'!AJ169</f>
        <v>0</v>
      </c>
      <c r="AH169">
        <f>'Entrada datos'!AK169</f>
        <v>0</v>
      </c>
      <c r="AI169">
        <f>'Entrada datos'!AL169</f>
        <v>0</v>
      </c>
      <c r="AJ169">
        <f>'Entrada datos'!AM169</f>
        <v>0</v>
      </c>
      <c r="AK169" s="17">
        <f t="shared" si="41"/>
        <v>0</v>
      </c>
      <c r="AL169">
        <f>'Entrada datos'!AN169</f>
        <v>0</v>
      </c>
      <c r="AM169">
        <f>'Entrada datos'!AO169</f>
        <v>0</v>
      </c>
      <c r="AN169">
        <f>'Entrada datos'!AP169</f>
        <v>0</v>
      </c>
      <c r="AO169">
        <f>'Entrada datos'!AQ169</f>
        <v>0</v>
      </c>
      <c r="AP169">
        <f>'Entrada datos'!AR169</f>
        <v>0</v>
      </c>
      <c r="AQ169">
        <f>'Entrada datos'!AS169</f>
        <v>0</v>
      </c>
      <c r="AR169" s="17">
        <f t="shared" si="42"/>
        <v>0</v>
      </c>
      <c r="AS169" s="23">
        <f t="shared" si="43"/>
        <v>0</v>
      </c>
      <c r="AT169">
        <f t="shared" si="44"/>
        <v>1900</v>
      </c>
      <c r="AU169" s="41" t="str">
        <f t="shared" si="45"/>
        <v>enero</v>
      </c>
      <c r="AV169">
        <f t="shared" si="46"/>
        <v>0</v>
      </c>
      <c r="AW169">
        <f t="shared" si="47"/>
        <v>0</v>
      </c>
      <c r="AX169" s="24">
        <f t="shared" si="34"/>
        <v>0</v>
      </c>
      <c r="AY169" s="24">
        <f t="shared" si="35"/>
        <v>0</v>
      </c>
      <c r="AZ169" s="24">
        <f t="shared" si="48"/>
        <v>0</v>
      </c>
      <c r="BA169">
        <f t="shared" si="49"/>
        <v>0</v>
      </c>
      <c r="BB169">
        <f t="shared" si="36"/>
        <v>0</v>
      </c>
      <c r="BC169" s="24">
        <f t="shared" si="37"/>
        <v>0</v>
      </c>
      <c r="BD169">
        <f t="shared" si="50"/>
        <v>0</v>
      </c>
    </row>
    <row r="170" spans="1:56" x14ac:dyDescent="0.3">
      <c r="A170">
        <f>'Entrada datos'!A170</f>
        <v>0</v>
      </c>
      <c r="B170">
        <f>'Entrada datos'!B170</f>
        <v>0</v>
      </c>
      <c r="C170">
        <f>'Entrada datos'!C170</f>
        <v>0</v>
      </c>
      <c r="D170">
        <f>'Entrada datos'!D170</f>
        <v>0</v>
      </c>
      <c r="E170" s="18">
        <f>'Entrada datos'!G170</f>
        <v>0</v>
      </c>
      <c r="F170" s="18">
        <f>'Entrada datos'!H170</f>
        <v>0</v>
      </c>
      <c r="G170">
        <f>'Entrada datos'!J170</f>
        <v>0</v>
      </c>
      <c r="H170">
        <f>'Entrada datos'!L170</f>
        <v>0</v>
      </c>
      <c r="I170">
        <f>'Entrada datos'!O170</f>
        <v>0</v>
      </c>
      <c r="J170">
        <f>'Entrada datos'!P170</f>
        <v>0</v>
      </c>
      <c r="K170">
        <f>'Entrada datos'!Q170</f>
        <v>0</v>
      </c>
      <c r="L170">
        <f>'Entrada datos'!R170</f>
        <v>0</v>
      </c>
      <c r="M170">
        <f>'Entrada datos'!S170</f>
        <v>0</v>
      </c>
      <c r="N170">
        <f>'Entrada datos'!T170</f>
        <v>0</v>
      </c>
      <c r="O170">
        <f>'Entrada datos'!U170</f>
        <v>0</v>
      </c>
      <c r="P170" s="17">
        <f t="shared" si="38"/>
        <v>0</v>
      </c>
      <c r="Q170">
        <f>'Entrada datos'!V170</f>
        <v>0</v>
      </c>
      <c r="R170">
        <f>'Entrada datos'!W170</f>
        <v>0</v>
      </c>
      <c r="S170">
        <f>'Entrada datos'!X170</f>
        <v>0</v>
      </c>
      <c r="T170">
        <f>'Entrada datos'!Y170</f>
        <v>0</v>
      </c>
      <c r="U170">
        <f>'Entrada datos'!Z170</f>
        <v>0</v>
      </c>
      <c r="V170">
        <f>'Entrada datos'!AA170</f>
        <v>0</v>
      </c>
      <c r="W170" s="17">
        <f t="shared" si="39"/>
        <v>0</v>
      </c>
      <c r="X170">
        <f>'Entrada datos'!AB170</f>
        <v>0</v>
      </c>
      <c r="Y170">
        <f>'Entrada datos'!AC170</f>
        <v>0</v>
      </c>
      <c r="Z170">
        <f>'Entrada datos'!AD170</f>
        <v>0</v>
      </c>
      <c r="AA170">
        <f>'Entrada datos'!AE170</f>
        <v>0</v>
      </c>
      <c r="AB170">
        <f>'Entrada datos'!AF170</f>
        <v>0</v>
      </c>
      <c r="AC170">
        <f>'Entrada datos'!AG170</f>
        <v>0</v>
      </c>
      <c r="AD170" s="17">
        <f t="shared" si="40"/>
        <v>0</v>
      </c>
      <c r="AE170">
        <f>'Entrada datos'!AH170</f>
        <v>0</v>
      </c>
      <c r="AF170">
        <f>'Entrada datos'!AI170</f>
        <v>0</v>
      </c>
      <c r="AG170">
        <f>'Entrada datos'!AJ170</f>
        <v>0</v>
      </c>
      <c r="AH170">
        <f>'Entrada datos'!AK170</f>
        <v>0</v>
      </c>
      <c r="AI170">
        <f>'Entrada datos'!AL170</f>
        <v>0</v>
      </c>
      <c r="AJ170">
        <f>'Entrada datos'!AM170</f>
        <v>0</v>
      </c>
      <c r="AK170" s="17">
        <f t="shared" si="41"/>
        <v>0</v>
      </c>
      <c r="AL170">
        <f>'Entrada datos'!AN170</f>
        <v>0</v>
      </c>
      <c r="AM170">
        <f>'Entrada datos'!AO170</f>
        <v>0</v>
      </c>
      <c r="AN170">
        <f>'Entrada datos'!AP170</f>
        <v>0</v>
      </c>
      <c r="AO170">
        <f>'Entrada datos'!AQ170</f>
        <v>0</v>
      </c>
      <c r="AP170">
        <f>'Entrada datos'!AR170</f>
        <v>0</v>
      </c>
      <c r="AQ170">
        <f>'Entrada datos'!AS170</f>
        <v>0</v>
      </c>
      <c r="AR170" s="17">
        <f t="shared" si="42"/>
        <v>0</v>
      </c>
      <c r="AS170" s="23">
        <f t="shared" si="43"/>
        <v>0</v>
      </c>
      <c r="AT170">
        <f t="shared" si="44"/>
        <v>1900</v>
      </c>
      <c r="AU170" s="41" t="str">
        <f t="shared" si="45"/>
        <v>enero</v>
      </c>
      <c r="AV170">
        <f t="shared" si="46"/>
        <v>0</v>
      </c>
      <c r="AW170">
        <f t="shared" si="47"/>
        <v>0</v>
      </c>
      <c r="AX170" s="24">
        <f t="shared" si="34"/>
        <v>0</v>
      </c>
      <c r="AY170" s="24">
        <f t="shared" si="35"/>
        <v>0</v>
      </c>
      <c r="AZ170" s="24">
        <f t="shared" si="48"/>
        <v>0</v>
      </c>
      <c r="BA170">
        <f t="shared" si="49"/>
        <v>0</v>
      </c>
      <c r="BB170">
        <f t="shared" si="36"/>
        <v>0</v>
      </c>
      <c r="BC170" s="24">
        <f t="shared" si="37"/>
        <v>0</v>
      </c>
      <c r="BD170">
        <f t="shared" si="50"/>
        <v>0</v>
      </c>
    </row>
    <row r="171" spans="1:56" x14ac:dyDescent="0.3">
      <c r="A171">
        <f>'Entrada datos'!A171</f>
        <v>0</v>
      </c>
      <c r="B171">
        <f>'Entrada datos'!B171</f>
        <v>0</v>
      </c>
      <c r="C171">
        <f>'Entrada datos'!C171</f>
        <v>0</v>
      </c>
      <c r="D171">
        <f>'Entrada datos'!D171</f>
        <v>0</v>
      </c>
      <c r="E171" s="18">
        <f>'Entrada datos'!G171</f>
        <v>0</v>
      </c>
      <c r="F171" s="18">
        <f>'Entrada datos'!H171</f>
        <v>0</v>
      </c>
      <c r="G171">
        <f>'Entrada datos'!J171</f>
        <v>0</v>
      </c>
      <c r="H171">
        <f>'Entrada datos'!L171</f>
        <v>0</v>
      </c>
      <c r="I171">
        <f>'Entrada datos'!O171</f>
        <v>0</v>
      </c>
      <c r="J171">
        <f>'Entrada datos'!P171</f>
        <v>0</v>
      </c>
      <c r="K171">
        <f>'Entrada datos'!Q171</f>
        <v>0</v>
      </c>
      <c r="L171">
        <f>'Entrada datos'!R171</f>
        <v>0</v>
      </c>
      <c r="M171">
        <f>'Entrada datos'!S171</f>
        <v>0</v>
      </c>
      <c r="N171">
        <f>'Entrada datos'!T171</f>
        <v>0</v>
      </c>
      <c r="O171">
        <f>'Entrada datos'!U171</f>
        <v>0</v>
      </c>
      <c r="P171" s="17">
        <f t="shared" si="38"/>
        <v>0</v>
      </c>
      <c r="Q171">
        <f>'Entrada datos'!V171</f>
        <v>0</v>
      </c>
      <c r="R171">
        <f>'Entrada datos'!W171</f>
        <v>0</v>
      </c>
      <c r="S171">
        <f>'Entrada datos'!X171</f>
        <v>0</v>
      </c>
      <c r="T171">
        <f>'Entrada datos'!Y171</f>
        <v>0</v>
      </c>
      <c r="U171">
        <f>'Entrada datos'!Z171</f>
        <v>0</v>
      </c>
      <c r="V171">
        <f>'Entrada datos'!AA171</f>
        <v>0</v>
      </c>
      <c r="W171" s="17">
        <f t="shared" si="39"/>
        <v>0</v>
      </c>
      <c r="X171">
        <f>'Entrada datos'!AB171</f>
        <v>0</v>
      </c>
      <c r="Y171">
        <f>'Entrada datos'!AC171</f>
        <v>0</v>
      </c>
      <c r="Z171">
        <f>'Entrada datos'!AD171</f>
        <v>0</v>
      </c>
      <c r="AA171">
        <f>'Entrada datos'!AE171</f>
        <v>0</v>
      </c>
      <c r="AB171">
        <f>'Entrada datos'!AF171</f>
        <v>0</v>
      </c>
      <c r="AC171">
        <f>'Entrada datos'!AG171</f>
        <v>0</v>
      </c>
      <c r="AD171" s="17">
        <f t="shared" si="40"/>
        <v>0</v>
      </c>
      <c r="AE171">
        <f>'Entrada datos'!AH171</f>
        <v>0</v>
      </c>
      <c r="AF171">
        <f>'Entrada datos'!AI171</f>
        <v>0</v>
      </c>
      <c r="AG171">
        <f>'Entrada datos'!AJ171</f>
        <v>0</v>
      </c>
      <c r="AH171">
        <f>'Entrada datos'!AK171</f>
        <v>0</v>
      </c>
      <c r="AI171">
        <f>'Entrada datos'!AL171</f>
        <v>0</v>
      </c>
      <c r="AJ171">
        <f>'Entrada datos'!AM171</f>
        <v>0</v>
      </c>
      <c r="AK171" s="17">
        <f t="shared" si="41"/>
        <v>0</v>
      </c>
      <c r="AL171">
        <f>'Entrada datos'!AN171</f>
        <v>0</v>
      </c>
      <c r="AM171">
        <f>'Entrada datos'!AO171</f>
        <v>0</v>
      </c>
      <c r="AN171">
        <f>'Entrada datos'!AP171</f>
        <v>0</v>
      </c>
      <c r="AO171">
        <f>'Entrada datos'!AQ171</f>
        <v>0</v>
      </c>
      <c r="AP171">
        <f>'Entrada datos'!AR171</f>
        <v>0</v>
      </c>
      <c r="AQ171">
        <f>'Entrada datos'!AS171</f>
        <v>0</v>
      </c>
      <c r="AR171" s="17">
        <f t="shared" si="42"/>
        <v>0</v>
      </c>
      <c r="AS171" s="23">
        <f t="shared" si="43"/>
        <v>0</v>
      </c>
      <c r="AT171">
        <f t="shared" si="44"/>
        <v>1900</v>
      </c>
      <c r="AU171" s="41" t="str">
        <f t="shared" si="45"/>
        <v>enero</v>
      </c>
      <c r="AV171">
        <f t="shared" si="46"/>
        <v>0</v>
      </c>
      <c r="AW171">
        <f t="shared" si="47"/>
        <v>0</v>
      </c>
      <c r="AX171" s="24">
        <f t="shared" si="34"/>
        <v>0</v>
      </c>
      <c r="AY171" s="24">
        <f t="shared" si="35"/>
        <v>0</v>
      </c>
      <c r="AZ171" s="24">
        <f t="shared" si="48"/>
        <v>0</v>
      </c>
      <c r="BA171">
        <f t="shared" si="49"/>
        <v>0</v>
      </c>
      <c r="BB171">
        <f t="shared" si="36"/>
        <v>0</v>
      </c>
      <c r="BC171" s="24">
        <f t="shared" si="37"/>
        <v>0</v>
      </c>
      <c r="BD171">
        <f t="shared" si="50"/>
        <v>0</v>
      </c>
    </row>
    <row r="172" spans="1:56" x14ac:dyDescent="0.3">
      <c r="A172">
        <f>'Entrada datos'!A172</f>
        <v>0</v>
      </c>
      <c r="B172">
        <f>'Entrada datos'!B172</f>
        <v>0</v>
      </c>
      <c r="C172">
        <f>'Entrada datos'!C172</f>
        <v>0</v>
      </c>
      <c r="D172">
        <f>'Entrada datos'!D172</f>
        <v>0</v>
      </c>
      <c r="E172" s="18">
        <f>'Entrada datos'!G172</f>
        <v>0</v>
      </c>
      <c r="F172" s="18">
        <f>'Entrada datos'!H172</f>
        <v>0</v>
      </c>
      <c r="G172">
        <f>'Entrada datos'!J172</f>
        <v>0</v>
      </c>
      <c r="H172">
        <f>'Entrada datos'!L172</f>
        <v>0</v>
      </c>
      <c r="I172">
        <f>'Entrada datos'!O172</f>
        <v>0</v>
      </c>
      <c r="J172">
        <f>'Entrada datos'!P172</f>
        <v>0</v>
      </c>
      <c r="K172">
        <f>'Entrada datos'!Q172</f>
        <v>0</v>
      </c>
      <c r="L172">
        <f>'Entrada datos'!R172</f>
        <v>0</v>
      </c>
      <c r="M172">
        <f>'Entrada datos'!S172</f>
        <v>0</v>
      </c>
      <c r="N172">
        <f>'Entrada datos'!T172</f>
        <v>0</v>
      </c>
      <c r="O172">
        <f>'Entrada datos'!U172</f>
        <v>0</v>
      </c>
      <c r="P172" s="17">
        <f t="shared" si="38"/>
        <v>0</v>
      </c>
      <c r="Q172">
        <f>'Entrada datos'!V172</f>
        <v>0</v>
      </c>
      <c r="R172">
        <f>'Entrada datos'!W172</f>
        <v>0</v>
      </c>
      <c r="S172">
        <f>'Entrada datos'!X172</f>
        <v>0</v>
      </c>
      <c r="T172">
        <f>'Entrada datos'!Y172</f>
        <v>0</v>
      </c>
      <c r="U172">
        <f>'Entrada datos'!Z172</f>
        <v>0</v>
      </c>
      <c r="V172">
        <f>'Entrada datos'!AA172</f>
        <v>0</v>
      </c>
      <c r="W172" s="17">
        <f t="shared" si="39"/>
        <v>0</v>
      </c>
      <c r="X172">
        <f>'Entrada datos'!AB172</f>
        <v>0</v>
      </c>
      <c r="Y172">
        <f>'Entrada datos'!AC172</f>
        <v>0</v>
      </c>
      <c r="Z172">
        <f>'Entrada datos'!AD172</f>
        <v>0</v>
      </c>
      <c r="AA172">
        <f>'Entrada datos'!AE172</f>
        <v>0</v>
      </c>
      <c r="AB172">
        <f>'Entrada datos'!AF172</f>
        <v>0</v>
      </c>
      <c r="AC172">
        <f>'Entrada datos'!AG172</f>
        <v>0</v>
      </c>
      <c r="AD172" s="17">
        <f t="shared" si="40"/>
        <v>0</v>
      </c>
      <c r="AE172">
        <f>'Entrada datos'!AH172</f>
        <v>0</v>
      </c>
      <c r="AF172">
        <f>'Entrada datos'!AI172</f>
        <v>0</v>
      </c>
      <c r="AG172">
        <f>'Entrada datos'!AJ172</f>
        <v>0</v>
      </c>
      <c r="AH172">
        <f>'Entrada datos'!AK172</f>
        <v>0</v>
      </c>
      <c r="AI172">
        <f>'Entrada datos'!AL172</f>
        <v>0</v>
      </c>
      <c r="AJ172">
        <f>'Entrada datos'!AM172</f>
        <v>0</v>
      </c>
      <c r="AK172" s="17">
        <f t="shared" si="41"/>
        <v>0</v>
      </c>
      <c r="AL172">
        <f>'Entrada datos'!AN172</f>
        <v>0</v>
      </c>
      <c r="AM172">
        <f>'Entrada datos'!AO172</f>
        <v>0</v>
      </c>
      <c r="AN172">
        <f>'Entrada datos'!AP172</f>
        <v>0</v>
      </c>
      <c r="AO172">
        <f>'Entrada datos'!AQ172</f>
        <v>0</v>
      </c>
      <c r="AP172">
        <f>'Entrada datos'!AR172</f>
        <v>0</v>
      </c>
      <c r="AQ172">
        <f>'Entrada datos'!AS172</f>
        <v>0</v>
      </c>
      <c r="AR172" s="17">
        <f t="shared" si="42"/>
        <v>0</v>
      </c>
      <c r="AS172" s="23">
        <f t="shared" si="43"/>
        <v>0</v>
      </c>
      <c r="AT172">
        <f t="shared" si="44"/>
        <v>1900</v>
      </c>
      <c r="AU172" s="41" t="str">
        <f t="shared" si="45"/>
        <v>enero</v>
      </c>
      <c r="AV172">
        <f t="shared" si="46"/>
        <v>0</v>
      </c>
      <c r="AW172">
        <f t="shared" si="47"/>
        <v>0</v>
      </c>
      <c r="AX172" s="24">
        <f t="shared" si="34"/>
        <v>0</v>
      </c>
      <c r="AY172" s="24">
        <f t="shared" si="35"/>
        <v>0</v>
      </c>
      <c r="AZ172" s="24">
        <f t="shared" si="48"/>
        <v>0</v>
      </c>
      <c r="BA172">
        <f t="shared" si="49"/>
        <v>0</v>
      </c>
      <c r="BB172">
        <f t="shared" si="36"/>
        <v>0</v>
      </c>
      <c r="BC172" s="24">
        <f t="shared" si="37"/>
        <v>0</v>
      </c>
      <c r="BD172">
        <f t="shared" si="50"/>
        <v>0</v>
      </c>
    </row>
    <row r="173" spans="1:56" x14ac:dyDescent="0.3">
      <c r="A173">
        <f>'Entrada datos'!A173</f>
        <v>0</v>
      </c>
      <c r="B173">
        <f>'Entrada datos'!B173</f>
        <v>0</v>
      </c>
      <c r="C173">
        <f>'Entrada datos'!C173</f>
        <v>0</v>
      </c>
      <c r="D173">
        <f>'Entrada datos'!D173</f>
        <v>0</v>
      </c>
      <c r="E173" s="18">
        <f>'Entrada datos'!G173</f>
        <v>0</v>
      </c>
      <c r="F173" s="18">
        <f>'Entrada datos'!H173</f>
        <v>0</v>
      </c>
      <c r="G173">
        <f>'Entrada datos'!J173</f>
        <v>0</v>
      </c>
      <c r="H173">
        <f>'Entrada datos'!L173</f>
        <v>0</v>
      </c>
      <c r="I173">
        <f>'Entrada datos'!O173</f>
        <v>0</v>
      </c>
      <c r="J173">
        <f>'Entrada datos'!P173</f>
        <v>0</v>
      </c>
      <c r="K173">
        <f>'Entrada datos'!Q173</f>
        <v>0</v>
      </c>
      <c r="L173">
        <f>'Entrada datos'!R173</f>
        <v>0</v>
      </c>
      <c r="M173">
        <f>'Entrada datos'!S173</f>
        <v>0</v>
      </c>
      <c r="N173">
        <f>'Entrada datos'!T173</f>
        <v>0</v>
      </c>
      <c r="O173">
        <f>'Entrada datos'!U173</f>
        <v>0</v>
      </c>
      <c r="P173" s="17">
        <f t="shared" si="38"/>
        <v>0</v>
      </c>
      <c r="Q173">
        <f>'Entrada datos'!V173</f>
        <v>0</v>
      </c>
      <c r="R173">
        <f>'Entrada datos'!W173</f>
        <v>0</v>
      </c>
      <c r="S173">
        <f>'Entrada datos'!X173</f>
        <v>0</v>
      </c>
      <c r="T173">
        <f>'Entrada datos'!Y173</f>
        <v>0</v>
      </c>
      <c r="U173">
        <f>'Entrada datos'!Z173</f>
        <v>0</v>
      </c>
      <c r="V173">
        <f>'Entrada datos'!AA173</f>
        <v>0</v>
      </c>
      <c r="W173" s="17">
        <f t="shared" si="39"/>
        <v>0</v>
      </c>
      <c r="X173">
        <f>'Entrada datos'!AB173</f>
        <v>0</v>
      </c>
      <c r="Y173">
        <f>'Entrada datos'!AC173</f>
        <v>0</v>
      </c>
      <c r="Z173">
        <f>'Entrada datos'!AD173</f>
        <v>0</v>
      </c>
      <c r="AA173">
        <f>'Entrada datos'!AE173</f>
        <v>0</v>
      </c>
      <c r="AB173">
        <f>'Entrada datos'!AF173</f>
        <v>0</v>
      </c>
      <c r="AC173">
        <f>'Entrada datos'!AG173</f>
        <v>0</v>
      </c>
      <c r="AD173" s="17">
        <f t="shared" si="40"/>
        <v>0</v>
      </c>
      <c r="AE173">
        <f>'Entrada datos'!AH173</f>
        <v>0</v>
      </c>
      <c r="AF173">
        <f>'Entrada datos'!AI173</f>
        <v>0</v>
      </c>
      <c r="AG173">
        <f>'Entrada datos'!AJ173</f>
        <v>0</v>
      </c>
      <c r="AH173">
        <f>'Entrada datos'!AK173</f>
        <v>0</v>
      </c>
      <c r="AI173">
        <f>'Entrada datos'!AL173</f>
        <v>0</v>
      </c>
      <c r="AJ173">
        <f>'Entrada datos'!AM173</f>
        <v>0</v>
      </c>
      <c r="AK173" s="17">
        <f t="shared" si="41"/>
        <v>0</v>
      </c>
      <c r="AL173">
        <f>'Entrada datos'!AN173</f>
        <v>0</v>
      </c>
      <c r="AM173">
        <f>'Entrada datos'!AO173</f>
        <v>0</v>
      </c>
      <c r="AN173">
        <f>'Entrada datos'!AP173</f>
        <v>0</v>
      </c>
      <c r="AO173">
        <f>'Entrada datos'!AQ173</f>
        <v>0</v>
      </c>
      <c r="AP173">
        <f>'Entrada datos'!AR173</f>
        <v>0</v>
      </c>
      <c r="AQ173">
        <f>'Entrada datos'!AS173</f>
        <v>0</v>
      </c>
      <c r="AR173" s="17">
        <f t="shared" si="42"/>
        <v>0</v>
      </c>
      <c r="AS173" s="23">
        <f t="shared" si="43"/>
        <v>0</v>
      </c>
      <c r="AT173">
        <f t="shared" si="44"/>
        <v>1900</v>
      </c>
      <c r="AU173" s="41" t="str">
        <f t="shared" si="45"/>
        <v>enero</v>
      </c>
      <c r="AV173">
        <f t="shared" si="46"/>
        <v>0</v>
      </c>
      <c r="AW173">
        <f t="shared" si="47"/>
        <v>0</v>
      </c>
      <c r="AX173" s="24">
        <f t="shared" si="34"/>
        <v>0</v>
      </c>
      <c r="AY173" s="24">
        <f t="shared" si="35"/>
        <v>0</v>
      </c>
      <c r="AZ173" s="24">
        <f t="shared" si="48"/>
        <v>0</v>
      </c>
      <c r="BA173">
        <f t="shared" si="49"/>
        <v>0</v>
      </c>
      <c r="BB173">
        <f t="shared" si="36"/>
        <v>0</v>
      </c>
      <c r="BC173" s="24">
        <f t="shared" si="37"/>
        <v>0</v>
      </c>
      <c r="BD173">
        <f t="shared" si="50"/>
        <v>0</v>
      </c>
    </row>
    <row r="174" spans="1:56" x14ac:dyDescent="0.3">
      <c r="A174">
        <f>'Entrada datos'!A174</f>
        <v>0</v>
      </c>
      <c r="B174">
        <f>'Entrada datos'!B174</f>
        <v>0</v>
      </c>
      <c r="C174">
        <f>'Entrada datos'!C174</f>
        <v>0</v>
      </c>
      <c r="D174">
        <f>'Entrada datos'!D174</f>
        <v>0</v>
      </c>
      <c r="E174" s="18">
        <f>'Entrada datos'!G174</f>
        <v>0</v>
      </c>
      <c r="F174" s="18">
        <f>'Entrada datos'!H174</f>
        <v>0</v>
      </c>
      <c r="G174">
        <f>'Entrada datos'!J174</f>
        <v>0</v>
      </c>
      <c r="H174">
        <f>'Entrada datos'!L174</f>
        <v>0</v>
      </c>
      <c r="I174">
        <f>'Entrada datos'!O174</f>
        <v>0</v>
      </c>
      <c r="J174">
        <f>'Entrada datos'!P174</f>
        <v>0</v>
      </c>
      <c r="K174">
        <f>'Entrada datos'!Q174</f>
        <v>0</v>
      </c>
      <c r="L174">
        <f>'Entrada datos'!R174</f>
        <v>0</v>
      </c>
      <c r="M174">
        <f>'Entrada datos'!S174</f>
        <v>0</v>
      </c>
      <c r="N174">
        <f>'Entrada datos'!T174</f>
        <v>0</v>
      </c>
      <c r="O174">
        <f>'Entrada datos'!U174</f>
        <v>0</v>
      </c>
      <c r="P174" s="17">
        <f t="shared" si="38"/>
        <v>0</v>
      </c>
      <c r="Q174">
        <f>'Entrada datos'!V174</f>
        <v>0</v>
      </c>
      <c r="R174">
        <f>'Entrada datos'!W174</f>
        <v>0</v>
      </c>
      <c r="S174">
        <f>'Entrada datos'!X174</f>
        <v>0</v>
      </c>
      <c r="T174">
        <f>'Entrada datos'!Y174</f>
        <v>0</v>
      </c>
      <c r="U174">
        <f>'Entrada datos'!Z174</f>
        <v>0</v>
      </c>
      <c r="V174">
        <f>'Entrada datos'!AA174</f>
        <v>0</v>
      </c>
      <c r="W174" s="17">
        <f t="shared" si="39"/>
        <v>0</v>
      </c>
      <c r="X174">
        <f>'Entrada datos'!AB174</f>
        <v>0</v>
      </c>
      <c r="Y174">
        <f>'Entrada datos'!AC174</f>
        <v>0</v>
      </c>
      <c r="Z174">
        <f>'Entrada datos'!AD174</f>
        <v>0</v>
      </c>
      <c r="AA174">
        <f>'Entrada datos'!AE174</f>
        <v>0</v>
      </c>
      <c r="AB174">
        <f>'Entrada datos'!AF174</f>
        <v>0</v>
      </c>
      <c r="AC174">
        <f>'Entrada datos'!AG174</f>
        <v>0</v>
      </c>
      <c r="AD174" s="17">
        <f t="shared" si="40"/>
        <v>0</v>
      </c>
      <c r="AE174">
        <f>'Entrada datos'!AH174</f>
        <v>0</v>
      </c>
      <c r="AF174">
        <f>'Entrada datos'!AI174</f>
        <v>0</v>
      </c>
      <c r="AG174">
        <f>'Entrada datos'!AJ174</f>
        <v>0</v>
      </c>
      <c r="AH174">
        <f>'Entrada datos'!AK174</f>
        <v>0</v>
      </c>
      <c r="AI174">
        <f>'Entrada datos'!AL174</f>
        <v>0</v>
      </c>
      <c r="AJ174">
        <f>'Entrada datos'!AM174</f>
        <v>0</v>
      </c>
      <c r="AK174" s="17">
        <f t="shared" si="41"/>
        <v>0</v>
      </c>
      <c r="AL174">
        <f>'Entrada datos'!AN174</f>
        <v>0</v>
      </c>
      <c r="AM174">
        <f>'Entrada datos'!AO174</f>
        <v>0</v>
      </c>
      <c r="AN174">
        <f>'Entrada datos'!AP174</f>
        <v>0</v>
      </c>
      <c r="AO174">
        <f>'Entrada datos'!AQ174</f>
        <v>0</v>
      </c>
      <c r="AP174">
        <f>'Entrada datos'!AR174</f>
        <v>0</v>
      </c>
      <c r="AQ174">
        <f>'Entrada datos'!AS174</f>
        <v>0</v>
      </c>
      <c r="AR174" s="17">
        <f t="shared" si="42"/>
        <v>0</v>
      </c>
      <c r="AS174" s="23">
        <f t="shared" si="43"/>
        <v>0</v>
      </c>
      <c r="AT174">
        <f t="shared" si="44"/>
        <v>1900</v>
      </c>
      <c r="AU174" s="41" t="str">
        <f t="shared" si="45"/>
        <v>enero</v>
      </c>
      <c r="AV174">
        <f t="shared" si="46"/>
        <v>0</v>
      </c>
      <c r="AW174">
        <f t="shared" si="47"/>
        <v>0</v>
      </c>
      <c r="AX174" s="24">
        <f t="shared" si="34"/>
        <v>0</v>
      </c>
      <c r="AY174" s="24">
        <f t="shared" si="35"/>
        <v>0</v>
      </c>
      <c r="AZ174" s="24">
        <f t="shared" si="48"/>
        <v>0</v>
      </c>
      <c r="BA174">
        <f t="shared" si="49"/>
        <v>0</v>
      </c>
      <c r="BB174">
        <f t="shared" si="36"/>
        <v>0</v>
      </c>
      <c r="BC174" s="24">
        <f t="shared" si="37"/>
        <v>0</v>
      </c>
      <c r="BD174">
        <f t="shared" si="50"/>
        <v>0</v>
      </c>
    </row>
    <row r="175" spans="1:56" x14ac:dyDescent="0.3">
      <c r="A175">
        <f>'Entrada datos'!A175</f>
        <v>0</v>
      </c>
      <c r="B175">
        <f>'Entrada datos'!B175</f>
        <v>0</v>
      </c>
      <c r="C175">
        <f>'Entrada datos'!C175</f>
        <v>0</v>
      </c>
      <c r="D175">
        <f>'Entrada datos'!D175</f>
        <v>0</v>
      </c>
      <c r="E175" s="18">
        <f>'Entrada datos'!G175</f>
        <v>0</v>
      </c>
      <c r="F175" s="18">
        <f>'Entrada datos'!H175</f>
        <v>0</v>
      </c>
      <c r="G175">
        <f>'Entrada datos'!J175</f>
        <v>0</v>
      </c>
      <c r="H175">
        <f>'Entrada datos'!L175</f>
        <v>0</v>
      </c>
      <c r="I175">
        <f>'Entrada datos'!O175</f>
        <v>0</v>
      </c>
      <c r="J175">
        <f>'Entrada datos'!P175</f>
        <v>0</v>
      </c>
      <c r="K175">
        <f>'Entrada datos'!Q175</f>
        <v>0</v>
      </c>
      <c r="L175">
        <f>'Entrada datos'!R175</f>
        <v>0</v>
      </c>
      <c r="M175">
        <f>'Entrada datos'!S175</f>
        <v>0</v>
      </c>
      <c r="N175">
        <f>'Entrada datos'!T175</f>
        <v>0</v>
      </c>
      <c r="O175">
        <f>'Entrada datos'!U175</f>
        <v>0</v>
      </c>
      <c r="P175" s="17">
        <f t="shared" si="38"/>
        <v>0</v>
      </c>
      <c r="Q175">
        <f>'Entrada datos'!V175</f>
        <v>0</v>
      </c>
      <c r="R175">
        <f>'Entrada datos'!W175</f>
        <v>0</v>
      </c>
      <c r="S175">
        <f>'Entrada datos'!X175</f>
        <v>0</v>
      </c>
      <c r="T175">
        <f>'Entrada datos'!Y175</f>
        <v>0</v>
      </c>
      <c r="U175">
        <f>'Entrada datos'!Z175</f>
        <v>0</v>
      </c>
      <c r="V175">
        <f>'Entrada datos'!AA175</f>
        <v>0</v>
      </c>
      <c r="W175" s="17">
        <f t="shared" si="39"/>
        <v>0</v>
      </c>
      <c r="X175">
        <f>'Entrada datos'!AB175</f>
        <v>0</v>
      </c>
      <c r="Y175">
        <f>'Entrada datos'!AC175</f>
        <v>0</v>
      </c>
      <c r="Z175">
        <f>'Entrada datos'!AD175</f>
        <v>0</v>
      </c>
      <c r="AA175">
        <f>'Entrada datos'!AE175</f>
        <v>0</v>
      </c>
      <c r="AB175">
        <f>'Entrada datos'!AF175</f>
        <v>0</v>
      </c>
      <c r="AC175">
        <f>'Entrada datos'!AG175</f>
        <v>0</v>
      </c>
      <c r="AD175" s="17">
        <f t="shared" si="40"/>
        <v>0</v>
      </c>
      <c r="AE175">
        <f>'Entrada datos'!AH175</f>
        <v>0</v>
      </c>
      <c r="AF175">
        <f>'Entrada datos'!AI175</f>
        <v>0</v>
      </c>
      <c r="AG175">
        <f>'Entrada datos'!AJ175</f>
        <v>0</v>
      </c>
      <c r="AH175">
        <f>'Entrada datos'!AK175</f>
        <v>0</v>
      </c>
      <c r="AI175">
        <f>'Entrada datos'!AL175</f>
        <v>0</v>
      </c>
      <c r="AJ175">
        <f>'Entrada datos'!AM175</f>
        <v>0</v>
      </c>
      <c r="AK175" s="17">
        <f t="shared" si="41"/>
        <v>0</v>
      </c>
      <c r="AL175">
        <f>'Entrada datos'!AN175</f>
        <v>0</v>
      </c>
      <c r="AM175">
        <f>'Entrada datos'!AO175</f>
        <v>0</v>
      </c>
      <c r="AN175">
        <f>'Entrada datos'!AP175</f>
        <v>0</v>
      </c>
      <c r="AO175">
        <f>'Entrada datos'!AQ175</f>
        <v>0</v>
      </c>
      <c r="AP175">
        <f>'Entrada datos'!AR175</f>
        <v>0</v>
      </c>
      <c r="AQ175">
        <f>'Entrada datos'!AS175</f>
        <v>0</v>
      </c>
      <c r="AR175" s="17">
        <f t="shared" si="42"/>
        <v>0</v>
      </c>
      <c r="AS175" s="23">
        <f t="shared" si="43"/>
        <v>0</v>
      </c>
      <c r="AT175">
        <f t="shared" si="44"/>
        <v>1900</v>
      </c>
      <c r="AU175" s="41" t="str">
        <f t="shared" si="45"/>
        <v>enero</v>
      </c>
      <c r="AV175">
        <f t="shared" si="46"/>
        <v>0</v>
      </c>
      <c r="AW175">
        <f t="shared" si="47"/>
        <v>0</v>
      </c>
      <c r="AX175" s="24">
        <f t="shared" si="34"/>
        <v>0</v>
      </c>
      <c r="AY175" s="24">
        <f t="shared" si="35"/>
        <v>0</v>
      </c>
      <c r="AZ175" s="24">
        <f t="shared" si="48"/>
        <v>0</v>
      </c>
      <c r="BA175">
        <f t="shared" si="49"/>
        <v>0</v>
      </c>
      <c r="BB175">
        <f t="shared" si="36"/>
        <v>0</v>
      </c>
      <c r="BC175" s="24">
        <f t="shared" si="37"/>
        <v>0</v>
      </c>
      <c r="BD175">
        <f t="shared" si="50"/>
        <v>0</v>
      </c>
    </row>
    <row r="176" spans="1:56" x14ac:dyDescent="0.3">
      <c r="A176">
        <f>'Entrada datos'!A176</f>
        <v>0</v>
      </c>
      <c r="B176">
        <f>'Entrada datos'!B176</f>
        <v>0</v>
      </c>
      <c r="C176">
        <f>'Entrada datos'!C176</f>
        <v>0</v>
      </c>
      <c r="D176">
        <f>'Entrada datos'!D176</f>
        <v>0</v>
      </c>
      <c r="E176" s="18">
        <f>'Entrada datos'!G176</f>
        <v>0</v>
      </c>
      <c r="F176" s="18">
        <f>'Entrada datos'!H176</f>
        <v>0</v>
      </c>
      <c r="G176">
        <f>'Entrada datos'!J176</f>
        <v>0</v>
      </c>
      <c r="H176">
        <f>'Entrada datos'!L176</f>
        <v>0</v>
      </c>
      <c r="I176">
        <f>'Entrada datos'!O176</f>
        <v>0</v>
      </c>
      <c r="J176">
        <f>'Entrada datos'!P176</f>
        <v>0</v>
      </c>
      <c r="K176">
        <f>'Entrada datos'!Q176</f>
        <v>0</v>
      </c>
      <c r="L176">
        <f>'Entrada datos'!R176</f>
        <v>0</v>
      </c>
      <c r="M176">
        <f>'Entrada datos'!S176</f>
        <v>0</v>
      </c>
      <c r="N176">
        <f>'Entrada datos'!T176</f>
        <v>0</v>
      </c>
      <c r="O176">
        <f>'Entrada datos'!U176</f>
        <v>0</v>
      </c>
      <c r="P176" s="17">
        <f t="shared" si="38"/>
        <v>0</v>
      </c>
      <c r="Q176">
        <f>'Entrada datos'!V176</f>
        <v>0</v>
      </c>
      <c r="R176">
        <f>'Entrada datos'!W176</f>
        <v>0</v>
      </c>
      <c r="S176">
        <f>'Entrada datos'!X176</f>
        <v>0</v>
      </c>
      <c r="T176">
        <f>'Entrada datos'!Y176</f>
        <v>0</v>
      </c>
      <c r="U176">
        <f>'Entrada datos'!Z176</f>
        <v>0</v>
      </c>
      <c r="V176">
        <f>'Entrada datos'!AA176</f>
        <v>0</v>
      </c>
      <c r="W176" s="17">
        <f t="shared" si="39"/>
        <v>0</v>
      </c>
      <c r="X176">
        <f>'Entrada datos'!AB176</f>
        <v>0</v>
      </c>
      <c r="Y176">
        <f>'Entrada datos'!AC176</f>
        <v>0</v>
      </c>
      <c r="Z176">
        <f>'Entrada datos'!AD176</f>
        <v>0</v>
      </c>
      <c r="AA176">
        <f>'Entrada datos'!AE176</f>
        <v>0</v>
      </c>
      <c r="AB176">
        <f>'Entrada datos'!AF176</f>
        <v>0</v>
      </c>
      <c r="AC176">
        <f>'Entrada datos'!AG176</f>
        <v>0</v>
      </c>
      <c r="AD176" s="17">
        <f t="shared" si="40"/>
        <v>0</v>
      </c>
      <c r="AE176">
        <f>'Entrada datos'!AH176</f>
        <v>0</v>
      </c>
      <c r="AF176">
        <f>'Entrada datos'!AI176</f>
        <v>0</v>
      </c>
      <c r="AG176">
        <f>'Entrada datos'!AJ176</f>
        <v>0</v>
      </c>
      <c r="AH176">
        <f>'Entrada datos'!AK176</f>
        <v>0</v>
      </c>
      <c r="AI176">
        <f>'Entrada datos'!AL176</f>
        <v>0</v>
      </c>
      <c r="AJ176">
        <f>'Entrada datos'!AM176</f>
        <v>0</v>
      </c>
      <c r="AK176" s="17">
        <f t="shared" si="41"/>
        <v>0</v>
      </c>
      <c r="AL176">
        <f>'Entrada datos'!AN176</f>
        <v>0</v>
      </c>
      <c r="AM176">
        <f>'Entrada datos'!AO176</f>
        <v>0</v>
      </c>
      <c r="AN176">
        <f>'Entrada datos'!AP176</f>
        <v>0</v>
      </c>
      <c r="AO176">
        <f>'Entrada datos'!AQ176</f>
        <v>0</v>
      </c>
      <c r="AP176">
        <f>'Entrada datos'!AR176</f>
        <v>0</v>
      </c>
      <c r="AQ176">
        <f>'Entrada datos'!AS176</f>
        <v>0</v>
      </c>
      <c r="AR176" s="17">
        <f t="shared" si="42"/>
        <v>0</v>
      </c>
      <c r="AS176" s="23">
        <f t="shared" si="43"/>
        <v>0</v>
      </c>
      <c r="AT176">
        <f t="shared" si="44"/>
        <v>1900</v>
      </c>
      <c r="AU176" s="41" t="str">
        <f t="shared" si="45"/>
        <v>enero</v>
      </c>
      <c r="AV176">
        <f t="shared" si="46"/>
        <v>0</v>
      </c>
      <c r="AW176">
        <f t="shared" si="47"/>
        <v>0</v>
      </c>
      <c r="AX176" s="24">
        <f t="shared" si="34"/>
        <v>0</v>
      </c>
      <c r="AY176" s="24">
        <f t="shared" si="35"/>
        <v>0</v>
      </c>
      <c r="AZ176" s="24">
        <f t="shared" si="48"/>
        <v>0</v>
      </c>
      <c r="BA176">
        <f t="shared" si="49"/>
        <v>0</v>
      </c>
      <c r="BB176">
        <f t="shared" si="36"/>
        <v>0</v>
      </c>
      <c r="BC176" s="24">
        <f t="shared" si="37"/>
        <v>0</v>
      </c>
      <c r="BD176">
        <f t="shared" si="50"/>
        <v>0</v>
      </c>
    </row>
    <row r="177" spans="1:56" x14ac:dyDescent="0.3">
      <c r="A177">
        <f>'Entrada datos'!A177</f>
        <v>0</v>
      </c>
      <c r="B177">
        <f>'Entrada datos'!B177</f>
        <v>0</v>
      </c>
      <c r="C177">
        <f>'Entrada datos'!C177</f>
        <v>0</v>
      </c>
      <c r="D177">
        <f>'Entrada datos'!D177</f>
        <v>0</v>
      </c>
      <c r="E177" s="18">
        <f>'Entrada datos'!G177</f>
        <v>0</v>
      </c>
      <c r="F177" s="18">
        <f>'Entrada datos'!H177</f>
        <v>0</v>
      </c>
      <c r="G177">
        <f>'Entrada datos'!J177</f>
        <v>0</v>
      </c>
      <c r="H177">
        <f>'Entrada datos'!L177</f>
        <v>0</v>
      </c>
      <c r="I177">
        <f>'Entrada datos'!O177</f>
        <v>0</v>
      </c>
      <c r="J177">
        <f>'Entrada datos'!P177</f>
        <v>0</v>
      </c>
      <c r="K177">
        <f>'Entrada datos'!Q177</f>
        <v>0</v>
      </c>
      <c r="L177">
        <f>'Entrada datos'!R177</f>
        <v>0</v>
      </c>
      <c r="M177">
        <f>'Entrada datos'!S177</f>
        <v>0</v>
      </c>
      <c r="N177">
        <f>'Entrada datos'!T177</f>
        <v>0</v>
      </c>
      <c r="O177">
        <f>'Entrada datos'!U177</f>
        <v>0</v>
      </c>
      <c r="P177" s="17">
        <f t="shared" si="38"/>
        <v>0</v>
      </c>
      <c r="Q177">
        <f>'Entrada datos'!V177</f>
        <v>0</v>
      </c>
      <c r="R177">
        <f>'Entrada datos'!W177</f>
        <v>0</v>
      </c>
      <c r="S177">
        <f>'Entrada datos'!X177</f>
        <v>0</v>
      </c>
      <c r="T177">
        <f>'Entrada datos'!Y177</f>
        <v>0</v>
      </c>
      <c r="U177">
        <f>'Entrada datos'!Z177</f>
        <v>0</v>
      </c>
      <c r="V177">
        <f>'Entrada datos'!AA177</f>
        <v>0</v>
      </c>
      <c r="W177" s="17">
        <f t="shared" si="39"/>
        <v>0</v>
      </c>
      <c r="X177">
        <f>'Entrada datos'!AB177</f>
        <v>0</v>
      </c>
      <c r="Y177">
        <f>'Entrada datos'!AC177</f>
        <v>0</v>
      </c>
      <c r="Z177">
        <f>'Entrada datos'!AD177</f>
        <v>0</v>
      </c>
      <c r="AA177">
        <f>'Entrada datos'!AE177</f>
        <v>0</v>
      </c>
      <c r="AB177">
        <f>'Entrada datos'!AF177</f>
        <v>0</v>
      </c>
      <c r="AC177">
        <f>'Entrada datos'!AG177</f>
        <v>0</v>
      </c>
      <c r="AD177" s="17">
        <f t="shared" si="40"/>
        <v>0</v>
      </c>
      <c r="AE177">
        <f>'Entrada datos'!AH177</f>
        <v>0</v>
      </c>
      <c r="AF177">
        <f>'Entrada datos'!AI177</f>
        <v>0</v>
      </c>
      <c r="AG177">
        <f>'Entrada datos'!AJ177</f>
        <v>0</v>
      </c>
      <c r="AH177">
        <f>'Entrada datos'!AK177</f>
        <v>0</v>
      </c>
      <c r="AI177">
        <f>'Entrada datos'!AL177</f>
        <v>0</v>
      </c>
      <c r="AJ177">
        <f>'Entrada datos'!AM177</f>
        <v>0</v>
      </c>
      <c r="AK177" s="17">
        <f t="shared" si="41"/>
        <v>0</v>
      </c>
      <c r="AL177">
        <f>'Entrada datos'!AN177</f>
        <v>0</v>
      </c>
      <c r="AM177">
        <f>'Entrada datos'!AO177</f>
        <v>0</v>
      </c>
      <c r="AN177">
        <f>'Entrada datos'!AP177</f>
        <v>0</v>
      </c>
      <c r="AO177">
        <f>'Entrada datos'!AQ177</f>
        <v>0</v>
      </c>
      <c r="AP177">
        <f>'Entrada datos'!AR177</f>
        <v>0</v>
      </c>
      <c r="AQ177">
        <f>'Entrada datos'!AS177</f>
        <v>0</v>
      </c>
      <c r="AR177" s="17">
        <f t="shared" si="42"/>
        <v>0</v>
      </c>
      <c r="AS177" s="23">
        <f t="shared" si="43"/>
        <v>0</v>
      </c>
      <c r="AT177">
        <f t="shared" si="44"/>
        <v>1900</v>
      </c>
      <c r="AU177" s="41" t="str">
        <f t="shared" si="45"/>
        <v>enero</v>
      </c>
      <c r="AV177">
        <f t="shared" si="46"/>
        <v>0</v>
      </c>
      <c r="AW177">
        <f t="shared" si="47"/>
        <v>0</v>
      </c>
      <c r="AX177" s="24">
        <f t="shared" si="34"/>
        <v>0</v>
      </c>
      <c r="AY177" s="24">
        <f t="shared" si="35"/>
        <v>0</v>
      </c>
      <c r="AZ177" s="24">
        <f t="shared" si="48"/>
        <v>0</v>
      </c>
      <c r="BA177">
        <f t="shared" si="49"/>
        <v>0</v>
      </c>
      <c r="BB177">
        <f t="shared" si="36"/>
        <v>0</v>
      </c>
      <c r="BC177" s="24">
        <f t="shared" si="37"/>
        <v>0</v>
      </c>
      <c r="BD177">
        <f t="shared" si="50"/>
        <v>0</v>
      </c>
    </row>
    <row r="178" spans="1:56" x14ac:dyDescent="0.3">
      <c r="A178">
        <f>'Entrada datos'!A178</f>
        <v>0</v>
      </c>
      <c r="B178">
        <f>'Entrada datos'!B178</f>
        <v>0</v>
      </c>
      <c r="C178">
        <f>'Entrada datos'!C178</f>
        <v>0</v>
      </c>
      <c r="D178">
        <f>'Entrada datos'!D178</f>
        <v>0</v>
      </c>
      <c r="E178" s="18">
        <f>'Entrada datos'!G178</f>
        <v>0</v>
      </c>
      <c r="F178" s="18">
        <f>'Entrada datos'!H178</f>
        <v>0</v>
      </c>
      <c r="G178">
        <f>'Entrada datos'!J178</f>
        <v>0</v>
      </c>
      <c r="H178">
        <f>'Entrada datos'!L178</f>
        <v>0</v>
      </c>
      <c r="I178">
        <f>'Entrada datos'!O178</f>
        <v>0</v>
      </c>
      <c r="J178">
        <f>'Entrada datos'!P178</f>
        <v>0</v>
      </c>
      <c r="K178">
        <f>'Entrada datos'!Q178</f>
        <v>0</v>
      </c>
      <c r="L178">
        <f>'Entrada datos'!R178</f>
        <v>0</v>
      </c>
      <c r="M178">
        <f>'Entrada datos'!S178</f>
        <v>0</v>
      </c>
      <c r="N178">
        <f>'Entrada datos'!T178</f>
        <v>0</v>
      </c>
      <c r="O178">
        <f>'Entrada datos'!U178</f>
        <v>0</v>
      </c>
      <c r="P178" s="17">
        <f t="shared" si="38"/>
        <v>0</v>
      </c>
      <c r="Q178">
        <f>'Entrada datos'!V178</f>
        <v>0</v>
      </c>
      <c r="R178">
        <f>'Entrada datos'!W178</f>
        <v>0</v>
      </c>
      <c r="S178">
        <f>'Entrada datos'!X178</f>
        <v>0</v>
      </c>
      <c r="T178">
        <f>'Entrada datos'!Y178</f>
        <v>0</v>
      </c>
      <c r="U178">
        <f>'Entrada datos'!Z178</f>
        <v>0</v>
      </c>
      <c r="V178">
        <f>'Entrada datos'!AA178</f>
        <v>0</v>
      </c>
      <c r="W178" s="17">
        <f t="shared" si="39"/>
        <v>0</v>
      </c>
      <c r="X178">
        <f>'Entrada datos'!AB178</f>
        <v>0</v>
      </c>
      <c r="Y178">
        <f>'Entrada datos'!AC178</f>
        <v>0</v>
      </c>
      <c r="Z178">
        <f>'Entrada datos'!AD178</f>
        <v>0</v>
      </c>
      <c r="AA178">
        <f>'Entrada datos'!AE178</f>
        <v>0</v>
      </c>
      <c r="AB178">
        <f>'Entrada datos'!AF178</f>
        <v>0</v>
      </c>
      <c r="AC178">
        <f>'Entrada datos'!AG178</f>
        <v>0</v>
      </c>
      <c r="AD178" s="17">
        <f t="shared" si="40"/>
        <v>0</v>
      </c>
      <c r="AE178">
        <f>'Entrada datos'!AH178</f>
        <v>0</v>
      </c>
      <c r="AF178">
        <f>'Entrada datos'!AI178</f>
        <v>0</v>
      </c>
      <c r="AG178">
        <f>'Entrada datos'!AJ178</f>
        <v>0</v>
      </c>
      <c r="AH178">
        <f>'Entrada datos'!AK178</f>
        <v>0</v>
      </c>
      <c r="AI178">
        <f>'Entrada datos'!AL178</f>
        <v>0</v>
      </c>
      <c r="AJ178">
        <f>'Entrada datos'!AM178</f>
        <v>0</v>
      </c>
      <c r="AK178" s="17">
        <f t="shared" si="41"/>
        <v>0</v>
      </c>
      <c r="AL178">
        <f>'Entrada datos'!AN178</f>
        <v>0</v>
      </c>
      <c r="AM178">
        <f>'Entrada datos'!AO178</f>
        <v>0</v>
      </c>
      <c r="AN178">
        <f>'Entrada datos'!AP178</f>
        <v>0</v>
      </c>
      <c r="AO178">
        <f>'Entrada datos'!AQ178</f>
        <v>0</v>
      </c>
      <c r="AP178">
        <f>'Entrada datos'!AR178</f>
        <v>0</v>
      </c>
      <c r="AQ178">
        <f>'Entrada datos'!AS178</f>
        <v>0</v>
      </c>
      <c r="AR178" s="17">
        <f t="shared" si="42"/>
        <v>0</v>
      </c>
      <c r="AS178" s="23">
        <f t="shared" si="43"/>
        <v>0</v>
      </c>
      <c r="AT178">
        <f t="shared" si="44"/>
        <v>1900</v>
      </c>
      <c r="AU178" s="41" t="str">
        <f t="shared" si="45"/>
        <v>enero</v>
      </c>
      <c r="AV178">
        <f t="shared" si="46"/>
        <v>0</v>
      </c>
      <c r="AW178">
        <f t="shared" si="47"/>
        <v>0</v>
      </c>
      <c r="AX178" s="24">
        <f t="shared" si="34"/>
        <v>0</v>
      </c>
      <c r="AY178" s="24">
        <f t="shared" si="35"/>
        <v>0</v>
      </c>
      <c r="AZ178" s="24">
        <f t="shared" si="48"/>
        <v>0</v>
      </c>
      <c r="BA178">
        <f t="shared" si="49"/>
        <v>0</v>
      </c>
      <c r="BB178">
        <f t="shared" si="36"/>
        <v>0</v>
      </c>
      <c r="BC178" s="24">
        <f t="shared" si="37"/>
        <v>0</v>
      </c>
      <c r="BD178">
        <f t="shared" si="50"/>
        <v>0</v>
      </c>
    </row>
    <row r="179" spans="1:56" x14ac:dyDescent="0.3">
      <c r="A179">
        <f>'Entrada datos'!A179</f>
        <v>0</v>
      </c>
      <c r="B179">
        <f>'Entrada datos'!B179</f>
        <v>0</v>
      </c>
      <c r="C179">
        <f>'Entrada datos'!C179</f>
        <v>0</v>
      </c>
      <c r="D179">
        <f>'Entrada datos'!D179</f>
        <v>0</v>
      </c>
      <c r="E179" s="18">
        <f>'Entrada datos'!G179</f>
        <v>0</v>
      </c>
      <c r="F179" s="18">
        <f>'Entrada datos'!H179</f>
        <v>0</v>
      </c>
      <c r="G179">
        <f>'Entrada datos'!J179</f>
        <v>0</v>
      </c>
      <c r="H179">
        <f>'Entrada datos'!L179</f>
        <v>0</v>
      </c>
      <c r="I179">
        <f>'Entrada datos'!O179</f>
        <v>0</v>
      </c>
      <c r="J179">
        <f>'Entrada datos'!P179</f>
        <v>0</v>
      </c>
      <c r="K179">
        <f>'Entrada datos'!Q179</f>
        <v>0</v>
      </c>
      <c r="L179">
        <f>'Entrada datos'!R179</f>
        <v>0</v>
      </c>
      <c r="M179">
        <f>'Entrada datos'!S179</f>
        <v>0</v>
      </c>
      <c r="N179">
        <f>'Entrada datos'!T179</f>
        <v>0</v>
      </c>
      <c r="O179">
        <f>'Entrada datos'!U179</f>
        <v>0</v>
      </c>
      <c r="P179" s="17">
        <f t="shared" si="38"/>
        <v>0</v>
      </c>
      <c r="Q179">
        <f>'Entrada datos'!V179</f>
        <v>0</v>
      </c>
      <c r="R179">
        <f>'Entrada datos'!W179</f>
        <v>0</v>
      </c>
      <c r="S179">
        <f>'Entrada datos'!X179</f>
        <v>0</v>
      </c>
      <c r="T179">
        <f>'Entrada datos'!Y179</f>
        <v>0</v>
      </c>
      <c r="U179">
        <f>'Entrada datos'!Z179</f>
        <v>0</v>
      </c>
      <c r="V179">
        <f>'Entrada datos'!AA179</f>
        <v>0</v>
      </c>
      <c r="W179" s="17">
        <f t="shared" si="39"/>
        <v>0</v>
      </c>
      <c r="X179">
        <f>'Entrada datos'!AB179</f>
        <v>0</v>
      </c>
      <c r="Y179">
        <f>'Entrada datos'!AC179</f>
        <v>0</v>
      </c>
      <c r="Z179">
        <f>'Entrada datos'!AD179</f>
        <v>0</v>
      </c>
      <c r="AA179">
        <f>'Entrada datos'!AE179</f>
        <v>0</v>
      </c>
      <c r="AB179">
        <f>'Entrada datos'!AF179</f>
        <v>0</v>
      </c>
      <c r="AC179">
        <f>'Entrada datos'!AG179</f>
        <v>0</v>
      </c>
      <c r="AD179" s="17">
        <f t="shared" si="40"/>
        <v>0</v>
      </c>
      <c r="AE179">
        <f>'Entrada datos'!AH179</f>
        <v>0</v>
      </c>
      <c r="AF179">
        <f>'Entrada datos'!AI179</f>
        <v>0</v>
      </c>
      <c r="AG179">
        <f>'Entrada datos'!AJ179</f>
        <v>0</v>
      </c>
      <c r="AH179">
        <f>'Entrada datos'!AK179</f>
        <v>0</v>
      </c>
      <c r="AI179">
        <f>'Entrada datos'!AL179</f>
        <v>0</v>
      </c>
      <c r="AJ179">
        <f>'Entrada datos'!AM179</f>
        <v>0</v>
      </c>
      <c r="AK179" s="17">
        <f t="shared" si="41"/>
        <v>0</v>
      </c>
      <c r="AL179">
        <f>'Entrada datos'!AN179</f>
        <v>0</v>
      </c>
      <c r="AM179">
        <f>'Entrada datos'!AO179</f>
        <v>0</v>
      </c>
      <c r="AN179">
        <f>'Entrada datos'!AP179</f>
        <v>0</v>
      </c>
      <c r="AO179">
        <f>'Entrada datos'!AQ179</f>
        <v>0</v>
      </c>
      <c r="AP179">
        <f>'Entrada datos'!AR179</f>
        <v>0</v>
      </c>
      <c r="AQ179">
        <f>'Entrada datos'!AS179</f>
        <v>0</v>
      </c>
      <c r="AR179" s="17">
        <f t="shared" si="42"/>
        <v>0</v>
      </c>
      <c r="AS179" s="23">
        <f t="shared" si="43"/>
        <v>0</v>
      </c>
      <c r="AT179">
        <f t="shared" si="44"/>
        <v>1900</v>
      </c>
      <c r="AU179" s="41" t="str">
        <f t="shared" si="45"/>
        <v>enero</v>
      </c>
      <c r="AV179">
        <f t="shared" si="46"/>
        <v>0</v>
      </c>
      <c r="AW179">
        <f t="shared" si="47"/>
        <v>0</v>
      </c>
      <c r="AX179" s="24">
        <f t="shared" si="34"/>
        <v>0</v>
      </c>
      <c r="AY179" s="24">
        <f t="shared" si="35"/>
        <v>0</v>
      </c>
      <c r="AZ179" s="24">
        <f t="shared" si="48"/>
        <v>0</v>
      </c>
      <c r="BA179">
        <f t="shared" si="49"/>
        <v>0</v>
      </c>
      <c r="BB179">
        <f t="shared" si="36"/>
        <v>0</v>
      </c>
      <c r="BC179" s="24">
        <f t="shared" si="37"/>
        <v>0</v>
      </c>
      <c r="BD179">
        <f t="shared" si="50"/>
        <v>0</v>
      </c>
    </row>
    <row r="180" spans="1:56" x14ac:dyDescent="0.3">
      <c r="A180">
        <f>'Entrada datos'!A180</f>
        <v>0</v>
      </c>
      <c r="B180">
        <f>'Entrada datos'!B180</f>
        <v>0</v>
      </c>
      <c r="C180">
        <f>'Entrada datos'!C180</f>
        <v>0</v>
      </c>
      <c r="D180">
        <f>'Entrada datos'!D180</f>
        <v>0</v>
      </c>
      <c r="E180" s="18">
        <f>'Entrada datos'!G180</f>
        <v>0</v>
      </c>
      <c r="F180" s="18">
        <f>'Entrada datos'!H180</f>
        <v>0</v>
      </c>
      <c r="G180">
        <f>'Entrada datos'!J180</f>
        <v>0</v>
      </c>
      <c r="H180">
        <f>'Entrada datos'!L180</f>
        <v>0</v>
      </c>
      <c r="I180">
        <f>'Entrada datos'!O180</f>
        <v>0</v>
      </c>
      <c r="J180">
        <f>'Entrada datos'!P180</f>
        <v>0</v>
      </c>
      <c r="K180">
        <f>'Entrada datos'!Q180</f>
        <v>0</v>
      </c>
      <c r="L180">
        <f>'Entrada datos'!R180</f>
        <v>0</v>
      </c>
      <c r="M180">
        <f>'Entrada datos'!S180</f>
        <v>0</v>
      </c>
      <c r="N180">
        <f>'Entrada datos'!T180</f>
        <v>0</v>
      </c>
      <c r="O180">
        <f>'Entrada datos'!U180</f>
        <v>0</v>
      </c>
      <c r="P180" s="17">
        <f t="shared" si="38"/>
        <v>0</v>
      </c>
      <c r="Q180">
        <f>'Entrada datos'!V180</f>
        <v>0</v>
      </c>
      <c r="R180">
        <f>'Entrada datos'!W180</f>
        <v>0</v>
      </c>
      <c r="S180">
        <f>'Entrada datos'!X180</f>
        <v>0</v>
      </c>
      <c r="T180">
        <f>'Entrada datos'!Y180</f>
        <v>0</v>
      </c>
      <c r="U180">
        <f>'Entrada datos'!Z180</f>
        <v>0</v>
      </c>
      <c r="V180">
        <f>'Entrada datos'!AA180</f>
        <v>0</v>
      </c>
      <c r="W180" s="17">
        <f t="shared" si="39"/>
        <v>0</v>
      </c>
      <c r="X180">
        <f>'Entrada datos'!AB180</f>
        <v>0</v>
      </c>
      <c r="Y180">
        <f>'Entrada datos'!AC180</f>
        <v>0</v>
      </c>
      <c r="Z180">
        <f>'Entrada datos'!AD180</f>
        <v>0</v>
      </c>
      <c r="AA180">
        <f>'Entrada datos'!AE180</f>
        <v>0</v>
      </c>
      <c r="AB180">
        <f>'Entrada datos'!AF180</f>
        <v>0</v>
      </c>
      <c r="AC180">
        <f>'Entrada datos'!AG180</f>
        <v>0</v>
      </c>
      <c r="AD180" s="17">
        <f t="shared" si="40"/>
        <v>0</v>
      </c>
      <c r="AE180">
        <f>'Entrada datos'!AH180</f>
        <v>0</v>
      </c>
      <c r="AF180">
        <f>'Entrada datos'!AI180</f>
        <v>0</v>
      </c>
      <c r="AG180">
        <f>'Entrada datos'!AJ180</f>
        <v>0</v>
      </c>
      <c r="AH180">
        <f>'Entrada datos'!AK180</f>
        <v>0</v>
      </c>
      <c r="AI180">
        <f>'Entrada datos'!AL180</f>
        <v>0</v>
      </c>
      <c r="AJ180">
        <f>'Entrada datos'!AM180</f>
        <v>0</v>
      </c>
      <c r="AK180" s="17">
        <f t="shared" si="41"/>
        <v>0</v>
      </c>
      <c r="AL180">
        <f>'Entrada datos'!AN180</f>
        <v>0</v>
      </c>
      <c r="AM180">
        <f>'Entrada datos'!AO180</f>
        <v>0</v>
      </c>
      <c r="AN180">
        <f>'Entrada datos'!AP180</f>
        <v>0</v>
      </c>
      <c r="AO180">
        <f>'Entrada datos'!AQ180</f>
        <v>0</v>
      </c>
      <c r="AP180">
        <f>'Entrada datos'!AR180</f>
        <v>0</v>
      </c>
      <c r="AQ180">
        <f>'Entrada datos'!AS180</f>
        <v>0</v>
      </c>
      <c r="AR180" s="17">
        <f t="shared" si="42"/>
        <v>0</v>
      </c>
      <c r="AS180" s="23">
        <f t="shared" si="43"/>
        <v>0</v>
      </c>
      <c r="AT180">
        <f t="shared" si="44"/>
        <v>1900</v>
      </c>
      <c r="AU180" s="41" t="str">
        <f t="shared" si="45"/>
        <v>enero</v>
      </c>
      <c r="AV180">
        <f t="shared" si="46"/>
        <v>0</v>
      </c>
      <c r="AW180">
        <f t="shared" si="47"/>
        <v>0</v>
      </c>
      <c r="AX180" s="24">
        <f t="shared" si="34"/>
        <v>0</v>
      </c>
      <c r="AY180" s="24">
        <f t="shared" si="35"/>
        <v>0</v>
      </c>
      <c r="AZ180" s="24">
        <f t="shared" si="48"/>
        <v>0</v>
      </c>
      <c r="BA180">
        <f t="shared" si="49"/>
        <v>0</v>
      </c>
      <c r="BB180">
        <f t="shared" si="36"/>
        <v>0</v>
      </c>
      <c r="BC180" s="24">
        <f t="shared" si="37"/>
        <v>0</v>
      </c>
      <c r="BD180">
        <f t="shared" si="50"/>
        <v>0</v>
      </c>
    </row>
    <row r="181" spans="1:56" x14ac:dyDescent="0.3">
      <c r="A181">
        <f>'Entrada datos'!A181</f>
        <v>0</v>
      </c>
      <c r="B181">
        <f>'Entrada datos'!B181</f>
        <v>0</v>
      </c>
      <c r="C181">
        <f>'Entrada datos'!C181</f>
        <v>0</v>
      </c>
      <c r="D181">
        <f>'Entrada datos'!D181</f>
        <v>0</v>
      </c>
      <c r="E181" s="18">
        <f>'Entrada datos'!G181</f>
        <v>0</v>
      </c>
      <c r="F181" s="18">
        <f>'Entrada datos'!H181</f>
        <v>0</v>
      </c>
      <c r="G181">
        <f>'Entrada datos'!J181</f>
        <v>0</v>
      </c>
      <c r="H181">
        <f>'Entrada datos'!L181</f>
        <v>0</v>
      </c>
      <c r="I181">
        <f>'Entrada datos'!O181</f>
        <v>0</v>
      </c>
      <c r="J181">
        <f>'Entrada datos'!P181</f>
        <v>0</v>
      </c>
      <c r="K181">
        <f>'Entrada datos'!Q181</f>
        <v>0</v>
      </c>
      <c r="L181">
        <f>'Entrada datos'!R181</f>
        <v>0</v>
      </c>
      <c r="M181">
        <f>'Entrada datos'!S181</f>
        <v>0</v>
      </c>
      <c r="N181">
        <f>'Entrada datos'!T181</f>
        <v>0</v>
      </c>
      <c r="O181">
        <f>'Entrada datos'!U181</f>
        <v>0</v>
      </c>
      <c r="P181" s="17">
        <f t="shared" si="38"/>
        <v>0</v>
      </c>
      <c r="Q181">
        <f>'Entrada datos'!V181</f>
        <v>0</v>
      </c>
      <c r="R181">
        <f>'Entrada datos'!W181</f>
        <v>0</v>
      </c>
      <c r="S181">
        <f>'Entrada datos'!X181</f>
        <v>0</v>
      </c>
      <c r="T181">
        <f>'Entrada datos'!Y181</f>
        <v>0</v>
      </c>
      <c r="U181">
        <f>'Entrada datos'!Z181</f>
        <v>0</v>
      </c>
      <c r="V181">
        <f>'Entrada datos'!AA181</f>
        <v>0</v>
      </c>
      <c r="W181" s="17">
        <f t="shared" si="39"/>
        <v>0</v>
      </c>
      <c r="X181">
        <f>'Entrada datos'!AB181</f>
        <v>0</v>
      </c>
      <c r="Y181">
        <f>'Entrada datos'!AC181</f>
        <v>0</v>
      </c>
      <c r="Z181">
        <f>'Entrada datos'!AD181</f>
        <v>0</v>
      </c>
      <c r="AA181">
        <f>'Entrada datos'!AE181</f>
        <v>0</v>
      </c>
      <c r="AB181">
        <f>'Entrada datos'!AF181</f>
        <v>0</v>
      </c>
      <c r="AC181">
        <f>'Entrada datos'!AG181</f>
        <v>0</v>
      </c>
      <c r="AD181" s="17">
        <f t="shared" si="40"/>
        <v>0</v>
      </c>
      <c r="AE181">
        <f>'Entrada datos'!AH181</f>
        <v>0</v>
      </c>
      <c r="AF181">
        <f>'Entrada datos'!AI181</f>
        <v>0</v>
      </c>
      <c r="AG181">
        <f>'Entrada datos'!AJ181</f>
        <v>0</v>
      </c>
      <c r="AH181">
        <f>'Entrada datos'!AK181</f>
        <v>0</v>
      </c>
      <c r="AI181">
        <f>'Entrada datos'!AL181</f>
        <v>0</v>
      </c>
      <c r="AJ181">
        <f>'Entrada datos'!AM181</f>
        <v>0</v>
      </c>
      <c r="AK181" s="17">
        <f t="shared" si="41"/>
        <v>0</v>
      </c>
      <c r="AL181">
        <f>'Entrada datos'!AN181</f>
        <v>0</v>
      </c>
      <c r="AM181">
        <f>'Entrada datos'!AO181</f>
        <v>0</v>
      </c>
      <c r="AN181">
        <f>'Entrada datos'!AP181</f>
        <v>0</v>
      </c>
      <c r="AO181">
        <f>'Entrada datos'!AQ181</f>
        <v>0</v>
      </c>
      <c r="AP181">
        <f>'Entrada datos'!AR181</f>
        <v>0</v>
      </c>
      <c r="AQ181">
        <f>'Entrada datos'!AS181</f>
        <v>0</v>
      </c>
      <c r="AR181" s="17">
        <f t="shared" si="42"/>
        <v>0</v>
      </c>
      <c r="AS181" s="23">
        <f t="shared" si="43"/>
        <v>0</v>
      </c>
      <c r="AT181">
        <f t="shared" si="44"/>
        <v>1900</v>
      </c>
      <c r="AU181" s="41" t="str">
        <f t="shared" si="45"/>
        <v>enero</v>
      </c>
      <c r="AV181">
        <f t="shared" si="46"/>
        <v>0</v>
      </c>
      <c r="AW181">
        <f t="shared" si="47"/>
        <v>0</v>
      </c>
      <c r="AX181" s="24">
        <f t="shared" si="34"/>
        <v>0</v>
      </c>
      <c r="AY181" s="24">
        <f t="shared" si="35"/>
        <v>0</v>
      </c>
      <c r="AZ181" s="24">
        <f t="shared" si="48"/>
        <v>0</v>
      </c>
      <c r="BA181">
        <f t="shared" si="49"/>
        <v>0</v>
      </c>
      <c r="BB181">
        <f t="shared" si="36"/>
        <v>0</v>
      </c>
      <c r="BC181" s="24">
        <f t="shared" si="37"/>
        <v>0</v>
      </c>
      <c r="BD181">
        <f t="shared" si="50"/>
        <v>0</v>
      </c>
    </row>
    <row r="182" spans="1:56" x14ac:dyDescent="0.3">
      <c r="A182">
        <f>'Entrada datos'!A182</f>
        <v>0</v>
      </c>
      <c r="B182">
        <f>'Entrada datos'!B182</f>
        <v>0</v>
      </c>
      <c r="C182">
        <f>'Entrada datos'!C182</f>
        <v>0</v>
      </c>
      <c r="D182">
        <f>'Entrada datos'!D182</f>
        <v>0</v>
      </c>
      <c r="E182" s="18">
        <f>'Entrada datos'!G182</f>
        <v>0</v>
      </c>
      <c r="F182" s="18">
        <f>'Entrada datos'!H182</f>
        <v>0</v>
      </c>
      <c r="G182">
        <f>'Entrada datos'!J182</f>
        <v>0</v>
      </c>
      <c r="H182">
        <f>'Entrada datos'!L182</f>
        <v>0</v>
      </c>
      <c r="I182">
        <f>'Entrada datos'!O182</f>
        <v>0</v>
      </c>
      <c r="J182">
        <f>'Entrada datos'!P182</f>
        <v>0</v>
      </c>
      <c r="K182">
        <f>'Entrada datos'!Q182</f>
        <v>0</v>
      </c>
      <c r="L182">
        <f>'Entrada datos'!R182</f>
        <v>0</v>
      </c>
      <c r="M182">
        <f>'Entrada datos'!S182</f>
        <v>0</v>
      </c>
      <c r="N182">
        <f>'Entrada datos'!T182</f>
        <v>0</v>
      </c>
      <c r="O182">
        <f>'Entrada datos'!U182</f>
        <v>0</v>
      </c>
      <c r="P182" s="17">
        <f t="shared" si="38"/>
        <v>0</v>
      </c>
      <c r="Q182">
        <f>'Entrada datos'!V182</f>
        <v>0</v>
      </c>
      <c r="R182">
        <f>'Entrada datos'!W182</f>
        <v>0</v>
      </c>
      <c r="S182">
        <f>'Entrada datos'!X182</f>
        <v>0</v>
      </c>
      <c r="T182">
        <f>'Entrada datos'!Y182</f>
        <v>0</v>
      </c>
      <c r="U182">
        <f>'Entrada datos'!Z182</f>
        <v>0</v>
      </c>
      <c r="V182">
        <f>'Entrada datos'!AA182</f>
        <v>0</v>
      </c>
      <c r="W182" s="17">
        <f t="shared" si="39"/>
        <v>0</v>
      </c>
      <c r="X182">
        <f>'Entrada datos'!AB182</f>
        <v>0</v>
      </c>
      <c r="Y182">
        <f>'Entrada datos'!AC182</f>
        <v>0</v>
      </c>
      <c r="Z182">
        <f>'Entrada datos'!AD182</f>
        <v>0</v>
      </c>
      <c r="AA182">
        <f>'Entrada datos'!AE182</f>
        <v>0</v>
      </c>
      <c r="AB182">
        <f>'Entrada datos'!AF182</f>
        <v>0</v>
      </c>
      <c r="AC182">
        <f>'Entrada datos'!AG182</f>
        <v>0</v>
      </c>
      <c r="AD182" s="17">
        <f t="shared" si="40"/>
        <v>0</v>
      </c>
      <c r="AE182">
        <f>'Entrada datos'!AH182</f>
        <v>0</v>
      </c>
      <c r="AF182">
        <f>'Entrada datos'!AI182</f>
        <v>0</v>
      </c>
      <c r="AG182">
        <f>'Entrada datos'!AJ182</f>
        <v>0</v>
      </c>
      <c r="AH182">
        <f>'Entrada datos'!AK182</f>
        <v>0</v>
      </c>
      <c r="AI182">
        <f>'Entrada datos'!AL182</f>
        <v>0</v>
      </c>
      <c r="AJ182">
        <f>'Entrada datos'!AM182</f>
        <v>0</v>
      </c>
      <c r="AK182" s="17">
        <f t="shared" si="41"/>
        <v>0</v>
      </c>
      <c r="AL182">
        <f>'Entrada datos'!AN182</f>
        <v>0</v>
      </c>
      <c r="AM182">
        <f>'Entrada datos'!AO182</f>
        <v>0</v>
      </c>
      <c r="AN182">
        <f>'Entrada datos'!AP182</f>
        <v>0</v>
      </c>
      <c r="AO182">
        <f>'Entrada datos'!AQ182</f>
        <v>0</v>
      </c>
      <c r="AP182">
        <f>'Entrada datos'!AR182</f>
        <v>0</v>
      </c>
      <c r="AQ182">
        <f>'Entrada datos'!AS182</f>
        <v>0</v>
      </c>
      <c r="AR182" s="17">
        <f t="shared" si="42"/>
        <v>0</v>
      </c>
      <c r="AS182" s="23">
        <f t="shared" si="43"/>
        <v>0</v>
      </c>
      <c r="AT182">
        <f t="shared" si="44"/>
        <v>1900</v>
      </c>
      <c r="AU182" s="41" t="str">
        <f t="shared" si="45"/>
        <v>enero</v>
      </c>
      <c r="AV182">
        <f t="shared" si="46"/>
        <v>0</v>
      </c>
      <c r="AW182">
        <f t="shared" si="47"/>
        <v>0</v>
      </c>
      <c r="AX182" s="24">
        <f t="shared" si="34"/>
        <v>0</v>
      </c>
      <c r="AY182" s="24">
        <f t="shared" si="35"/>
        <v>0</v>
      </c>
      <c r="AZ182" s="24">
        <f t="shared" si="48"/>
        <v>0</v>
      </c>
      <c r="BA182">
        <f t="shared" si="49"/>
        <v>0</v>
      </c>
      <c r="BB182">
        <f t="shared" si="36"/>
        <v>0</v>
      </c>
      <c r="BC182" s="24">
        <f t="shared" si="37"/>
        <v>0</v>
      </c>
      <c r="BD182">
        <f t="shared" si="50"/>
        <v>0</v>
      </c>
    </row>
    <row r="183" spans="1:56" x14ac:dyDescent="0.3">
      <c r="A183">
        <f>'Entrada datos'!A183</f>
        <v>0</v>
      </c>
      <c r="B183">
        <f>'Entrada datos'!B183</f>
        <v>0</v>
      </c>
      <c r="C183">
        <f>'Entrada datos'!C183</f>
        <v>0</v>
      </c>
      <c r="D183">
        <f>'Entrada datos'!D183</f>
        <v>0</v>
      </c>
      <c r="E183" s="18">
        <f>'Entrada datos'!G183</f>
        <v>0</v>
      </c>
      <c r="F183" s="18">
        <f>'Entrada datos'!H183</f>
        <v>0</v>
      </c>
      <c r="G183">
        <f>'Entrada datos'!J183</f>
        <v>0</v>
      </c>
      <c r="H183">
        <f>'Entrada datos'!L183</f>
        <v>0</v>
      </c>
      <c r="I183">
        <f>'Entrada datos'!O183</f>
        <v>0</v>
      </c>
      <c r="J183">
        <f>'Entrada datos'!P183</f>
        <v>0</v>
      </c>
      <c r="K183">
        <f>'Entrada datos'!Q183</f>
        <v>0</v>
      </c>
      <c r="L183">
        <f>'Entrada datos'!R183</f>
        <v>0</v>
      </c>
      <c r="M183">
        <f>'Entrada datos'!S183</f>
        <v>0</v>
      </c>
      <c r="N183">
        <f>'Entrada datos'!T183</f>
        <v>0</v>
      </c>
      <c r="O183">
        <f>'Entrada datos'!U183</f>
        <v>0</v>
      </c>
      <c r="P183" s="17">
        <f t="shared" si="38"/>
        <v>0</v>
      </c>
      <c r="Q183">
        <f>'Entrada datos'!V183</f>
        <v>0</v>
      </c>
      <c r="R183">
        <f>'Entrada datos'!W183</f>
        <v>0</v>
      </c>
      <c r="S183">
        <f>'Entrada datos'!X183</f>
        <v>0</v>
      </c>
      <c r="T183">
        <f>'Entrada datos'!Y183</f>
        <v>0</v>
      </c>
      <c r="U183">
        <f>'Entrada datos'!Z183</f>
        <v>0</v>
      </c>
      <c r="V183">
        <f>'Entrada datos'!AA183</f>
        <v>0</v>
      </c>
      <c r="W183" s="17">
        <f t="shared" si="39"/>
        <v>0</v>
      </c>
      <c r="X183">
        <f>'Entrada datos'!AB183</f>
        <v>0</v>
      </c>
      <c r="Y183">
        <f>'Entrada datos'!AC183</f>
        <v>0</v>
      </c>
      <c r="Z183">
        <f>'Entrada datos'!AD183</f>
        <v>0</v>
      </c>
      <c r="AA183">
        <f>'Entrada datos'!AE183</f>
        <v>0</v>
      </c>
      <c r="AB183">
        <f>'Entrada datos'!AF183</f>
        <v>0</v>
      </c>
      <c r="AC183">
        <f>'Entrada datos'!AG183</f>
        <v>0</v>
      </c>
      <c r="AD183" s="17">
        <f t="shared" si="40"/>
        <v>0</v>
      </c>
      <c r="AE183">
        <f>'Entrada datos'!AH183</f>
        <v>0</v>
      </c>
      <c r="AF183">
        <f>'Entrada datos'!AI183</f>
        <v>0</v>
      </c>
      <c r="AG183">
        <f>'Entrada datos'!AJ183</f>
        <v>0</v>
      </c>
      <c r="AH183">
        <f>'Entrada datos'!AK183</f>
        <v>0</v>
      </c>
      <c r="AI183">
        <f>'Entrada datos'!AL183</f>
        <v>0</v>
      </c>
      <c r="AJ183">
        <f>'Entrada datos'!AM183</f>
        <v>0</v>
      </c>
      <c r="AK183" s="17">
        <f t="shared" si="41"/>
        <v>0</v>
      </c>
      <c r="AL183">
        <f>'Entrada datos'!AN183</f>
        <v>0</v>
      </c>
      <c r="AM183">
        <f>'Entrada datos'!AO183</f>
        <v>0</v>
      </c>
      <c r="AN183">
        <f>'Entrada datos'!AP183</f>
        <v>0</v>
      </c>
      <c r="AO183">
        <f>'Entrada datos'!AQ183</f>
        <v>0</v>
      </c>
      <c r="AP183">
        <f>'Entrada datos'!AR183</f>
        <v>0</v>
      </c>
      <c r="AQ183">
        <f>'Entrada datos'!AS183</f>
        <v>0</v>
      </c>
      <c r="AR183" s="17">
        <f t="shared" si="42"/>
        <v>0</v>
      </c>
      <c r="AS183" s="23">
        <f t="shared" si="43"/>
        <v>0</v>
      </c>
      <c r="AT183">
        <f t="shared" si="44"/>
        <v>1900</v>
      </c>
      <c r="AU183" s="41" t="str">
        <f t="shared" si="45"/>
        <v>enero</v>
      </c>
      <c r="AV183">
        <f t="shared" si="46"/>
        <v>0</v>
      </c>
      <c r="AW183">
        <f t="shared" si="47"/>
        <v>0</v>
      </c>
      <c r="AX183" s="24">
        <f t="shared" si="34"/>
        <v>0</v>
      </c>
      <c r="AY183" s="24">
        <f t="shared" si="35"/>
        <v>0</v>
      </c>
      <c r="AZ183" s="24">
        <f t="shared" si="48"/>
        <v>0</v>
      </c>
      <c r="BA183">
        <f t="shared" si="49"/>
        <v>0</v>
      </c>
      <c r="BB183">
        <f t="shared" si="36"/>
        <v>0</v>
      </c>
      <c r="BC183" s="24">
        <f t="shared" si="37"/>
        <v>0</v>
      </c>
      <c r="BD183">
        <f t="shared" si="50"/>
        <v>0</v>
      </c>
    </row>
    <row r="184" spans="1:56" x14ac:dyDescent="0.3">
      <c r="A184">
        <f>'Entrada datos'!A184</f>
        <v>0</v>
      </c>
      <c r="B184">
        <f>'Entrada datos'!B184</f>
        <v>0</v>
      </c>
      <c r="C184">
        <f>'Entrada datos'!C184</f>
        <v>0</v>
      </c>
      <c r="D184">
        <f>'Entrada datos'!D184</f>
        <v>0</v>
      </c>
      <c r="E184" s="18">
        <f>'Entrada datos'!G184</f>
        <v>0</v>
      </c>
      <c r="F184" s="18">
        <f>'Entrada datos'!H184</f>
        <v>0</v>
      </c>
      <c r="G184">
        <f>'Entrada datos'!J184</f>
        <v>0</v>
      </c>
      <c r="H184">
        <f>'Entrada datos'!L184</f>
        <v>0</v>
      </c>
      <c r="I184">
        <f>'Entrada datos'!O184</f>
        <v>0</v>
      </c>
      <c r="J184">
        <f>'Entrada datos'!P184</f>
        <v>0</v>
      </c>
      <c r="K184">
        <f>'Entrada datos'!Q184</f>
        <v>0</v>
      </c>
      <c r="L184">
        <f>'Entrada datos'!R184</f>
        <v>0</v>
      </c>
      <c r="M184">
        <f>'Entrada datos'!S184</f>
        <v>0</v>
      </c>
      <c r="N184">
        <f>'Entrada datos'!T184</f>
        <v>0</v>
      </c>
      <c r="O184">
        <f>'Entrada datos'!U184</f>
        <v>0</v>
      </c>
      <c r="P184" s="17">
        <f t="shared" si="38"/>
        <v>0</v>
      </c>
      <c r="Q184">
        <f>'Entrada datos'!V184</f>
        <v>0</v>
      </c>
      <c r="R184">
        <f>'Entrada datos'!W184</f>
        <v>0</v>
      </c>
      <c r="S184">
        <f>'Entrada datos'!X184</f>
        <v>0</v>
      </c>
      <c r="T184">
        <f>'Entrada datos'!Y184</f>
        <v>0</v>
      </c>
      <c r="U184">
        <f>'Entrada datos'!Z184</f>
        <v>0</v>
      </c>
      <c r="V184">
        <f>'Entrada datos'!AA184</f>
        <v>0</v>
      </c>
      <c r="W184" s="17">
        <f t="shared" si="39"/>
        <v>0</v>
      </c>
      <c r="X184">
        <f>'Entrada datos'!AB184</f>
        <v>0</v>
      </c>
      <c r="Y184">
        <f>'Entrada datos'!AC184</f>
        <v>0</v>
      </c>
      <c r="Z184">
        <f>'Entrada datos'!AD184</f>
        <v>0</v>
      </c>
      <c r="AA184">
        <f>'Entrada datos'!AE184</f>
        <v>0</v>
      </c>
      <c r="AB184">
        <f>'Entrada datos'!AF184</f>
        <v>0</v>
      </c>
      <c r="AC184">
        <f>'Entrada datos'!AG184</f>
        <v>0</v>
      </c>
      <c r="AD184" s="17">
        <f t="shared" si="40"/>
        <v>0</v>
      </c>
      <c r="AE184">
        <f>'Entrada datos'!AH184</f>
        <v>0</v>
      </c>
      <c r="AF184">
        <f>'Entrada datos'!AI184</f>
        <v>0</v>
      </c>
      <c r="AG184">
        <f>'Entrada datos'!AJ184</f>
        <v>0</v>
      </c>
      <c r="AH184">
        <f>'Entrada datos'!AK184</f>
        <v>0</v>
      </c>
      <c r="AI184">
        <f>'Entrada datos'!AL184</f>
        <v>0</v>
      </c>
      <c r="AJ184">
        <f>'Entrada datos'!AM184</f>
        <v>0</v>
      </c>
      <c r="AK184" s="17">
        <f t="shared" si="41"/>
        <v>0</v>
      </c>
      <c r="AL184">
        <f>'Entrada datos'!AN184</f>
        <v>0</v>
      </c>
      <c r="AM184">
        <f>'Entrada datos'!AO184</f>
        <v>0</v>
      </c>
      <c r="AN184">
        <f>'Entrada datos'!AP184</f>
        <v>0</v>
      </c>
      <c r="AO184">
        <f>'Entrada datos'!AQ184</f>
        <v>0</v>
      </c>
      <c r="AP184">
        <f>'Entrada datos'!AR184</f>
        <v>0</v>
      </c>
      <c r="AQ184">
        <f>'Entrada datos'!AS184</f>
        <v>0</v>
      </c>
      <c r="AR184" s="17">
        <f t="shared" si="42"/>
        <v>0</v>
      </c>
      <c r="AS184" s="23">
        <f t="shared" si="43"/>
        <v>0</v>
      </c>
      <c r="AT184">
        <f t="shared" si="44"/>
        <v>1900</v>
      </c>
      <c r="AU184" s="41" t="str">
        <f t="shared" si="45"/>
        <v>enero</v>
      </c>
      <c r="AV184">
        <f t="shared" si="46"/>
        <v>0</v>
      </c>
      <c r="AW184">
        <f t="shared" si="47"/>
        <v>0</v>
      </c>
      <c r="AX184" s="24">
        <f t="shared" si="34"/>
        <v>0</v>
      </c>
      <c r="AY184" s="24">
        <f t="shared" si="35"/>
        <v>0</v>
      </c>
      <c r="AZ184" s="24">
        <f t="shared" si="48"/>
        <v>0</v>
      </c>
      <c r="BA184">
        <f t="shared" si="49"/>
        <v>0</v>
      </c>
      <c r="BB184">
        <f t="shared" si="36"/>
        <v>0</v>
      </c>
      <c r="BC184" s="24">
        <f t="shared" si="37"/>
        <v>0</v>
      </c>
      <c r="BD184">
        <f t="shared" si="50"/>
        <v>0</v>
      </c>
    </row>
    <row r="185" spans="1:56" x14ac:dyDescent="0.3">
      <c r="A185">
        <f>'Entrada datos'!A185</f>
        <v>0</v>
      </c>
      <c r="B185">
        <f>'Entrada datos'!B185</f>
        <v>0</v>
      </c>
      <c r="C185">
        <f>'Entrada datos'!C185</f>
        <v>0</v>
      </c>
      <c r="D185">
        <f>'Entrada datos'!D185</f>
        <v>0</v>
      </c>
      <c r="E185" s="18">
        <f>'Entrada datos'!G185</f>
        <v>0</v>
      </c>
      <c r="F185" s="18">
        <f>'Entrada datos'!H185</f>
        <v>0</v>
      </c>
      <c r="G185">
        <f>'Entrada datos'!J185</f>
        <v>0</v>
      </c>
      <c r="H185">
        <f>'Entrada datos'!L185</f>
        <v>0</v>
      </c>
      <c r="I185">
        <f>'Entrada datos'!O185</f>
        <v>0</v>
      </c>
      <c r="J185">
        <f>'Entrada datos'!P185</f>
        <v>0</v>
      </c>
      <c r="K185">
        <f>'Entrada datos'!Q185</f>
        <v>0</v>
      </c>
      <c r="L185">
        <f>'Entrada datos'!R185</f>
        <v>0</v>
      </c>
      <c r="M185">
        <f>'Entrada datos'!S185</f>
        <v>0</v>
      </c>
      <c r="N185">
        <f>'Entrada datos'!T185</f>
        <v>0</v>
      </c>
      <c r="O185">
        <f>'Entrada datos'!U185</f>
        <v>0</v>
      </c>
      <c r="P185" s="17">
        <f t="shared" si="38"/>
        <v>0</v>
      </c>
      <c r="Q185">
        <f>'Entrada datos'!V185</f>
        <v>0</v>
      </c>
      <c r="R185">
        <f>'Entrada datos'!W185</f>
        <v>0</v>
      </c>
      <c r="S185">
        <f>'Entrada datos'!X185</f>
        <v>0</v>
      </c>
      <c r="T185">
        <f>'Entrada datos'!Y185</f>
        <v>0</v>
      </c>
      <c r="U185">
        <f>'Entrada datos'!Z185</f>
        <v>0</v>
      </c>
      <c r="V185">
        <f>'Entrada datos'!AA185</f>
        <v>0</v>
      </c>
      <c r="W185" s="17">
        <f t="shared" si="39"/>
        <v>0</v>
      </c>
      <c r="X185">
        <f>'Entrada datos'!AB185</f>
        <v>0</v>
      </c>
      <c r="Y185">
        <f>'Entrada datos'!AC185</f>
        <v>0</v>
      </c>
      <c r="Z185">
        <f>'Entrada datos'!AD185</f>
        <v>0</v>
      </c>
      <c r="AA185">
        <f>'Entrada datos'!AE185</f>
        <v>0</v>
      </c>
      <c r="AB185">
        <f>'Entrada datos'!AF185</f>
        <v>0</v>
      </c>
      <c r="AC185">
        <f>'Entrada datos'!AG185</f>
        <v>0</v>
      </c>
      <c r="AD185" s="17">
        <f t="shared" si="40"/>
        <v>0</v>
      </c>
      <c r="AE185">
        <f>'Entrada datos'!AH185</f>
        <v>0</v>
      </c>
      <c r="AF185">
        <f>'Entrada datos'!AI185</f>
        <v>0</v>
      </c>
      <c r="AG185">
        <f>'Entrada datos'!AJ185</f>
        <v>0</v>
      </c>
      <c r="AH185">
        <f>'Entrada datos'!AK185</f>
        <v>0</v>
      </c>
      <c r="AI185">
        <f>'Entrada datos'!AL185</f>
        <v>0</v>
      </c>
      <c r="AJ185">
        <f>'Entrada datos'!AM185</f>
        <v>0</v>
      </c>
      <c r="AK185" s="17">
        <f t="shared" si="41"/>
        <v>0</v>
      </c>
      <c r="AL185">
        <f>'Entrada datos'!AN185</f>
        <v>0</v>
      </c>
      <c r="AM185">
        <f>'Entrada datos'!AO185</f>
        <v>0</v>
      </c>
      <c r="AN185">
        <f>'Entrada datos'!AP185</f>
        <v>0</v>
      </c>
      <c r="AO185">
        <f>'Entrada datos'!AQ185</f>
        <v>0</v>
      </c>
      <c r="AP185">
        <f>'Entrada datos'!AR185</f>
        <v>0</v>
      </c>
      <c r="AQ185">
        <f>'Entrada datos'!AS185</f>
        <v>0</v>
      </c>
      <c r="AR185" s="17">
        <f t="shared" si="42"/>
        <v>0</v>
      </c>
      <c r="AS185" s="23">
        <f t="shared" si="43"/>
        <v>0</v>
      </c>
      <c r="AT185">
        <f t="shared" si="44"/>
        <v>1900</v>
      </c>
      <c r="AU185" s="41" t="str">
        <f t="shared" si="45"/>
        <v>enero</v>
      </c>
      <c r="AV185">
        <f t="shared" si="46"/>
        <v>0</v>
      </c>
      <c r="AW185">
        <f t="shared" si="47"/>
        <v>0</v>
      </c>
      <c r="AX185" s="24">
        <f t="shared" si="34"/>
        <v>0</v>
      </c>
      <c r="AY185" s="24">
        <f t="shared" si="35"/>
        <v>0</v>
      </c>
      <c r="AZ185" s="24">
        <f t="shared" si="48"/>
        <v>0</v>
      </c>
      <c r="BA185">
        <f t="shared" si="49"/>
        <v>0</v>
      </c>
      <c r="BB185">
        <f t="shared" si="36"/>
        <v>0</v>
      </c>
      <c r="BC185" s="24">
        <f t="shared" si="37"/>
        <v>0</v>
      </c>
      <c r="BD185">
        <f t="shared" si="50"/>
        <v>0</v>
      </c>
    </row>
    <row r="186" spans="1:56" x14ac:dyDescent="0.3">
      <c r="A186">
        <f>'Entrada datos'!A186</f>
        <v>0</v>
      </c>
      <c r="B186">
        <f>'Entrada datos'!B186</f>
        <v>0</v>
      </c>
      <c r="C186">
        <f>'Entrada datos'!C186</f>
        <v>0</v>
      </c>
      <c r="D186">
        <f>'Entrada datos'!D186</f>
        <v>0</v>
      </c>
      <c r="E186" s="18">
        <f>'Entrada datos'!G186</f>
        <v>0</v>
      </c>
      <c r="F186" s="18">
        <f>'Entrada datos'!H186</f>
        <v>0</v>
      </c>
      <c r="G186">
        <f>'Entrada datos'!J186</f>
        <v>0</v>
      </c>
      <c r="H186">
        <f>'Entrada datos'!L186</f>
        <v>0</v>
      </c>
      <c r="I186">
        <f>'Entrada datos'!O186</f>
        <v>0</v>
      </c>
      <c r="J186">
        <f>'Entrada datos'!P186</f>
        <v>0</v>
      </c>
      <c r="K186">
        <f>'Entrada datos'!Q186</f>
        <v>0</v>
      </c>
      <c r="L186">
        <f>'Entrada datos'!R186</f>
        <v>0</v>
      </c>
      <c r="M186">
        <f>'Entrada datos'!S186</f>
        <v>0</v>
      </c>
      <c r="N186">
        <f>'Entrada datos'!T186</f>
        <v>0</v>
      </c>
      <c r="O186">
        <f>'Entrada datos'!U186</f>
        <v>0</v>
      </c>
      <c r="P186" s="17">
        <f t="shared" si="38"/>
        <v>0</v>
      </c>
      <c r="Q186">
        <f>'Entrada datos'!V186</f>
        <v>0</v>
      </c>
      <c r="R186">
        <f>'Entrada datos'!W186</f>
        <v>0</v>
      </c>
      <c r="S186">
        <f>'Entrada datos'!X186</f>
        <v>0</v>
      </c>
      <c r="T186">
        <f>'Entrada datos'!Y186</f>
        <v>0</v>
      </c>
      <c r="U186">
        <f>'Entrada datos'!Z186</f>
        <v>0</v>
      </c>
      <c r="V186">
        <f>'Entrada datos'!AA186</f>
        <v>0</v>
      </c>
      <c r="W186" s="17">
        <f t="shared" si="39"/>
        <v>0</v>
      </c>
      <c r="X186">
        <f>'Entrada datos'!AB186</f>
        <v>0</v>
      </c>
      <c r="Y186">
        <f>'Entrada datos'!AC186</f>
        <v>0</v>
      </c>
      <c r="Z186">
        <f>'Entrada datos'!AD186</f>
        <v>0</v>
      </c>
      <c r="AA186">
        <f>'Entrada datos'!AE186</f>
        <v>0</v>
      </c>
      <c r="AB186">
        <f>'Entrada datos'!AF186</f>
        <v>0</v>
      </c>
      <c r="AC186">
        <f>'Entrada datos'!AG186</f>
        <v>0</v>
      </c>
      <c r="AD186" s="17">
        <f t="shared" si="40"/>
        <v>0</v>
      </c>
      <c r="AE186">
        <f>'Entrada datos'!AH186</f>
        <v>0</v>
      </c>
      <c r="AF186">
        <f>'Entrada datos'!AI186</f>
        <v>0</v>
      </c>
      <c r="AG186">
        <f>'Entrada datos'!AJ186</f>
        <v>0</v>
      </c>
      <c r="AH186">
        <f>'Entrada datos'!AK186</f>
        <v>0</v>
      </c>
      <c r="AI186">
        <f>'Entrada datos'!AL186</f>
        <v>0</v>
      </c>
      <c r="AJ186">
        <f>'Entrada datos'!AM186</f>
        <v>0</v>
      </c>
      <c r="AK186" s="17">
        <f t="shared" si="41"/>
        <v>0</v>
      </c>
      <c r="AL186">
        <f>'Entrada datos'!AN186</f>
        <v>0</v>
      </c>
      <c r="AM186">
        <f>'Entrada datos'!AO186</f>
        <v>0</v>
      </c>
      <c r="AN186">
        <f>'Entrada datos'!AP186</f>
        <v>0</v>
      </c>
      <c r="AO186">
        <f>'Entrada datos'!AQ186</f>
        <v>0</v>
      </c>
      <c r="AP186">
        <f>'Entrada datos'!AR186</f>
        <v>0</v>
      </c>
      <c r="AQ186">
        <f>'Entrada datos'!AS186</f>
        <v>0</v>
      </c>
      <c r="AR186" s="17">
        <f t="shared" si="42"/>
        <v>0</v>
      </c>
      <c r="AS186" s="23">
        <f t="shared" si="43"/>
        <v>0</v>
      </c>
      <c r="AT186">
        <f t="shared" si="44"/>
        <v>1900</v>
      </c>
      <c r="AU186" s="41" t="str">
        <f t="shared" si="45"/>
        <v>enero</v>
      </c>
      <c r="AV186">
        <f t="shared" si="46"/>
        <v>0</v>
      </c>
      <c r="AW186">
        <f t="shared" si="47"/>
        <v>0</v>
      </c>
      <c r="AX186" s="24">
        <f t="shared" si="34"/>
        <v>0</v>
      </c>
      <c r="AY186" s="24">
        <f t="shared" si="35"/>
        <v>0</v>
      </c>
      <c r="AZ186" s="24">
        <f t="shared" si="48"/>
        <v>0</v>
      </c>
      <c r="BA186">
        <f t="shared" si="49"/>
        <v>0</v>
      </c>
      <c r="BB186">
        <f t="shared" si="36"/>
        <v>0</v>
      </c>
      <c r="BC186" s="24">
        <f t="shared" si="37"/>
        <v>0</v>
      </c>
      <c r="BD186">
        <f t="shared" si="50"/>
        <v>0</v>
      </c>
    </row>
    <row r="187" spans="1:56" x14ac:dyDescent="0.3">
      <c r="A187">
        <f>'Entrada datos'!A187</f>
        <v>0</v>
      </c>
      <c r="B187">
        <f>'Entrada datos'!B187</f>
        <v>0</v>
      </c>
      <c r="C187">
        <f>'Entrada datos'!C187</f>
        <v>0</v>
      </c>
      <c r="D187">
        <f>'Entrada datos'!D187</f>
        <v>0</v>
      </c>
      <c r="E187" s="18">
        <f>'Entrada datos'!G187</f>
        <v>0</v>
      </c>
      <c r="F187" s="18">
        <f>'Entrada datos'!H187</f>
        <v>0</v>
      </c>
      <c r="G187">
        <f>'Entrada datos'!J187</f>
        <v>0</v>
      </c>
      <c r="H187">
        <f>'Entrada datos'!L187</f>
        <v>0</v>
      </c>
      <c r="I187">
        <f>'Entrada datos'!O187</f>
        <v>0</v>
      </c>
      <c r="J187">
        <f>'Entrada datos'!P187</f>
        <v>0</v>
      </c>
      <c r="K187">
        <f>'Entrada datos'!Q187</f>
        <v>0</v>
      </c>
      <c r="L187">
        <f>'Entrada datos'!R187</f>
        <v>0</v>
      </c>
      <c r="M187">
        <f>'Entrada datos'!S187</f>
        <v>0</v>
      </c>
      <c r="N187">
        <f>'Entrada datos'!T187</f>
        <v>0</v>
      </c>
      <c r="O187">
        <f>'Entrada datos'!U187</f>
        <v>0</v>
      </c>
      <c r="P187" s="17">
        <f t="shared" si="38"/>
        <v>0</v>
      </c>
      <c r="Q187">
        <f>'Entrada datos'!V187</f>
        <v>0</v>
      </c>
      <c r="R187">
        <f>'Entrada datos'!W187</f>
        <v>0</v>
      </c>
      <c r="S187">
        <f>'Entrada datos'!X187</f>
        <v>0</v>
      </c>
      <c r="T187">
        <f>'Entrada datos'!Y187</f>
        <v>0</v>
      </c>
      <c r="U187">
        <f>'Entrada datos'!Z187</f>
        <v>0</v>
      </c>
      <c r="V187">
        <f>'Entrada datos'!AA187</f>
        <v>0</v>
      </c>
      <c r="W187" s="17">
        <f t="shared" si="39"/>
        <v>0</v>
      </c>
      <c r="X187">
        <f>'Entrada datos'!AB187</f>
        <v>0</v>
      </c>
      <c r="Y187">
        <f>'Entrada datos'!AC187</f>
        <v>0</v>
      </c>
      <c r="Z187">
        <f>'Entrada datos'!AD187</f>
        <v>0</v>
      </c>
      <c r="AA187">
        <f>'Entrada datos'!AE187</f>
        <v>0</v>
      </c>
      <c r="AB187">
        <f>'Entrada datos'!AF187</f>
        <v>0</v>
      </c>
      <c r="AC187">
        <f>'Entrada datos'!AG187</f>
        <v>0</v>
      </c>
      <c r="AD187" s="17">
        <f t="shared" si="40"/>
        <v>0</v>
      </c>
      <c r="AE187">
        <f>'Entrada datos'!AH187</f>
        <v>0</v>
      </c>
      <c r="AF187">
        <f>'Entrada datos'!AI187</f>
        <v>0</v>
      </c>
      <c r="AG187">
        <f>'Entrada datos'!AJ187</f>
        <v>0</v>
      </c>
      <c r="AH187">
        <f>'Entrada datos'!AK187</f>
        <v>0</v>
      </c>
      <c r="AI187">
        <f>'Entrada datos'!AL187</f>
        <v>0</v>
      </c>
      <c r="AJ187">
        <f>'Entrada datos'!AM187</f>
        <v>0</v>
      </c>
      <c r="AK187" s="17">
        <f t="shared" si="41"/>
        <v>0</v>
      </c>
      <c r="AL187">
        <f>'Entrada datos'!AN187</f>
        <v>0</v>
      </c>
      <c r="AM187">
        <f>'Entrada datos'!AO187</f>
        <v>0</v>
      </c>
      <c r="AN187">
        <f>'Entrada datos'!AP187</f>
        <v>0</v>
      </c>
      <c r="AO187">
        <f>'Entrada datos'!AQ187</f>
        <v>0</v>
      </c>
      <c r="AP187">
        <f>'Entrada datos'!AR187</f>
        <v>0</v>
      </c>
      <c r="AQ187">
        <f>'Entrada datos'!AS187</f>
        <v>0</v>
      </c>
      <c r="AR187" s="17">
        <f t="shared" si="42"/>
        <v>0</v>
      </c>
      <c r="AS187" s="23">
        <f t="shared" si="43"/>
        <v>0</v>
      </c>
      <c r="AT187">
        <f t="shared" si="44"/>
        <v>1900</v>
      </c>
      <c r="AU187" s="41" t="str">
        <f t="shared" si="45"/>
        <v>enero</v>
      </c>
      <c r="AV187">
        <f t="shared" si="46"/>
        <v>0</v>
      </c>
      <c r="AW187">
        <f t="shared" si="47"/>
        <v>0</v>
      </c>
      <c r="AX187" s="24">
        <f t="shared" si="34"/>
        <v>0</v>
      </c>
      <c r="AY187" s="24">
        <f t="shared" si="35"/>
        <v>0</v>
      </c>
      <c r="AZ187" s="24">
        <f t="shared" si="48"/>
        <v>0</v>
      </c>
      <c r="BA187">
        <f t="shared" si="49"/>
        <v>0</v>
      </c>
      <c r="BB187">
        <f t="shared" si="36"/>
        <v>0</v>
      </c>
      <c r="BC187" s="24">
        <f t="shared" si="37"/>
        <v>0</v>
      </c>
      <c r="BD187">
        <f t="shared" si="50"/>
        <v>0</v>
      </c>
    </row>
    <row r="188" spans="1:56" x14ac:dyDescent="0.3">
      <c r="A188">
        <f>'Entrada datos'!A188</f>
        <v>0</v>
      </c>
      <c r="B188">
        <f>'Entrada datos'!B188</f>
        <v>0</v>
      </c>
      <c r="C188">
        <f>'Entrada datos'!C188</f>
        <v>0</v>
      </c>
      <c r="D188">
        <f>'Entrada datos'!D188</f>
        <v>0</v>
      </c>
      <c r="E188" s="18">
        <f>'Entrada datos'!G188</f>
        <v>0</v>
      </c>
      <c r="F188" s="18">
        <f>'Entrada datos'!H188</f>
        <v>0</v>
      </c>
      <c r="G188">
        <f>'Entrada datos'!J188</f>
        <v>0</v>
      </c>
      <c r="H188">
        <f>'Entrada datos'!L188</f>
        <v>0</v>
      </c>
      <c r="I188">
        <f>'Entrada datos'!O188</f>
        <v>0</v>
      </c>
      <c r="J188">
        <f>'Entrada datos'!P188</f>
        <v>0</v>
      </c>
      <c r="K188">
        <f>'Entrada datos'!Q188</f>
        <v>0</v>
      </c>
      <c r="L188">
        <f>'Entrada datos'!R188</f>
        <v>0</v>
      </c>
      <c r="M188">
        <f>'Entrada datos'!S188</f>
        <v>0</v>
      </c>
      <c r="N188">
        <f>'Entrada datos'!T188</f>
        <v>0</v>
      </c>
      <c r="O188">
        <f>'Entrada datos'!U188</f>
        <v>0</v>
      </c>
      <c r="P188" s="17">
        <f t="shared" si="38"/>
        <v>0</v>
      </c>
      <c r="Q188">
        <f>'Entrada datos'!V188</f>
        <v>0</v>
      </c>
      <c r="R188">
        <f>'Entrada datos'!W188</f>
        <v>0</v>
      </c>
      <c r="S188">
        <f>'Entrada datos'!X188</f>
        <v>0</v>
      </c>
      <c r="T188">
        <f>'Entrada datos'!Y188</f>
        <v>0</v>
      </c>
      <c r="U188">
        <f>'Entrada datos'!Z188</f>
        <v>0</v>
      </c>
      <c r="V188">
        <f>'Entrada datos'!AA188</f>
        <v>0</v>
      </c>
      <c r="W188" s="17">
        <f t="shared" si="39"/>
        <v>0</v>
      </c>
      <c r="X188">
        <f>'Entrada datos'!AB188</f>
        <v>0</v>
      </c>
      <c r="Y188">
        <f>'Entrada datos'!AC188</f>
        <v>0</v>
      </c>
      <c r="Z188">
        <f>'Entrada datos'!AD188</f>
        <v>0</v>
      </c>
      <c r="AA188">
        <f>'Entrada datos'!AE188</f>
        <v>0</v>
      </c>
      <c r="AB188">
        <f>'Entrada datos'!AF188</f>
        <v>0</v>
      </c>
      <c r="AC188">
        <f>'Entrada datos'!AG188</f>
        <v>0</v>
      </c>
      <c r="AD188" s="17">
        <f t="shared" si="40"/>
        <v>0</v>
      </c>
      <c r="AE188">
        <f>'Entrada datos'!AH188</f>
        <v>0</v>
      </c>
      <c r="AF188">
        <f>'Entrada datos'!AI188</f>
        <v>0</v>
      </c>
      <c r="AG188">
        <f>'Entrada datos'!AJ188</f>
        <v>0</v>
      </c>
      <c r="AH188">
        <f>'Entrada datos'!AK188</f>
        <v>0</v>
      </c>
      <c r="AI188">
        <f>'Entrada datos'!AL188</f>
        <v>0</v>
      </c>
      <c r="AJ188">
        <f>'Entrada datos'!AM188</f>
        <v>0</v>
      </c>
      <c r="AK188" s="17">
        <f t="shared" si="41"/>
        <v>0</v>
      </c>
      <c r="AL188">
        <f>'Entrada datos'!AN188</f>
        <v>0</v>
      </c>
      <c r="AM188">
        <f>'Entrada datos'!AO188</f>
        <v>0</v>
      </c>
      <c r="AN188">
        <f>'Entrada datos'!AP188</f>
        <v>0</v>
      </c>
      <c r="AO188">
        <f>'Entrada datos'!AQ188</f>
        <v>0</v>
      </c>
      <c r="AP188">
        <f>'Entrada datos'!AR188</f>
        <v>0</v>
      </c>
      <c r="AQ188">
        <f>'Entrada datos'!AS188</f>
        <v>0</v>
      </c>
      <c r="AR188" s="17">
        <f t="shared" si="42"/>
        <v>0</v>
      </c>
      <c r="AS188" s="23">
        <f t="shared" si="43"/>
        <v>0</v>
      </c>
      <c r="AT188">
        <f t="shared" si="44"/>
        <v>1900</v>
      </c>
      <c r="AU188" s="41" t="str">
        <f t="shared" si="45"/>
        <v>enero</v>
      </c>
      <c r="AV188">
        <f t="shared" si="46"/>
        <v>0</v>
      </c>
      <c r="AW188">
        <f t="shared" si="47"/>
        <v>0</v>
      </c>
      <c r="AX188" s="24">
        <f t="shared" si="34"/>
        <v>0</v>
      </c>
      <c r="AY188" s="24">
        <f t="shared" si="35"/>
        <v>0</v>
      </c>
      <c r="AZ188" s="24">
        <f t="shared" si="48"/>
        <v>0</v>
      </c>
      <c r="BA188">
        <f t="shared" si="49"/>
        <v>0</v>
      </c>
      <c r="BB188">
        <f t="shared" si="36"/>
        <v>0</v>
      </c>
      <c r="BC188" s="24">
        <f t="shared" si="37"/>
        <v>0</v>
      </c>
      <c r="BD188">
        <f t="shared" si="50"/>
        <v>0</v>
      </c>
    </row>
    <row r="189" spans="1:56" x14ac:dyDescent="0.3">
      <c r="A189">
        <f>'Entrada datos'!A189</f>
        <v>0</v>
      </c>
      <c r="B189">
        <f>'Entrada datos'!B189</f>
        <v>0</v>
      </c>
      <c r="C189">
        <f>'Entrada datos'!C189</f>
        <v>0</v>
      </c>
      <c r="D189">
        <f>'Entrada datos'!D189</f>
        <v>0</v>
      </c>
      <c r="E189" s="18">
        <f>'Entrada datos'!G189</f>
        <v>0</v>
      </c>
      <c r="F189" s="18">
        <f>'Entrada datos'!H189</f>
        <v>0</v>
      </c>
      <c r="G189">
        <f>'Entrada datos'!J189</f>
        <v>0</v>
      </c>
      <c r="H189">
        <f>'Entrada datos'!L189</f>
        <v>0</v>
      </c>
      <c r="I189">
        <f>'Entrada datos'!O189</f>
        <v>0</v>
      </c>
      <c r="J189">
        <f>'Entrada datos'!P189</f>
        <v>0</v>
      </c>
      <c r="K189">
        <f>'Entrada datos'!Q189</f>
        <v>0</v>
      </c>
      <c r="L189">
        <f>'Entrada datos'!R189</f>
        <v>0</v>
      </c>
      <c r="M189">
        <f>'Entrada datos'!S189</f>
        <v>0</v>
      </c>
      <c r="N189">
        <f>'Entrada datos'!T189</f>
        <v>0</v>
      </c>
      <c r="O189">
        <f>'Entrada datos'!U189</f>
        <v>0</v>
      </c>
      <c r="P189" s="17">
        <f t="shared" si="38"/>
        <v>0</v>
      </c>
      <c r="Q189">
        <f>'Entrada datos'!V189</f>
        <v>0</v>
      </c>
      <c r="R189">
        <f>'Entrada datos'!W189</f>
        <v>0</v>
      </c>
      <c r="S189">
        <f>'Entrada datos'!X189</f>
        <v>0</v>
      </c>
      <c r="T189">
        <f>'Entrada datos'!Y189</f>
        <v>0</v>
      </c>
      <c r="U189">
        <f>'Entrada datos'!Z189</f>
        <v>0</v>
      </c>
      <c r="V189">
        <f>'Entrada datos'!AA189</f>
        <v>0</v>
      </c>
      <c r="W189" s="17">
        <f t="shared" si="39"/>
        <v>0</v>
      </c>
      <c r="X189">
        <f>'Entrada datos'!AB189</f>
        <v>0</v>
      </c>
      <c r="Y189">
        <f>'Entrada datos'!AC189</f>
        <v>0</v>
      </c>
      <c r="Z189">
        <f>'Entrada datos'!AD189</f>
        <v>0</v>
      </c>
      <c r="AA189">
        <f>'Entrada datos'!AE189</f>
        <v>0</v>
      </c>
      <c r="AB189">
        <f>'Entrada datos'!AF189</f>
        <v>0</v>
      </c>
      <c r="AC189">
        <f>'Entrada datos'!AG189</f>
        <v>0</v>
      </c>
      <c r="AD189" s="17">
        <f t="shared" si="40"/>
        <v>0</v>
      </c>
      <c r="AE189">
        <f>'Entrada datos'!AH189</f>
        <v>0</v>
      </c>
      <c r="AF189">
        <f>'Entrada datos'!AI189</f>
        <v>0</v>
      </c>
      <c r="AG189">
        <f>'Entrada datos'!AJ189</f>
        <v>0</v>
      </c>
      <c r="AH189">
        <f>'Entrada datos'!AK189</f>
        <v>0</v>
      </c>
      <c r="AI189">
        <f>'Entrada datos'!AL189</f>
        <v>0</v>
      </c>
      <c r="AJ189">
        <f>'Entrada datos'!AM189</f>
        <v>0</v>
      </c>
      <c r="AK189" s="17">
        <f t="shared" si="41"/>
        <v>0</v>
      </c>
      <c r="AL189">
        <f>'Entrada datos'!AN189</f>
        <v>0</v>
      </c>
      <c r="AM189">
        <f>'Entrada datos'!AO189</f>
        <v>0</v>
      </c>
      <c r="AN189">
        <f>'Entrada datos'!AP189</f>
        <v>0</v>
      </c>
      <c r="AO189">
        <f>'Entrada datos'!AQ189</f>
        <v>0</v>
      </c>
      <c r="AP189">
        <f>'Entrada datos'!AR189</f>
        <v>0</v>
      </c>
      <c r="AQ189">
        <f>'Entrada datos'!AS189</f>
        <v>0</v>
      </c>
      <c r="AR189" s="17">
        <f t="shared" si="42"/>
        <v>0</v>
      </c>
      <c r="AS189" s="23">
        <f t="shared" si="43"/>
        <v>0</v>
      </c>
      <c r="AT189">
        <f t="shared" si="44"/>
        <v>1900</v>
      </c>
      <c r="AU189" s="41" t="str">
        <f t="shared" si="45"/>
        <v>enero</v>
      </c>
      <c r="AV189">
        <f t="shared" si="46"/>
        <v>0</v>
      </c>
      <c r="AW189">
        <f t="shared" si="47"/>
        <v>0</v>
      </c>
      <c r="AX189" s="24">
        <f t="shared" si="34"/>
        <v>0</v>
      </c>
      <c r="AY189" s="24">
        <f t="shared" si="35"/>
        <v>0</v>
      </c>
      <c r="AZ189" s="24">
        <f t="shared" si="48"/>
        <v>0</v>
      </c>
      <c r="BA189">
        <f t="shared" si="49"/>
        <v>0</v>
      </c>
      <c r="BB189">
        <f t="shared" si="36"/>
        <v>0</v>
      </c>
      <c r="BC189" s="24">
        <f t="shared" si="37"/>
        <v>0</v>
      </c>
      <c r="BD189">
        <f t="shared" si="50"/>
        <v>0</v>
      </c>
    </row>
    <row r="190" spans="1:56" x14ac:dyDescent="0.3">
      <c r="A190">
        <f>'Entrada datos'!A190</f>
        <v>0</v>
      </c>
      <c r="B190">
        <f>'Entrada datos'!B190</f>
        <v>0</v>
      </c>
      <c r="C190">
        <f>'Entrada datos'!C190</f>
        <v>0</v>
      </c>
      <c r="D190">
        <f>'Entrada datos'!D190</f>
        <v>0</v>
      </c>
      <c r="E190" s="18">
        <f>'Entrada datos'!G190</f>
        <v>0</v>
      </c>
      <c r="F190" s="18">
        <f>'Entrada datos'!H190</f>
        <v>0</v>
      </c>
      <c r="G190">
        <f>'Entrada datos'!J190</f>
        <v>0</v>
      </c>
      <c r="H190">
        <f>'Entrada datos'!L190</f>
        <v>0</v>
      </c>
      <c r="I190">
        <f>'Entrada datos'!O190</f>
        <v>0</v>
      </c>
      <c r="J190">
        <f>'Entrada datos'!P190</f>
        <v>0</v>
      </c>
      <c r="K190">
        <f>'Entrada datos'!Q190</f>
        <v>0</v>
      </c>
      <c r="L190">
        <f>'Entrada datos'!R190</f>
        <v>0</v>
      </c>
      <c r="M190">
        <f>'Entrada datos'!S190</f>
        <v>0</v>
      </c>
      <c r="N190">
        <f>'Entrada datos'!T190</f>
        <v>0</v>
      </c>
      <c r="O190">
        <f>'Entrada datos'!U190</f>
        <v>0</v>
      </c>
      <c r="P190" s="17">
        <f t="shared" si="38"/>
        <v>0</v>
      </c>
      <c r="Q190">
        <f>'Entrada datos'!V190</f>
        <v>0</v>
      </c>
      <c r="R190">
        <f>'Entrada datos'!W190</f>
        <v>0</v>
      </c>
      <c r="S190">
        <f>'Entrada datos'!X190</f>
        <v>0</v>
      </c>
      <c r="T190">
        <f>'Entrada datos'!Y190</f>
        <v>0</v>
      </c>
      <c r="U190">
        <f>'Entrada datos'!Z190</f>
        <v>0</v>
      </c>
      <c r="V190">
        <f>'Entrada datos'!AA190</f>
        <v>0</v>
      </c>
      <c r="W190" s="17">
        <f t="shared" si="39"/>
        <v>0</v>
      </c>
      <c r="X190">
        <f>'Entrada datos'!AB190</f>
        <v>0</v>
      </c>
      <c r="Y190">
        <f>'Entrada datos'!AC190</f>
        <v>0</v>
      </c>
      <c r="Z190">
        <f>'Entrada datos'!AD190</f>
        <v>0</v>
      </c>
      <c r="AA190">
        <f>'Entrada datos'!AE190</f>
        <v>0</v>
      </c>
      <c r="AB190">
        <f>'Entrada datos'!AF190</f>
        <v>0</v>
      </c>
      <c r="AC190">
        <f>'Entrada datos'!AG190</f>
        <v>0</v>
      </c>
      <c r="AD190" s="17">
        <f t="shared" si="40"/>
        <v>0</v>
      </c>
      <c r="AE190">
        <f>'Entrada datos'!AH190</f>
        <v>0</v>
      </c>
      <c r="AF190">
        <f>'Entrada datos'!AI190</f>
        <v>0</v>
      </c>
      <c r="AG190">
        <f>'Entrada datos'!AJ190</f>
        <v>0</v>
      </c>
      <c r="AH190">
        <f>'Entrada datos'!AK190</f>
        <v>0</v>
      </c>
      <c r="AI190">
        <f>'Entrada datos'!AL190</f>
        <v>0</v>
      </c>
      <c r="AJ190">
        <f>'Entrada datos'!AM190</f>
        <v>0</v>
      </c>
      <c r="AK190" s="17">
        <f t="shared" si="41"/>
        <v>0</v>
      </c>
      <c r="AL190">
        <f>'Entrada datos'!AN190</f>
        <v>0</v>
      </c>
      <c r="AM190">
        <f>'Entrada datos'!AO190</f>
        <v>0</v>
      </c>
      <c r="AN190">
        <f>'Entrada datos'!AP190</f>
        <v>0</v>
      </c>
      <c r="AO190">
        <f>'Entrada datos'!AQ190</f>
        <v>0</v>
      </c>
      <c r="AP190">
        <f>'Entrada datos'!AR190</f>
        <v>0</v>
      </c>
      <c r="AQ190">
        <f>'Entrada datos'!AS190</f>
        <v>0</v>
      </c>
      <c r="AR190" s="17">
        <f t="shared" si="42"/>
        <v>0</v>
      </c>
      <c r="AS190" s="23">
        <f t="shared" si="43"/>
        <v>0</v>
      </c>
      <c r="AT190">
        <f t="shared" si="44"/>
        <v>1900</v>
      </c>
      <c r="AU190" s="41" t="str">
        <f t="shared" si="45"/>
        <v>enero</v>
      </c>
      <c r="AV190">
        <f t="shared" si="46"/>
        <v>0</v>
      </c>
      <c r="AW190">
        <f t="shared" si="47"/>
        <v>0</v>
      </c>
      <c r="AX190" s="24">
        <f t="shared" si="34"/>
        <v>0</v>
      </c>
      <c r="AY190" s="24">
        <f t="shared" si="35"/>
        <v>0</v>
      </c>
      <c r="AZ190" s="24">
        <f t="shared" si="48"/>
        <v>0</v>
      </c>
      <c r="BA190">
        <f t="shared" si="49"/>
        <v>0</v>
      </c>
      <c r="BB190">
        <f t="shared" si="36"/>
        <v>0</v>
      </c>
      <c r="BC190" s="24">
        <f t="shared" si="37"/>
        <v>0</v>
      </c>
      <c r="BD190">
        <f t="shared" si="50"/>
        <v>0</v>
      </c>
    </row>
    <row r="191" spans="1:56" x14ac:dyDescent="0.3">
      <c r="A191">
        <f>'Entrada datos'!A191</f>
        <v>0</v>
      </c>
      <c r="B191">
        <f>'Entrada datos'!B191</f>
        <v>0</v>
      </c>
      <c r="C191">
        <f>'Entrada datos'!C191</f>
        <v>0</v>
      </c>
      <c r="D191">
        <f>'Entrada datos'!D191</f>
        <v>0</v>
      </c>
      <c r="E191" s="18">
        <f>'Entrada datos'!G191</f>
        <v>0</v>
      </c>
      <c r="F191" s="18">
        <f>'Entrada datos'!H191</f>
        <v>0</v>
      </c>
      <c r="G191">
        <f>'Entrada datos'!J191</f>
        <v>0</v>
      </c>
      <c r="H191">
        <f>'Entrada datos'!L191</f>
        <v>0</v>
      </c>
      <c r="I191">
        <f>'Entrada datos'!O191</f>
        <v>0</v>
      </c>
      <c r="J191">
        <f>'Entrada datos'!P191</f>
        <v>0</v>
      </c>
      <c r="K191">
        <f>'Entrada datos'!Q191</f>
        <v>0</v>
      </c>
      <c r="L191">
        <f>'Entrada datos'!R191</f>
        <v>0</v>
      </c>
      <c r="M191">
        <f>'Entrada datos'!S191</f>
        <v>0</v>
      </c>
      <c r="N191">
        <f>'Entrada datos'!T191</f>
        <v>0</v>
      </c>
      <c r="O191">
        <f>'Entrada datos'!U191</f>
        <v>0</v>
      </c>
      <c r="P191" s="17">
        <f t="shared" si="38"/>
        <v>0</v>
      </c>
      <c r="Q191">
        <f>'Entrada datos'!V191</f>
        <v>0</v>
      </c>
      <c r="R191">
        <f>'Entrada datos'!W191</f>
        <v>0</v>
      </c>
      <c r="S191">
        <f>'Entrada datos'!X191</f>
        <v>0</v>
      </c>
      <c r="T191">
        <f>'Entrada datos'!Y191</f>
        <v>0</v>
      </c>
      <c r="U191">
        <f>'Entrada datos'!Z191</f>
        <v>0</v>
      </c>
      <c r="V191">
        <f>'Entrada datos'!AA191</f>
        <v>0</v>
      </c>
      <c r="W191" s="17">
        <f t="shared" si="39"/>
        <v>0</v>
      </c>
      <c r="X191">
        <f>'Entrada datos'!AB191</f>
        <v>0</v>
      </c>
      <c r="Y191">
        <f>'Entrada datos'!AC191</f>
        <v>0</v>
      </c>
      <c r="Z191">
        <f>'Entrada datos'!AD191</f>
        <v>0</v>
      </c>
      <c r="AA191">
        <f>'Entrada datos'!AE191</f>
        <v>0</v>
      </c>
      <c r="AB191">
        <f>'Entrada datos'!AF191</f>
        <v>0</v>
      </c>
      <c r="AC191">
        <f>'Entrada datos'!AG191</f>
        <v>0</v>
      </c>
      <c r="AD191" s="17">
        <f t="shared" si="40"/>
        <v>0</v>
      </c>
      <c r="AE191">
        <f>'Entrada datos'!AH191</f>
        <v>0</v>
      </c>
      <c r="AF191">
        <f>'Entrada datos'!AI191</f>
        <v>0</v>
      </c>
      <c r="AG191">
        <f>'Entrada datos'!AJ191</f>
        <v>0</v>
      </c>
      <c r="AH191">
        <f>'Entrada datos'!AK191</f>
        <v>0</v>
      </c>
      <c r="AI191">
        <f>'Entrada datos'!AL191</f>
        <v>0</v>
      </c>
      <c r="AJ191">
        <f>'Entrada datos'!AM191</f>
        <v>0</v>
      </c>
      <c r="AK191" s="17">
        <f t="shared" si="41"/>
        <v>0</v>
      </c>
      <c r="AL191">
        <f>'Entrada datos'!AN191</f>
        <v>0</v>
      </c>
      <c r="AM191">
        <f>'Entrada datos'!AO191</f>
        <v>0</v>
      </c>
      <c r="AN191">
        <f>'Entrada datos'!AP191</f>
        <v>0</v>
      </c>
      <c r="AO191">
        <f>'Entrada datos'!AQ191</f>
        <v>0</v>
      </c>
      <c r="AP191">
        <f>'Entrada datos'!AR191</f>
        <v>0</v>
      </c>
      <c r="AQ191">
        <f>'Entrada datos'!AS191</f>
        <v>0</v>
      </c>
      <c r="AR191" s="17">
        <f t="shared" si="42"/>
        <v>0</v>
      </c>
      <c r="AS191" s="23">
        <f t="shared" si="43"/>
        <v>0</v>
      </c>
      <c r="AT191">
        <f t="shared" si="44"/>
        <v>1900</v>
      </c>
      <c r="AU191" s="41" t="str">
        <f t="shared" si="45"/>
        <v>enero</v>
      </c>
      <c r="AV191">
        <f t="shared" si="46"/>
        <v>0</v>
      </c>
      <c r="AW191">
        <f t="shared" si="47"/>
        <v>0</v>
      </c>
      <c r="AX191" s="24">
        <f t="shared" si="34"/>
        <v>0</v>
      </c>
      <c r="AY191" s="24">
        <f t="shared" si="35"/>
        <v>0</v>
      </c>
      <c r="AZ191" s="24">
        <f t="shared" si="48"/>
        <v>0</v>
      </c>
      <c r="BA191">
        <f t="shared" si="49"/>
        <v>0</v>
      </c>
      <c r="BB191">
        <f t="shared" si="36"/>
        <v>0</v>
      </c>
      <c r="BC191" s="24">
        <f t="shared" si="37"/>
        <v>0</v>
      </c>
      <c r="BD191">
        <f t="shared" si="50"/>
        <v>0</v>
      </c>
    </row>
    <row r="192" spans="1:56" x14ac:dyDescent="0.3">
      <c r="A192">
        <f>'Entrada datos'!A192</f>
        <v>0</v>
      </c>
      <c r="B192">
        <f>'Entrada datos'!B192</f>
        <v>0</v>
      </c>
      <c r="C192">
        <f>'Entrada datos'!C192</f>
        <v>0</v>
      </c>
      <c r="D192">
        <f>'Entrada datos'!D192</f>
        <v>0</v>
      </c>
      <c r="E192" s="18">
        <f>'Entrada datos'!G192</f>
        <v>0</v>
      </c>
      <c r="F192" s="18">
        <f>'Entrada datos'!H192</f>
        <v>0</v>
      </c>
      <c r="G192">
        <f>'Entrada datos'!J192</f>
        <v>0</v>
      </c>
      <c r="H192">
        <f>'Entrada datos'!L192</f>
        <v>0</v>
      </c>
      <c r="I192">
        <f>'Entrada datos'!O192</f>
        <v>0</v>
      </c>
      <c r="J192">
        <f>'Entrada datos'!P192</f>
        <v>0</v>
      </c>
      <c r="K192">
        <f>'Entrada datos'!Q192</f>
        <v>0</v>
      </c>
      <c r="L192">
        <f>'Entrada datos'!R192</f>
        <v>0</v>
      </c>
      <c r="M192">
        <f>'Entrada datos'!S192</f>
        <v>0</v>
      </c>
      <c r="N192">
        <f>'Entrada datos'!T192</f>
        <v>0</v>
      </c>
      <c r="O192">
        <f>'Entrada datos'!U192</f>
        <v>0</v>
      </c>
      <c r="P192" s="17">
        <f t="shared" si="38"/>
        <v>0</v>
      </c>
      <c r="Q192">
        <f>'Entrada datos'!V192</f>
        <v>0</v>
      </c>
      <c r="R192">
        <f>'Entrada datos'!W192</f>
        <v>0</v>
      </c>
      <c r="S192">
        <f>'Entrada datos'!X192</f>
        <v>0</v>
      </c>
      <c r="T192">
        <f>'Entrada datos'!Y192</f>
        <v>0</v>
      </c>
      <c r="U192">
        <f>'Entrada datos'!Z192</f>
        <v>0</v>
      </c>
      <c r="V192">
        <f>'Entrada datos'!AA192</f>
        <v>0</v>
      </c>
      <c r="W192" s="17">
        <f t="shared" si="39"/>
        <v>0</v>
      </c>
      <c r="X192">
        <f>'Entrada datos'!AB192</f>
        <v>0</v>
      </c>
      <c r="Y192">
        <f>'Entrada datos'!AC192</f>
        <v>0</v>
      </c>
      <c r="Z192">
        <f>'Entrada datos'!AD192</f>
        <v>0</v>
      </c>
      <c r="AA192">
        <f>'Entrada datos'!AE192</f>
        <v>0</v>
      </c>
      <c r="AB192">
        <f>'Entrada datos'!AF192</f>
        <v>0</v>
      </c>
      <c r="AC192">
        <f>'Entrada datos'!AG192</f>
        <v>0</v>
      </c>
      <c r="AD192" s="17">
        <f t="shared" si="40"/>
        <v>0</v>
      </c>
      <c r="AE192">
        <f>'Entrada datos'!AH192</f>
        <v>0</v>
      </c>
      <c r="AF192">
        <f>'Entrada datos'!AI192</f>
        <v>0</v>
      </c>
      <c r="AG192">
        <f>'Entrada datos'!AJ192</f>
        <v>0</v>
      </c>
      <c r="AH192">
        <f>'Entrada datos'!AK192</f>
        <v>0</v>
      </c>
      <c r="AI192">
        <f>'Entrada datos'!AL192</f>
        <v>0</v>
      </c>
      <c r="AJ192">
        <f>'Entrada datos'!AM192</f>
        <v>0</v>
      </c>
      <c r="AK192" s="17">
        <f t="shared" si="41"/>
        <v>0</v>
      </c>
      <c r="AL192">
        <f>'Entrada datos'!AN192</f>
        <v>0</v>
      </c>
      <c r="AM192">
        <f>'Entrada datos'!AO192</f>
        <v>0</v>
      </c>
      <c r="AN192">
        <f>'Entrada datos'!AP192</f>
        <v>0</v>
      </c>
      <c r="AO192">
        <f>'Entrada datos'!AQ192</f>
        <v>0</v>
      </c>
      <c r="AP192">
        <f>'Entrada datos'!AR192</f>
        <v>0</v>
      </c>
      <c r="AQ192">
        <f>'Entrada datos'!AS192</f>
        <v>0</v>
      </c>
      <c r="AR192" s="17">
        <f t="shared" si="42"/>
        <v>0</v>
      </c>
      <c r="AS192" s="23">
        <f t="shared" si="43"/>
        <v>0</v>
      </c>
      <c r="AT192">
        <f t="shared" si="44"/>
        <v>1900</v>
      </c>
      <c r="AU192" s="41" t="str">
        <f t="shared" si="45"/>
        <v>enero</v>
      </c>
      <c r="AV192">
        <f t="shared" si="46"/>
        <v>0</v>
      </c>
      <c r="AW192">
        <f t="shared" si="47"/>
        <v>0</v>
      </c>
      <c r="AX192" s="24">
        <f t="shared" si="34"/>
        <v>0</v>
      </c>
      <c r="AY192" s="24">
        <f t="shared" si="35"/>
        <v>0</v>
      </c>
      <c r="AZ192" s="24">
        <f t="shared" si="48"/>
        <v>0</v>
      </c>
      <c r="BA192">
        <f t="shared" si="49"/>
        <v>0</v>
      </c>
      <c r="BB192">
        <f t="shared" si="36"/>
        <v>0</v>
      </c>
      <c r="BC192" s="24">
        <f t="shared" si="37"/>
        <v>0</v>
      </c>
      <c r="BD192">
        <f t="shared" si="50"/>
        <v>0</v>
      </c>
    </row>
    <row r="193" spans="1:56" x14ac:dyDescent="0.3">
      <c r="A193">
        <f>'Entrada datos'!A193</f>
        <v>0</v>
      </c>
      <c r="B193">
        <f>'Entrada datos'!B193</f>
        <v>0</v>
      </c>
      <c r="C193">
        <f>'Entrada datos'!C193</f>
        <v>0</v>
      </c>
      <c r="D193">
        <f>'Entrada datos'!D193</f>
        <v>0</v>
      </c>
      <c r="E193" s="18">
        <f>'Entrada datos'!G193</f>
        <v>0</v>
      </c>
      <c r="F193" s="18">
        <f>'Entrada datos'!H193</f>
        <v>0</v>
      </c>
      <c r="G193">
        <f>'Entrada datos'!J193</f>
        <v>0</v>
      </c>
      <c r="H193">
        <f>'Entrada datos'!L193</f>
        <v>0</v>
      </c>
      <c r="I193">
        <f>'Entrada datos'!O193</f>
        <v>0</v>
      </c>
      <c r="J193">
        <f>'Entrada datos'!P193</f>
        <v>0</v>
      </c>
      <c r="K193">
        <f>'Entrada datos'!Q193</f>
        <v>0</v>
      </c>
      <c r="L193">
        <f>'Entrada datos'!R193</f>
        <v>0</v>
      </c>
      <c r="M193">
        <f>'Entrada datos'!S193</f>
        <v>0</v>
      </c>
      <c r="N193">
        <f>'Entrada datos'!T193</f>
        <v>0</v>
      </c>
      <c r="O193">
        <f>'Entrada datos'!U193</f>
        <v>0</v>
      </c>
      <c r="P193" s="17">
        <f t="shared" si="38"/>
        <v>0</v>
      </c>
      <c r="Q193">
        <f>'Entrada datos'!V193</f>
        <v>0</v>
      </c>
      <c r="R193">
        <f>'Entrada datos'!W193</f>
        <v>0</v>
      </c>
      <c r="S193">
        <f>'Entrada datos'!X193</f>
        <v>0</v>
      </c>
      <c r="T193">
        <f>'Entrada datos'!Y193</f>
        <v>0</v>
      </c>
      <c r="U193">
        <f>'Entrada datos'!Z193</f>
        <v>0</v>
      </c>
      <c r="V193">
        <f>'Entrada datos'!AA193</f>
        <v>0</v>
      </c>
      <c r="W193" s="17">
        <f t="shared" si="39"/>
        <v>0</v>
      </c>
      <c r="X193">
        <f>'Entrada datos'!AB193</f>
        <v>0</v>
      </c>
      <c r="Y193">
        <f>'Entrada datos'!AC193</f>
        <v>0</v>
      </c>
      <c r="Z193">
        <f>'Entrada datos'!AD193</f>
        <v>0</v>
      </c>
      <c r="AA193">
        <f>'Entrada datos'!AE193</f>
        <v>0</v>
      </c>
      <c r="AB193">
        <f>'Entrada datos'!AF193</f>
        <v>0</v>
      </c>
      <c r="AC193">
        <f>'Entrada datos'!AG193</f>
        <v>0</v>
      </c>
      <c r="AD193" s="17">
        <f t="shared" si="40"/>
        <v>0</v>
      </c>
      <c r="AE193">
        <f>'Entrada datos'!AH193</f>
        <v>0</v>
      </c>
      <c r="AF193">
        <f>'Entrada datos'!AI193</f>
        <v>0</v>
      </c>
      <c r="AG193">
        <f>'Entrada datos'!AJ193</f>
        <v>0</v>
      </c>
      <c r="AH193">
        <f>'Entrada datos'!AK193</f>
        <v>0</v>
      </c>
      <c r="AI193">
        <f>'Entrada datos'!AL193</f>
        <v>0</v>
      </c>
      <c r="AJ193">
        <f>'Entrada datos'!AM193</f>
        <v>0</v>
      </c>
      <c r="AK193" s="17">
        <f t="shared" si="41"/>
        <v>0</v>
      </c>
      <c r="AL193">
        <f>'Entrada datos'!AN193</f>
        <v>0</v>
      </c>
      <c r="AM193">
        <f>'Entrada datos'!AO193</f>
        <v>0</v>
      </c>
      <c r="AN193">
        <f>'Entrada datos'!AP193</f>
        <v>0</v>
      </c>
      <c r="AO193">
        <f>'Entrada datos'!AQ193</f>
        <v>0</v>
      </c>
      <c r="AP193">
        <f>'Entrada datos'!AR193</f>
        <v>0</v>
      </c>
      <c r="AQ193">
        <f>'Entrada datos'!AS193</f>
        <v>0</v>
      </c>
      <c r="AR193" s="17">
        <f t="shared" si="42"/>
        <v>0</v>
      </c>
      <c r="AS193" s="23">
        <f t="shared" si="43"/>
        <v>0</v>
      </c>
      <c r="AT193">
        <f t="shared" si="44"/>
        <v>1900</v>
      </c>
      <c r="AU193" s="41" t="str">
        <f t="shared" si="45"/>
        <v>enero</v>
      </c>
      <c r="AV193">
        <f t="shared" si="46"/>
        <v>0</v>
      </c>
      <c r="AW193">
        <f t="shared" si="47"/>
        <v>0</v>
      </c>
      <c r="AX193" s="24">
        <f t="shared" si="34"/>
        <v>0</v>
      </c>
      <c r="AY193" s="24">
        <f t="shared" si="35"/>
        <v>0</v>
      </c>
      <c r="AZ193" s="24">
        <f t="shared" si="48"/>
        <v>0</v>
      </c>
      <c r="BA193">
        <f t="shared" si="49"/>
        <v>0</v>
      </c>
      <c r="BB193">
        <f t="shared" si="36"/>
        <v>0</v>
      </c>
      <c r="BC193" s="24">
        <f t="shared" si="37"/>
        <v>0</v>
      </c>
      <c r="BD193">
        <f t="shared" si="50"/>
        <v>0</v>
      </c>
    </row>
    <row r="194" spans="1:56" x14ac:dyDescent="0.3">
      <c r="A194">
        <f>'Entrada datos'!A194</f>
        <v>0</v>
      </c>
      <c r="B194">
        <f>'Entrada datos'!B194</f>
        <v>0</v>
      </c>
      <c r="C194">
        <f>'Entrada datos'!C194</f>
        <v>0</v>
      </c>
      <c r="D194">
        <f>'Entrada datos'!D194</f>
        <v>0</v>
      </c>
      <c r="E194" s="18">
        <f>'Entrada datos'!G194</f>
        <v>0</v>
      </c>
      <c r="F194" s="18">
        <f>'Entrada datos'!H194</f>
        <v>0</v>
      </c>
      <c r="G194">
        <f>'Entrada datos'!J194</f>
        <v>0</v>
      </c>
      <c r="H194">
        <f>'Entrada datos'!L194</f>
        <v>0</v>
      </c>
      <c r="I194">
        <f>'Entrada datos'!O194</f>
        <v>0</v>
      </c>
      <c r="J194">
        <f>'Entrada datos'!P194</f>
        <v>0</v>
      </c>
      <c r="K194">
        <f>'Entrada datos'!Q194</f>
        <v>0</v>
      </c>
      <c r="L194">
        <f>'Entrada datos'!R194</f>
        <v>0</v>
      </c>
      <c r="M194">
        <f>'Entrada datos'!S194</f>
        <v>0</v>
      </c>
      <c r="N194">
        <f>'Entrada datos'!T194</f>
        <v>0</v>
      </c>
      <c r="O194">
        <f>'Entrada datos'!U194</f>
        <v>0</v>
      </c>
      <c r="P194" s="17">
        <f t="shared" si="38"/>
        <v>0</v>
      </c>
      <c r="Q194">
        <f>'Entrada datos'!V194</f>
        <v>0</v>
      </c>
      <c r="R194">
        <f>'Entrada datos'!W194</f>
        <v>0</v>
      </c>
      <c r="S194">
        <f>'Entrada datos'!X194</f>
        <v>0</v>
      </c>
      <c r="T194">
        <f>'Entrada datos'!Y194</f>
        <v>0</v>
      </c>
      <c r="U194">
        <f>'Entrada datos'!Z194</f>
        <v>0</v>
      </c>
      <c r="V194">
        <f>'Entrada datos'!AA194</f>
        <v>0</v>
      </c>
      <c r="W194" s="17">
        <f t="shared" si="39"/>
        <v>0</v>
      </c>
      <c r="X194">
        <f>'Entrada datos'!AB194</f>
        <v>0</v>
      </c>
      <c r="Y194">
        <f>'Entrada datos'!AC194</f>
        <v>0</v>
      </c>
      <c r="Z194">
        <f>'Entrada datos'!AD194</f>
        <v>0</v>
      </c>
      <c r="AA194">
        <f>'Entrada datos'!AE194</f>
        <v>0</v>
      </c>
      <c r="AB194">
        <f>'Entrada datos'!AF194</f>
        <v>0</v>
      </c>
      <c r="AC194">
        <f>'Entrada datos'!AG194</f>
        <v>0</v>
      </c>
      <c r="AD194" s="17">
        <f t="shared" si="40"/>
        <v>0</v>
      </c>
      <c r="AE194">
        <f>'Entrada datos'!AH194</f>
        <v>0</v>
      </c>
      <c r="AF194">
        <f>'Entrada datos'!AI194</f>
        <v>0</v>
      </c>
      <c r="AG194">
        <f>'Entrada datos'!AJ194</f>
        <v>0</v>
      </c>
      <c r="AH194">
        <f>'Entrada datos'!AK194</f>
        <v>0</v>
      </c>
      <c r="AI194">
        <f>'Entrada datos'!AL194</f>
        <v>0</v>
      </c>
      <c r="AJ194">
        <f>'Entrada datos'!AM194</f>
        <v>0</v>
      </c>
      <c r="AK194" s="17">
        <f t="shared" si="41"/>
        <v>0</v>
      </c>
      <c r="AL194">
        <f>'Entrada datos'!AN194</f>
        <v>0</v>
      </c>
      <c r="AM194">
        <f>'Entrada datos'!AO194</f>
        <v>0</v>
      </c>
      <c r="AN194">
        <f>'Entrada datos'!AP194</f>
        <v>0</v>
      </c>
      <c r="AO194">
        <f>'Entrada datos'!AQ194</f>
        <v>0</v>
      </c>
      <c r="AP194">
        <f>'Entrada datos'!AR194</f>
        <v>0</v>
      </c>
      <c r="AQ194">
        <f>'Entrada datos'!AS194</f>
        <v>0</v>
      </c>
      <c r="AR194" s="17">
        <f t="shared" si="42"/>
        <v>0</v>
      </c>
      <c r="AS194" s="23">
        <f t="shared" si="43"/>
        <v>0</v>
      </c>
      <c r="AT194">
        <f t="shared" si="44"/>
        <v>1900</v>
      </c>
      <c r="AU194" s="41" t="str">
        <f t="shared" si="45"/>
        <v>enero</v>
      </c>
      <c r="AV194">
        <f t="shared" si="46"/>
        <v>0</v>
      </c>
      <c r="AW194">
        <f t="shared" si="47"/>
        <v>0</v>
      </c>
      <c r="AX194" s="24">
        <f t="shared" si="34"/>
        <v>0</v>
      </c>
      <c r="AY194" s="24">
        <f t="shared" si="35"/>
        <v>0</v>
      </c>
      <c r="AZ194" s="24">
        <f t="shared" si="48"/>
        <v>0</v>
      </c>
      <c r="BA194">
        <f t="shared" si="49"/>
        <v>0</v>
      </c>
      <c r="BB194">
        <f t="shared" si="36"/>
        <v>0</v>
      </c>
      <c r="BC194" s="24">
        <f t="shared" si="37"/>
        <v>0</v>
      </c>
      <c r="BD194">
        <f t="shared" si="50"/>
        <v>0</v>
      </c>
    </row>
    <row r="195" spans="1:56" x14ac:dyDescent="0.3">
      <c r="A195">
        <f>'Entrada datos'!A195</f>
        <v>0</v>
      </c>
      <c r="B195">
        <f>'Entrada datos'!B195</f>
        <v>0</v>
      </c>
      <c r="C195">
        <f>'Entrada datos'!C195</f>
        <v>0</v>
      </c>
      <c r="D195">
        <f>'Entrada datos'!D195</f>
        <v>0</v>
      </c>
      <c r="E195" s="18">
        <f>'Entrada datos'!G195</f>
        <v>0</v>
      </c>
      <c r="F195" s="18">
        <f>'Entrada datos'!H195</f>
        <v>0</v>
      </c>
      <c r="G195">
        <f>'Entrada datos'!J195</f>
        <v>0</v>
      </c>
      <c r="H195">
        <f>'Entrada datos'!L195</f>
        <v>0</v>
      </c>
      <c r="I195">
        <f>'Entrada datos'!O195</f>
        <v>0</v>
      </c>
      <c r="J195">
        <f>'Entrada datos'!P195</f>
        <v>0</v>
      </c>
      <c r="K195">
        <f>'Entrada datos'!Q195</f>
        <v>0</v>
      </c>
      <c r="L195">
        <f>'Entrada datos'!R195</f>
        <v>0</v>
      </c>
      <c r="M195">
        <f>'Entrada datos'!S195</f>
        <v>0</v>
      </c>
      <c r="N195">
        <f>'Entrada datos'!T195</f>
        <v>0</v>
      </c>
      <c r="O195">
        <f>'Entrada datos'!U195</f>
        <v>0</v>
      </c>
      <c r="P195" s="17">
        <f t="shared" si="38"/>
        <v>0</v>
      </c>
      <c r="Q195">
        <f>'Entrada datos'!V195</f>
        <v>0</v>
      </c>
      <c r="R195">
        <f>'Entrada datos'!W195</f>
        <v>0</v>
      </c>
      <c r="S195">
        <f>'Entrada datos'!X195</f>
        <v>0</v>
      </c>
      <c r="T195">
        <f>'Entrada datos'!Y195</f>
        <v>0</v>
      </c>
      <c r="U195">
        <f>'Entrada datos'!Z195</f>
        <v>0</v>
      </c>
      <c r="V195">
        <f>'Entrada datos'!AA195</f>
        <v>0</v>
      </c>
      <c r="W195" s="17">
        <f t="shared" si="39"/>
        <v>0</v>
      </c>
      <c r="X195">
        <f>'Entrada datos'!AB195</f>
        <v>0</v>
      </c>
      <c r="Y195">
        <f>'Entrada datos'!AC195</f>
        <v>0</v>
      </c>
      <c r="Z195">
        <f>'Entrada datos'!AD195</f>
        <v>0</v>
      </c>
      <c r="AA195">
        <f>'Entrada datos'!AE195</f>
        <v>0</v>
      </c>
      <c r="AB195">
        <f>'Entrada datos'!AF195</f>
        <v>0</v>
      </c>
      <c r="AC195">
        <f>'Entrada datos'!AG195</f>
        <v>0</v>
      </c>
      <c r="AD195" s="17">
        <f t="shared" si="40"/>
        <v>0</v>
      </c>
      <c r="AE195">
        <f>'Entrada datos'!AH195</f>
        <v>0</v>
      </c>
      <c r="AF195">
        <f>'Entrada datos'!AI195</f>
        <v>0</v>
      </c>
      <c r="AG195">
        <f>'Entrada datos'!AJ195</f>
        <v>0</v>
      </c>
      <c r="AH195">
        <f>'Entrada datos'!AK195</f>
        <v>0</v>
      </c>
      <c r="AI195">
        <f>'Entrada datos'!AL195</f>
        <v>0</v>
      </c>
      <c r="AJ195">
        <f>'Entrada datos'!AM195</f>
        <v>0</v>
      </c>
      <c r="AK195" s="17">
        <f t="shared" si="41"/>
        <v>0</v>
      </c>
      <c r="AL195">
        <f>'Entrada datos'!AN195</f>
        <v>0</v>
      </c>
      <c r="AM195">
        <f>'Entrada datos'!AO195</f>
        <v>0</v>
      </c>
      <c r="AN195">
        <f>'Entrada datos'!AP195</f>
        <v>0</v>
      </c>
      <c r="AO195">
        <f>'Entrada datos'!AQ195</f>
        <v>0</v>
      </c>
      <c r="AP195">
        <f>'Entrada datos'!AR195</f>
        <v>0</v>
      </c>
      <c r="AQ195">
        <f>'Entrada datos'!AS195</f>
        <v>0</v>
      </c>
      <c r="AR195" s="17">
        <f t="shared" si="42"/>
        <v>0</v>
      </c>
      <c r="AS195" s="23">
        <f t="shared" si="43"/>
        <v>0</v>
      </c>
      <c r="AT195">
        <f t="shared" si="44"/>
        <v>1900</v>
      </c>
      <c r="AU195" s="41" t="str">
        <f t="shared" si="45"/>
        <v>enero</v>
      </c>
      <c r="AV195">
        <f t="shared" si="46"/>
        <v>0</v>
      </c>
      <c r="AW195">
        <f t="shared" si="47"/>
        <v>0</v>
      </c>
      <c r="AX195" s="24">
        <f t="shared" ref="AX195:AX200" si="51">IFERROR(P195/AW195,0)</f>
        <v>0</v>
      </c>
      <c r="AY195" s="24">
        <f t="shared" ref="AY195:AY200" si="52">IFERROR(AV195/AW195,0)</f>
        <v>0</v>
      </c>
      <c r="AZ195" s="24">
        <f t="shared" si="48"/>
        <v>0</v>
      </c>
      <c r="BA195">
        <f t="shared" si="49"/>
        <v>0</v>
      </c>
      <c r="BB195">
        <f t="shared" ref="BB195:BB200" si="53">IFERROR(BA195/AW195,0)</f>
        <v>0</v>
      </c>
      <c r="BC195" s="24">
        <f t="shared" ref="BC195:BC200" si="54">IFERROR(BB195-AX195,0)</f>
        <v>0</v>
      </c>
      <c r="BD195">
        <f t="shared" si="50"/>
        <v>0</v>
      </c>
    </row>
    <row r="196" spans="1:56" x14ac:dyDescent="0.3">
      <c r="A196">
        <f>'Entrada datos'!A196</f>
        <v>0</v>
      </c>
      <c r="B196">
        <f>'Entrada datos'!B196</f>
        <v>0</v>
      </c>
      <c r="C196">
        <f>'Entrada datos'!C196</f>
        <v>0</v>
      </c>
      <c r="D196">
        <f>'Entrada datos'!D196</f>
        <v>0</v>
      </c>
      <c r="E196" s="18">
        <f>'Entrada datos'!G196</f>
        <v>0</v>
      </c>
      <c r="F196" s="18">
        <f>'Entrada datos'!H196</f>
        <v>0</v>
      </c>
      <c r="G196">
        <f>'Entrada datos'!J196</f>
        <v>0</v>
      </c>
      <c r="H196">
        <f>'Entrada datos'!L196</f>
        <v>0</v>
      </c>
      <c r="I196">
        <f>'Entrada datos'!O196</f>
        <v>0</v>
      </c>
      <c r="J196">
        <f>'Entrada datos'!P196</f>
        <v>0</v>
      </c>
      <c r="K196">
        <f>'Entrada datos'!Q196</f>
        <v>0</v>
      </c>
      <c r="L196">
        <f>'Entrada datos'!R196</f>
        <v>0</v>
      </c>
      <c r="M196">
        <f>'Entrada datos'!S196</f>
        <v>0</v>
      </c>
      <c r="N196">
        <f>'Entrada datos'!T196</f>
        <v>0</v>
      </c>
      <c r="O196">
        <f>'Entrada datos'!U196</f>
        <v>0</v>
      </c>
      <c r="P196" s="17">
        <f>SUM(J196:O196)</f>
        <v>0</v>
      </c>
      <c r="Q196">
        <f>'Entrada datos'!V196</f>
        <v>0</v>
      </c>
      <c r="R196">
        <f>'Entrada datos'!W196</f>
        <v>0</v>
      </c>
      <c r="S196">
        <f>'Entrada datos'!X196</f>
        <v>0</v>
      </c>
      <c r="T196">
        <f>'Entrada datos'!Y196</f>
        <v>0</v>
      </c>
      <c r="U196">
        <f>'Entrada datos'!Z196</f>
        <v>0</v>
      </c>
      <c r="V196">
        <f>'Entrada datos'!AA196</f>
        <v>0</v>
      </c>
      <c r="W196" s="17">
        <f>SUM(Q196:V196)</f>
        <v>0</v>
      </c>
      <c r="X196">
        <f>'Entrada datos'!AB196</f>
        <v>0</v>
      </c>
      <c r="Y196">
        <f>'Entrada datos'!AC196</f>
        <v>0</v>
      </c>
      <c r="Z196">
        <f>'Entrada datos'!AD196</f>
        <v>0</v>
      </c>
      <c r="AA196">
        <f>'Entrada datos'!AE196</f>
        <v>0</v>
      </c>
      <c r="AB196">
        <f>'Entrada datos'!AF196</f>
        <v>0</v>
      </c>
      <c r="AC196">
        <f>'Entrada datos'!AG196</f>
        <v>0</v>
      </c>
      <c r="AD196" s="17">
        <f>SUM(X196:AC196)</f>
        <v>0</v>
      </c>
      <c r="AE196">
        <f>'Entrada datos'!AH196</f>
        <v>0</v>
      </c>
      <c r="AF196">
        <f>'Entrada datos'!AI196</f>
        <v>0</v>
      </c>
      <c r="AG196">
        <f>'Entrada datos'!AJ196</f>
        <v>0</v>
      </c>
      <c r="AH196">
        <f>'Entrada datos'!AK196</f>
        <v>0</v>
      </c>
      <c r="AI196">
        <f>'Entrada datos'!AL196</f>
        <v>0</v>
      </c>
      <c r="AJ196">
        <f>'Entrada datos'!AM196</f>
        <v>0</v>
      </c>
      <c r="AK196" s="17">
        <f>SUM(AE196:AJ196)</f>
        <v>0</v>
      </c>
      <c r="AL196">
        <f>'Entrada datos'!AN196</f>
        <v>0</v>
      </c>
      <c r="AM196">
        <f>'Entrada datos'!AO196</f>
        <v>0</v>
      </c>
      <c r="AN196">
        <f>'Entrada datos'!AP196</f>
        <v>0</v>
      </c>
      <c r="AO196">
        <f>'Entrada datos'!AQ196</f>
        <v>0</v>
      </c>
      <c r="AP196">
        <f>'Entrada datos'!AR196</f>
        <v>0</v>
      </c>
      <c r="AQ196">
        <f>'Entrada datos'!AS196</f>
        <v>0</v>
      </c>
      <c r="AR196" s="17">
        <f>MAX(AL196:AQ196)</f>
        <v>0</v>
      </c>
      <c r="AS196" s="23">
        <f>IF(AR196&gt;900,AR196/1000,AR196)</f>
        <v>0</v>
      </c>
      <c r="AT196">
        <f t="shared" ref="AT196:AT200" si="55">YEAR(E196)</f>
        <v>1900</v>
      </c>
      <c r="AU196" s="41" t="str">
        <f t="shared" ref="AU196:AU200" si="56">TEXT(E196,"mmmm")</f>
        <v>enero</v>
      </c>
      <c r="AV196">
        <f t="shared" ref="AV196:AV200" si="57">SUM(AD196,P196)</f>
        <v>0</v>
      </c>
      <c r="AW196">
        <f>F196-E196</f>
        <v>0</v>
      </c>
      <c r="AX196" s="24">
        <f t="shared" si="51"/>
        <v>0</v>
      </c>
      <c r="AY196" s="24">
        <f t="shared" si="52"/>
        <v>0</v>
      </c>
      <c r="AZ196" s="24">
        <f t="shared" ref="AZ196:AZ200" si="58">AY196-AX196</f>
        <v>0</v>
      </c>
      <c r="BA196">
        <f t="shared" ref="BA196:BA200" si="59">P196+AK196</f>
        <v>0</v>
      </c>
      <c r="BB196">
        <f t="shared" si="53"/>
        <v>0</v>
      </c>
      <c r="BC196" s="24">
        <f t="shared" si="54"/>
        <v>0</v>
      </c>
      <c r="BD196">
        <f t="shared" ref="BD196:BD200" si="60">P196+AD196+AK196</f>
        <v>0</v>
      </c>
    </row>
    <row r="197" spans="1:56" x14ac:dyDescent="0.3">
      <c r="A197">
        <f>'Entrada datos'!A197</f>
        <v>0</v>
      </c>
      <c r="B197">
        <f>'Entrada datos'!B197</f>
        <v>0</v>
      </c>
      <c r="C197">
        <f>'Entrada datos'!C197</f>
        <v>0</v>
      </c>
      <c r="D197">
        <f>'Entrada datos'!D197</f>
        <v>0</v>
      </c>
      <c r="E197" s="18">
        <f>'Entrada datos'!G197</f>
        <v>0</v>
      </c>
      <c r="F197" s="18">
        <f>'Entrada datos'!H197</f>
        <v>0</v>
      </c>
      <c r="G197">
        <f>'Entrada datos'!J197</f>
        <v>0</v>
      </c>
      <c r="H197">
        <f>'Entrada datos'!L197</f>
        <v>0</v>
      </c>
      <c r="I197">
        <f>'Entrada datos'!O197</f>
        <v>0</v>
      </c>
      <c r="J197">
        <f>'Entrada datos'!P197</f>
        <v>0</v>
      </c>
      <c r="K197">
        <f>'Entrada datos'!Q197</f>
        <v>0</v>
      </c>
      <c r="L197">
        <f>'Entrada datos'!R197</f>
        <v>0</v>
      </c>
      <c r="M197">
        <f>'Entrada datos'!S197</f>
        <v>0</v>
      </c>
      <c r="N197">
        <f>'Entrada datos'!T197</f>
        <v>0</v>
      </c>
      <c r="O197">
        <f>'Entrada datos'!U197</f>
        <v>0</v>
      </c>
      <c r="P197" s="17">
        <f>SUM(J197:O197)</f>
        <v>0</v>
      </c>
      <c r="Q197">
        <f>'Entrada datos'!V197</f>
        <v>0</v>
      </c>
      <c r="R197">
        <f>'Entrada datos'!W197</f>
        <v>0</v>
      </c>
      <c r="S197">
        <f>'Entrada datos'!X197</f>
        <v>0</v>
      </c>
      <c r="T197">
        <f>'Entrada datos'!Y197</f>
        <v>0</v>
      </c>
      <c r="U197">
        <f>'Entrada datos'!Z197</f>
        <v>0</v>
      </c>
      <c r="V197">
        <f>'Entrada datos'!AA197</f>
        <v>0</v>
      </c>
      <c r="W197" s="17">
        <f>SUM(Q197:V197)</f>
        <v>0</v>
      </c>
      <c r="X197">
        <f>'Entrada datos'!AB197</f>
        <v>0</v>
      </c>
      <c r="Y197">
        <f>'Entrada datos'!AC197</f>
        <v>0</v>
      </c>
      <c r="Z197">
        <f>'Entrada datos'!AD197</f>
        <v>0</v>
      </c>
      <c r="AA197">
        <f>'Entrada datos'!AE197</f>
        <v>0</v>
      </c>
      <c r="AB197">
        <f>'Entrada datos'!AF197</f>
        <v>0</v>
      </c>
      <c r="AC197">
        <f>'Entrada datos'!AG197</f>
        <v>0</v>
      </c>
      <c r="AD197" s="17">
        <f>SUM(X197:AC197)</f>
        <v>0</v>
      </c>
      <c r="AE197">
        <f>'Entrada datos'!AH197</f>
        <v>0</v>
      </c>
      <c r="AF197">
        <f>'Entrada datos'!AI197</f>
        <v>0</v>
      </c>
      <c r="AG197">
        <f>'Entrada datos'!AJ197</f>
        <v>0</v>
      </c>
      <c r="AH197">
        <f>'Entrada datos'!AK197</f>
        <v>0</v>
      </c>
      <c r="AI197">
        <f>'Entrada datos'!AL197</f>
        <v>0</v>
      </c>
      <c r="AJ197">
        <f>'Entrada datos'!AM197</f>
        <v>0</v>
      </c>
      <c r="AK197" s="17">
        <f>SUM(AE197:AJ197)</f>
        <v>0</v>
      </c>
      <c r="AL197">
        <f>'Entrada datos'!AN197</f>
        <v>0</v>
      </c>
      <c r="AM197">
        <f>'Entrada datos'!AO197</f>
        <v>0</v>
      </c>
      <c r="AN197">
        <f>'Entrada datos'!AP197</f>
        <v>0</v>
      </c>
      <c r="AO197">
        <f>'Entrada datos'!AQ197</f>
        <v>0</v>
      </c>
      <c r="AP197">
        <f>'Entrada datos'!AR197</f>
        <v>0</v>
      </c>
      <c r="AQ197">
        <f>'Entrada datos'!AS197</f>
        <v>0</v>
      </c>
      <c r="AR197" s="17">
        <f>MAX(AL197:AQ197)</f>
        <v>0</v>
      </c>
      <c r="AS197" s="23">
        <f>IF(AR197&gt;900,AR197/1000,AR197)</f>
        <v>0</v>
      </c>
      <c r="AT197">
        <f t="shared" si="55"/>
        <v>1900</v>
      </c>
      <c r="AU197" s="41" t="str">
        <f t="shared" si="56"/>
        <v>enero</v>
      </c>
      <c r="AV197">
        <f t="shared" si="57"/>
        <v>0</v>
      </c>
      <c r="AW197">
        <f>F197-E197</f>
        <v>0</v>
      </c>
      <c r="AX197" s="24">
        <f t="shared" si="51"/>
        <v>0</v>
      </c>
      <c r="AY197" s="24">
        <f t="shared" si="52"/>
        <v>0</v>
      </c>
      <c r="AZ197" s="24">
        <f t="shared" si="58"/>
        <v>0</v>
      </c>
      <c r="BA197">
        <f t="shared" si="59"/>
        <v>0</v>
      </c>
      <c r="BB197">
        <f t="shared" si="53"/>
        <v>0</v>
      </c>
      <c r="BC197" s="24">
        <f t="shared" si="54"/>
        <v>0</v>
      </c>
      <c r="BD197">
        <f t="shared" si="60"/>
        <v>0</v>
      </c>
    </row>
    <row r="198" spans="1:56" x14ac:dyDescent="0.3">
      <c r="A198">
        <f>'Entrada datos'!A198</f>
        <v>0</v>
      </c>
      <c r="B198">
        <f>'Entrada datos'!B198</f>
        <v>0</v>
      </c>
      <c r="C198">
        <f>'Entrada datos'!C198</f>
        <v>0</v>
      </c>
      <c r="D198">
        <f>'Entrada datos'!D198</f>
        <v>0</v>
      </c>
      <c r="E198" s="18">
        <f>'Entrada datos'!G198</f>
        <v>0</v>
      </c>
      <c r="F198" s="18">
        <f>'Entrada datos'!H198</f>
        <v>0</v>
      </c>
      <c r="G198">
        <f>'Entrada datos'!J198</f>
        <v>0</v>
      </c>
      <c r="H198">
        <f>'Entrada datos'!L198</f>
        <v>0</v>
      </c>
      <c r="I198">
        <f>'Entrada datos'!O198</f>
        <v>0</v>
      </c>
      <c r="J198">
        <f>'Entrada datos'!P198</f>
        <v>0</v>
      </c>
      <c r="K198">
        <f>'Entrada datos'!Q198</f>
        <v>0</v>
      </c>
      <c r="L198">
        <f>'Entrada datos'!R198</f>
        <v>0</v>
      </c>
      <c r="M198">
        <f>'Entrada datos'!S198</f>
        <v>0</v>
      </c>
      <c r="N198">
        <f>'Entrada datos'!T198</f>
        <v>0</v>
      </c>
      <c r="O198">
        <f>'Entrada datos'!U198</f>
        <v>0</v>
      </c>
      <c r="P198" s="17">
        <f>SUM(J198:O198)</f>
        <v>0</v>
      </c>
      <c r="Q198">
        <f>'Entrada datos'!V198</f>
        <v>0</v>
      </c>
      <c r="R198">
        <f>'Entrada datos'!W198</f>
        <v>0</v>
      </c>
      <c r="S198">
        <f>'Entrada datos'!X198</f>
        <v>0</v>
      </c>
      <c r="T198">
        <f>'Entrada datos'!Y198</f>
        <v>0</v>
      </c>
      <c r="U198">
        <f>'Entrada datos'!Z198</f>
        <v>0</v>
      </c>
      <c r="V198">
        <f>'Entrada datos'!AA198</f>
        <v>0</v>
      </c>
      <c r="W198" s="17">
        <f>SUM(Q198:V198)</f>
        <v>0</v>
      </c>
      <c r="X198">
        <f>'Entrada datos'!AB198</f>
        <v>0</v>
      </c>
      <c r="Y198">
        <f>'Entrada datos'!AC198</f>
        <v>0</v>
      </c>
      <c r="Z198">
        <f>'Entrada datos'!AD198</f>
        <v>0</v>
      </c>
      <c r="AA198">
        <f>'Entrada datos'!AE198</f>
        <v>0</v>
      </c>
      <c r="AB198">
        <f>'Entrada datos'!AF198</f>
        <v>0</v>
      </c>
      <c r="AC198">
        <f>'Entrada datos'!AG198</f>
        <v>0</v>
      </c>
      <c r="AD198" s="17">
        <f>SUM(X198:AC198)</f>
        <v>0</v>
      </c>
      <c r="AE198">
        <f>'Entrada datos'!AH198</f>
        <v>0</v>
      </c>
      <c r="AF198">
        <f>'Entrada datos'!AI198</f>
        <v>0</v>
      </c>
      <c r="AG198">
        <f>'Entrada datos'!AJ198</f>
        <v>0</v>
      </c>
      <c r="AH198">
        <f>'Entrada datos'!AK198</f>
        <v>0</v>
      </c>
      <c r="AI198">
        <f>'Entrada datos'!AL198</f>
        <v>0</v>
      </c>
      <c r="AJ198">
        <f>'Entrada datos'!AM198</f>
        <v>0</v>
      </c>
      <c r="AK198" s="17">
        <f>SUM(AE198:AJ198)</f>
        <v>0</v>
      </c>
      <c r="AL198">
        <f>'Entrada datos'!AN198</f>
        <v>0</v>
      </c>
      <c r="AM198">
        <f>'Entrada datos'!AO198</f>
        <v>0</v>
      </c>
      <c r="AN198">
        <f>'Entrada datos'!AP198</f>
        <v>0</v>
      </c>
      <c r="AO198">
        <f>'Entrada datos'!AQ198</f>
        <v>0</v>
      </c>
      <c r="AP198">
        <f>'Entrada datos'!AR198</f>
        <v>0</v>
      </c>
      <c r="AQ198">
        <f>'Entrada datos'!AS198</f>
        <v>0</v>
      </c>
      <c r="AR198" s="17">
        <f>MAX(AL198:AQ198)</f>
        <v>0</v>
      </c>
      <c r="AS198" s="23">
        <f>IF(AR198&gt;900,AR198/1000,AR198)</f>
        <v>0</v>
      </c>
      <c r="AT198">
        <f t="shared" si="55"/>
        <v>1900</v>
      </c>
      <c r="AU198" s="41" t="str">
        <f t="shared" si="56"/>
        <v>enero</v>
      </c>
      <c r="AV198">
        <f t="shared" si="57"/>
        <v>0</v>
      </c>
      <c r="AW198">
        <f>F198-E198</f>
        <v>0</v>
      </c>
      <c r="AX198" s="24">
        <f t="shared" si="51"/>
        <v>0</v>
      </c>
      <c r="AY198" s="24">
        <f t="shared" si="52"/>
        <v>0</v>
      </c>
      <c r="AZ198" s="24">
        <f t="shared" si="58"/>
        <v>0</v>
      </c>
      <c r="BA198">
        <f t="shared" si="59"/>
        <v>0</v>
      </c>
      <c r="BB198">
        <f t="shared" si="53"/>
        <v>0</v>
      </c>
      <c r="BC198" s="24">
        <f t="shared" si="54"/>
        <v>0</v>
      </c>
      <c r="BD198">
        <f t="shared" si="60"/>
        <v>0</v>
      </c>
    </row>
    <row r="199" spans="1:56" x14ac:dyDescent="0.3">
      <c r="A199">
        <f>'Entrada datos'!A199</f>
        <v>0</v>
      </c>
      <c r="B199">
        <f>'Entrada datos'!B199</f>
        <v>0</v>
      </c>
      <c r="C199">
        <f>'Entrada datos'!C199</f>
        <v>0</v>
      </c>
      <c r="D199">
        <f>'Entrada datos'!D199</f>
        <v>0</v>
      </c>
      <c r="E199" s="18">
        <f>'Entrada datos'!G199</f>
        <v>0</v>
      </c>
      <c r="F199" s="18">
        <f>'Entrada datos'!H199</f>
        <v>0</v>
      </c>
      <c r="G199">
        <f>'Entrada datos'!J199</f>
        <v>0</v>
      </c>
      <c r="H199">
        <f>'Entrada datos'!L199</f>
        <v>0</v>
      </c>
      <c r="I199">
        <f>'Entrada datos'!O199</f>
        <v>0</v>
      </c>
      <c r="J199">
        <f>'Entrada datos'!P199</f>
        <v>0</v>
      </c>
      <c r="K199">
        <f>'Entrada datos'!Q199</f>
        <v>0</v>
      </c>
      <c r="L199">
        <f>'Entrada datos'!R199</f>
        <v>0</v>
      </c>
      <c r="M199">
        <f>'Entrada datos'!S199</f>
        <v>0</v>
      </c>
      <c r="N199">
        <f>'Entrada datos'!T199</f>
        <v>0</v>
      </c>
      <c r="O199">
        <f>'Entrada datos'!U199</f>
        <v>0</v>
      </c>
      <c r="P199" s="17">
        <f>SUM(J199:O199)</f>
        <v>0</v>
      </c>
      <c r="Q199">
        <f>'Entrada datos'!V199</f>
        <v>0</v>
      </c>
      <c r="R199">
        <f>'Entrada datos'!W199</f>
        <v>0</v>
      </c>
      <c r="S199">
        <f>'Entrada datos'!X199</f>
        <v>0</v>
      </c>
      <c r="T199">
        <f>'Entrada datos'!Y199</f>
        <v>0</v>
      </c>
      <c r="U199">
        <f>'Entrada datos'!Z199</f>
        <v>0</v>
      </c>
      <c r="V199">
        <f>'Entrada datos'!AA199</f>
        <v>0</v>
      </c>
      <c r="W199" s="17">
        <f>SUM(Q199:V199)</f>
        <v>0</v>
      </c>
      <c r="X199">
        <f>'Entrada datos'!AB199</f>
        <v>0</v>
      </c>
      <c r="Y199">
        <f>'Entrada datos'!AC199</f>
        <v>0</v>
      </c>
      <c r="Z199">
        <f>'Entrada datos'!AD199</f>
        <v>0</v>
      </c>
      <c r="AA199">
        <f>'Entrada datos'!AE199</f>
        <v>0</v>
      </c>
      <c r="AB199">
        <f>'Entrada datos'!AF199</f>
        <v>0</v>
      </c>
      <c r="AC199">
        <f>'Entrada datos'!AG199</f>
        <v>0</v>
      </c>
      <c r="AD199" s="17">
        <f>SUM(X199:AC199)</f>
        <v>0</v>
      </c>
      <c r="AE199">
        <f>'Entrada datos'!AH199</f>
        <v>0</v>
      </c>
      <c r="AF199">
        <f>'Entrada datos'!AI199</f>
        <v>0</v>
      </c>
      <c r="AG199">
        <f>'Entrada datos'!AJ199</f>
        <v>0</v>
      </c>
      <c r="AH199">
        <f>'Entrada datos'!AK199</f>
        <v>0</v>
      </c>
      <c r="AI199">
        <f>'Entrada datos'!AL199</f>
        <v>0</v>
      </c>
      <c r="AJ199">
        <f>'Entrada datos'!AM199</f>
        <v>0</v>
      </c>
      <c r="AK199" s="17">
        <f>SUM(AE199:AJ199)</f>
        <v>0</v>
      </c>
      <c r="AL199">
        <f>'Entrada datos'!AN199</f>
        <v>0</v>
      </c>
      <c r="AM199">
        <f>'Entrada datos'!AO199</f>
        <v>0</v>
      </c>
      <c r="AN199">
        <f>'Entrada datos'!AP199</f>
        <v>0</v>
      </c>
      <c r="AO199">
        <f>'Entrada datos'!AQ199</f>
        <v>0</v>
      </c>
      <c r="AP199">
        <f>'Entrada datos'!AR199</f>
        <v>0</v>
      </c>
      <c r="AQ199">
        <f>'Entrada datos'!AS199</f>
        <v>0</v>
      </c>
      <c r="AR199" s="17">
        <f>MAX(AL199:AQ199)</f>
        <v>0</v>
      </c>
      <c r="AS199" s="23">
        <f>IF(AR199&gt;900,AR199/1000,AR199)</f>
        <v>0</v>
      </c>
      <c r="AT199">
        <f t="shared" si="55"/>
        <v>1900</v>
      </c>
      <c r="AU199" s="41" t="str">
        <f t="shared" si="56"/>
        <v>enero</v>
      </c>
      <c r="AV199">
        <f t="shared" si="57"/>
        <v>0</v>
      </c>
      <c r="AW199">
        <f>F199-E199</f>
        <v>0</v>
      </c>
      <c r="AX199" s="24">
        <f t="shared" si="51"/>
        <v>0</v>
      </c>
      <c r="AY199" s="24">
        <f t="shared" si="52"/>
        <v>0</v>
      </c>
      <c r="AZ199" s="24">
        <f t="shared" si="58"/>
        <v>0</v>
      </c>
      <c r="BA199">
        <f t="shared" si="59"/>
        <v>0</v>
      </c>
      <c r="BB199">
        <f t="shared" si="53"/>
        <v>0</v>
      </c>
      <c r="BC199" s="24">
        <f t="shared" si="54"/>
        <v>0</v>
      </c>
      <c r="BD199">
        <f t="shared" si="60"/>
        <v>0</v>
      </c>
    </row>
    <row r="200" spans="1:56" x14ac:dyDescent="0.3">
      <c r="A200">
        <f>'Entrada datos'!A200</f>
        <v>0</v>
      </c>
      <c r="B200">
        <f>'Entrada datos'!B200</f>
        <v>0</v>
      </c>
      <c r="C200">
        <f>'Entrada datos'!C200</f>
        <v>0</v>
      </c>
      <c r="D200">
        <f>'Entrada datos'!D200</f>
        <v>0</v>
      </c>
      <c r="E200" s="18">
        <f>'Entrada datos'!G200</f>
        <v>0</v>
      </c>
      <c r="F200" s="18">
        <f>'Entrada datos'!H200</f>
        <v>0</v>
      </c>
      <c r="G200">
        <f>'Entrada datos'!J200</f>
        <v>0</v>
      </c>
      <c r="H200">
        <f>'Entrada datos'!L200</f>
        <v>0</v>
      </c>
      <c r="I200">
        <f>'Entrada datos'!O200</f>
        <v>0</v>
      </c>
      <c r="J200">
        <f>'Entrada datos'!P200</f>
        <v>0</v>
      </c>
      <c r="K200">
        <f>'Entrada datos'!Q200</f>
        <v>0</v>
      </c>
      <c r="L200">
        <f>'Entrada datos'!R200</f>
        <v>0</v>
      </c>
      <c r="M200">
        <f>'Entrada datos'!S200</f>
        <v>0</v>
      </c>
      <c r="N200">
        <f>'Entrada datos'!T200</f>
        <v>0</v>
      </c>
      <c r="O200">
        <f>'Entrada datos'!U200</f>
        <v>0</v>
      </c>
      <c r="P200" s="17">
        <f>SUM(J200:O200)</f>
        <v>0</v>
      </c>
      <c r="Q200">
        <f>'Entrada datos'!V200</f>
        <v>0</v>
      </c>
      <c r="R200">
        <f>'Entrada datos'!W200</f>
        <v>0</v>
      </c>
      <c r="S200">
        <f>'Entrada datos'!X200</f>
        <v>0</v>
      </c>
      <c r="T200">
        <f>'Entrada datos'!Y200</f>
        <v>0</v>
      </c>
      <c r="U200">
        <f>'Entrada datos'!Z200</f>
        <v>0</v>
      </c>
      <c r="V200">
        <f>'Entrada datos'!AA200</f>
        <v>0</v>
      </c>
      <c r="W200" s="17">
        <f>SUM(Q200:V200)</f>
        <v>0</v>
      </c>
      <c r="X200">
        <f>'Entrada datos'!AB200</f>
        <v>0</v>
      </c>
      <c r="Y200">
        <f>'Entrada datos'!AC200</f>
        <v>0</v>
      </c>
      <c r="Z200">
        <f>'Entrada datos'!AD200</f>
        <v>0</v>
      </c>
      <c r="AA200">
        <f>'Entrada datos'!AE200</f>
        <v>0</v>
      </c>
      <c r="AB200">
        <f>'Entrada datos'!AF200</f>
        <v>0</v>
      </c>
      <c r="AC200">
        <f>'Entrada datos'!AG200</f>
        <v>0</v>
      </c>
      <c r="AD200" s="17">
        <f>SUM(X200:AC200)</f>
        <v>0</v>
      </c>
      <c r="AE200">
        <f>'Entrada datos'!AH200</f>
        <v>0</v>
      </c>
      <c r="AF200">
        <f>'Entrada datos'!AI200</f>
        <v>0</v>
      </c>
      <c r="AG200">
        <f>'Entrada datos'!AJ200</f>
        <v>0</v>
      </c>
      <c r="AH200">
        <f>'Entrada datos'!AK200</f>
        <v>0</v>
      </c>
      <c r="AI200">
        <f>'Entrada datos'!AL200</f>
        <v>0</v>
      </c>
      <c r="AJ200">
        <f>'Entrada datos'!AM200</f>
        <v>0</v>
      </c>
      <c r="AK200" s="17">
        <f>SUM(AE200:AJ200)</f>
        <v>0</v>
      </c>
      <c r="AL200">
        <f>'Entrada datos'!AN200</f>
        <v>0</v>
      </c>
      <c r="AM200">
        <f>'Entrada datos'!AO200</f>
        <v>0</v>
      </c>
      <c r="AN200">
        <f>'Entrada datos'!AP200</f>
        <v>0</v>
      </c>
      <c r="AO200">
        <f>'Entrada datos'!AQ200</f>
        <v>0</v>
      </c>
      <c r="AP200">
        <f>'Entrada datos'!AR200</f>
        <v>0</v>
      </c>
      <c r="AQ200">
        <f>'Entrada datos'!AS200</f>
        <v>0</v>
      </c>
      <c r="AR200" s="17">
        <f>MAX(AL200:AQ200)</f>
        <v>0</v>
      </c>
      <c r="AS200" s="23">
        <f>IF(AR200&gt;900,AR200/1000,AR200)</f>
        <v>0</v>
      </c>
      <c r="AT200">
        <f t="shared" si="55"/>
        <v>1900</v>
      </c>
      <c r="AU200" s="41" t="str">
        <f t="shared" si="56"/>
        <v>enero</v>
      </c>
      <c r="AV200">
        <f t="shared" si="57"/>
        <v>0</v>
      </c>
      <c r="AW200">
        <f>F200-E200</f>
        <v>0</v>
      </c>
      <c r="AX200" s="24">
        <f t="shared" si="51"/>
        <v>0</v>
      </c>
      <c r="AY200" s="24">
        <f t="shared" si="52"/>
        <v>0</v>
      </c>
      <c r="AZ200" s="24">
        <f t="shared" si="58"/>
        <v>0</v>
      </c>
      <c r="BA200">
        <f t="shared" si="59"/>
        <v>0</v>
      </c>
      <c r="BB200">
        <f t="shared" si="53"/>
        <v>0</v>
      </c>
      <c r="BC200" s="24">
        <f t="shared" si="54"/>
        <v>0</v>
      </c>
      <c r="BD200">
        <f t="shared" si="60"/>
        <v>0</v>
      </c>
    </row>
  </sheetData>
  <sheetProtection algorithmName="SHA-512" hashValue="wFyl7l8FwQ+SX17B+iLsjxP28U6NeVSkrzbW/XgGQwNHdQCaaAmnPiQitEhTnNOrM7IZZ46Re0THT8/k3c0hVQ==" saltValue="yBMLi5pwTb2Qnyg+bIvZmA==" spinCount="100000" sheet="1" objects="1" scenarios="1"/>
  <protectedRanges>
    <protectedRange sqref="AT1:AU1048576" name="Rango1"/>
  </protectedRanges>
  <pageMargins left="0.7" right="0.7" top="0.75" bottom="0.75" header="0.3" footer="0.3"/>
  <pageSetup paperSize="9" orientation="portrait" r:id="rId1"/>
  <headerFooter>
    <oddHeader>&amp;C&amp;"Arial"&amp;8&amp;K000000INTERNAL&amp;1#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B250"/>
  <sheetViews>
    <sheetView workbookViewId="0">
      <selection sqref="A1:B1"/>
    </sheetView>
  </sheetViews>
  <sheetFormatPr baseColWidth="10" defaultColWidth="11.44140625" defaultRowHeight="14.4" x14ac:dyDescent="0.3"/>
  <cols>
    <col min="1" max="1" width="12" style="2" bestFit="1" customWidth="1"/>
    <col min="2" max="3" width="13.44140625" style="2" customWidth="1"/>
    <col min="4" max="4" width="12" style="1" bestFit="1" customWidth="1"/>
    <col min="5" max="5" width="12" style="1" customWidth="1"/>
    <col min="6" max="6" width="11.88671875" style="1" bestFit="1" customWidth="1"/>
    <col min="7" max="7" width="11.88671875" style="1" customWidth="1"/>
    <col min="8" max="16384" width="11.44140625" style="1"/>
  </cols>
  <sheetData>
    <row r="1" spans="1:28" ht="34.5" customHeight="1" x14ac:dyDescent="0.3">
      <c r="A1" s="107">
        <f>Suma!A1</f>
        <v>0</v>
      </c>
      <c r="B1" s="108"/>
      <c r="C1" s="12"/>
    </row>
    <row r="2" spans="1:28" s="9" customFormat="1" ht="57.6" x14ac:dyDescent="0.3">
      <c r="A2" s="5" t="s">
        <v>12</v>
      </c>
      <c r="B2" s="6" t="s">
        <v>13</v>
      </c>
      <c r="C2" s="6" t="s">
        <v>14</v>
      </c>
      <c r="D2" s="7" t="s">
        <v>0</v>
      </c>
      <c r="E2" s="7" t="s">
        <v>1</v>
      </c>
      <c r="F2" s="7" t="s">
        <v>2</v>
      </c>
      <c r="G2" s="7" t="s">
        <v>3</v>
      </c>
      <c r="H2" s="8" t="s">
        <v>4</v>
      </c>
      <c r="I2" s="8" t="s">
        <v>17</v>
      </c>
      <c r="J2" s="8" t="s">
        <v>21</v>
      </c>
      <c r="K2" s="8" t="s">
        <v>19</v>
      </c>
      <c r="L2" s="8" t="s">
        <v>22</v>
      </c>
      <c r="M2" s="8" t="s">
        <v>23</v>
      </c>
      <c r="N2" s="8" t="s">
        <v>8</v>
      </c>
      <c r="O2" s="8" t="s">
        <v>28</v>
      </c>
      <c r="P2" s="8" t="s">
        <v>31</v>
      </c>
      <c r="Q2" s="25" t="s">
        <v>26</v>
      </c>
      <c r="R2" s="25" t="s">
        <v>35</v>
      </c>
      <c r="S2" s="25" t="s">
        <v>103</v>
      </c>
      <c r="T2" s="25" t="s">
        <v>106</v>
      </c>
      <c r="U2" s="25" t="s">
        <v>61</v>
      </c>
      <c r="V2" s="25" t="s">
        <v>62</v>
      </c>
      <c r="W2" s="25" t="s">
        <v>63</v>
      </c>
      <c r="X2" s="25" t="s">
        <v>64</v>
      </c>
      <c r="Y2" s="25" t="s">
        <v>65</v>
      </c>
      <c r="Z2" s="25" t="s">
        <v>66</v>
      </c>
      <c r="AA2" s="25" t="s">
        <v>107</v>
      </c>
      <c r="AB2" s="25" t="s">
        <v>109</v>
      </c>
    </row>
    <row r="3" spans="1:28" x14ac:dyDescent="0.3">
      <c r="A3" s="1">
        <f>IF(Suma!$B2=$A$1,Suma!C2,NA())</f>
        <v>0</v>
      </c>
      <c r="B3" s="1">
        <f>IF(Suma!$B2=$A$1,Suma!D2,NA())</f>
        <v>0</v>
      </c>
      <c r="C3" s="2">
        <f>IF(Suma!$B2=$A$1,Suma!E2,NA())</f>
        <v>0</v>
      </c>
      <c r="D3" s="2">
        <f>IF(Suma!$B2=$A$1,Suma!F2,NA())</f>
        <v>0</v>
      </c>
      <c r="E3" s="1">
        <f>IF(Suma!$B2=$A$1,Suma!P2,NA())</f>
        <v>0</v>
      </c>
      <c r="F3" s="10" t="e">
        <f>IFERROR(E3/($D3-$C3),NA())</f>
        <v>#N/A</v>
      </c>
      <c r="G3" s="1">
        <f>IF(Suma!$B2=$A$1,Suma!W2,NA())</f>
        <v>0</v>
      </c>
      <c r="H3" s="10" t="e">
        <f>IFERROR(G3/($D3-$C3),NA())</f>
        <v>#N/A</v>
      </c>
      <c r="I3" s="1">
        <f>IF(Suma!$B2=$A$1,Suma!AD2,NA())</f>
        <v>0</v>
      </c>
      <c r="J3" s="1">
        <f>IF(Suma!$B2=$A$1,Suma!AK2,NA())</f>
        <v>0</v>
      </c>
      <c r="K3" s="10">
        <f>IF(Suma!$B2=$A$1,Suma!AS2,NA())</f>
        <v>0</v>
      </c>
      <c r="L3" s="1">
        <f>IF(Suma!$B2=$A$1,Suma!G2,NA())</f>
        <v>0</v>
      </c>
      <c r="M3" s="1">
        <f>IF(Suma!$B2=$A$1,Suma!H2,NA())</f>
        <v>0</v>
      </c>
      <c r="N3" s="1">
        <f>IF(Suma!$B2=$A$1,Suma!AT2,NA())</f>
        <v>1900</v>
      </c>
      <c r="O3" s="1" t="str">
        <f>IF(Suma!$B2=$A$1,Suma!AU2,NA())</f>
        <v>enero</v>
      </c>
      <c r="P3" s="1">
        <f>IF(Suma!$B2=$A$1,Suma!AV2,NA())</f>
        <v>0</v>
      </c>
      <c r="Q3" s="1">
        <f>IF(Suma!$B2=$A$1,Suma!AW2,NA())</f>
        <v>0</v>
      </c>
      <c r="R3" s="10">
        <f>IF(Suma!$B2=$A$1,Suma!AX2,NA())</f>
        <v>0</v>
      </c>
      <c r="S3" s="10">
        <f>IF(Suma!$B2=$A$1,Suma!AY2,NA())</f>
        <v>0</v>
      </c>
      <c r="T3" s="10">
        <f>IF(Suma!$B2=$A$1,Suma!AZ2,NA())</f>
        <v>0</v>
      </c>
      <c r="U3" s="10">
        <f>IF(Suma!$B2=$A$1,Suma!J2,NA())</f>
        <v>0</v>
      </c>
      <c r="V3" s="10">
        <f>IF(Suma!$B2=$A$1,Suma!K2,NA())</f>
        <v>0</v>
      </c>
      <c r="W3" s="10">
        <f>IF(Suma!$B2=$A$1,Suma!L2,NA())</f>
        <v>0</v>
      </c>
      <c r="X3" s="10">
        <f>IF(Suma!$B2=$A$1,Suma!M2,NA())</f>
        <v>0</v>
      </c>
      <c r="Y3" s="10">
        <f>IF(Suma!$B2=$A$1,Suma!N2,NA())</f>
        <v>0</v>
      </c>
      <c r="Z3" s="10">
        <f>IF(Suma!$B2=$A$1,Suma!O2,NA())</f>
        <v>0</v>
      </c>
      <c r="AA3" s="10">
        <f>IF(Suma!$B2=$A$1,Suma!BC2,NA())</f>
        <v>0</v>
      </c>
      <c r="AB3" s="10">
        <f>IF(Suma!$B2=$A$1,Suma!BD2,NA())</f>
        <v>0</v>
      </c>
    </row>
    <row r="4" spans="1:28" x14ac:dyDescent="0.3">
      <c r="A4" s="1">
        <f>IF(Suma!$B3=$A$1,Suma!C3,NA())</f>
        <v>0</v>
      </c>
      <c r="B4" s="1">
        <f>IF(Suma!$B3=$A$1,Suma!D3,NA())</f>
        <v>0</v>
      </c>
      <c r="C4" s="2">
        <f>IF(Suma!$B3=$A$1,Suma!E3,NA())</f>
        <v>0</v>
      </c>
      <c r="D4" s="2">
        <f>IF(Suma!$B3=$A$1,Suma!F3,NA())</f>
        <v>0</v>
      </c>
      <c r="E4" s="1">
        <f>IF(Suma!$B3=$A$1,Suma!P3,NA())</f>
        <v>0</v>
      </c>
      <c r="F4" s="10" t="e">
        <f t="shared" ref="F4:F67" si="0">IFERROR(E4/($D4-$C4),NA())</f>
        <v>#N/A</v>
      </c>
      <c r="G4" s="1">
        <f>IF(Suma!$B3=$A$1,Suma!W3,NA())</f>
        <v>0</v>
      </c>
      <c r="H4" s="10" t="e">
        <f t="shared" ref="H4:H67" si="1">IFERROR(G4/($D4-$C4),NA())</f>
        <v>#N/A</v>
      </c>
      <c r="I4" s="1">
        <f>IF(Suma!$B3=$A$1,Suma!AD3,NA())</f>
        <v>0</v>
      </c>
      <c r="J4" s="1">
        <f>IF(Suma!$B3=$A$1,Suma!AK3,NA())</f>
        <v>0</v>
      </c>
      <c r="K4" s="10">
        <f>IF(Suma!$B3=$A$1,Suma!AS3,NA())</f>
        <v>0</v>
      </c>
      <c r="L4" s="1">
        <f>IF(Suma!$B3=$A$1,Suma!G3,NA())</f>
        <v>0</v>
      </c>
      <c r="M4" s="1">
        <f>IF(Suma!$B3=$A$1,Suma!H3,NA())</f>
        <v>0</v>
      </c>
      <c r="N4" s="1">
        <f>IF(Suma!$B3=$A$1,Suma!AT3,NA())</f>
        <v>1900</v>
      </c>
      <c r="O4" s="1" t="str">
        <f>IF(Suma!$B3=$A$1,Suma!AU3,NA())</f>
        <v>enero</v>
      </c>
      <c r="P4" s="1">
        <f>IF(Suma!$B3=$A$1,Suma!AV3,NA())</f>
        <v>0</v>
      </c>
      <c r="Q4" s="1">
        <f>IF(Suma!$B3=$A$1,Suma!AW3,NA())</f>
        <v>0</v>
      </c>
      <c r="R4" s="10">
        <f>IF(Suma!$B3=$A$1,Suma!AX3,NA())</f>
        <v>0</v>
      </c>
      <c r="S4" s="10">
        <f>IF(Suma!$B3=$A$1,Suma!AY3,NA())</f>
        <v>0</v>
      </c>
      <c r="T4" s="10">
        <f>IF(Suma!$B3=$A$1,Suma!AZ3,NA())</f>
        <v>0</v>
      </c>
      <c r="U4" s="10">
        <f>IF(Suma!$B3=$A$1,Suma!J3,NA())</f>
        <v>0</v>
      </c>
      <c r="V4" s="10">
        <f>IF(Suma!$B3=$A$1,Suma!K3,NA())</f>
        <v>0</v>
      </c>
      <c r="W4" s="10">
        <f>IF(Suma!$B3=$A$1,Suma!L3,NA())</f>
        <v>0</v>
      </c>
      <c r="X4" s="10">
        <f>IF(Suma!$B3=$A$1,Suma!M3,NA())</f>
        <v>0</v>
      </c>
      <c r="Y4" s="10">
        <f>IF(Suma!$B3=$A$1,Suma!N3,NA())</f>
        <v>0</v>
      </c>
      <c r="Z4" s="10">
        <f>IF(Suma!$B3=$A$1,Suma!O3,NA())</f>
        <v>0</v>
      </c>
      <c r="AA4" s="10">
        <f>IF(Suma!$B3=$A$1,Suma!BC3,NA())</f>
        <v>0</v>
      </c>
      <c r="AB4" s="10">
        <f>IF(Suma!$B3=$A$1,Suma!BD3,NA())</f>
        <v>0</v>
      </c>
    </row>
    <row r="5" spans="1:28" x14ac:dyDescent="0.3">
      <c r="A5" s="1">
        <f>IF(Suma!$B4=$A$1,Suma!C4,NA())</f>
        <v>0</v>
      </c>
      <c r="B5" s="1">
        <f>IF(Suma!$B4=$A$1,Suma!D4,NA())</f>
        <v>0</v>
      </c>
      <c r="C5" s="2">
        <f>IF(Suma!$B4=$A$1,Suma!E4,NA())</f>
        <v>0</v>
      </c>
      <c r="D5" s="2">
        <f>IF(Suma!$B4=$A$1,Suma!F4,NA())</f>
        <v>0</v>
      </c>
      <c r="E5" s="1">
        <f>IF(Suma!$B4=$A$1,Suma!P4,NA())</f>
        <v>0</v>
      </c>
      <c r="F5" s="10" t="e">
        <f t="shared" si="0"/>
        <v>#N/A</v>
      </c>
      <c r="G5" s="1">
        <f>IF(Suma!$B4=$A$1,Suma!W4,NA())</f>
        <v>0</v>
      </c>
      <c r="H5" s="10" t="e">
        <f t="shared" si="1"/>
        <v>#N/A</v>
      </c>
      <c r="I5" s="1">
        <f>IF(Suma!$B4=$A$1,Suma!AD4,NA())</f>
        <v>0</v>
      </c>
      <c r="J5" s="1">
        <f>IF(Suma!$B4=$A$1,Suma!AK4,NA())</f>
        <v>0</v>
      </c>
      <c r="K5" s="10">
        <f>IF(Suma!$B4=$A$1,Suma!AS4,NA())</f>
        <v>0</v>
      </c>
      <c r="L5" s="1">
        <f>IF(Suma!$B4=$A$1,Suma!G4,NA())</f>
        <v>0</v>
      </c>
      <c r="M5" s="1">
        <f>IF(Suma!$B4=$A$1,Suma!H4,NA())</f>
        <v>0</v>
      </c>
      <c r="N5" s="1">
        <f>IF(Suma!$B4=$A$1,Suma!AT4,NA())</f>
        <v>1900</v>
      </c>
      <c r="O5" s="1" t="str">
        <f>IF(Suma!$B4=$A$1,Suma!AU4,NA())</f>
        <v>enero</v>
      </c>
      <c r="P5" s="1">
        <f>IF(Suma!$B4=$A$1,Suma!AV4,NA())</f>
        <v>0</v>
      </c>
      <c r="Q5" s="1">
        <f>IF(Suma!$B4=$A$1,Suma!AW4,NA())</f>
        <v>0</v>
      </c>
      <c r="R5" s="10">
        <f>IF(Suma!$B4=$A$1,Suma!AX4,NA())</f>
        <v>0</v>
      </c>
      <c r="S5" s="10">
        <f>IF(Suma!$B4=$A$1,Suma!AY4,NA())</f>
        <v>0</v>
      </c>
      <c r="T5" s="10">
        <f>IF(Suma!$B4=$A$1,Suma!AZ4,NA())</f>
        <v>0</v>
      </c>
      <c r="U5" s="10">
        <f>IF(Suma!$B4=$A$1,Suma!J4,NA())</f>
        <v>0</v>
      </c>
      <c r="V5" s="10">
        <f>IF(Suma!$B4=$A$1,Suma!K4,NA())</f>
        <v>0</v>
      </c>
      <c r="W5" s="10">
        <f>IF(Suma!$B4=$A$1,Suma!L4,NA())</f>
        <v>0</v>
      </c>
      <c r="X5" s="10">
        <f>IF(Suma!$B4=$A$1,Suma!M4,NA())</f>
        <v>0</v>
      </c>
      <c r="Y5" s="10">
        <f>IF(Suma!$B4=$A$1,Suma!N4,NA())</f>
        <v>0</v>
      </c>
      <c r="Z5" s="10">
        <f>IF(Suma!$B4=$A$1,Suma!O4,NA())</f>
        <v>0</v>
      </c>
      <c r="AA5" s="10">
        <f>IF(Suma!$B4=$A$1,Suma!BC4,NA())</f>
        <v>0</v>
      </c>
      <c r="AB5" s="10">
        <f>IF(Suma!$B4=$A$1,Suma!BD4,NA())</f>
        <v>0</v>
      </c>
    </row>
    <row r="6" spans="1:28" x14ac:dyDescent="0.3">
      <c r="A6" s="1">
        <f>IF(Suma!$B5=$A$1,Suma!C5,NA())</f>
        <v>0</v>
      </c>
      <c r="B6" s="1">
        <f>IF(Suma!$B5=$A$1,Suma!D5,NA())</f>
        <v>0</v>
      </c>
      <c r="C6" s="2">
        <f>IF(Suma!$B5=$A$1,Suma!E5,NA())</f>
        <v>0</v>
      </c>
      <c r="D6" s="2">
        <f>IF(Suma!$B5=$A$1,Suma!F5,NA())</f>
        <v>0</v>
      </c>
      <c r="E6" s="1">
        <f>IF(Suma!$B5=$A$1,Suma!P5,NA())</f>
        <v>0</v>
      </c>
      <c r="F6" s="10" t="e">
        <f t="shared" si="0"/>
        <v>#N/A</v>
      </c>
      <c r="G6" s="1">
        <f>IF(Suma!$B5=$A$1,Suma!W5,NA())</f>
        <v>0</v>
      </c>
      <c r="H6" s="10" t="e">
        <f t="shared" si="1"/>
        <v>#N/A</v>
      </c>
      <c r="I6" s="1">
        <f>IF(Suma!$B5=$A$1,Suma!AD5,NA())</f>
        <v>0</v>
      </c>
      <c r="J6" s="1">
        <f>IF(Suma!$B5=$A$1,Suma!AK5,NA())</f>
        <v>0</v>
      </c>
      <c r="K6" s="10">
        <f>IF(Suma!$B5=$A$1,Suma!AS5,NA())</f>
        <v>0</v>
      </c>
      <c r="L6" s="1">
        <f>IF(Suma!$B5=$A$1,Suma!G5,NA())</f>
        <v>0</v>
      </c>
      <c r="M6" s="1">
        <f>IF(Suma!$B5=$A$1,Suma!H5,NA())</f>
        <v>0</v>
      </c>
      <c r="N6" s="1">
        <f>IF(Suma!$B5=$A$1,Suma!AT5,NA())</f>
        <v>1900</v>
      </c>
      <c r="O6" s="1" t="str">
        <f>IF(Suma!$B5=$A$1,Suma!AU5,NA())</f>
        <v>enero</v>
      </c>
      <c r="P6" s="1">
        <f>IF(Suma!$B5=$A$1,Suma!AV5,NA())</f>
        <v>0</v>
      </c>
      <c r="Q6" s="1">
        <f>IF(Suma!$B5=$A$1,Suma!AW5,NA())</f>
        <v>0</v>
      </c>
      <c r="R6" s="10">
        <f>IF(Suma!$B5=$A$1,Suma!AX5,NA())</f>
        <v>0</v>
      </c>
      <c r="S6" s="10">
        <f>IF(Suma!$B5=$A$1,Suma!AY5,NA())</f>
        <v>0</v>
      </c>
      <c r="T6" s="10">
        <f>IF(Suma!$B5=$A$1,Suma!AZ5,NA())</f>
        <v>0</v>
      </c>
      <c r="U6" s="10">
        <f>IF(Suma!$B5=$A$1,Suma!J5,NA())</f>
        <v>0</v>
      </c>
      <c r="V6" s="10">
        <f>IF(Suma!$B5=$A$1,Suma!K5,NA())</f>
        <v>0</v>
      </c>
      <c r="W6" s="10">
        <f>IF(Suma!$B5=$A$1,Suma!L5,NA())</f>
        <v>0</v>
      </c>
      <c r="X6" s="10">
        <f>IF(Suma!$B5=$A$1,Suma!M5,NA())</f>
        <v>0</v>
      </c>
      <c r="Y6" s="10">
        <f>IF(Suma!$B5=$A$1,Suma!N5,NA())</f>
        <v>0</v>
      </c>
      <c r="Z6" s="10">
        <f>IF(Suma!$B5=$A$1,Suma!O5,NA())</f>
        <v>0</v>
      </c>
      <c r="AA6" s="10">
        <f>IF(Suma!$B5=$A$1,Suma!BC5,NA())</f>
        <v>0</v>
      </c>
      <c r="AB6" s="10">
        <f>IF(Suma!$B5=$A$1,Suma!BD5,NA())</f>
        <v>0</v>
      </c>
    </row>
    <row r="7" spans="1:28" x14ac:dyDescent="0.3">
      <c r="A7" s="1">
        <f>IF(Suma!$B6=$A$1,Suma!C6,NA())</f>
        <v>0</v>
      </c>
      <c r="B7" s="1">
        <f>IF(Suma!$B6=$A$1,Suma!D6,NA())</f>
        <v>0</v>
      </c>
      <c r="C7" s="2">
        <f>IF(Suma!$B6=$A$1,Suma!E6,NA())</f>
        <v>0</v>
      </c>
      <c r="D7" s="2">
        <f>IF(Suma!$B6=$A$1,Suma!F6,NA())</f>
        <v>0</v>
      </c>
      <c r="E7" s="1">
        <f>IF(Suma!$B6=$A$1,Suma!P6,NA())</f>
        <v>0</v>
      </c>
      <c r="F7" s="10" t="e">
        <f t="shared" si="0"/>
        <v>#N/A</v>
      </c>
      <c r="G7" s="1">
        <f>IF(Suma!$B6=$A$1,Suma!W6,NA())</f>
        <v>0</v>
      </c>
      <c r="H7" s="10" t="e">
        <f t="shared" si="1"/>
        <v>#N/A</v>
      </c>
      <c r="I7" s="1">
        <f>IF(Suma!$B6=$A$1,Suma!AD6,NA())</f>
        <v>0</v>
      </c>
      <c r="J7" s="1">
        <f>IF(Suma!$B6=$A$1,Suma!AK6,NA())</f>
        <v>0</v>
      </c>
      <c r="K7" s="10">
        <f>IF(Suma!$B6=$A$1,Suma!AS6,NA())</f>
        <v>0</v>
      </c>
      <c r="L7" s="1">
        <f>IF(Suma!$B6=$A$1,Suma!G6,NA())</f>
        <v>0</v>
      </c>
      <c r="M7" s="1">
        <f>IF(Suma!$B6=$A$1,Suma!H6,NA())</f>
        <v>0</v>
      </c>
      <c r="N7" s="1">
        <f>IF(Suma!$B6=$A$1,Suma!AT6,NA())</f>
        <v>1900</v>
      </c>
      <c r="O7" s="1" t="str">
        <f>IF(Suma!$B6=$A$1,Suma!AU6,NA())</f>
        <v>enero</v>
      </c>
      <c r="P7" s="1">
        <f>IF(Suma!$B6=$A$1,Suma!AV6,NA())</f>
        <v>0</v>
      </c>
      <c r="Q7" s="1">
        <f>IF(Suma!$B6=$A$1,Suma!AW6,NA())</f>
        <v>0</v>
      </c>
      <c r="R7" s="10">
        <f>IF(Suma!$B6=$A$1,Suma!AX6,NA())</f>
        <v>0</v>
      </c>
      <c r="S7" s="10">
        <f>IF(Suma!$B6=$A$1,Suma!AY6,NA())</f>
        <v>0</v>
      </c>
      <c r="T7" s="10">
        <f>IF(Suma!$B6=$A$1,Suma!AZ6,NA())</f>
        <v>0</v>
      </c>
      <c r="U7" s="10">
        <f>IF(Suma!$B6=$A$1,Suma!J6,NA())</f>
        <v>0</v>
      </c>
      <c r="V7" s="10">
        <f>IF(Suma!$B6=$A$1,Suma!K6,NA())</f>
        <v>0</v>
      </c>
      <c r="W7" s="10">
        <f>IF(Suma!$B6=$A$1,Suma!L6,NA())</f>
        <v>0</v>
      </c>
      <c r="X7" s="10">
        <f>IF(Suma!$B6=$A$1,Suma!M6,NA())</f>
        <v>0</v>
      </c>
      <c r="Y7" s="10">
        <f>IF(Suma!$B6=$A$1,Suma!N6,NA())</f>
        <v>0</v>
      </c>
      <c r="Z7" s="10">
        <f>IF(Suma!$B6=$A$1,Suma!O6,NA())</f>
        <v>0</v>
      </c>
      <c r="AA7" s="10">
        <f>IF(Suma!$B6=$A$1,Suma!BC6,NA())</f>
        <v>0</v>
      </c>
      <c r="AB7" s="10">
        <f>IF(Suma!$B6=$A$1,Suma!BD6,NA())</f>
        <v>0</v>
      </c>
    </row>
    <row r="8" spans="1:28" x14ac:dyDescent="0.3">
      <c r="A8" s="1">
        <f>IF(Suma!$B7=$A$1,Suma!C7,NA())</f>
        <v>0</v>
      </c>
      <c r="B8" s="1">
        <f>IF(Suma!$B7=$A$1,Suma!D7,NA())</f>
        <v>0</v>
      </c>
      <c r="C8" s="2">
        <f>IF(Suma!$B7=$A$1,Suma!E7,NA())</f>
        <v>0</v>
      </c>
      <c r="D8" s="2">
        <f>IF(Suma!$B7=$A$1,Suma!F7,NA())</f>
        <v>0</v>
      </c>
      <c r="E8" s="1">
        <f>IF(Suma!$B7=$A$1,Suma!P7,NA())</f>
        <v>0</v>
      </c>
      <c r="F8" s="10" t="e">
        <f t="shared" si="0"/>
        <v>#N/A</v>
      </c>
      <c r="G8" s="1">
        <f>IF(Suma!$B7=$A$1,Suma!W7,NA())</f>
        <v>0</v>
      </c>
      <c r="H8" s="10" t="e">
        <f t="shared" si="1"/>
        <v>#N/A</v>
      </c>
      <c r="I8" s="1">
        <f>IF(Suma!$B7=$A$1,Suma!AD7,NA())</f>
        <v>0</v>
      </c>
      <c r="J8" s="1">
        <f>IF(Suma!$B7=$A$1,Suma!AK7,NA())</f>
        <v>0</v>
      </c>
      <c r="K8" s="10">
        <f>IF(Suma!$B7=$A$1,Suma!AS7,NA())</f>
        <v>0</v>
      </c>
      <c r="L8" s="1">
        <f>IF(Suma!$B7=$A$1,Suma!G7,NA())</f>
        <v>0</v>
      </c>
      <c r="M8" s="1">
        <f>IF(Suma!$B7=$A$1,Suma!H7,NA())</f>
        <v>0</v>
      </c>
      <c r="N8" s="1">
        <f>IF(Suma!$B7=$A$1,Suma!AT7,NA())</f>
        <v>1900</v>
      </c>
      <c r="O8" s="1" t="str">
        <f>IF(Suma!$B7=$A$1,Suma!AU7,NA())</f>
        <v>enero</v>
      </c>
      <c r="P8" s="1">
        <f>IF(Suma!$B7=$A$1,Suma!AV7,NA())</f>
        <v>0</v>
      </c>
      <c r="Q8" s="1">
        <f>IF(Suma!$B7=$A$1,Suma!AW7,NA())</f>
        <v>0</v>
      </c>
      <c r="R8" s="10">
        <f>IF(Suma!$B7=$A$1,Suma!AX7,NA())</f>
        <v>0</v>
      </c>
      <c r="S8" s="10">
        <f>IF(Suma!$B7=$A$1,Suma!AY7,NA())</f>
        <v>0</v>
      </c>
      <c r="T8" s="10">
        <f>IF(Suma!$B7=$A$1,Suma!AZ7,NA())</f>
        <v>0</v>
      </c>
      <c r="U8" s="10">
        <f>IF(Suma!$B7=$A$1,Suma!J7,NA())</f>
        <v>0</v>
      </c>
      <c r="V8" s="10">
        <f>IF(Suma!$B7=$A$1,Suma!K7,NA())</f>
        <v>0</v>
      </c>
      <c r="W8" s="10">
        <f>IF(Suma!$B7=$A$1,Suma!L7,NA())</f>
        <v>0</v>
      </c>
      <c r="X8" s="10">
        <f>IF(Suma!$B7=$A$1,Suma!M7,NA())</f>
        <v>0</v>
      </c>
      <c r="Y8" s="10">
        <f>IF(Suma!$B7=$A$1,Suma!N7,NA())</f>
        <v>0</v>
      </c>
      <c r="Z8" s="10">
        <f>IF(Suma!$B7=$A$1,Suma!O7,NA())</f>
        <v>0</v>
      </c>
      <c r="AA8" s="10">
        <f>IF(Suma!$B7=$A$1,Suma!BC7,NA())</f>
        <v>0</v>
      </c>
      <c r="AB8" s="10">
        <f>IF(Suma!$B7=$A$1,Suma!BD7,NA())</f>
        <v>0</v>
      </c>
    </row>
    <row r="9" spans="1:28" x14ac:dyDescent="0.3">
      <c r="A9" s="1">
        <f>IF(Suma!$B8=$A$1,Suma!C8,NA())</f>
        <v>0</v>
      </c>
      <c r="B9" s="1">
        <f>IF(Suma!$B8=$A$1,Suma!D8,NA())</f>
        <v>0</v>
      </c>
      <c r="C9" s="2">
        <f>IF(Suma!$B8=$A$1,Suma!E8,NA())</f>
        <v>0</v>
      </c>
      <c r="D9" s="2">
        <f>IF(Suma!$B8=$A$1,Suma!F8,NA())</f>
        <v>0</v>
      </c>
      <c r="E9" s="1">
        <f>IF(Suma!$B8=$A$1,Suma!P8,NA())</f>
        <v>0</v>
      </c>
      <c r="F9" s="10" t="e">
        <f t="shared" si="0"/>
        <v>#N/A</v>
      </c>
      <c r="G9" s="1">
        <f>IF(Suma!$B8=$A$1,Suma!W8,NA())</f>
        <v>0</v>
      </c>
      <c r="H9" s="10" t="e">
        <f t="shared" si="1"/>
        <v>#N/A</v>
      </c>
      <c r="I9" s="1">
        <f>IF(Suma!$B8=$A$1,Suma!AD8,NA())</f>
        <v>0</v>
      </c>
      <c r="J9" s="1">
        <f>IF(Suma!$B8=$A$1,Suma!AK8,NA())</f>
        <v>0</v>
      </c>
      <c r="K9" s="10">
        <f>IF(Suma!$B8=$A$1,Suma!AS8,NA())</f>
        <v>0</v>
      </c>
      <c r="L9" s="1">
        <f>IF(Suma!$B8=$A$1,Suma!G8,NA())</f>
        <v>0</v>
      </c>
      <c r="M9" s="1">
        <f>IF(Suma!$B8=$A$1,Suma!H8,NA())</f>
        <v>0</v>
      </c>
      <c r="N9" s="1">
        <f>IF(Suma!$B8=$A$1,Suma!AT8,NA())</f>
        <v>1900</v>
      </c>
      <c r="O9" s="1" t="str">
        <f>IF(Suma!$B8=$A$1,Suma!AU8,NA())</f>
        <v>enero</v>
      </c>
      <c r="P9" s="1">
        <f>IF(Suma!$B8=$A$1,Suma!AV8,NA())</f>
        <v>0</v>
      </c>
      <c r="Q9" s="1">
        <f>IF(Suma!$B8=$A$1,Suma!AW8,NA())</f>
        <v>0</v>
      </c>
      <c r="R9" s="10">
        <f>IF(Suma!$B8=$A$1,Suma!AX8,NA())</f>
        <v>0</v>
      </c>
      <c r="S9" s="10">
        <f>IF(Suma!$B8=$A$1,Suma!AY8,NA())</f>
        <v>0</v>
      </c>
      <c r="T9" s="10">
        <f>IF(Suma!$B8=$A$1,Suma!AZ8,NA())</f>
        <v>0</v>
      </c>
      <c r="U9" s="10">
        <f>IF(Suma!$B8=$A$1,Suma!J8,NA())</f>
        <v>0</v>
      </c>
      <c r="V9" s="10">
        <f>IF(Suma!$B8=$A$1,Suma!K8,NA())</f>
        <v>0</v>
      </c>
      <c r="W9" s="10">
        <f>IF(Suma!$B8=$A$1,Suma!L8,NA())</f>
        <v>0</v>
      </c>
      <c r="X9" s="10">
        <f>IF(Suma!$B8=$A$1,Suma!M8,NA())</f>
        <v>0</v>
      </c>
      <c r="Y9" s="10">
        <f>IF(Suma!$B8=$A$1,Suma!N8,NA())</f>
        <v>0</v>
      </c>
      <c r="Z9" s="10">
        <f>IF(Suma!$B8=$A$1,Suma!O8,NA())</f>
        <v>0</v>
      </c>
      <c r="AA9" s="10">
        <f>IF(Suma!$B8=$A$1,Suma!BC8,NA())</f>
        <v>0</v>
      </c>
      <c r="AB9" s="10">
        <f>IF(Suma!$B8=$A$1,Suma!BD8,NA())</f>
        <v>0</v>
      </c>
    </row>
    <row r="10" spans="1:28" x14ac:dyDescent="0.3">
      <c r="A10" s="1">
        <f>IF(Suma!$B9=$A$1,Suma!C9,NA())</f>
        <v>0</v>
      </c>
      <c r="B10" s="1">
        <f>IF(Suma!$B9=$A$1,Suma!D9,NA())</f>
        <v>0</v>
      </c>
      <c r="C10" s="2">
        <f>IF(Suma!$B9=$A$1,Suma!E9,NA())</f>
        <v>0</v>
      </c>
      <c r="D10" s="2">
        <f>IF(Suma!$B9=$A$1,Suma!F9,NA())</f>
        <v>0</v>
      </c>
      <c r="E10" s="1">
        <f>IF(Suma!$B9=$A$1,Suma!P9,NA())</f>
        <v>0</v>
      </c>
      <c r="F10" s="10" t="e">
        <f t="shared" si="0"/>
        <v>#N/A</v>
      </c>
      <c r="G10" s="1">
        <f>IF(Suma!$B9=$A$1,Suma!W9,NA())</f>
        <v>0</v>
      </c>
      <c r="H10" s="10" t="e">
        <f t="shared" si="1"/>
        <v>#N/A</v>
      </c>
      <c r="I10" s="1">
        <f>IF(Suma!$B9=$A$1,Suma!AD9,NA())</f>
        <v>0</v>
      </c>
      <c r="J10" s="1">
        <f>IF(Suma!$B9=$A$1,Suma!AK9,NA())</f>
        <v>0</v>
      </c>
      <c r="K10" s="10">
        <f>IF(Suma!$B9=$A$1,Suma!AS9,NA())</f>
        <v>0</v>
      </c>
      <c r="L10" s="1">
        <f>IF(Suma!$B9=$A$1,Suma!G9,NA())</f>
        <v>0</v>
      </c>
      <c r="M10" s="1">
        <f>IF(Suma!$B9=$A$1,Suma!H9,NA())</f>
        <v>0</v>
      </c>
      <c r="N10" s="1">
        <f>IF(Suma!$B9=$A$1,Suma!AT9,NA())</f>
        <v>1900</v>
      </c>
      <c r="O10" s="1" t="str">
        <f>IF(Suma!$B9=$A$1,Suma!AU9,NA())</f>
        <v>enero</v>
      </c>
      <c r="P10" s="1">
        <f>IF(Suma!$B9=$A$1,Suma!AV9,NA())</f>
        <v>0</v>
      </c>
      <c r="Q10" s="1">
        <f>IF(Suma!$B9=$A$1,Suma!AW9,NA())</f>
        <v>0</v>
      </c>
      <c r="R10" s="10">
        <f>IF(Suma!$B9=$A$1,Suma!AX9,NA())</f>
        <v>0</v>
      </c>
      <c r="S10" s="10">
        <f>IF(Suma!$B9=$A$1,Suma!AY9,NA())</f>
        <v>0</v>
      </c>
      <c r="T10" s="10">
        <f>IF(Suma!$B9=$A$1,Suma!AZ9,NA())</f>
        <v>0</v>
      </c>
      <c r="U10" s="10">
        <f>IF(Suma!$B9=$A$1,Suma!J9,NA())</f>
        <v>0</v>
      </c>
      <c r="V10" s="10">
        <f>IF(Suma!$B9=$A$1,Suma!K9,NA())</f>
        <v>0</v>
      </c>
      <c r="W10" s="10">
        <f>IF(Suma!$B9=$A$1,Suma!L9,NA())</f>
        <v>0</v>
      </c>
      <c r="X10" s="10">
        <f>IF(Suma!$B9=$A$1,Suma!M9,NA())</f>
        <v>0</v>
      </c>
      <c r="Y10" s="10">
        <f>IF(Suma!$B9=$A$1,Suma!N9,NA())</f>
        <v>0</v>
      </c>
      <c r="Z10" s="10">
        <f>IF(Suma!$B9=$A$1,Suma!O9,NA())</f>
        <v>0</v>
      </c>
      <c r="AA10" s="10">
        <f>IF(Suma!$B9=$A$1,Suma!BC9,NA())</f>
        <v>0</v>
      </c>
      <c r="AB10" s="10">
        <f>IF(Suma!$B9=$A$1,Suma!BD9,NA())</f>
        <v>0</v>
      </c>
    </row>
    <row r="11" spans="1:28" x14ac:dyDescent="0.3">
      <c r="A11" s="1">
        <f>IF(Suma!$B10=$A$1,Suma!C10,NA())</f>
        <v>0</v>
      </c>
      <c r="B11" s="1">
        <f>IF(Suma!$B10=$A$1,Suma!D10,NA())</f>
        <v>0</v>
      </c>
      <c r="C11" s="2">
        <f>IF(Suma!$B10=$A$1,Suma!E10,NA())</f>
        <v>0</v>
      </c>
      <c r="D11" s="2">
        <f>IF(Suma!$B10=$A$1,Suma!F10,NA())</f>
        <v>0</v>
      </c>
      <c r="E11" s="1">
        <f>IF(Suma!$B10=$A$1,Suma!P10,NA())</f>
        <v>0</v>
      </c>
      <c r="F11" s="10" t="e">
        <f t="shared" si="0"/>
        <v>#N/A</v>
      </c>
      <c r="G11" s="1">
        <f>IF(Suma!$B10=$A$1,Suma!W10,NA())</f>
        <v>0</v>
      </c>
      <c r="H11" s="10" t="e">
        <f t="shared" si="1"/>
        <v>#N/A</v>
      </c>
      <c r="I11" s="1">
        <f>IF(Suma!$B10=$A$1,Suma!AD10,NA())</f>
        <v>0</v>
      </c>
      <c r="J11" s="1">
        <f>IF(Suma!$B10=$A$1,Suma!AK10,NA())</f>
        <v>0</v>
      </c>
      <c r="K11" s="10">
        <f>IF(Suma!$B10=$A$1,Suma!AS10,NA())</f>
        <v>0</v>
      </c>
      <c r="L11" s="1">
        <f>IF(Suma!$B10=$A$1,Suma!G10,NA())</f>
        <v>0</v>
      </c>
      <c r="M11" s="1">
        <f>IF(Suma!$B10=$A$1,Suma!H10,NA())</f>
        <v>0</v>
      </c>
      <c r="N11" s="1">
        <f>IF(Suma!$B10=$A$1,Suma!AT10,NA())</f>
        <v>1900</v>
      </c>
      <c r="O11" s="1" t="str">
        <f>IF(Suma!$B10=$A$1,Suma!AU10,NA())</f>
        <v>enero</v>
      </c>
      <c r="P11" s="1">
        <f>IF(Suma!$B10=$A$1,Suma!AV10,NA())</f>
        <v>0</v>
      </c>
      <c r="Q11" s="1">
        <f>IF(Suma!$B10=$A$1,Suma!AW10,NA())</f>
        <v>0</v>
      </c>
      <c r="R11" s="10">
        <f>IF(Suma!$B10=$A$1,Suma!AX10,NA())</f>
        <v>0</v>
      </c>
      <c r="S11" s="10">
        <f>IF(Suma!$B10=$A$1,Suma!AY10,NA())</f>
        <v>0</v>
      </c>
      <c r="T11" s="10">
        <f>IF(Suma!$B10=$A$1,Suma!AZ10,NA())</f>
        <v>0</v>
      </c>
      <c r="U11" s="10">
        <f>IF(Suma!$B10=$A$1,Suma!J10,NA())</f>
        <v>0</v>
      </c>
      <c r="V11" s="10">
        <f>IF(Suma!$B10=$A$1,Suma!K10,NA())</f>
        <v>0</v>
      </c>
      <c r="W11" s="10">
        <f>IF(Suma!$B10=$A$1,Suma!L10,NA())</f>
        <v>0</v>
      </c>
      <c r="X11" s="10">
        <f>IF(Suma!$B10=$A$1,Suma!M10,NA())</f>
        <v>0</v>
      </c>
      <c r="Y11" s="10">
        <f>IF(Suma!$B10=$A$1,Suma!N10,NA())</f>
        <v>0</v>
      </c>
      <c r="Z11" s="10">
        <f>IF(Suma!$B10=$A$1,Suma!O10,NA())</f>
        <v>0</v>
      </c>
      <c r="AA11" s="10">
        <f>IF(Suma!$B10=$A$1,Suma!BC10,NA())</f>
        <v>0</v>
      </c>
      <c r="AB11" s="10">
        <f>IF(Suma!$B10=$A$1,Suma!BD10,NA())</f>
        <v>0</v>
      </c>
    </row>
    <row r="12" spans="1:28" x14ac:dyDescent="0.3">
      <c r="A12" s="1">
        <f>IF(Suma!$B11=$A$1,Suma!C11,NA())</f>
        <v>0</v>
      </c>
      <c r="B12" s="1">
        <f>IF(Suma!$B11=$A$1,Suma!D11,NA())</f>
        <v>0</v>
      </c>
      <c r="C12" s="2">
        <f>IF(Suma!$B11=$A$1,Suma!E11,NA())</f>
        <v>0</v>
      </c>
      <c r="D12" s="2">
        <f>IF(Suma!$B11=$A$1,Suma!F11,NA())</f>
        <v>0</v>
      </c>
      <c r="E12" s="1">
        <f>IF(Suma!$B11=$A$1,Suma!P11,NA())</f>
        <v>0</v>
      </c>
      <c r="F12" s="10" t="e">
        <f t="shared" si="0"/>
        <v>#N/A</v>
      </c>
      <c r="G12" s="1">
        <f>IF(Suma!$B11=$A$1,Suma!W11,NA())</f>
        <v>0</v>
      </c>
      <c r="H12" s="10" t="e">
        <f t="shared" si="1"/>
        <v>#N/A</v>
      </c>
      <c r="I12" s="1">
        <f>IF(Suma!$B11=$A$1,Suma!AD11,NA())</f>
        <v>0</v>
      </c>
      <c r="J12" s="1">
        <f>IF(Suma!$B11=$A$1,Suma!AK11,NA())</f>
        <v>0</v>
      </c>
      <c r="K12" s="10">
        <f>IF(Suma!$B11=$A$1,Suma!AS11,NA())</f>
        <v>0</v>
      </c>
      <c r="L12" s="1">
        <f>IF(Suma!$B11=$A$1,Suma!G11,NA())</f>
        <v>0</v>
      </c>
      <c r="M12" s="1">
        <f>IF(Suma!$B11=$A$1,Suma!H11,NA())</f>
        <v>0</v>
      </c>
      <c r="N12" s="1">
        <f>IF(Suma!$B11=$A$1,Suma!AT11,NA())</f>
        <v>1900</v>
      </c>
      <c r="O12" s="1" t="str">
        <f>IF(Suma!$B11=$A$1,Suma!AU11,NA())</f>
        <v>enero</v>
      </c>
      <c r="P12" s="1">
        <f>IF(Suma!$B11=$A$1,Suma!AV11,NA())</f>
        <v>0</v>
      </c>
      <c r="Q12" s="1">
        <f>IF(Suma!$B11=$A$1,Suma!AW11,NA())</f>
        <v>0</v>
      </c>
      <c r="R12" s="10">
        <f>IF(Suma!$B11=$A$1,Suma!AX11,NA())</f>
        <v>0</v>
      </c>
      <c r="S12" s="10">
        <f>IF(Suma!$B11=$A$1,Suma!AY11,NA())</f>
        <v>0</v>
      </c>
      <c r="T12" s="10">
        <f>IF(Suma!$B11=$A$1,Suma!AZ11,NA())</f>
        <v>0</v>
      </c>
      <c r="U12" s="10">
        <f>IF(Suma!$B11=$A$1,Suma!J11,NA())</f>
        <v>0</v>
      </c>
      <c r="V12" s="10">
        <f>IF(Suma!$B11=$A$1,Suma!K11,NA())</f>
        <v>0</v>
      </c>
      <c r="W12" s="10">
        <f>IF(Suma!$B11=$A$1,Suma!L11,NA())</f>
        <v>0</v>
      </c>
      <c r="X12" s="10">
        <f>IF(Suma!$B11=$A$1,Suma!M11,NA())</f>
        <v>0</v>
      </c>
      <c r="Y12" s="10">
        <f>IF(Suma!$B11=$A$1,Suma!N11,NA())</f>
        <v>0</v>
      </c>
      <c r="Z12" s="10">
        <f>IF(Suma!$B11=$A$1,Suma!O11,NA())</f>
        <v>0</v>
      </c>
      <c r="AA12" s="10">
        <f>IF(Suma!$B11=$A$1,Suma!BC11,NA())</f>
        <v>0</v>
      </c>
      <c r="AB12" s="10">
        <f>IF(Suma!$B11=$A$1,Suma!BD11,NA())</f>
        <v>0</v>
      </c>
    </row>
    <row r="13" spans="1:28" x14ac:dyDescent="0.3">
      <c r="A13" s="1">
        <f>IF(Suma!$B12=$A$1,Suma!C12,NA())</f>
        <v>0</v>
      </c>
      <c r="B13" s="1">
        <f>IF(Suma!$B12=$A$1,Suma!D12,NA())</f>
        <v>0</v>
      </c>
      <c r="C13" s="2">
        <f>IF(Suma!$B12=$A$1,Suma!E12,NA())</f>
        <v>0</v>
      </c>
      <c r="D13" s="2">
        <f>IF(Suma!$B12=$A$1,Suma!F12,NA())</f>
        <v>0</v>
      </c>
      <c r="E13" s="1">
        <f>IF(Suma!$B12=$A$1,Suma!P12,NA())</f>
        <v>0</v>
      </c>
      <c r="F13" s="10" t="e">
        <f t="shared" si="0"/>
        <v>#N/A</v>
      </c>
      <c r="G13" s="1">
        <f>IF(Suma!$B12=$A$1,Suma!W12,NA())</f>
        <v>0</v>
      </c>
      <c r="H13" s="10" t="e">
        <f t="shared" si="1"/>
        <v>#N/A</v>
      </c>
      <c r="I13" s="1">
        <f>IF(Suma!$B12=$A$1,Suma!AD12,NA())</f>
        <v>0</v>
      </c>
      <c r="J13" s="1">
        <f>IF(Suma!$B12=$A$1,Suma!AK12,NA())</f>
        <v>0</v>
      </c>
      <c r="K13" s="10">
        <f>IF(Suma!$B12=$A$1,Suma!AS12,NA())</f>
        <v>0</v>
      </c>
      <c r="L13" s="1">
        <f>IF(Suma!$B12=$A$1,Suma!G12,NA())</f>
        <v>0</v>
      </c>
      <c r="M13" s="1">
        <f>IF(Suma!$B12=$A$1,Suma!H12,NA())</f>
        <v>0</v>
      </c>
      <c r="N13" s="1">
        <f>IF(Suma!$B12=$A$1,Suma!AT12,NA())</f>
        <v>1900</v>
      </c>
      <c r="O13" s="1" t="str">
        <f>IF(Suma!$B12=$A$1,Suma!AU12,NA())</f>
        <v>enero</v>
      </c>
      <c r="P13" s="1">
        <f>IF(Suma!$B12=$A$1,Suma!AV12,NA())</f>
        <v>0</v>
      </c>
      <c r="Q13" s="1">
        <f>IF(Suma!$B12=$A$1,Suma!AW12,NA())</f>
        <v>0</v>
      </c>
      <c r="R13" s="10">
        <f>IF(Suma!$B12=$A$1,Suma!AX12,NA())</f>
        <v>0</v>
      </c>
      <c r="S13" s="10">
        <f>IF(Suma!$B12=$A$1,Suma!AY12,NA())</f>
        <v>0</v>
      </c>
      <c r="T13" s="10">
        <f>IF(Suma!$B12=$A$1,Suma!AZ12,NA())</f>
        <v>0</v>
      </c>
      <c r="U13" s="10">
        <f>IF(Suma!$B12=$A$1,Suma!J12,NA())</f>
        <v>0</v>
      </c>
      <c r="V13" s="10">
        <f>IF(Suma!$B12=$A$1,Suma!K12,NA())</f>
        <v>0</v>
      </c>
      <c r="W13" s="10">
        <f>IF(Suma!$B12=$A$1,Suma!L12,NA())</f>
        <v>0</v>
      </c>
      <c r="X13" s="10">
        <f>IF(Suma!$B12=$A$1,Suma!M12,NA())</f>
        <v>0</v>
      </c>
      <c r="Y13" s="10">
        <f>IF(Suma!$B12=$A$1,Suma!N12,NA())</f>
        <v>0</v>
      </c>
      <c r="Z13" s="10">
        <f>IF(Suma!$B12=$A$1,Suma!O12,NA())</f>
        <v>0</v>
      </c>
      <c r="AA13" s="10">
        <f>IF(Suma!$B12=$A$1,Suma!BC12,NA())</f>
        <v>0</v>
      </c>
      <c r="AB13" s="10">
        <f>IF(Suma!$B12=$A$1,Suma!BD12,NA())</f>
        <v>0</v>
      </c>
    </row>
    <row r="14" spans="1:28" x14ac:dyDescent="0.3">
      <c r="A14" s="1">
        <f>IF(Suma!$B13=$A$1,Suma!C13,NA())</f>
        <v>0</v>
      </c>
      <c r="B14" s="1">
        <f>IF(Suma!$B13=$A$1,Suma!D13,NA())</f>
        <v>0</v>
      </c>
      <c r="C14" s="2">
        <f>IF(Suma!$B13=$A$1,Suma!E13,NA())</f>
        <v>0</v>
      </c>
      <c r="D14" s="2">
        <f>IF(Suma!$B13=$A$1,Suma!F13,NA())</f>
        <v>0</v>
      </c>
      <c r="E14" s="1">
        <f>IF(Suma!$B13=$A$1,Suma!P13,NA())</f>
        <v>0</v>
      </c>
      <c r="F14" s="10" t="e">
        <f t="shared" si="0"/>
        <v>#N/A</v>
      </c>
      <c r="G14" s="1">
        <f>IF(Suma!$B13=$A$1,Suma!W13,NA())</f>
        <v>0</v>
      </c>
      <c r="H14" s="10" t="e">
        <f t="shared" si="1"/>
        <v>#N/A</v>
      </c>
      <c r="I14" s="1">
        <f>IF(Suma!$B13=$A$1,Suma!AD13,NA())</f>
        <v>0</v>
      </c>
      <c r="J14" s="1">
        <f>IF(Suma!$B13=$A$1,Suma!AK13,NA())</f>
        <v>0</v>
      </c>
      <c r="K14" s="10">
        <f>IF(Suma!$B13=$A$1,Suma!AS13,NA())</f>
        <v>0</v>
      </c>
      <c r="L14" s="1">
        <f>IF(Suma!$B13=$A$1,Suma!G13,NA())</f>
        <v>0</v>
      </c>
      <c r="M14" s="1">
        <f>IF(Suma!$B13=$A$1,Suma!H13,NA())</f>
        <v>0</v>
      </c>
      <c r="N14" s="1">
        <f>IF(Suma!$B13=$A$1,Suma!AT13,NA())</f>
        <v>1900</v>
      </c>
      <c r="O14" s="1" t="str">
        <f>IF(Suma!$B13=$A$1,Suma!AU13,NA())</f>
        <v>enero</v>
      </c>
      <c r="P14" s="1">
        <f>IF(Suma!$B13=$A$1,Suma!AV13,NA())</f>
        <v>0</v>
      </c>
      <c r="Q14" s="1">
        <f>IF(Suma!$B13=$A$1,Suma!AW13,NA())</f>
        <v>0</v>
      </c>
      <c r="R14" s="10">
        <f>IF(Suma!$B13=$A$1,Suma!AX13,NA())</f>
        <v>0</v>
      </c>
      <c r="S14" s="10">
        <f>IF(Suma!$B13=$A$1,Suma!AY13,NA())</f>
        <v>0</v>
      </c>
      <c r="T14" s="10">
        <f>IF(Suma!$B13=$A$1,Suma!AZ13,NA())</f>
        <v>0</v>
      </c>
      <c r="U14" s="10">
        <f>IF(Suma!$B13=$A$1,Suma!J13,NA())</f>
        <v>0</v>
      </c>
      <c r="V14" s="10">
        <f>IF(Suma!$B13=$A$1,Suma!K13,NA())</f>
        <v>0</v>
      </c>
      <c r="W14" s="10">
        <f>IF(Suma!$B13=$A$1,Suma!L13,NA())</f>
        <v>0</v>
      </c>
      <c r="X14" s="10">
        <f>IF(Suma!$B13=$A$1,Suma!M13,NA())</f>
        <v>0</v>
      </c>
      <c r="Y14" s="10">
        <f>IF(Suma!$B13=$A$1,Suma!N13,NA())</f>
        <v>0</v>
      </c>
      <c r="Z14" s="10">
        <f>IF(Suma!$B13=$A$1,Suma!O13,NA())</f>
        <v>0</v>
      </c>
      <c r="AA14" s="10">
        <f>IF(Suma!$B13=$A$1,Suma!BC13,NA())</f>
        <v>0</v>
      </c>
      <c r="AB14" s="10">
        <f>IF(Suma!$B13=$A$1,Suma!BD13,NA())</f>
        <v>0</v>
      </c>
    </row>
    <row r="15" spans="1:28" x14ac:dyDescent="0.3">
      <c r="A15" s="1">
        <f>IF(Suma!$B14=$A$1,Suma!C14,NA())</f>
        <v>0</v>
      </c>
      <c r="B15" s="1">
        <f>IF(Suma!$B14=$A$1,Suma!D14,NA())</f>
        <v>0</v>
      </c>
      <c r="C15" s="2">
        <f>IF(Suma!$B14=$A$1,Suma!E14,NA())</f>
        <v>0</v>
      </c>
      <c r="D15" s="2">
        <f>IF(Suma!$B14=$A$1,Suma!F14,NA())</f>
        <v>0</v>
      </c>
      <c r="E15" s="1">
        <f>IF(Suma!$B14=$A$1,Suma!P14,NA())</f>
        <v>0</v>
      </c>
      <c r="F15" s="10" t="e">
        <f t="shared" si="0"/>
        <v>#N/A</v>
      </c>
      <c r="G15" s="1">
        <f>IF(Suma!$B14=$A$1,Suma!W14,NA())</f>
        <v>0</v>
      </c>
      <c r="H15" s="10" t="e">
        <f t="shared" si="1"/>
        <v>#N/A</v>
      </c>
      <c r="I15" s="1">
        <f>IF(Suma!$B14=$A$1,Suma!AD14,NA())</f>
        <v>0</v>
      </c>
      <c r="J15" s="1">
        <f>IF(Suma!$B14=$A$1,Suma!AK14,NA())</f>
        <v>0</v>
      </c>
      <c r="K15" s="10">
        <f>IF(Suma!$B14=$A$1,Suma!AS14,NA())</f>
        <v>0</v>
      </c>
      <c r="L15" s="1">
        <f>IF(Suma!$B14=$A$1,Suma!G14,NA())</f>
        <v>0</v>
      </c>
      <c r="M15" s="1">
        <f>IF(Suma!$B14=$A$1,Suma!H14,NA())</f>
        <v>0</v>
      </c>
      <c r="N15" s="1">
        <f>IF(Suma!$B14=$A$1,Suma!AT14,NA())</f>
        <v>1900</v>
      </c>
      <c r="O15" s="1" t="str">
        <f>IF(Suma!$B14=$A$1,Suma!AU14,NA())</f>
        <v>enero</v>
      </c>
      <c r="P15" s="1">
        <f>IF(Suma!$B14=$A$1,Suma!AV14,NA())</f>
        <v>0</v>
      </c>
      <c r="Q15" s="1">
        <f>IF(Suma!$B14=$A$1,Suma!AW14,NA())</f>
        <v>0</v>
      </c>
      <c r="R15" s="10">
        <f>IF(Suma!$B14=$A$1,Suma!AX14,NA())</f>
        <v>0</v>
      </c>
      <c r="S15" s="10">
        <f>IF(Suma!$B14=$A$1,Suma!AY14,NA())</f>
        <v>0</v>
      </c>
      <c r="T15" s="10">
        <f>IF(Suma!$B14=$A$1,Suma!AZ14,NA())</f>
        <v>0</v>
      </c>
      <c r="U15" s="10">
        <f>IF(Suma!$B14=$A$1,Suma!J14,NA())</f>
        <v>0</v>
      </c>
      <c r="V15" s="10">
        <f>IF(Suma!$B14=$A$1,Suma!K14,NA())</f>
        <v>0</v>
      </c>
      <c r="W15" s="10">
        <f>IF(Suma!$B14=$A$1,Suma!L14,NA())</f>
        <v>0</v>
      </c>
      <c r="X15" s="10">
        <f>IF(Suma!$B14=$A$1,Suma!M14,NA())</f>
        <v>0</v>
      </c>
      <c r="Y15" s="10">
        <f>IF(Suma!$B14=$A$1,Suma!N14,NA())</f>
        <v>0</v>
      </c>
      <c r="Z15" s="10">
        <f>IF(Suma!$B14=$A$1,Suma!O14,NA())</f>
        <v>0</v>
      </c>
      <c r="AA15" s="10">
        <f>IF(Suma!$B14=$A$1,Suma!BC14,NA())</f>
        <v>0</v>
      </c>
      <c r="AB15" s="10">
        <f>IF(Suma!$B14=$A$1,Suma!BD14,NA())</f>
        <v>0</v>
      </c>
    </row>
    <row r="16" spans="1:28" x14ac:dyDescent="0.3">
      <c r="A16" s="1">
        <f>IF(Suma!$B15=$A$1,Suma!C15,NA())</f>
        <v>0</v>
      </c>
      <c r="B16" s="1">
        <f>IF(Suma!$B15=$A$1,Suma!D15,NA())</f>
        <v>0</v>
      </c>
      <c r="C16" s="2">
        <f>IF(Suma!$B15=$A$1,Suma!E15,NA())</f>
        <v>0</v>
      </c>
      <c r="D16" s="2">
        <f>IF(Suma!$B15=$A$1,Suma!F15,NA())</f>
        <v>0</v>
      </c>
      <c r="E16" s="1">
        <f>IF(Suma!$B15=$A$1,Suma!P15,NA())</f>
        <v>0</v>
      </c>
      <c r="F16" s="10" t="e">
        <f t="shared" si="0"/>
        <v>#N/A</v>
      </c>
      <c r="G16" s="1">
        <f>IF(Suma!$B15=$A$1,Suma!W15,NA())</f>
        <v>0</v>
      </c>
      <c r="H16" s="10" t="e">
        <f t="shared" si="1"/>
        <v>#N/A</v>
      </c>
      <c r="I16" s="1">
        <f>IF(Suma!$B15=$A$1,Suma!AD15,NA())</f>
        <v>0</v>
      </c>
      <c r="J16" s="1">
        <f>IF(Suma!$B15=$A$1,Suma!AK15,NA())</f>
        <v>0</v>
      </c>
      <c r="K16" s="10">
        <f>IF(Suma!$B15=$A$1,Suma!AS15,NA())</f>
        <v>0</v>
      </c>
      <c r="L16" s="1">
        <f>IF(Suma!$B15=$A$1,Suma!G15,NA())</f>
        <v>0</v>
      </c>
      <c r="M16" s="1">
        <f>IF(Suma!$B15=$A$1,Suma!H15,NA())</f>
        <v>0</v>
      </c>
      <c r="N16" s="1">
        <f>IF(Suma!$B15=$A$1,Suma!AT15,NA())</f>
        <v>1900</v>
      </c>
      <c r="O16" s="1" t="str">
        <f>IF(Suma!$B15=$A$1,Suma!AU15,NA())</f>
        <v>enero</v>
      </c>
      <c r="P16" s="1">
        <f>IF(Suma!$B15=$A$1,Suma!AV15,NA())</f>
        <v>0</v>
      </c>
      <c r="Q16" s="1">
        <f>IF(Suma!$B15=$A$1,Suma!AW15,NA())</f>
        <v>0</v>
      </c>
      <c r="R16" s="10">
        <f>IF(Suma!$B15=$A$1,Suma!AX15,NA())</f>
        <v>0</v>
      </c>
      <c r="S16" s="10">
        <f>IF(Suma!$B15=$A$1,Suma!AY15,NA())</f>
        <v>0</v>
      </c>
      <c r="T16" s="10">
        <f>IF(Suma!$B15=$A$1,Suma!AZ15,NA())</f>
        <v>0</v>
      </c>
      <c r="U16" s="10">
        <f>IF(Suma!$B15=$A$1,Suma!J15,NA())</f>
        <v>0</v>
      </c>
      <c r="V16" s="10">
        <f>IF(Suma!$B15=$A$1,Suma!K15,NA())</f>
        <v>0</v>
      </c>
      <c r="W16" s="10">
        <f>IF(Suma!$B15=$A$1,Suma!L15,NA())</f>
        <v>0</v>
      </c>
      <c r="X16" s="10">
        <f>IF(Suma!$B15=$A$1,Suma!M15,NA())</f>
        <v>0</v>
      </c>
      <c r="Y16" s="10">
        <f>IF(Suma!$B15=$A$1,Suma!N15,NA())</f>
        <v>0</v>
      </c>
      <c r="Z16" s="10">
        <f>IF(Suma!$B15=$A$1,Suma!O15,NA())</f>
        <v>0</v>
      </c>
      <c r="AA16" s="10">
        <f>IF(Suma!$B15=$A$1,Suma!BC15,NA())</f>
        <v>0</v>
      </c>
      <c r="AB16" s="10">
        <f>IF(Suma!$B15=$A$1,Suma!BD15,NA())</f>
        <v>0</v>
      </c>
    </row>
    <row r="17" spans="1:28" x14ac:dyDescent="0.3">
      <c r="A17" s="1">
        <f>IF(Suma!$B16=$A$1,Suma!C16,NA())</f>
        <v>0</v>
      </c>
      <c r="B17" s="1">
        <f>IF(Suma!$B16=$A$1,Suma!D16,NA())</f>
        <v>0</v>
      </c>
      <c r="C17" s="2">
        <f>IF(Suma!$B16=$A$1,Suma!E16,NA())</f>
        <v>0</v>
      </c>
      <c r="D17" s="2">
        <f>IF(Suma!$B16=$A$1,Suma!F16,NA())</f>
        <v>0</v>
      </c>
      <c r="E17" s="1">
        <f>IF(Suma!$B16=$A$1,Suma!P16,NA())</f>
        <v>0</v>
      </c>
      <c r="F17" s="10" t="e">
        <f t="shared" si="0"/>
        <v>#N/A</v>
      </c>
      <c r="G17" s="1">
        <f>IF(Suma!$B16=$A$1,Suma!W16,NA())</f>
        <v>0</v>
      </c>
      <c r="H17" s="10" t="e">
        <f t="shared" si="1"/>
        <v>#N/A</v>
      </c>
      <c r="I17" s="1">
        <f>IF(Suma!$B16=$A$1,Suma!AD16,NA())</f>
        <v>0</v>
      </c>
      <c r="J17" s="1">
        <f>IF(Suma!$B16=$A$1,Suma!AK16,NA())</f>
        <v>0</v>
      </c>
      <c r="K17" s="10">
        <f>IF(Suma!$B16=$A$1,Suma!AS16,NA())</f>
        <v>0</v>
      </c>
      <c r="L17" s="1">
        <f>IF(Suma!$B16=$A$1,Suma!G16,NA())</f>
        <v>0</v>
      </c>
      <c r="M17" s="1">
        <f>IF(Suma!$B16=$A$1,Suma!H16,NA())</f>
        <v>0</v>
      </c>
      <c r="N17" s="1">
        <f>IF(Suma!$B16=$A$1,Suma!AT16,NA())</f>
        <v>1900</v>
      </c>
      <c r="O17" s="1" t="str">
        <f>IF(Suma!$B16=$A$1,Suma!AU16,NA())</f>
        <v>enero</v>
      </c>
      <c r="P17" s="1">
        <f>IF(Suma!$B16=$A$1,Suma!AV16,NA())</f>
        <v>0</v>
      </c>
      <c r="Q17" s="1">
        <f>IF(Suma!$B16=$A$1,Suma!AW16,NA())</f>
        <v>0</v>
      </c>
      <c r="R17" s="10">
        <f>IF(Suma!$B16=$A$1,Suma!AX16,NA())</f>
        <v>0</v>
      </c>
      <c r="S17" s="10">
        <f>IF(Suma!$B16=$A$1,Suma!AY16,NA())</f>
        <v>0</v>
      </c>
      <c r="T17" s="10">
        <f>IF(Suma!$B16=$A$1,Suma!AZ16,NA())</f>
        <v>0</v>
      </c>
      <c r="U17" s="10">
        <f>IF(Suma!$B16=$A$1,Suma!J16,NA())</f>
        <v>0</v>
      </c>
      <c r="V17" s="10">
        <f>IF(Suma!$B16=$A$1,Suma!K16,NA())</f>
        <v>0</v>
      </c>
      <c r="W17" s="10">
        <f>IF(Suma!$B16=$A$1,Suma!L16,NA())</f>
        <v>0</v>
      </c>
      <c r="X17" s="10">
        <f>IF(Suma!$B16=$A$1,Suma!M16,NA())</f>
        <v>0</v>
      </c>
      <c r="Y17" s="10">
        <f>IF(Suma!$B16=$A$1,Suma!N16,NA())</f>
        <v>0</v>
      </c>
      <c r="Z17" s="10">
        <f>IF(Suma!$B16=$A$1,Suma!O16,NA())</f>
        <v>0</v>
      </c>
      <c r="AA17" s="10">
        <f>IF(Suma!$B16=$A$1,Suma!BC16,NA())</f>
        <v>0</v>
      </c>
      <c r="AB17" s="10">
        <f>IF(Suma!$B16=$A$1,Suma!BD16,NA())</f>
        <v>0</v>
      </c>
    </row>
    <row r="18" spans="1:28" x14ac:dyDescent="0.3">
      <c r="A18" s="1">
        <f>IF(Suma!$B17=$A$1,Suma!C17,NA())</f>
        <v>0</v>
      </c>
      <c r="B18" s="1">
        <f>IF(Suma!$B17=$A$1,Suma!D17,NA())</f>
        <v>0</v>
      </c>
      <c r="C18" s="2">
        <f>IF(Suma!$B17=$A$1,Suma!E17,NA())</f>
        <v>0</v>
      </c>
      <c r="D18" s="2">
        <f>IF(Suma!$B17=$A$1,Suma!F17,NA())</f>
        <v>0</v>
      </c>
      <c r="E18" s="1">
        <f>IF(Suma!$B17=$A$1,Suma!P17,NA())</f>
        <v>0</v>
      </c>
      <c r="F18" s="10" t="e">
        <f t="shared" si="0"/>
        <v>#N/A</v>
      </c>
      <c r="G18" s="1">
        <f>IF(Suma!$B17=$A$1,Suma!W17,NA())</f>
        <v>0</v>
      </c>
      <c r="H18" s="10" t="e">
        <f t="shared" si="1"/>
        <v>#N/A</v>
      </c>
      <c r="I18" s="1">
        <f>IF(Suma!$B17=$A$1,Suma!AD17,NA())</f>
        <v>0</v>
      </c>
      <c r="J18" s="1">
        <f>IF(Suma!$B17=$A$1,Suma!AK17,NA())</f>
        <v>0</v>
      </c>
      <c r="K18" s="10">
        <f>IF(Suma!$B17=$A$1,Suma!AS17,NA())</f>
        <v>0</v>
      </c>
      <c r="L18" s="1">
        <f>IF(Suma!$B17=$A$1,Suma!G17,NA())</f>
        <v>0</v>
      </c>
      <c r="M18" s="1">
        <f>IF(Suma!$B17=$A$1,Suma!H17,NA())</f>
        <v>0</v>
      </c>
      <c r="N18" s="1">
        <f>IF(Suma!$B17=$A$1,Suma!AT17,NA())</f>
        <v>1900</v>
      </c>
      <c r="O18" s="1" t="str">
        <f>IF(Suma!$B17=$A$1,Suma!AU17,NA())</f>
        <v>enero</v>
      </c>
      <c r="P18" s="1">
        <f>IF(Suma!$B17=$A$1,Suma!AV17,NA())</f>
        <v>0</v>
      </c>
      <c r="Q18" s="1">
        <f>IF(Suma!$B17=$A$1,Suma!AW17,NA())</f>
        <v>0</v>
      </c>
      <c r="R18" s="10">
        <f>IF(Suma!$B17=$A$1,Suma!AX17,NA())</f>
        <v>0</v>
      </c>
      <c r="S18" s="10">
        <f>IF(Suma!$B17=$A$1,Suma!AY17,NA())</f>
        <v>0</v>
      </c>
      <c r="T18" s="10">
        <f>IF(Suma!$B17=$A$1,Suma!AZ17,NA())</f>
        <v>0</v>
      </c>
      <c r="U18" s="10">
        <f>IF(Suma!$B17=$A$1,Suma!J17,NA())</f>
        <v>0</v>
      </c>
      <c r="V18" s="10">
        <f>IF(Suma!$B17=$A$1,Suma!K17,NA())</f>
        <v>0</v>
      </c>
      <c r="W18" s="10">
        <f>IF(Suma!$B17=$A$1,Suma!L17,NA())</f>
        <v>0</v>
      </c>
      <c r="X18" s="10">
        <f>IF(Suma!$B17=$A$1,Suma!M17,NA())</f>
        <v>0</v>
      </c>
      <c r="Y18" s="10">
        <f>IF(Suma!$B17=$A$1,Suma!N17,NA())</f>
        <v>0</v>
      </c>
      <c r="Z18" s="10">
        <f>IF(Suma!$B17=$A$1,Suma!O17,NA())</f>
        <v>0</v>
      </c>
      <c r="AA18" s="10">
        <f>IF(Suma!$B17=$A$1,Suma!BC17,NA())</f>
        <v>0</v>
      </c>
      <c r="AB18" s="10">
        <f>IF(Suma!$B17=$A$1,Suma!BD17,NA())</f>
        <v>0</v>
      </c>
    </row>
    <row r="19" spans="1:28" x14ac:dyDescent="0.3">
      <c r="A19" s="1">
        <f>IF(Suma!$B18=$A$1,Suma!C18,NA())</f>
        <v>0</v>
      </c>
      <c r="B19" s="1">
        <f>IF(Suma!$B18=$A$1,Suma!D18,NA())</f>
        <v>0</v>
      </c>
      <c r="C19" s="2">
        <f>IF(Suma!$B18=$A$1,Suma!E18,NA())</f>
        <v>0</v>
      </c>
      <c r="D19" s="2">
        <f>IF(Suma!$B18=$A$1,Suma!F18,NA())</f>
        <v>0</v>
      </c>
      <c r="E19" s="1">
        <f>IF(Suma!$B18=$A$1,Suma!P18,NA())</f>
        <v>0</v>
      </c>
      <c r="F19" s="10" t="e">
        <f t="shared" si="0"/>
        <v>#N/A</v>
      </c>
      <c r="G19" s="1">
        <f>IF(Suma!$B18=$A$1,Suma!W18,NA())</f>
        <v>0</v>
      </c>
      <c r="H19" s="10" t="e">
        <f t="shared" si="1"/>
        <v>#N/A</v>
      </c>
      <c r="I19" s="1">
        <f>IF(Suma!$B18=$A$1,Suma!AD18,NA())</f>
        <v>0</v>
      </c>
      <c r="J19" s="1">
        <f>IF(Suma!$B18=$A$1,Suma!AK18,NA())</f>
        <v>0</v>
      </c>
      <c r="K19" s="10">
        <f>IF(Suma!$B18=$A$1,Suma!AS18,NA())</f>
        <v>0</v>
      </c>
      <c r="L19" s="1">
        <f>IF(Suma!$B18=$A$1,Suma!G18,NA())</f>
        <v>0</v>
      </c>
      <c r="M19" s="1">
        <f>IF(Suma!$B18=$A$1,Suma!H18,NA())</f>
        <v>0</v>
      </c>
      <c r="N19" s="1">
        <f>IF(Suma!$B18=$A$1,Suma!AT18,NA())</f>
        <v>1900</v>
      </c>
      <c r="O19" s="1" t="str">
        <f>IF(Suma!$B18=$A$1,Suma!AU18,NA())</f>
        <v>enero</v>
      </c>
      <c r="P19" s="1">
        <f>IF(Suma!$B18=$A$1,Suma!AV18,NA())</f>
        <v>0</v>
      </c>
      <c r="Q19" s="1">
        <f>IF(Suma!$B18=$A$1,Suma!AW18,NA())</f>
        <v>0</v>
      </c>
      <c r="R19" s="10">
        <f>IF(Suma!$B18=$A$1,Suma!AX18,NA())</f>
        <v>0</v>
      </c>
      <c r="S19" s="10">
        <f>IF(Suma!$B18=$A$1,Suma!AY18,NA())</f>
        <v>0</v>
      </c>
      <c r="T19" s="10">
        <f>IF(Suma!$B18=$A$1,Suma!AZ18,NA())</f>
        <v>0</v>
      </c>
      <c r="U19" s="10">
        <f>IF(Suma!$B18=$A$1,Suma!J18,NA())</f>
        <v>0</v>
      </c>
      <c r="V19" s="10">
        <f>IF(Suma!$B18=$A$1,Suma!K18,NA())</f>
        <v>0</v>
      </c>
      <c r="W19" s="10">
        <f>IF(Suma!$B18=$A$1,Suma!L18,NA())</f>
        <v>0</v>
      </c>
      <c r="X19" s="10">
        <f>IF(Suma!$B18=$A$1,Suma!M18,NA())</f>
        <v>0</v>
      </c>
      <c r="Y19" s="10">
        <f>IF(Suma!$B18=$A$1,Suma!N18,NA())</f>
        <v>0</v>
      </c>
      <c r="Z19" s="10">
        <f>IF(Suma!$B18=$A$1,Suma!O18,NA())</f>
        <v>0</v>
      </c>
      <c r="AA19" s="10">
        <f>IF(Suma!$B18=$A$1,Suma!BC18,NA())</f>
        <v>0</v>
      </c>
      <c r="AB19" s="10">
        <f>IF(Suma!$B18=$A$1,Suma!BD18,NA())</f>
        <v>0</v>
      </c>
    </row>
    <row r="20" spans="1:28" x14ac:dyDescent="0.3">
      <c r="A20" s="1">
        <f>IF(Suma!$B19=$A$1,Suma!C19,NA())</f>
        <v>0</v>
      </c>
      <c r="B20" s="1">
        <f>IF(Suma!$B19=$A$1,Suma!D19,NA())</f>
        <v>0</v>
      </c>
      <c r="C20" s="2">
        <f>IF(Suma!$B19=$A$1,Suma!E19,NA())</f>
        <v>0</v>
      </c>
      <c r="D20" s="2">
        <f>IF(Suma!$B19=$A$1,Suma!F19,NA())</f>
        <v>0</v>
      </c>
      <c r="E20" s="1">
        <f>IF(Suma!$B19=$A$1,Suma!P19,NA())</f>
        <v>0</v>
      </c>
      <c r="F20" s="10" t="e">
        <f t="shared" si="0"/>
        <v>#N/A</v>
      </c>
      <c r="G20" s="1">
        <f>IF(Suma!$B19=$A$1,Suma!W19,NA())</f>
        <v>0</v>
      </c>
      <c r="H20" s="10" t="e">
        <f t="shared" si="1"/>
        <v>#N/A</v>
      </c>
      <c r="I20" s="1">
        <f>IF(Suma!$B19=$A$1,Suma!AD19,NA())</f>
        <v>0</v>
      </c>
      <c r="J20" s="1">
        <f>IF(Suma!$B19=$A$1,Suma!AK19,NA())</f>
        <v>0</v>
      </c>
      <c r="K20" s="10">
        <f>IF(Suma!$B19=$A$1,Suma!AS19,NA())</f>
        <v>0</v>
      </c>
      <c r="L20" s="1">
        <f>IF(Suma!$B19=$A$1,Suma!G19,NA())</f>
        <v>0</v>
      </c>
      <c r="M20" s="1">
        <f>IF(Suma!$B19=$A$1,Suma!H19,NA())</f>
        <v>0</v>
      </c>
      <c r="N20" s="1">
        <f>IF(Suma!$B19=$A$1,Suma!AT19,NA())</f>
        <v>1900</v>
      </c>
      <c r="O20" s="1" t="str">
        <f>IF(Suma!$B19=$A$1,Suma!AU19,NA())</f>
        <v>enero</v>
      </c>
      <c r="P20" s="1">
        <f>IF(Suma!$B19=$A$1,Suma!AV19,NA())</f>
        <v>0</v>
      </c>
      <c r="Q20" s="1">
        <f>IF(Suma!$B19=$A$1,Suma!AW19,NA())</f>
        <v>0</v>
      </c>
      <c r="R20" s="10">
        <f>IF(Suma!$B19=$A$1,Suma!AX19,NA())</f>
        <v>0</v>
      </c>
      <c r="S20" s="10">
        <f>IF(Suma!$B19=$A$1,Suma!AY19,NA())</f>
        <v>0</v>
      </c>
      <c r="T20" s="10">
        <f>IF(Suma!$B19=$A$1,Suma!AZ19,NA())</f>
        <v>0</v>
      </c>
      <c r="U20" s="10">
        <f>IF(Suma!$B19=$A$1,Suma!J19,NA())</f>
        <v>0</v>
      </c>
      <c r="V20" s="10">
        <f>IF(Suma!$B19=$A$1,Suma!K19,NA())</f>
        <v>0</v>
      </c>
      <c r="W20" s="10">
        <f>IF(Suma!$B19=$A$1,Suma!L19,NA())</f>
        <v>0</v>
      </c>
      <c r="X20" s="10">
        <f>IF(Suma!$B19=$A$1,Suma!M19,NA())</f>
        <v>0</v>
      </c>
      <c r="Y20" s="10">
        <f>IF(Suma!$B19=$A$1,Suma!N19,NA())</f>
        <v>0</v>
      </c>
      <c r="Z20" s="10">
        <f>IF(Suma!$B19=$A$1,Suma!O19,NA())</f>
        <v>0</v>
      </c>
      <c r="AA20" s="10">
        <f>IF(Suma!$B19=$A$1,Suma!BC19,NA())</f>
        <v>0</v>
      </c>
      <c r="AB20" s="10">
        <f>IF(Suma!$B19=$A$1,Suma!BD19,NA())</f>
        <v>0</v>
      </c>
    </row>
    <row r="21" spans="1:28" x14ac:dyDescent="0.3">
      <c r="A21" s="1">
        <f>IF(Suma!$B20=$A$1,Suma!C20,NA())</f>
        <v>0</v>
      </c>
      <c r="B21" s="1">
        <f>IF(Suma!$B20=$A$1,Suma!D20,NA())</f>
        <v>0</v>
      </c>
      <c r="C21" s="2">
        <f>IF(Suma!$B20=$A$1,Suma!E20,NA())</f>
        <v>0</v>
      </c>
      <c r="D21" s="2">
        <f>IF(Suma!$B20=$A$1,Suma!F20,NA())</f>
        <v>0</v>
      </c>
      <c r="E21" s="1">
        <f>IF(Suma!$B20=$A$1,Suma!P20,NA())</f>
        <v>0</v>
      </c>
      <c r="F21" s="10" t="e">
        <f t="shared" si="0"/>
        <v>#N/A</v>
      </c>
      <c r="G21" s="1">
        <f>IF(Suma!$B20=$A$1,Suma!W20,NA())</f>
        <v>0</v>
      </c>
      <c r="H21" s="10" t="e">
        <f t="shared" si="1"/>
        <v>#N/A</v>
      </c>
      <c r="I21" s="1">
        <f>IF(Suma!$B20=$A$1,Suma!AD20,NA())</f>
        <v>0</v>
      </c>
      <c r="J21" s="1">
        <f>IF(Suma!$B20=$A$1,Suma!AK20,NA())</f>
        <v>0</v>
      </c>
      <c r="K21" s="10">
        <f>IF(Suma!$B20=$A$1,Suma!AS20,NA())</f>
        <v>0</v>
      </c>
      <c r="L21" s="1">
        <f>IF(Suma!$B20=$A$1,Suma!G20,NA())</f>
        <v>0</v>
      </c>
      <c r="M21" s="1">
        <f>IF(Suma!$B20=$A$1,Suma!H20,NA())</f>
        <v>0</v>
      </c>
      <c r="N21" s="1">
        <f>IF(Suma!$B20=$A$1,Suma!AT20,NA())</f>
        <v>1900</v>
      </c>
      <c r="O21" s="1" t="str">
        <f>IF(Suma!$B20=$A$1,Suma!AU20,NA())</f>
        <v>enero</v>
      </c>
      <c r="P21" s="1">
        <f>IF(Suma!$B20=$A$1,Suma!AV20,NA())</f>
        <v>0</v>
      </c>
      <c r="Q21" s="1">
        <f>IF(Suma!$B20=$A$1,Suma!AW20,NA())</f>
        <v>0</v>
      </c>
      <c r="R21" s="10">
        <f>IF(Suma!$B20=$A$1,Suma!AX20,NA())</f>
        <v>0</v>
      </c>
      <c r="S21" s="10">
        <f>IF(Suma!$B20=$A$1,Suma!AY20,NA())</f>
        <v>0</v>
      </c>
      <c r="T21" s="10">
        <f>IF(Suma!$B20=$A$1,Suma!AZ20,NA())</f>
        <v>0</v>
      </c>
      <c r="U21" s="10">
        <f>IF(Suma!$B20=$A$1,Suma!J20,NA())</f>
        <v>0</v>
      </c>
      <c r="V21" s="10">
        <f>IF(Suma!$B20=$A$1,Suma!K20,NA())</f>
        <v>0</v>
      </c>
      <c r="W21" s="10">
        <f>IF(Suma!$B20=$A$1,Suma!L20,NA())</f>
        <v>0</v>
      </c>
      <c r="X21" s="10">
        <f>IF(Suma!$B20=$A$1,Suma!M20,NA())</f>
        <v>0</v>
      </c>
      <c r="Y21" s="10">
        <f>IF(Suma!$B20=$A$1,Suma!N20,NA())</f>
        <v>0</v>
      </c>
      <c r="Z21" s="10">
        <f>IF(Suma!$B20=$A$1,Suma!O20,NA())</f>
        <v>0</v>
      </c>
      <c r="AA21" s="10">
        <f>IF(Suma!$B20=$A$1,Suma!BC20,NA())</f>
        <v>0</v>
      </c>
      <c r="AB21" s="10">
        <f>IF(Suma!$B20=$A$1,Suma!BD20,NA())</f>
        <v>0</v>
      </c>
    </row>
    <row r="22" spans="1:28" x14ac:dyDescent="0.3">
      <c r="A22" s="1">
        <f>IF(Suma!$B21=$A$1,Suma!C21,NA())</f>
        <v>0</v>
      </c>
      <c r="B22" s="1">
        <f>IF(Suma!$B21=$A$1,Suma!D21,NA())</f>
        <v>0</v>
      </c>
      <c r="C22" s="2">
        <f>IF(Suma!$B21=$A$1,Suma!E21,NA())</f>
        <v>0</v>
      </c>
      <c r="D22" s="2">
        <f>IF(Suma!$B21=$A$1,Suma!F21,NA())</f>
        <v>0</v>
      </c>
      <c r="E22" s="1">
        <f>IF(Suma!$B21=$A$1,Suma!P21,NA())</f>
        <v>0</v>
      </c>
      <c r="F22" s="10" t="e">
        <f t="shared" si="0"/>
        <v>#N/A</v>
      </c>
      <c r="G22" s="1">
        <f>IF(Suma!$B21=$A$1,Suma!W21,NA())</f>
        <v>0</v>
      </c>
      <c r="H22" s="10" t="e">
        <f t="shared" si="1"/>
        <v>#N/A</v>
      </c>
      <c r="I22" s="1">
        <f>IF(Suma!$B21=$A$1,Suma!AD21,NA())</f>
        <v>0</v>
      </c>
      <c r="J22" s="1">
        <f>IF(Suma!$B21=$A$1,Suma!AK21,NA())</f>
        <v>0</v>
      </c>
      <c r="K22" s="10">
        <f>IF(Suma!$B21=$A$1,Suma!AS21,NA())</f>
        <v>0</v>
      </c>
      <c r="L22" s="1">
        <f>IF(Suma!$B21=$A$1,Suma!G21,NA())</f>
        <v>0</v>
      </c>
      <c r="M22" s="1">
        <f>IF(Suma!$B21=$A$1,Suma!H21,NA())</f>
        <v>0</v>
      </c>
      <c r="N22" s="1">
        <f>IF(Suma!$B21=$A$1,Suma!AT21,NA())</f>
        <v>1900</v>
      </c>
      <c r="O22" s="1" t="str">
        <f>IF(Suma!$B21=$A$1,Suma!AU21,NA())</f>
        <v>enero</v>
      </c>
      <c r="P22" s="1">
        <f>IF(Suma!$B21=$A$1,Suma!AV21,NA())</f>
        <v>0</v>
      </c>
      <c r="Q22" s="1">
        <f>IF(Suma!$B21=$A$1,Suma!AW21,NA())</f>
        <v>0</v>
      </c>
      <c r="R22" s="10">
        <f>IF(Suma!$B21=$A$1,Suma!AX21,NA())</f>
        <v>0</v>
      </c>
      <c r="S22" s="10">
        <f>IF(Suma!$B21=$A$1,Suma!AY21,NA())</f>
        <v>0</v>
      </c>
      <c r="T22" s="10">
        <f>IF(Suma!$B21=$A$1,Suma!AZ21,NA())</f>
        <v>0</v>
      </c>
      <c r="U22" s="10">
        <f>IF(Suma!$B21=$A$1,Suma!J21,NA())</f>
        <v>0</v>
      </c>
      <c r="V22" s="10">
        <f>IF(Suma!$B21=$A$1,Suma!K21,NA())</f>
        <v>0</v>
      </c>
      <c r="W22" s="10">
        <f>IF(Suma!$B21=$A$1,Suma!L21,NA())</f>
        <v>0</v>
      </c>
      <c r="X22" s="10">
        <f>IF(Suma!$B21=$A$1,Suma!M21,NA())</f>
        <v>0</v>
      </c>
      <c r="Y22" s="10">
        <f>IF(Suma!$B21=$A$1,Suma!N21,NA())</f>
        <v>0</v>
      </c>
      <c r="Z22" s="10">
        <f>IF(Suma!$B21=$A$1,Suma!O21,NA())</f>
        <v>0</v>
      </c>
      <c r="AA22" s="10">
        <f>IF(Suma!$B21=$A$1,Suma!BC21,NA())</f>
        <v>0</v>
      </c>
      <c r="AB22" s="10">
        <f>IF(Suma!$B21=$A$1,Suma!BD21,NA())</f>
        <v>0</v>
      </c>
    </row>
    <row r="23" spans="1:28" x14ac:dyDescent="0.3">
      <c r="A23" s="1">
        <f>IF(Suma!$B22=$A$1,Suma!C22,NA())</f>
        <v>0</v>
      </c>
      <c r="B23" s="1">
        <f>IF(Suma!$B22=$A$1,Suma!D22,NA())</f>
        <v>0</v>
      </c>
      <c r="C23" s="2">
        <f>IF(Suma!$B22=$A$1,Suma!E22,NA())</f>
        <v>0</v>
      </c>
      <c r="D23" s="2">
        <f>IF(Suma!$B22=$A$1,Suma!F22,NA())</f>
        <v>0</v>
      </c>
      <c r="E23" s="1">
        <f>IF(Suma!$B22=$A$1,Suma!P22,NA())</f>
        <v>0</v>
      </c>
      <c r="F23" s="10" t="e">
        <f t="shared" si="0"/>
        <v>#N/A</v>
      </c>
      <c r="G23" s="1">
        <f>IF(Suma!$B22=$A$1,Suma!W22,NA())</f>
        <v>0</v>
      </c>
      <c r="H23" s="10" t="e">
        <f t="shared" si="1"/>
        <v>#N/A</v>
      </c>
      <c r="I23" s="1">
        <f>IF(Suma!$B22=$A$1,Suma!AD22,NA())</f>
        <v>0</v>
      </c>
      <c r="J23" s="1">
        <f>IF(Suma!$B22=$A$1,Suma!AK22,NA())</f>
        <v>0</v>
      </c>
      <c r="K23" s="10">
        <f>IF(Suma!$B22=$A$1,Suma!AS22,NA())</f>
        <v>0</v>
      </c>
      <c r="L23" s="1">
        <f>IF(Suma!$B22=$A$1,Suma!G22,NA())</f>
        <v>0</v>
      </c>
      <c r="M23" s="1">
        <f>IF(Suma!$B22=$A$1,Suma!H22,NA())</f>
        <v>0</v>
      </c>
      <c r="N23" s="1">
        <f>IF(Suma!$B22=$A$1,Suma!AT22,NA())</f>
        <v>1900</v>
      </c>
      <c r="O23" s="1" t="str">
        <f>IF(Suma!$B22=$A$1,Suma!AU22,NA())</f>
        <v>enero</v>
      </c>
      <c r="P23" s="1">
        <f>IF(Suma!$B22=$A$1,Suma!AV22,NA())</f>
        <v>0</v>
      </c>
      <c r="Q23" s="1">
        <f>IF(Suma!$B22=$A$1,Suma!AW22,NA())</f>
        <v>0</v>
      </c>
      <c r="R23" s="10">
        <f>IF(Suma!$B22=$A$1,Suma!AX22,NA())</f>
        <v>0</v>
      </c>
      <c r="S23" s="10">
        <f>IF(Suma!$B22=$A$1,Suma!AY22,NA())</f>
        <v>0</v>
      </c>
      <c r="T23" s="10">
        <f>IF(Suma!$B22=$A$1,Suma!AZ22,NA())</f>
        <v>0</v>
      </c>
      <c r="U23" s="10">
        <f>IF(Suma!$B22=$A$1,Suma!J22,NA())</f>
        <v>0</v>
      </c>
      <c r="V23" s="10">
        <f>IF(Suma!$B22=$A$1,Suma!K22,NA())</f>
        <v>0</v>
      </c>
      <c r="W23" s="10">
        <f>IF(Suma!$B22=$A$1,Suma!L22,NA())</f>
        <v>0</v>
      </c>
      <c r="X23" s="10">
        <f>IF(Suma!$B22=$A$1,Suma!M22,NA())</f>
        <v>0</v>
      </c>
      <c r="Y23" s="10">
        <f>IF(Suma!$B22=$A$1,Suma!N22,NA())</f>
        <v>0</v>
      </c>
      <c r="Z23" s="10">
        <f>IF(Suma!$B22=$A$1,Suma!O22,NA())</f>
        <v>0</v>
      </c>
      <c r="AA23" s="10">
        <f>IF(Suma!$B22=$A$1,Suma!BC22,NA())</f>
        <v>0</v>
      </c>
      <c r="AB23" s="10">
        <f>IF(Suma!$B22=$A$1,Suma!BD22,NA())</f>
        <v>0</v>
      </c>
    </row>
    <row r="24" spans="1:28" x14ac:dyDescent="0.3">
      <c r="A24" s="1">
        <f>IF(Suma!$B23=$A$1,Suma!C23,NA())</f>
        <v>0</v>
      </c>
      <c r="B24" s="1">
        <f>IF(Suma!$B23=$A$1,Suma!D23,NA())</f>
        <v>0</v>
      </c>
      <c r="C24" s="2">
        <f>IF(Suma!$B23=$A$1,Suma!E23,NA())</f>
        <v>0</v>
      </c>
      <c r="D24" s="2">
        <f>IF(Suma!$B23=$A$1,Suma!F23,NA())</f>
        <v>0</v>
      </c>
      <c r="E24" s="1">
        <f>IF(Suma!$B23=$A$1,Suma!P23,NA())</f>
        <v>0</v>
      </c>
      <c r="F24" s="10" t="e">
        <f t="shared" si="0"/>
        <v>#N/A</v>
      </c>
      <c r="G24" s="1">
        <f>IF(Suma!$B23=$A$1,Suma!W23,NA())</f>
        <v>0</v>
      </c>
      <c r="H24" s="10" t="e">
        <f t="shared" si="1"/>
        <v>#N/A</v>
      </c>
      <c r="I24" s="1">
        <f>IF(Suma!$B23=$A$1,Suma!AD23,NA())</f>
        <v>0</v>
      </c>
      <c r="J24" s="1">
        <f>IF(Suma!$B23=$A$1,Suma!AK23,NA())</f>
        <v>0</v>
      </c>
      <c r="K24" s="10">
        <f>IF(Suma!$B23=$A$1,Suma!AS23,NA())</f>
        <v>0</v>
      </c>
      <c r="L24" s="1">
        <f>IF(Suma!$B23=$A$1,Suma!G23,NA())</f>
        <v>0</v>
      </c>
      <c r="M24" s="1">
        <f>IF(Suma!$B23=$A$1,Suma!H23,NA())</f>
        <v>0</v>
      </c>
      <c r="N24" s="1">
        <f>IF(Suma!$B23=$A$1,Suma!AT23,NA())</f>
        <v>1900</v>
      </c>
      <c r="O24" s="1" t="str">
        <f>IF(Suma!$B23=$A$1,Suma!AU23,NA())</f>
        <v>enero</v>
      </c>
      <c r="P24" s="1">
        <f>IF(Suma!$B23=$A$1,Suma!AV23,NA())</f>
        <v>0</v>
      </c>
      <c r="Q24" s="1">
        <f>IF(Suma!$B23=$A$1,Suma!AW23,NA())</f>
        <v>0</v>
      </c>
      <c r="R24" s="10">
        <f>IF(Suma!$B23=$A$1,Suma!AX23,NA())</f>
        <v>0</v>
      </c>
      <c r="S24" s="10">
        <f>IF(Suma!$B23=$A$1,Suma!AY23,NA())</f>
        <v>0</v>
      </c>
      <c r="T24" s="10">
        <f>IF(Suma!$B23=$A$1,Suma!AZ23,NA())</f>
        <v>0</v>
      </c>
      <c r="U24" s="10">
        <f>IF(Suma!$B23=$A$1,Suma!J23,NA())</f>
        <v>0</v>
      </c>
      <c r="V24" s="10">
        <f>IF(Suma!$B23=$A$1,Suma!K23,NA())</f>
        <v>0</v>
      </c>
      <c r="W24" s="10">
        <f>IF(Suma!$B23=$A$1,Suma!L23,NA())</f>
        <v>0</v>
      </c>
      <c r="X24" s="10">
        <f>IF(Suma!$B23=$A$1,Suma!M23,NA())</f>
        <v>0</v>
      </c>
      <c r="Y24" s="10">
        <f>IF(Suma!$B23=$A$1,Suma!N23,NA())</f>
        <v>0</v>
      </c>
      <c r="Z24" s="10">
        <f>IF(Suma!$B23=$A$1,Suma!O23,NA())</f>
        <v>0</v>
      </c>
      <c r="AA24" s="10">
        <f>IF(Suma!$B23=$A$1,Suma!BC23,NA())</f>
        <v>0</v>
      </c>
      <c r="AB24" s="10">
        <f>IF(Suma!$B23=$A$1,Suma!BD23,NA())</f>
        <v>0</v>
      </c>
    </row>
    <row r="25" spans="1:28" x14ac:dyDescent="0.3">
      <c r="A25" s="1">
        <f>IF(Suma!$B24=$A$1,Suma!C24,NA())</f>
        <v>0</v>
      </c>
      <c r="B25" s="1">
        <f>IF(Suma!$B24=$A$1,Suma!D24,NA())</f>
        <v>0</v>
      </c>
      <c r="C25" s="2">
        <f>IF(Suma!$B24=$A$1,Suma!E24,NA())</f>
        <v>0</v>
      </c>
      <c r="D25" s="2">
        <f>IF(Suma!$B24=$A$1,Suma!F24,NA())</f>
        <v>0</v>
      </c>
      <c r="E25" s="1">
        <f>IF(Suma!$B24=$A$1,Suma!P24,NA())</f>
        <v>0</v>
      </c>
      <c r="F25" s="10" t="e">
        <f t="shared" si="0"/>
        <v>#N/A</v>
      </c>
      <c r="G25" s="1">
        <f>IF(Suma!$B24=$A$1,Suma!W24,NA())</f>
        <v>0</v>
      </c>
      <c r="H25" s="10" t="e">
        <f t="shared" si="1"/>
        <v>#N/A</v>
      </c>
      <c r="I25" s="1">
        <f>IF(Suma!$B24=$A$1,Suma!AD24,NA())</f>
        <v>0</v>
      </c>
      <c r="J25" s="1">
        <f>IF(Suma!$B24=$A$1,Suma!AK24,NA())</f>
        <v>0</v>
      </c>
      <c r="K25" s="10">
        <f>IF(Suma!$B24=$A$1,Suma!AS24,NA())</f>
        <v>0</v>
      </c>
      <c r="L25" s="1">
        <f>IF(Suma!$B24=$A$1,Suma!G24,NA())</f>
        <v>0</v>
      </c>
      <c r="M25" s="1">
        <f>IF(Suma!$B24=$A$1,Suma!H24,NA())</f>
        <v>0</v>
      </c>
      <c r="N25" s="1">
        <f>IF(Suma!$B24=$A$1,Suma!AT24,NA())</f>
        <v>1900</v>
      </c>
      <c r="O25" s="1" t="str">
        <f>IF(Suma!$B24=$A$1,Suma!AU24,NA())</f>
        <v>enero</v>
      </c>
      <c r="P25" s="1">
        <f>IF(Suma!$B24=$A$1,Suma!AV24,NA())</f>
        <v>0</v>
      </c>
      <c r="Q25" s="1">
        <f>IF(Suma!$B24=$A$1,Suma!AW24,NA())</f>
        <v>0</v>
      </c>
      <c r="R25" s="10">
        <f>IF(Suma!$B24=$A$1,Suma!AX24,NA())</f>
        <v>0</v>
      </c>
      <c r="S25" s="10">
        <f>IF(Suma!$B24=$A$1,Suma!AY24,NA())</f>
        <v>0</v>
      </c>
      <c r="T25" s="10">
        <f>IF(Suma!$B24=$A$1,Suma!AZ24,NA())</f>
        <v>0</v>
      </c>
      <c r="U25" s="10">
        <f>IF(Suma!$B24=$A$1,Suma!J24,NA())</f>
        <v>0</v>
      </c>
      <c r="V25" s="10">
        <f>IF(Suma!$B24=$A$1,Suma!K24,NA())</f>
        <v>0</v>
      </c>
      <c r="W25" s="10">
        <f>IF(Suma!$B24=$A$1,Suma!L24,NA())</f>
        <v>0</v>
      </c>
      <c r="X25" s="10">
        <f>IF(Suma!$B24=$A$1,Suma!M24,NA())</f>
        <v>0</v>
      </c>
      <c r="Y25" s="10">
        <f>IF(Suma!$B24=$A$1,Suma!N24,NA())</f>
        <v>0</v>
      </c>
      <c r="Z25" s="10">
        <f>IF(Suma!$B24=$A$1,Suma!O24,NA())</f>
        <v>0</v>
      </c>
      <c r="AA25" s="10">
        <f>IF(Suma!$B24=$A$1,Suma!BC24,NA())</f>
        <v>0</v>
      </c>
      <c r="AB25" s="10">
        <f>IF(Suma!$B24=$A$1,Suma!BD24,NA())</f>
        <v>0</v>
      </c>
    </row>
    <row r="26" spans="1:28" x14ac:dyDescent="0.3">
      <c r="A26" s="1">
        <f>IF(Suma!$B25=$A$1,Suma!C25,NA())</f>
        <v>0</v>
      </c>
      <c r="B26" s="1">
        <f>IF(Suma!$B25=$A$1,Suma!D25,NA())</f>
        <v>0</v>
      </c>
      <c r="C26" s="2">
        <f>IF(Suma!$B25=$A$1,Suma!E25,NA())</f>
        <v>0</v>
      </c>
      <c r="D26" s="2">
        <f>IF(Suma!$B25=$A$1,Suma!F25,NA())</f>
        <v>0</v>
      </c>
      <c r="E26" s="1">
        <f>IF(Suma!$B25=$A$1,Suma!P25,NA())</f>
        <v>0</v>
      </c>
      <c r="F26" s="10" t="e">
        <f t="shared" si="0"/>
        <v>#N/A</v>
      </c>
      <c r="G26" s="1">
        <f>IF(Suma!$B25=$A$1,Suma!W25,NA())</f>
        <v>0</v>
      </c>
      <c r="H26" s="10" t="e">
        <f t="shared" si="1"/>
        <v>#N/A</v>
      </c>
      <c r="I26" s="1">
        <f>IF(Suma!$B25=$A$1,Suma!AD25,NA())</f>
        <v>0</v>
      </c>
      <c r="J26" s="1">
        <f>IF(Suma!$B25=$A$1,Suma!AK25,NA())</f>
        <v>0</v>
      </c>
      <c r="K26" s="10">
        <f>IF(Suma!$B25=$A$1,Suma!AS25,NA())</f>
        <v>0</v>
      </c>
      <c r="L26" s="1">
        <f>IF(Suma!$B25=$A$1,Suma!G25,NA())</f>
        <v>0</v>
      </c>
      <c r="M26" s="1">
        <f>IF(Suma!$B25=$A$1,Suma!H25,NA())</f>
        <v>0</v>
      </c>
      <c r="N26" s="1">
        <f>IF(Suma!$B25=$A$1,Suma!AT25,NA())</f>
        <v>1900</v>
      </c>
      <c r="O26" s="1" t="str">
        <f>IF(Suma!$B25=$A$1,Suma!AU25,NA())</f>
        <v>enero</v>
      </c>
      <c r="P26" s="1">
        <f>IF(Suma!$B25=$A$1,Suma!AV25,NA())</f>
        <v>0</v>
      </c>
      <c r="Q26" s="1">
        <f>IF(Suma!$B25=$A$1,Suma!AW25,NA())</f>
        <v>0</v>
      </c>
      <c r="R26" s="10">
        <f>IF(Suma!$B25=$A$1,Suma!AX25,NA())</f>
        <v>0</v>
      </c>
      <c r="S26" s="10">
        <f>IF(Suma!$B25=$A$1,Suma!AY25,NA())</f>
        <v>0</v>
      </c>
      <c r="T26" s="10">
        <f>IF(Suma!$B25=$A$1,Suma!AZ25,NA())</f>
        <v>0</v>
      </c>
      <c r="U26" s="10">
        <f>IF(Suma!$B25=$A$1,Suma!J25,NA())</f>
        <v>0</v>
      </c>
      <c r="V26" s="10">
        <f>IF(Suma!$B25=$A$1,Suma!K25,NA())</f>
        <v>0</v>
      </c>
      <c r="W26" s="10">
        <f>IF(Suma!$B25=$A$1,Suma!L25,NA())</f>
        <v>0</v>
      </c>
      <c r="X26" s="10">
        <f>IF(Suma!$B25=$A$1,Suma!M25,NA())</f>
        <v>0</v>
      </c>
      <c r="Y26" s="10">
        <f>IF(Suma!$B25=$A$1,Suma!N25,NA())</f>
        <v>0</v>
      </c>
      <c r="Z26" s="10">
        <f>IF(Suma!$B25=$A$1,Suma!O25,NA())</f>
        <v>0</v>
      </c>
      <c r="AA26" s="10">
        <f>IF(Suma!$B25=$A$1,Suma!BC25,NA())</f>
        <v>0</v>
      </c>
      <c r="AB26" s="10">
        <f>IF(Suma!$B25=$A$1,Suma!BD25,NA())</f>
        <v>0</v>
      </c>
    </row>
    <row r="27" spans="1:28" x14ac:dyDescent="0.3">
      <c r="A27" s="1">
        <f>IF(Suma!$B26=$A$1,Suma!C26,NA())</f>
        <v>0</v>
      </c>
      <c r="B27" s="1">
        <f>IF(Suma!$B26=$A$1,Suma!D26,NA())</f>
        <v>0</v>
      </c>
      <c r="C27" s="2">
        <f>IF(Suma!$B26=$A$1,Suma!E26,NA())</f>
        <v>0</v>
      </c>
      <c r="D27" s="2">
        <f>IF(Suma!$B26=$A$1,Suma!F26,NA())</f>
        <v>0</v>
      </c>
      <c r="E27" s="1">
        <f>IF(Suma!$B26=$A$1,Suma!P26,NA())</f>
        <v>0</v>
      </c>
      <c r="F27" s="10" t="e">
        <f t="shared" si="0"/>
        <v>#N/A</v>
      </c>
      <c r="G27" s="1">
        <f>IF(Suma!$B26=$A$1,Suma!W26,NA())</f>
        <v>0</v>
      </c>
      <c r="H27" s="10" t="e">
        <f t="shared" si="1"/>
        <v>#N/A</v>
      </c>
      <c r="I27" s="1">
        <f>IF(Suma!$B26=$A$1,Suma!AD26,NA())</f>
        <v>0</v>
      </c>
      <c r="J27" s="1">
        <f>IF(Suma!$B26=$A$1,Suma!AK26,NA())</f>
        <v>0</v>
      </c>
      <c r="K27" s="10">
        <f>IF(Suma!$B26=$A$1,Suma!AS26,NA())</f>
        <v>0</v>
      </c>
      <c r="L27" s="1">
        <f>IF(Suma!$B26=$A$1,Suma!G26,NA())</f>
        <v>0</v>
      </c>
      <c r="M27" s="1">
        <f>IF(Suma!$B26=$A$1,Suma!H26,NA())</f>
        <v>0</v>
      </c>
      <c r="N27" s="1">
        <f>IF(Suma!$B26=$A$1,Suma!AT26,NA())</f>
        <v>1900</v>
      </c>
      <c r="O27" s="1" t="str">
        <f>IF(Suma!$B26=$A$1,Suma!AU26,NA())</f>
        <v>enero</v>
      </c>
      <c r="P27" s="1">
        <f>IF(Suma!$B26=$A$1,Suma!AV26,NA())</f>
        <v>0</v>
      </c>
      <c r="Q27" s="1">
        <f>IF(Suma!$B26=$A$1,Suma!AW26,NA())</f>
        <v>0</v>
      </c>
      <c r="R27" s="10">
        <f>IF(Suma!$B26=$A$1,Suma!AX26,NA())</f>
        <v>0</v>
      </c>
      <c r="S27" s="10">
        <f>IF(Suma!$B26=$A$1,Suma!AY26,NA())</f>
        <v>0</v>
      </c>
      <c r="T27" s="10">
        <f>IF(Suma!$B26=$A$1,Suma!AZ26,NA())</f>
        <v>0</v>
      </c>
      <c r="U27" s="10">
        <f>IF(Suma!$B26=$A$1,Suma!J26,NA())</f>
        <v>0</v>
      </c>
      <c r="V27" s="10">
        <f>IF(Suma!$B26=$A$1,Suma!K26,NA())</f>
        <v>0</v>
      </c>
      <c r="W27" s="10">
        <f>IF(Suma!$B26=$A$1,Suma!L26,NA())</f>
        <v>0</v>
      </c>
      <c r="X27" s="10">
        <f>IF(Suma!$B26=$A$1,Suma!M26,NA())</f>
        <v>0</v>
      </c>
      <c r="Y27" s="10">
        <f>IF(Suma!$B26=$A$1,Suma!N26,NA())</f>
        <v>0</v>
      </c>
      <c r="Z27" s="10">
        <f>IF(Suma!$B26=$A$1,Suma!O26,NA())</f>
        <v>0</v>
      </c>
      <c r="AA27" s="10">
        <f>IF(Suma!$B26=$A$1,Suma!BC26,NA())</f>
        <v>0</v>
      </c>
      <c r="AB27" s="10">
        <f>IF(Suma!$B26=$A$1,Suma!BD26,NA())</f>
        <v>0</v>
      </c>
    </row>
    <row r="28" spans="1:28" x14ac:dyDescent="0.3">
      <c r="A28" s="1">
        <f>IF(Suma!$B27=$A$1,Suma!C27,NA())</f>
        <v>0</v>
      </c>
      <c r="B28" s="1">
        <f>IF(Suma!$B27=$A$1,Suma!D27,NA())</f>
        <v>0</v>
      </c>
      <c r="C28" s="2">
        <f>IF(Suma!$B27=$A$1,Suma!E27,NA())</f>
        <v>0</v>
      </c>
      <c r="D28" s="2">
        <f>IF(Suma!$B27=$A$1,Suma!F27,NA())</f>
        <v>0</v>
      </c>
      <c r="E28" s="1">
        <f>IF(Suma!$B27=$A$1,Suma!P27,NA())</f>
        <v>0</v>
      </c>
      <c r="F28" s="10" t="e">
        <f t="shared" si="0"/>
        <v>#N/A</v>
      </c>
      <c r="G28" s="1">
        <f>IF(Suma!$B27=$A$1,Suma!W27,NA())</f>
        <v>0</v>
      </c>
      <c r="H28" s="10" t="e">
        <f t="shared" si="1"/>
        <v>#N/A</v>
      </c>
      <c r="I28" s="1">
        <f>IF(Suma!$B27=$A$1,Suma!AD27,NA())</f>
        <v>0</v>
      </c>
      <c r="J28" s="1">
        <f>IF(Suma!$B27=$A$1,Suma!AK27,NA())</f>
        <v>0</v>
      </c>
      <c r="K28" s="10">
        <f>IF(Suma!$B27=$A$1,Suma!AS27,NA())</f>
        <v>0</v>
      </c>
      <c r="L28" s="1">
        <f>IF(Suma!$B27=$A$1,Suma!G27,NA())</f>
        <v>0</v>
      </c>
      <c r="M28" s="1">
        <f>IF(Suma!$B27=$A$1,Suma!H27,NA())</f>
        <v>0</v>
      </c>
      <c r="N28" s="1">
        <f>IF(Suma!$B27=$A$1,Suma!AT27,NA())</f>
        <v>1900</v>
      </c>
      <c r="O28" s="1" t="str">
        <f>IF(Suma!$B27=$A$1,Suma!AU27,NA())</f>
        <v>enero</v>
      </c>
      <c r="P28" s="1">
        <f>IF(Suma!$B27=$A$1,Suma!AV27,NA())</f>
        <v>0</v>
      </c>
      <c r="Q28" s="1">
        <f>IF(Suma!$B27=$A$1,Suma!AW27,NA())</f>
        <v>0</v>
      </c>
      <c r="R28" s="10">
        <f>IF(Suma!$B27=$A$1,Suma!AX27,NA())</f>
        <v>0</v>
      </c>
      <c r="S28" s="10">
        <f>IF(Suma!$B27=$A$1,Suma!AY27,NA())</f>
        <v>0</v>
      </c>
      <c r="T28" s="10">
        <f>IF(Suma!$B27=$A$1,Suma!AZ27,NA())</f>
        <v>0</v>
      </c>
      <c r="U28" s="10">
        <f>IF(Suma!$B27=$A$1,Suma!J27,NA())</f>
        <v>0</v>
      </c>
      <c r="V28" s="10">
        <f>IF(Suma!$B27=$A$1,Suma!K27,NA())</f>
        <v>0</v>
      </c>
      <c r="W28" s="10">
        <f>IF(Suma!$B27=$A$1,Suma!L27,NA())</f>
        <v>0</v>
      </c>
      <c r="X28" s="10">
        <f>IF(Suma!$B27=$A$1,Suma!M27,NA())</f>
        <v>0</v>
      </c>
      <c r="Y28" s="10">
        <f>IF(Suma!$B27=$A$1,Suma!N27,NA())</f>
        <v>0</v>
      </c>
      <c r="Z28" s="10">
        <f>IF(Suma!$B27=$A$1,Suma!O27,NA())</f>
        <v>0</v>
      </c>
      <c r="AA28" s="10">
        <f>IF(Suma!$B27=$A$1,Suma!BC27,NA())</f>
        <v>0</v>
      </c>
      <c r="AB28" s="10">
        <f>IF(Suma!$B27=$A$1,Suma!BD27,NA())</f>
        <v>0</v>
      </c>
    </row>
    <row r="29" spans="1:28" x14ac:dyDescent="0.3">
      <c r="A29" s="1">
        <f>IF(Suma!$B28=$A$1,Suma!C28,NA())</f>
        <v>0</v>
      </c>
      <c r="B29" s="1">
        <f>IF(Suma!$B28=$A$1,Suma!D28,NA())</f>
        <v>0</v>
      </c>
      <c r="C29" s="2">
        <f>IF(Suma!$B28=$A$1,Suma!E28,NA())</f>
        <v>0</v>
      </c>
      <c r="D29" s="2">
        <f>IF(Suma!$B28=$A$1,Suma!F28,NA())</f>
        <v>0</v>
      </c>
      <c r="E29" s="1">
        <f>IF(Suma!$B28=$A$1,Suma!P28,NA())</f>
        <v>0</v>
      </c>
      <c r="F29" s="10" t="e">
        <f t="shared" si="0"/>
        <v>#N/A</v>
      </c>
      <c r="G29" s="1">
        <f>IF(Suma!$B28=$A$1,Suma!W28,NA())</f>
        <v>0</v>
      </c>
      <c r="H29" s="10" t="e">
        <f t="shared" si="1"/>
        <v>#N/A</v>
      </c>
      <c r="I29" s="1">
        <f>IF(Suma!$B28=$A$1,Suma!AD28,NA())</f>
        <v>0</v>
      </c>
      <c r="J29" s="1">
        <f>IF(Suma!$B28=$A$1,Suma!AK28,NA())</f>
        <v>0</v>
      </c>
      <c r="K29" s="10">
        <f>IF(Suma!$B28=$A$1,Suma!AS28,NA())</f>
        <v>0</v>
      </c>
      <c r="L29" s="1">
        <f>IF(Suma!$B28=$A$1,Suma!G28,NA())</f>
        <v>0</v>
      </c>
      <c r="M29" s="1">
        <f>IF(Suma!$B28=$A$1,Suma!H28,NA())</f>
        <v>0</v>
      </c>
      <c r="N29" s="1">
        <f>IF(Suma!$B28=$A$1,Suma!AT28,NA())</f>
        <v>1900</v>
      </c>
      <c r="O29" s="1" t="str">
        <f>IF(Suma!$B28=$A$1,Suma!AU28,NA())</f>
        <v>enero</v>
      </c>
      <c r="P29" s="1">
        <f>IF(Suma!$B28=$A$1,Suma!AV28,NA())</f>
        <v>0</v>
      </c>
      <c r="Q29" s="1">
        <f>IF(Suma!$B28=$A$1,Suma!AW28,NA())</f>
        <v>0</v>
      </c>
      <c r="R29" s="10">
        <f>IF(Suma!$B28=$A$1,Suma!AX28,NA())</f>
        <v>0</v>
      </c>
      <c r="S29" s="10">
        <f>IF(Suma!$B28=$A$1,Suma!AY28,NA())</f>
        <v>0</v>
      </c>
      <c r="T29" s="10">
        <f>IF(Suma!$B28=$A$1,Suma!AZ28,NA())</f>
        <v>0</v>
      </c>
      <c r="U29" s="10">
        <f>IF(Suma!$B28=$A$1,Suma!J28,NA())</f>
        <v>0</v>
      </c>
      <c r="V29" s="10">
        <f>IF(Suma!$B28=$A$1,Suma!K28,NA())</f>
        <v>0</v>
      </c>
      <c r="W29" s="10">
        <f>IF(Suma!$B28=$A$1,Suma!L28,NA())</f>
        <v>0</v>
      </c>
      <c r="X29" s="10">
        <f>IF(Suma!$B28=$A$1,Suma!M28,NA())</f>
        <v>0</v>
      </c>
      <c r="Y29" s="10">
        <f>IF(Suma!$B28=$A$1,Suma!N28,NA())</f>
        <v>0</v>
      </c>
      <c r="Z29" s="10">
        <f>IF(Suma!$B28=$A$1,Suma!O28,NA())</f>
        <v>0</v>
      </c>
      <c r="AA29" s="10">
        <f>IF(Suma!$B28=$A$1,Suma!BC28,NA())</f>
        <v>0</v>
      </c>
      <c r="AB29" s="10">
        <f>IF(Suma!$B28=$A$1,Suma!BD28,NA())</f>
        <v>0</v>
      </c>
    </row>
    <row r="30" spans="1:28" x14ac:dyDescent="0.3">
      <c r="A30" s="1">
        <f>IF(Suma!$B29=$A$1,Suma!C29,NA())</f>
        <v>0</v>
      </c>
      <c r="B30" s="1">
        <f>IF(Suma!$B29=$A$1,Suma!D29,NA())</f>
        <v>0</v>
      </c>
      <c r="C30" s="2">
        <f>IF(Suma!$B29=$A$1,Suma!E29,NA())</f>
        <v>0</v>
      </c>
      <c r="D30" s="2">
        <f>IF(Suma!$B29=$A$1,Suma!F29,NA())</f>
        <v>0</v>
      </c>
      <c r="E30" s="1">
        <f>IF(Suma!$B29=$A$1,Suma!P29,NA())</f>
        <v>0</v>
      </c>
      <c r="F30" s="10" t="e">
        <f t="shared" si="0"/>
        <v>#N/A</v>
      </c>
      <c r="G30" s="1">
        <f>IF(Suma!$B29=$A$1,Suma!W29,NA())</f>
        <v>0</v>
      </c>
      <c r="H30" s="10" t="e">
        <f t="shared" si="1"/>
        <v>#N/A</v>
      </c>
      <c r="I30" s="1">
        <f>IF(Suma!$B29=$A$1,Suma!AD29,NA())</f>
        <v>0</v>
      </c>
      <c r="J30" s="1">
        <f>IF(Suma!$B29=$A$1,Suma!AK29,NA())</f>
        <v>0</v>
      </c>
      <c r="K30" s="10">
        <f>IF(Suma!$B29=$A$1,Suma!AS29,NA())</f>
        <v>0</v>
      </c>
      <c r="L30" s="1">
        <f>IF(Suma!$B29=$A$1,Suma!G29,NA())</f>
        <v>0</v>
      </c>
      <c r="M30" s="1">
        <f>IF(Suma!$B29=$A$1,Suma!H29,NA())</f>
        <v>0</v>
      </c>
      <c r="N30" s="1">
        <f>IF(Suma!$B29=$A$1,Suma!AT29,NA())</f>
        <v>1900</v>
      </c>
      <c r="O30" s="1" t="str">
        <f>IF(Suma!$B29=$A$1,Suma!AU29,NA())</f>
        <v>enero</v>
      </c>
      <c r="P30" s="1">
        <f>IF(Suma!$B29=$A$1,Suma!AV29,NA())</f>
        <v>0</v>
      </c>
      <c r="Q30" s="1">
        <f>IF(Suma!$B29=$A$1,Suma!AW29,NA())</f>
        <v>0</v>
      </c>
      <c r="R30" s="10">
        <f>IF(Suma!$B29=$A$1,Suma!AX29,NA())</f>
        <v>0</v>
      </c>
      <c r="S30" s="10">
        <f>IF(Suma!$B29=$A$1,Suma!AY29,NA())</f>
        <v>0</v>
      </c>
      <c r="T30" s="10">
        <f>IF(Suma!$B29=$A$1,Suma!AZ29,NA())</f>
        <v>0</v>
      </c>
      <c r="U30" s="10">
        <f>IF(Suma!$B29=$A$1,Suma!J29,NA())</f>
        <v>0</v>
      </c>
      <c r="V30" s="10">
        <f>IF(Suma!$B29=$A$1,Suma!K29,NA())</f>
        <v>0</v>
      </c>
      <c r="W30" s="10">
        <f>IF(Suma!$B29=$A$1,Suma!L29,NA())</f>
        <v>0</v>
      </c>
      <c r="X30" s="10">
        <f>IF(Suma!$B29=$A$1,Suma!M29,NA())</f>
        <v>0</v>
      </c>
      <c r="Y30" s="10">
        <f>IF(Suma!$B29=$A$1,Suma!N29,NA())</f>
        <v>0</v>
      </c>
      <c r="Z30" s="10">
        <f>IF(Suma!$B29=$A$1,Suma!O29,NA())</f>
        <v>0</v>
      </c>
      <c r="AA30" s="10">
        <f>IF(Suma!$B29=$A$1,Suma!BC29,NA())</f>
        <v>0</v>
      </c>
      <c r="AB30" s="10">
        <f>IF(Suma!$B29=$A$1,Suma!BD29,NA())</f>
        <v>0</v>
      </c>
    </row>
    <row r="31" spans="1:28" x14ac:dyDescent="0.3">
      <c r="A31" s="1">
        <f>IF(Suma!$B30=$A$1,Suma!C30,NA())</f>
        <v>0</v>
      </c>
      <c r="B31" s="1">
        <f>IF(Suma!$B30=$A$1,Suma!D30,NA())</f>
        <v>0</v>
      </c>
      <c r="C31" s="2">
        <f>IF(Suma!$B30=$A$1,Suma!E30,NA())</f>
        <v>0</v>
      </c>
      <c r="D31" s="2">
        <f>IF(Suma!$B30=$A$1,Suma!F30,NA())</f>
        <v>0</v>
      </c>
      <c r="E31" s="1">
        <f>IF(Suma!$B30=$A$1,Suma!P30,NA())</f>
        <v>0</v>
      </c>
      <c r="F31" s="10" t="e">
        <f t="shared" si="0"/>
        <v>#N/A</v>
      </c>
      <c r="G31" s="1">
        <f>IF(Suma!$B30=$A$1,Suma!W30,NA())</f>
        <v>0</v>
      </c>
      <c r="H31" s="10" t="e">
        <f t="shared" si="1"/>
        <v>#N/A</v>
      </c>
      <c r="I31" s="1">
        <f>IF(Suma!$B30=$A$1,Suma!AD30,NA())</f>
        <v>0</v>
      </c>
      <c r="J31" s="1">
        <f>IF(Suma!$B30=$A$1,Suma!AK30,NA())</f>
        <v>0</v>
      </c>
      <c r="K31" s="10">
        <f>IF(Suma!$B30=$A$1,Suma!AS30,NA())</f>
        <v>0</v>
      </c>
      <c r="L31" s="1">
        <f>IF(Suma!$B30=$A$1,Suma!G30,NA())</f>
        <v>0</v>
      </c>
      <c r="M31" s="1">
        <f>IF(Suma!$B30=$A$1,Suma!H30,NA())</f>
        <v>0</v>
      </c>
      <c r="N31" s="1">
        <f>IF(Suma!$B30=$A$1,Suma!AT30,NA())</f>
        <v>1900</v>
      </c>
      <c r="O31" s="1" t="str">
        <f>IF(Suma!$B30=$A$1,Suma!AU30,NA())</f>
        <v>enero</v>
      </c>
      <c r="P31" s="1">
        <f>IF(Suma!$B30=$A$1,Suma!AV30,NA())</f>
        <v>0</v>
      </c>
      <c r="Q31" s="1">
        <f>IF(Suma!$B30=$A$1,Suma!AW30,NA())</f>
        <v>0</v>
      </c>
      <c r="R31" s="10">
        <f>IF(Suma!$B30=$A$1,Suma!AX30,NA())</f>
        <v>0</v>
      </c>
      <c r="S31" s="10">
        <f>IF(Suma!$B30=$A$1,Suma!AY30,NA())</f>
        <v>0</v>
      </c>
      <c r="T31" s="10">
        <f>IF(Suma!$B30=$A$1,Suma!AZ30,NA())</f>
        <v>0</v>
      </c>
      <c r="U31" s="10">
        <f>IF(Suma!$B30=$A$1,Suma!J30,NA())</f>
        <v>0</v>
      </c>
      <c r="V31" s="10">
        <f>IF(Suma!$B30=$A$1,Suma!K30,NA())</f>
        <v>0</v>
      </c>
      <c r="W31" s="10">
        <f>IF(Suma!$B30=$A$1,Suma!L30,NA())</f>
        <v>0</v>
      </c>
      <c r="X31" s="10">
        <f>IF(Suma!$B30=$A$1,Suma!M30,NA())</f>
        <v>0</v>
      </c>
      <c r="Y31" s="10">
        <f>IF(Suma!$B30=$A$1,Suma!N30,NA())</f>
        <v>0</v>
      </c>
      <c r="Z31" s="10">
        <f>IF(Suma!$B30=$A$1,Suma!O30,NA())</f>
        <v>0</v>
      </c>
      <c r="AA31" s="10">
        <f>IF(Suma!$B30=$A$1,Suma!BC30,NA())</f>
        <v>0</v>
      </c>
      <c r="AB31" s="10">
        <f>IF(Suma!$B30=$A$1,Suma!BD30,NA())</f>
        <v>0</v>
      </c>
    </row>
    <row r="32" spans="1:28" x14ac:dyDescent="0.3">
      <c r="A32" s="1">
        <f>IF(Suma!$B31=$A$1,Suma!C31,NA())</f>
        <v>0</v>
      </c>
      <c r="B32" s="1">
        <f>IF(Suma!$B31=$A$1,Suma!D31,NA())</f>
        <v>0</v>
      </c>
      <c r="C32" s="2">
        <f>IF(Suma!$B31=$A$1,Suma!E31,NA())</f>
        <v>0</v>
      </c>
      <c r="D32" s="2">
        <f>IF(Suma!$B31=$A$1,Suma!F31,NA())</f>
        <v>0</v>
      </c>
      <c r="E32" s="1">
        <f>IF(Suma!$B31=$A$1,Suma!P31,NA())</f>
        <v>0</v>
      </c>
      <c r="F32" s="10" t="e">
        <f t="shared" si="0"/>
        <v>#N/A</v>
      </c>
      <c r="G32" s="1">
        <f>IF(Suma!$B31=$A$1,Suma!W31,NA())</f>
        <v>0</v>
      </c>
      <c r="H32" s="10" t="e">
        <f t="shared" si="1"/>
        <v>#N/A</v>
      </c>
      <c r="I32" s="1">
        <f>IF(Suma!$B31=$A$1,Suma!AD31,NA())</f>
        <v>0</v>
      </c>
      <c r="J32" s="1">
        <f>IF(Suma!$B31=$A$1,Suma!AK31,NA())</f>
        <v>0</v>
      </c>
      <c r="K32" s="10">
        <f>IF(Suma!$B31=$A$1,Suma!AS31,NA())</f>
        <v>0</v>
      </c>
      <c r="L32" s="1">
        <f>IF(Suma!$B31=$A$1,Suma!G31,NA())</f>
        <v>0</v>
      </c>
      <c r="M32" s="1">
        <f>IF(Suma!$B31=$A$1,Suma!H31,NA())</f>
        <v>0</v>
      </c>
      <c r="N32" s="1">
        <f>IF(Suma!$B31=$A$1,Suma!AT31,NA())</f>
        <v>1900</v>
      </c>
      <c r="O32" s="1" t="str">
        <f>IF(Suma!$B31=$A$1,Suma!AU31,NA())</f>
        <v>enero</v>
      </c>
      <c r="P32" s="1">
        <f>IF(Suma!$B31=$A$1,Suma!AV31,NA())</f>
        <v>0</v>
      </c>
      <c r="Q32" s="1">
        <f>IF(Suma!$B31=$A$1,Suma!AW31,NA())</f>
        <v>0</v>
      </c>
      <c r="R32" s="10">
        <f>IF(Suma!$B31=$A$1,Suma!AX31,NA())</f>
        <v>0</v>
      </c>
      <c r="S32" s="10">
        <f>IF(Suma!$B31=$A$1,Suma!AY31,NA())</f>
        <v>0</v>
      </c>
      <c r="T32" s="10">
        <f>IF(Suma!$B31=$A$1,Suma!AZ31,NA())</f>
        <v>0</v>
      </c>
      <c r="U32" s="10">
        <f>IF(Suma!$B31=$A$1,Suma!J31,NA())</f>
        <v>0</v>
      </c>
      <c r="V32" s="10">
        <f>IF(Suma!$B31=$A$1,Suma!K31,NA())</f>
        <v>0</v>
      </c>
      <c r="W32" s="10">
        <f>IF(Suma!$B31=$A$1,Suma!L31,NA())</f>
        <v>0</v>
      </c>
      <c r="X32" s="10">
        <f>IF(Suma!$B31=$A$1,Suma!M31,NA())</f>
        <v>0</v>
      </c>
      <c r="Y32" s="10">
        <f>IF(Suma!$B31=$A$1,Suma!N31,NA())</f>
        <v>0</v>
      </c>
      <c r="Z32" s="10">
        <f>IF(Suma!$B31=$A$1,Suma!O31,NA())</f>
        <v>0</v>
      </c>
      <c r="AA32" s="10">
        <f>IF(Suma!$B31=$A$1,Suma!BC31,NA())</f>
        <v>0</v>
      </c>
      <c r="AB32" s="10">
        <f>IF(Suma!$B31=$A$1,Suma!BD31,NA())</f>
        <v>0</v>
      </c>
    </row>
    <row r="33" spans="1:28" x14ac:dyDescent="0.3">
      <c r="A33" s="1">
        <f>IF(Suma!$B32=$A$1,Suma!C32,NA())</f>
        <v>0</v>
      </c>
      <c r="B33" s="1">
        <f>IF(Suma!$B32=$A$1,Suma!D32,NA())</f>
        <v>0</v>
      </c>
      <c r="C33" s="2">
        <f>IF(Suma!$B32=$A$1,Suma!E32,NA())</f>
        <v>0</v>
      </c>
      <c r="D33" s="2">
        <f>IF(Suma!$B32=$A$1,Suma!F32,NA())</f>
        <v>0</v>
      </c>
      <c r="E33" s="1">
        <f>IF(Suma!$B32=$A$1,Suma!P32,NA())</f>
        <v>0</v>
      </c>
      <c r="F33" s="10" t="e">
        <f t="shared" si="0"/>
        <v>#N/A</v>
      </c>
      <c r="G33" s="1">
        <f>IF(Suma!$B32=$A$1,Suma!W32,NA())</f>
        <v>0</v>
      </c>
      <c r="H33" s="10" t="e">
        <f t="shared" si="1"/>
        <v>#N/A</v>
      </c>
      <c r="I33" s="1">
        <f>IF(Suma!$B32=$A$1,Suma!AD32,NA())</f>
        <v>0</v>
      </c>
      <c r="J33" s="1">
        <f>IF(Suma!$B32=$A$1,Suma!AK32,NA())</f>
        <v>0</v>
      </c>
      <c r="K33" s="10">
        <f>IF(Suma!$B32=$A$1,Suma!AS32,NA())</f>
        <v>0</v>
      </c>
      <c r="L33" s="1">
        <f>IF(Suma!$B32=$A$1,Suma!G32,NA())</f>
        <v>0</v>
      </c>
      <c r="M33" s="1">
        <f>IF(Suma!$B32=$A$1,Suma!H32,NA())</f>
        <v>0</v>
      </c>
      <c r="N33" s="1">
        <f>IF(Suma!$B32=$A$1,Suma!AT32,NA())</f>
        <v>1900</v>
      </c>
      <c r="O33" s="1" t="str">
        <f>IF(Suma!$B32=$A$1,Suma!AU32,NA())</f>
        <v>enero</v>
      </c>
      <c r="P33" s="1">
        <f>IF(Suma!$B32=$A$1,Suma!AV32,NA())</f>
        <v>0</v>
      </c>
      <c r="Q33" s="1">
        <f>IF(Suma!$B32=$A$1,Suma!AW32,NA())</f>
        <v>0</v>
      </c>
      <c r="R33" s="10">
        <f>IF(Suma!$B32=$A$1,Suma!AX32,NA())</f>
        <v>0</v>
      </c>
      <c r="S33" s="10">
        <f>IF(Suma!$B32=$A$1,Suma!AY32,NA())</f>
        <v>0</v>
      </c>
      <c r="T33" s="10">
        <f>IF(Suma!$B32=$A$1,Suma!AZ32,NA())</f>
        <v>0</v>
      </c>
      <c r="U33" s="10">
        <f>IF(Suma!$B32=$A$1,Suma!J32,NA())</f>
        <v>0</v>
      </c>
      <c r="V33" s="10">
        <f>IF(Suma!$B32=$A$1,Suma!K32,NA())</f>
        <v>0</v>
      </c>
      <c r="W33" s="10">
        <f>IF(Suma!$B32=$A$1,Suma!L32,NA())</f>
        <v>0</v>
      </c>
      <c r="X33" s="10">
        <f>IF(Suma!$B32=$A$1,Suma!M32,NA())</f>
        <v>0</v>
      </c>
      <c r="Y33" s="10">
        <f>IF(Suma!$B32=$A$1,Suma!N32,NA())</f>
        <v>0</v>
      </c>
      <c r="Z33" s="10">
        <f>IF(Suma!$B32=$A$1,Suma!O32,NA())</f>
        <v>0</v>
      </c>
      <c r="AA33" s="10">
        <f>IF(Suma!$B32=$A$1,Suma!BC32,NA())</f>
        <v>0</v>
      </c>
      <c r="AB33" s="10">
        <f>IF(Suma!$B32=$A$1,Suma!BD32,NA())</f>
        <v>0</v>
      </c>
    </row>
    <row r="34" spans="1:28" x14ac:dyDescent="0.3">
      <c r="A34" s="1">
        <f>IF(Suma!$B33=$A$1,Suma!C33,NA())</f>
        <v>0</v>
      </c>
      <c r="B34" s="1">
        <f>IF(Suma!$B33=$A$1,Suma!D33,NA())</f>
        <v>0</v>
      </c>
      <c r="C34" s="2">
        <f>IF(Suma!$B33=$A$1,Suma!E33,NA())</f>
        <v>0</v>
      </c>
      <c r="D34" s="2">
        <f>IF(Suma!$B33=$A$1,Suma!F33,NA())</f>
        <v>0</v>
      </c>
      <c r="E34" s="1">
        <f>IF(Suma!$B33=$A$1,Suma!P33,NA())</f>
        <v>0</v>
      </c>
      <c r="F34" s="10" t="e">
        <f t="shared" si="0"/>
        <v>#N/A</v>
      </c>
      <c r="G34" s="1">
        <f>IF(Suma!$B33=$A$1,Suma!W33,NA())</f>
        <v>0</v>
      </c>
      <c r="H34" s="10" t="e">
        <f t="shared" si="1"/>
        <v>#N/A</v>
      </c>
      <c r="I34" s="1">
        <f>IF(Suma!$B33=$A$1,Suma!AD33,NA())</f>
        <v>0</v>
      </c>
      <c r="J34" s="1">
        <f>IF(Suma!$B33=$A$1,Suma!AK33,NA())</f>
        <v>0</v>
      </c>
      <c r="K34" s="10">
        <f>IF(Suma!$B33=$A$1,Suma!AS33,NA())</f>
        <v>0</v>
      </c>
      <c r="L34" s="1">
        <f>IF(Suma!$B33=$A$1,Suma!G33,NA())</f>
        <v>0</v>
      </c>
      <c r="M34" s="1">
        <f>IF(Suma!$B33=$A$1,Suma!H33,NA())</f>
        <v>0</v>
      </c>
      <c r="N34" s="1">
        <f>IF(Suma!$B33=$A$1,Suma!AT33,NA())</f>
        <v>1900</v>
      </c>
      <c r="O34" s="1" t="str">
        <f>IF(Suma!$B33=$A$1,Suma!AU33,NA())</f>
        <v>enero</v>
      </c>
      <c r="P34" s="1">
        <f>IF(Suma!$B33=$A$1,Suma!AV33,NA())</f>
        <v>0</v>
      </c>
      <c r="Q34" s="1">
        <f>IF(Suma!$B33=$A$1,Suma!AW33,NA())</f>
        <v>0</v>
      </c>
      <c r="R34" s="10">
        <f>IF(Suma!$B33=$A$1,Suma!AX33,NA())</f>
        <v>0</v>
      </c>
      <c r="S34" s="10">
        <f>IF(Suma!$B33=$A$1,Suma!AY33,NA())</f>
        <v>0</v>
      </c>
      <c r="T34" s="10">
        <f>IF(Suma!$B33=$A$1,Suma!AZ33,NA())</f>
        <v>0</v>
      </c>
      <c r="U34" s="10">
        <f>IF(Suma!$B33=$A$1,Suma!J33,NA())</f>
        <v>0</v>
      </c>
      <c r="V34" s="10">
        <f>IF(Suma!$B33=$A$1,Suma!K33,NA())</f>
        <v>0</v>
      </c>
      <c r="W34" s="10">
        <f>IF(Suma!$B33=$A$1,Suma!L33,NA())</f>
        <v>0</v>
      </c>
      <c r="X34" s="10">
        <f>IF(Suma!$B33=$A$1,Suma!M33,NA())</f>
        <v>0</v>
      </c>
      <c r="Y34" s="10">
        <f>IF(Suma!$B33=$A$1,Suma!N33,NA())</f>
        <v>0</v>
      </c>
      <c r="Z34" s="10">
        <f>IF(Suma!$B33=$A$1,Suma!O33,NA())</f>
        <v>0</v>
      </c>
      <c r="AA34" s="10">
        <f>IF(Suma!$B33=$A$1,Suma!BC33,NA())</f>
        <v>0</v>
      </c>
      <c r="AB34" s="10">
        <f>IF(Suma!$B33=$A$1,Suma!BD33,NA())</f>
        <v>0</v>
      </c>
    </row>
    <row r="35" spans="1:28" x14ac:dyDescent="0.3">
      <c r="A35" s="1">
        <f>IF(Suma!$B34=$A$1,Suma!C34,NA())</f>
        <v>0</v>
      </c>
      <c r="B35" s="1">
        <f>IF(Suma!$B34=$A$1,Suma!D34,NA())</f>
        <v>0</v>
      </c>
      <c r="C35" s="2">
        <f>IF(Suma!$B34=$A$1,Suma!E34,NA())</f>
        <v>0</v>
      </c>
      <c r="D35" s="2">
        <f>IF(Suma!$B34=$A$1,Suma!F34,NA())</f>
        <v>0</v>
      </c>
      <c r="E35" s="1">
        <f>IF(Suma!$B34=$A$1,Suma!P34,NA())</f>
        <v>0</v>
      </c>
      <c r="F35" s="10" t="e">
        <f t="shared" si="0"/>
        <v>#N/A</v>
      </c>
      <c r="G35" s="1">
        <f>IF(Suma!$B34=$A$1,Suma!W34,NA())</f>
        <v>0</v>
      </c>
      <c r="H35" s="10" t="e">
        <f t="shared" si="1"/>
        <v>#N/A</v>
      </c>
      <c r="I35" s="1">
        <f>IF(Suma!$B34=$A$1,Suma!AD34,NA())</f>
        <v>0</v>
      </c>
      <c r="J35" s="1">
        <f>IF(Suma!$B34=$A$1,Suma!AK34,NA())</f>
        <v>0</v>
      </c>
      <c r="K35" s="10">
        <f>IF(Suma!$B34=$A$1,Suma!AS34,NA())</f>
        <v>0</v>
      </c>
      <c r="L35" s="1">
        <f>IF(Suma!$B34=$A$1,Suma!G34,NA())</f>
        <v>0</v>
      </c>
      <c r="M35" s="1">
        <f>IF(Suma!$B34=$A$1,Suma!H34,NA())</f>
        <v>0</v>
      </c>
      <c r="N35" s="1">
        <f>IF(Suma!$B34=$A$1,Suma!AT34,NA())</f>
        <v>1900</v>
      </c>
      <c r="O35" s="1" t="str">
        <f>IF(Suma!$B34=$A$1,Suma!AU34,NA())</f>
        <v>enero</v>
      </c>
      <c r="P35" s="1">
        <f>IF(Suma!$B34=$A$1,Suma!AV34,NA())</f>
        <v>0</v>
      </c>
      <c r="Q35" s="1">
        <f>IF(Suma!$B34=$A$1,Suma!AW34,NA())</f>
        <v>0</v>
      </c>
      <c r="R35" s="10">
        <f>IF(Suma!$B34=$A$1,Suma!AX34,NA())</f>
        <v>0</v>
      </c>
      <c r="S35" s="10">
        <f>IF(Suma!$B34=$A$1,Suma!AY34,NA())</f>
        <v>0</v>
      </c>
      <c r="T35" s="10">
        <f>IF(Suma!$B34=$A$1,Suma!AZ34,NA())</f>
        <v>0</v>
      </c>
      <c r="U35" s="10">
        <f>IF(Suma!$B34=$A$1,Suma!J34,NA())</f>
        <v>0</v>
      </c>
      <c r="V35" s="10">
        <f>IF(Suma!$B34=$A$1,Suma!K34,NA())</f>
        <v>0</v>
      </c>
      <c r="W35" s="10">
        <f>IF(Suma!$B34=$A$1,Suma!L34,NA())</f>
        <v>0</v>
      </c>
      <c r="X35" s="10">
        <f>IF(Suma!$B34=$A$1,Suma!M34,NA())</f>
        <v>0</v>
      </c>
      <c r="Y35" s="10">
        <f>IF(Suma!$B34=$A$1,Suma!N34,NA())</f>
        <v>0</v>
      </c>
      <c r="Z35" s="10">
        <f>IF(Suma!$B34=$A$1,Suma!O34,NA())</f>
        <v>0</v>
      </c>
      <c r="AA35" s="10">
        <f>IF(Suma!$B34=$A$1,Suma!BC34,NA())</f>
        <v>0</v>
      </c>
      <c r="AB35" s="10">
        <f>IF(Suma!$B34=$A$1,Suma!BD34,NA())</f>
        <v>0</v>
      </c>
    </row>
    <row r="36" spans="1:28" x14ac:dyDescent="0.3">
      <c r="A36" s="1">
        <f>IF(Suma!$B35=$A$1,Suma!C35,NA())</f>
        <v>0</v>
      </c>
      <c r="B36" s="1">
        <f>IF(Suma!$B35=$A$1,Suma!D35,NA())</f>
        <v>0</v>
      </c>
      <c r="C36" s="2">
        <f>IF(Suma!$B35=$A$1,Suma!E35,NA())</f>
        <v>0</v>
      </c>
      <c r="D36" s="2">
        <f>IF(Suma!$B35=$A$1,Suma!F35,NA())</f>
        <v>0</v>
      </c>
      <c r="E36" s="1">
        <f>IF(Suma!$B35=$A$1,Suma!P35,NA())</f>
        <v>0</v>
      </c>
      <c r="F36" s="10" t="e">
        <f t="shared" si="0"/>
        <v>#N/A</v>
      </c>
      <c r="G36" s="1">
        <f>IF(Suma!$B35=$A$1,Suma!W35,NA())</f>
        <v>0</v>
      </c>
      <c r="H36" s="10" t="e">
        <f t="shared" si="1"/>
        <v>#N/A</v>
      </c>
      <c r="I36" s="1">
        <f>IF(Suma!$B35=$A$1,Suma!AD35,NA())</f>
        <v>0</v>
      </c>
      <c r="J36" s="1">
        <f>IF(Suma!$B35=$A$1,Suma!AK35,NA())</f>
        <v>0</v>
      </c>
      <c r="K36" s="10">
        <f>IF(Suma!$B35=$A$1,Suma!AS35,NA())</f>
        <v>0</v>
      </c>
      <c r="L36" s="1">
        <f>IF(Suma!$B35=$A$1,Suma!G35,NA())</f>
        <v>0</v>
      </c>
      <c r="M36" s="1">
        <f>IF(Suma!$B35=$A$1,Suma!H35,NA())</f>
        <v>0</v>
      </c>
      <c r="N36" s="1">
        <f>IF(Suma!$B35=$A$1,Suma!AT35,NA())</f>
        <v>1900</v>
      </c>
      <c r="O36" s="1" t="str">
        <f>IF(Suma!$B35=$A$1,Suma!AU35,NA())</f>
        <v>enero</v>
      </c>
      <c r="P36" s="1">
        <f>IF(Suma!$B35=$A$1,Suma!AV35,NA())</f>
        <v>0</v>
      </c>
      <c r="Q36" s="1">
        <f>IF(Suma!$B35=$A$1,Suma!AW35,NA())</f>
        <v>0</v>
      </c>
      <c r="R36" s="10">
        <f>IF(Suma!$B35=$A$1,Suma!AX35,NA())</f>
        <v>0</v>
      </c>
      <c r="S36" s="10">
        <f>IF(Suma!$B35=$A$1,Suma!AY35,NA())</f>
        <v>0</v>
      </c>
      <c r="T36" s="10">
        <f>IF(Suma!$B35=$A$1,Suma!AZ35,NA())</f>
        <v>0</v>
      </c>
      <c r="U36" s="10">
        <f>IF(Suma!$B35=$A$1,Suma!J35,NA())</f>
        <v>0</v>
      </c>
      <c r="V36" s="10">
        <f>IF(Suma!$B35=$A$1,Suma!K35,NA())</f>
        <v>0</v>
      </c>
      <c r="W36" s="10">
        <f>IF(Suma!$B35=$A$1,Suma!L35,NA())</f>
        <v>0</v>
      </c>
      <c r="X36" s="10">
        <f>IF(Suma!$B35=$A$1,Suma!M35,NA())</f>
        <v>0</v>
      </c>
      <c r="Y36" s="10">
        <f>IF(Suma!$B35=$A$1,Suma!N35,NA())</f>
        <v>0</v>
      </c>
      <c r="Z36" s="10">
        <f>IF(Suma!$B35=$A$1,Suma!O35,NA())</f>
        <v>0</v>
      </c>
      <c r="AA36" s="10">
        <f>IF(Suma!$B35=$A$1,Suma!BC35,NA())</f>
        <v>0</v>
      </c>
      <c r="AB36" s="10">
        <f>IF(Suma!$B35=$A$1,Suma!BD35,NA())</f>
        <v>0</v>
      </c>
    </row>
    <row r="37" spans="1:28" x14ac:dyDescent="0.3">
      <c r="A37" s="1">
        <f>IF(Suma!$B36=$A$1,Suma!C36,NA())</f>
        <v>0</v>
      </c>
      <c r="B37" s="1">
        <f>IF(Suma!$B36=$A$1,Suma!D36,NA())</f>
        <v>0</v>
      </c>
      <c r="C37" s="2">
        <f>IF(Suma!$B36=$A$1,Suma!E36,NA())</f>
        <v>0</v>
      </c>
      <c r="D37" s="2">
        <f>IF(Suma!$B36=$A$1,Suma!F36,NA())</f>
        <v>0</v>
      </c>
      <c r="E37" s="1">
        <f>IF(Suma!$B36=$A$1,Suma!P36,NA())</f>
        <v>0</v>
      </c>
      <c r="F37" s="10" t="e">
        <f t="shared" si="0"/>
        <v>#N/A</v>
      </c>
      <c r="G37" s="1">
        <f>IF(Suma!$B36=$A$1,Suma!W36,NA())</f>
        <v>0</v>
      </c>
      <c r="H37" s="10" t="e">
        <f t="shared" si="1"/>
        <v>#N/A</v>
      </c>
      <c r="I37" s="1">
        <f>IF(Suma!$B36=$A$1,Suma!AD36,NA())</f>
        <v>0</v>
      </c>
      <c r="J37" s="1">
        <f>IF(Suma!$B36=$A$1,Suma!AK36,NA())</f>
        <v>0</v>
      </c>
      <c r="K37" s="10">
        <f>IF(Suma!$B36=$A$1,Suma!AS36,NA())</f>
        <v>0</v>
      </c>
      <c r="L37" s="1">
        <f>IF(Suma!$B36=$A$1,Suma!G36,NA())</f>
        <v>0</v>
      </c>
      <c r="M37" s="1">
        <f>IF(Suma!$B36=$A$1,Suma!H36,NA())</f>
        <v>0</v>
      </c>
      <c r="N37" s="1">
        <f>IF(Suma!$B36=$A$1,Suma!AT36,NA())</f>
        <v>1900</v>
      </c>
      <c r="O37" s="1" t="str">
        <f>IF(Suma!$B36=$A$1,Suma!AU36,NA())</f>
        <v>enero</v>
      </c>
      <c r="P37" s="1">
        <f>IF(Suma!$B36=$A$1,Suma!AV36,NA())</f>
        <v>0</v>
      </c>
      <c r="Q37" s="1">
        <f>IF(Suma!$B36=$A$1,Suma!AW36,NA())</f>
        <v>0</v>
      </c>
      <c r="R37" s="10">
        <f>IF(Suma!$B36=$A$1,Suma!AX36,NA())</f>
        <v>0</v>
      </c>
      <c r="S37" s="10">
        <f>IF(Suma!$B36=$A$1,Suma!AY36,NA())</f>
        <v>0</v>
      </c>
      <c r="T37" s="10">
        <f>IF(Suma!$B36=$A$1,Suma!AZ36,NA())</f>
        <v>0</v>
      </c>
      <c r="U37" s="10">
        <f>IF(Suma!$B36=$A$1,Suma!J36,NA())</f>
        <v>0</v>
      </c>
      <c r="V37" s="10">
        <f>IF(Suma!$B36=$A$1,Suma!K36,NA())</f>
        <v>0</v>
      </c>
      <c r="W37" s="10">
        <f>IF(Suma!$B36=$A$1,Suma!L36,NA())</f>
        <v>0</v>
      </c>
      <c r="X37" s="10">
        <f>IF(Suma!$B36=$A$1,Suma!M36,NA())</f>
        <v>0</v>
      </c>
      <c r="Y37" s="10">
        <f>IF(Suma!$B36=$A$1,Suma!N36,NA())</f>
        <v>0</v>
      </c>
      <c r="Z37" s="10">
        <f>IF(Suma!$B36=$A$1,Suma!O36,NA())</f>
        <v>0</v>
      </c>
      <c r="AA37" s="10">
        <f>IF(Suma!$B36=$A$1,Suma!BC36,NA())</f>
        <v>0</v>
      </c>
      <c r="AB37" s="10">
        <f>IF(Suma!$B36=$A$1,Suma!BD36,NA())</f>
        <v>0</v>
      </c>
    </row>
    <row r="38" spans="1:28" x14ac:dyDescent="0.3">
      <c r="A38" s="1">
        <f>IF(Suma!$B37=$A$1,Suma!C37,NA())</f>
        <v>0</v>
      </c>
      <c r="B38" s="1">
        <f>IF(Suma!$B37=$A$1,Suma!D37,NA())</f>
        <v>0</v>
      </c>
      <c r="C38" s="2">
        <f>IF(Suma!$B37=$A$1,Suma!E37,NA())</f>
        <v>0</v>
      </c>
      <c r="D38" s="2">
        <f>IF(Suma!$B37=$A$1,Suma!F37,NA())</f>
        <v>0</v>
      </c>
      <c r="E38" s="1">
        <f>IF(Suma!$B37=$A$1,Suma!P37,NA())</f>
        <v>0</v>
      </c>
      <c r="F38" s="10" t="e">
        <f t="shared" si="0"/>
        <v>#N/A</v>
      </c>
      <c r="G38" s="1">
        <f>IF(Suma!$B37=$A$1,Suma!W37,NA())</f>
        <v>0</v>
      </c>
      <c r="H38" s="10" t="e">
        <f t="shared" si="1"/>
        <v>#N/A</v>
      </c>
      <c r="I38" s="1">
        <f>IF(Suma!$B37=$A$1,Suma!AD37,NA())</f>
        <v>0</v>
      </c>
      <c r="J38" s="1">
        <f>IF(Suma!$B37=$A$1,Suma!AK37,NA())</f>
        <v>0</v>
      </c>
      <c r="K38" s="10">
        <f>IF(Suma!$B37=$A$1,Suma!AS37,NA())</f>
        <v>0</v>
      </c>
      <c r="L38" s="1">
        <f>IF(Suma!$B37=$A$1,Suma!G37,NA())</f>
        <v>0</v>
      </c>
      <c r="M38" s="1">
        <f>IF(Suma!$B37=$A$1,Suma!H37,NA())</f>
        <v>0</v>
      </c>
      <c r="N38" s="1">
        <f>IF(Suma!$B37=$A$1,Suma!AT37,NA())</f>
        <v>1900</v>
      </c>
      <c r="O38" s="1" t="str">
        <f>IF(Suma!$B37=$A$1,Suma!AU37,NA())</f>
        <v>enero</v>
      </c>
      <c r="P38" s="1">
        <f>IF(Suma!$B37=$A$1,Suma!AV37,NA())</f>
        <v>0</v>
      </c>
      <c r="Q38" s="1">
        <f>IF(Suma!$B37=$A$1,Suma!AW37,NA())</f>
        <v>0</v>
      </c>
      <c r="R38" s="10">
        <f>IF(Suma!$B37=$A$1,Suma!AX37,NA())</f>
        <v>0</v>
      </c>
      <c r="S38" s="10">
        <f>IF(Suma!$B37=$A$1,Suma!AY37,NA())</f>
        <v>0</v>
      </c>
      <c r="T38" s="10">
        <f>IF(Suma!$B37=$A$1,Suma!AZ37,NA())</f>
        <v>0</v>
      </c>
      <c r="U38" s="10">
        <f>IF(Suma!$B37=$A$1,Suma!J37,NA())</f>
        <v>0</v>
      </c>
      <c r="V38" s="10">
        <f>IF(Suma!$B37=$A$1,Suma!K37,NA())</f>
        <v>0</v>
      </c>
      <c r="W38" s="10">
        <f>IF(Suma!$B37=$A$1,Suma!L37,NA())</f>
        <v>0</v>
      </c>
      <c r="X38" s="10">
        <f>IF(Suma!$B37=$A$1,Suma!M37,NA())</f>
        <v>0</v>
      </c>
      <c r="Y38" s="10">
        <f>IF(Suma!$B37=$A$1,Suma!N37,NA())</f>
        <v>0</v>
      </c>
      <c r="Z38" s="10">
        <f>IF(Suma!$B37=$A$1,Suma!O37,NA())</f>
        <v>0</v>
      </c>
      <c r="AA38" s="10">
        <f>IF(Suma!$B37=$A$1,Suma!BC37,NA())</f>
        <v>0</v>
      </c>
      <c r="AB38" s="10">
        <f>IF(Suma!$B37=$A$1,Suma!BD37,NA())</f>
        <v>0</v>
      </c>
    </row>
    <row r="39" spans="1:28" x14ac:dyDescent="0.3">
      <c r="A39" s="1">
        <f>IF(Suma!$B38=$A$1,Suma!C38,NA())</f>
        <v>0</v>
      </c>
      <c r="B39" s="1">
        <f>IF(Suma!$B38=$A$1,Suma!D38,NA())</f>
        <v>0</v>
      </c>
      <c r="C39" s="2">
        <f>IF(Suma!$B38=$A$1,Suma!E38,NA())</f>
        <v>0</v>
      </c>
      <c r="D39" s="2">
        <f>IF(Suma!$B38=$A$1,Suma!F38,NA())</f>
        <v>0</v>
      </c>
      <c r="E39" s="1">
        <f>IF(Suma!$B38=$A$1,Suma!P38,NA())</f>
        <v>0</v>
      </c>
      <c r="F39" s="10" t="e">
        <f t="shared" si="0"/>
        <v>#N/A</v>
      </c>
      <c r="G39" s="1">
        <f>IF(Suma!$B38=$A$1,Suma!W38,NA())</f>
        <v>0</v>
      </c>
      <c r="H39" s="10" t="e">
        <f t="shared" si="1"/>
        <v>#N/A</v>
      </c>
      <c r="I39" s="1">
        <f>IF(Suma!$B38=$A$1,Suma!AD38,NA())</f>
        <v>0</v>
      </c>
      <c r="J39" s="1">
        <f>IF(Suma!$B38=$A$1,Suma!AK38,NA())</f>
        <v>0</v>
      </c>
      <c r="K39" s="10">
        <f>IF(Suma!$B38=$A$1,Suma!AS38,NA())</f>
        <v>0</v>
      </c>
      <c r="L39" s="1">
        <f>IF(Suma!$B38=$A$1,Suma!G38,NA())</f>
        <v>0</v>
      </c>
      <c r="M39" s="1">
        <f>IF(Suma!$B38=$A$1,Suma!H38,NA())</f>
        <v>0</v>
      </c>
      <c r="N39" s="1">
        <f>IF(Suma!$B38=$A$1,Suma!AT38,NA())</f>
        <v>1900</v>
      </c>
      <c r="O39" s="1" t="str">
        <f>IF(Suma!$B38=$A$1,Suma!AU38,NA())</f>
        <v>enero</v>
      </c>
      <c r="P39" s="1">
        <f>IF(Suma!$B38=$A$1,Suma!AV38,NA())</f>
        <v>0</v>
      </c>
      <c r="Q39" s="1">
        <f>IF(Suma!$B38=$A$1,Suma!AW38,NA())</f>
        <v>0</v>
      </c>
      <c r="R39" s="10">
        <f>IF(Suma!$B38=$A$1,Suma!AX38,NA())</f>
        <v>0</v>
      </c>
      <c r="S39" s="10">
        <f>IF(Suma!$B38=$A$1,Suma!AY38,NA())</f>
        <v>0</v>
      </c>
      <c r="T39" s="10">
        <f>IF(Suma!$B38=$A$1,Suma!AZ38,NA())</f>
        <v>0</v>
      </c>
      <c r="U39" s="10">
        <f>IF(Suma!$B38=$A$1,Suma!J38,NA())</f>
        <v>0</v>
      </c>
      <c r="V39" s="10">
        <f>IF(Suma!$B38=$A$1,Suma!K38,NA())</f>
        <v>0</v>
      </c>
      <c r="W39" s="10">
        <f>IF(Suma!$B38=$A$1,Suma!L38,NA())</f>
        <v>0</v>
      </c>
      <c r="X39" s="10">
        <f>IF(Suma!$B38=$A$1,Suma!M38,NA())</f>
        <v>0</v>
      </c>
      <c r="Y39" s="10">
        <f>IF(Suma!$B38=$A$1,Suma!N38,NA())</f>
        <v>0</v>
      </c>
      <c r="Z39" s="10">
        <f>IF(Suma!$B38=$A$1,Suma!O38,NA())</f>
        <v>0</v>
      </c>
      <c r="AA39" s="10">
        <f>IF(Suma!$B38=$A$1,Suma!BC38,NA())</f>
        <v>0</v>
      </c>
      <c r="AB39" s="10">
        <f>IF(Suma!$B38=$A$1,Suma!BD38,NA())</f>
        <v>0</v>
      </c>
    </row>
    <row r="40" spans="1:28" x14ac:dyDescent="0.3">
      <c r="A40" s="1">
        <f>IF(Suma!$B39=$A$1,Suma!C39,NA())</f>
        <v>0</v>
      </c>
      <c r="B40" s="1">
        <f>IF(Suma!$B39=$A$1,Suma!D39,NA())</f>
        <v>0</v>
      </c>
      <c r="C40" s="2">
        <f>IF(Suma!$B39=$A$1,Suma!E39,NA())</f>
        <v>0</v>
      </c>
      <c r="D40" s="2">
        <f>IF(Suma!$B39=$A$1,Suma!F39,NA())</f>
        <v>0</v>
      </c>
      <c r="E40" s="1">
        <f>IF(Suma!$B39=$A$1,Suma!P39,NA())</f>
        <v>0</v>
      </c>
      <c r="F40" s="10" t="e">
        <f t="shared" si="0"/>
        <v>#N/A</v>
      </c>
      <c r="G40" s="1">
        <f>IF(Suma!$B39=$A$1,Suma!W39,NA())</f>
        <v>0</v>
      </c>
      <c r="H40" s="10" t="e">
        <f t="shared" si="1"/>
        <v>#N/A</v>
      </c>
      <c r="I40" s="1">
        <f>IF(Suma!$B39=$A$1,Suma!AD39,NA())</f>
        <v>0</v>
      </c>
      <c r="J40" s="1">
        <f>IF(Suma!$B39=$A$1,Suma!AK39,NA())</f>
        <v>0</v>
      </c>
      <c r="K40" s="10">
        <f>IF(Suma!$B39=$A$1,Suma!AS39,NA())</f>
        <v>0</v>
      </c>
      <c r="L40" s="1">
        <f>IF(Suma!$B39=$A$1,Suma!G39,NA())</f>
        <v>0</v>
      </c>
      <c r="M40" s="1">
        <f>IF(Suma!$B39=$A$1,Suma!H39,NA())</f>
        <v>0</v>
      </c>
      <c r="N40" s="1">
        <f>IF(Suma!$B39=$A$1,Suma!AT39,NA())</f>
        <v>1900</v>
      </c>
      <c r="O40" s="1" t="str">
        <f>IF(Suma!$B39=$A$1,Suma!AU39,NA())</f>
        <v>enero</v>
      </c>
      <c r="P40" s="1">
        <f>IF(Suma!$B39=$A$1,Suma!AV39,NA())</f>
        <v>0</v>
      </c>
      <c r="Q40" s="1">
        <f>IF(Suma!$B39=$A$1,Suma!AW39,NA())</f>
        <v>0</v>
      </c>
      <c r="R40" s="10">
        <f>IF(Suma!$B39=$A$1,Suma!AX39,NA())</f>
        <v>0</v>
      </c>
      <c r="S40" s="10">
        <f>IF(Suma!$B39=$A$1,Suma!AY39,NA())</f>
        <v>0</v>
      </c>
      <c r="T40" s="10">
        <f>IF(Suma!$B39=$A$1,Suma!AZ39,NA())</f>
        <v>0</v>
      </c>
      <c r="U40" s="10">
        <f>IF(Suma!$B39=$A$1,Suma!J39,NA())</f>
        <v>0</v>
      </c>
      <c r="V40" s="10">
        <f>IF(Suma!$B39=$A$1,Suma!K39,NA())</f>
        <v>0</v>
      </c>
      <c r="W40" s="10">
        <f>IF(Suma!$B39=$A$1,Suma!L39,NA())</f>
        <v>0</v>
      </c>
      <c r="X40" s="10">
        <f>IF(Suma!$B39=$A$1,Suma!M39,NA())</f>
        <v>0</v>
      </c>
      <c r="Y40" s="10">
        <f>IF(Suma!$B39=$A$1,Suma!N39,NA())</f>
        <v>0</v>
      </c>
      <c r="Z40" s="10">
        <f>IF(Suma!$B39=$A$1,Suma!O39,NA())</f>
        <v>0</v>
      </c>
      <c r="AA40" s="10">
        <f>IF(Suma!$B39=$A$1,Suma!BC39,NA())</f>
        <v>0</v>
      </c>
      <c r="AB40" s="10">
        <f>IF(Suma!$B39=$A$1,Suma!BD39,NA())</f>
        <v>0</v>
      </c>
    </row>
    <row r="41" spans="1:28" x14ac:dyDescent="0.3">
      <c r="A41" s="1">
        <f>IF(Suma!$B40=$A$1,Suma!C40,NA())</f>
        <v>0</v>
      </c>
      <c r="B41" s="1">
        <f>IF(Suma!$B40=$A$1,Suma!D40,NA())</f>
        <v>0</v>
      </c>
      <c r="C41" s="2">
        <f>IF(Suma!$B40=$A$1,Suma!E40,NA())</f>
        <v>0</v>
      </c>
      <c r="D41" s="2">
        <f>IF(Suma!$B40=$A$1,Suma!F40,NA())</f>
        <v>0</v>
      </c>
      <c r="E41" s="1">
        <f>IF(Suma!$B40=$A$1,Suma!P40,NA())</f>
        <v>0</v>
      </c>
      <c r="F41" s="10" t="e">
        <f t="shared" si="0"/>
        <v>#N/A</v>
      </c>
      <c r="G41" s="1">
        <f>IF(Suma!$B40=$A$1,Suma!W40,NA())</f>
        <v>0</v>
      </c>
      <c r="H41" s="10" t="e">
        <f t="shared" si="1"/>
        <v>#N/A</v>
      </c>
      <c r="I41" s="1">
        <f>IF(Suma!$B40=$A$1,Suma!AD40,NA())</f>
        <v>0</v>
      </c>
      <c r="J41" s="1">
        <f>IF(Suma!$B40=$A$1,Suma!AK40,NA())</f>
        <v>0</v>
      </c>
      <c r="K41" s="10">
        <f>IF(Suma!$B40=$A$1,Suma!AS40,NA())</f>
        <v>0</v>
      </c>
      <c r="L41" s="1">
        <f>IF(Suma!$B40=$A$1,Suma!G40,NA())</f>
        <v>0</v>
      </c>
      <c r="M41" s="1">
        <f>IF(Suma!$B40=$A$1,Suma!H40,NA())</f>
        <v>0</v>
      </c>
      <c r="N41" s="1">
        <f>IF(Suma!$B40=$A$1,Suma!AT40,NA())</f>
        <v>1900</v>
      </c>
      <c r="O41" s="1" t="str">
        <f>IF(Suma!$B40=$A$1,Suma!AU40,NA())</f>
        <v>enero</v>
      </c>
      <c r="P41" s="1">
        <f>IF(Suma!$B40=$A$1,Suma!AV40,NA())</f>
        <v>0</v>
      </c>
      <c r="Q41" s="1">
        <f>IF(Suma!$B40=$A$1,Suma!AW40,NA())</f>
        <v>0</v>
      </c>
      <c r="R41" s="10">
        <f>IF(Suma!$B40=$A$1,Suma!AX40,NA())</f>
        <v>0</v>
      </c>
      <c r="S41" s="10">
        <f>IF(Suma!$B40=$A$1,Suma!AY40,NA())</f>
        <v>0</v>
      </c>
      <c r="T41" s="10">
        <f>IF(Suma!$B40=$A$1,Suma!AZ40,NA())</f>
        <v>0</v>
      </c>
      <c r="U41" s="10">
        <f>IF(Suma!$B40=$A$1,Suma!J40,NA())</f>
        <v>0</v>
      </c>
      <c r="V41" s="10">
        <f>IF(Suma!$B40=$A$1,Suma!K40,NA())</f>
        <v>0</v>
      </c>
      <c r="W41" s="10">
        <f>IF(Suma!$B40=$A$1,Suma!L40,NA())</f>
        <v>0</v>
      </c>
      <c r="X41" s="10">
        <f>IF(Suma!$B40=$A$1,Suma!M40,NA())</f>
        <v>0</v>
      </c>
      <c r="Y41" s="10">
        <f>IF(Suma!$B40=$A$1,Suma!N40,NA())</f>
        <v>0</v>
      </c>
      <c r="Z41" s="10">
        <f>IF(Suma!$B40=$A$1,Suma!O40,NA())</f>
        <v>0</v>
      </c>
      <c r="AA41" s="10">
        <f>IF(Suma!$B40=$A$1,Suma!BC40,NA())</f>
        <v>0</v>
      </c>
      <c r="AB41" s="10">
        <f>IF(Suma!$B40=$A$1,Suma!BD40,NA())</f>
        <v>0</v>
      </c>
    </row>
    <row r="42" spans="1:28" x14ac:dyDescent="0.3">
      <c r="A42" s="1">
        <f>IF(Suma!$B41=$A$1,Suma!C41,NA())</f>
        <v>0</v>
      </c>
      <c r="B42" s="1">
        <f>IF(Suma!$B41=$A$1,Suma!D41,NA())</f>
        <v>0</v>
      </c>
      <c r="C42" s="2">
        <f>IF(Suma!$B41=$A$1,Suma!E41,NA())</f>
        <v>0</v>
      </c>
      <c r="D42" s="2">
        <f>IF(Suma!$B41=$A$1,Suma!F41,NA())</f>
        <v>0</v>
      </c>
      <c r="E42" s="1">
        <f>IF(Suma!$B41=$A$1,Suma!P41,NA())</f>
        <v>0</v>
      </c>
      <c r="F42" s="10" t="e">
        <f t="shared" si="0"/>
        <v>#N/A</v>
      </c>
      <c r="G42" s="1">
        <f>IF(Suma!$B41=$A$1,Suma!W41,NA())</f>
        <v>0</v>
      </c>
      <c r="H42" s="10" t="e">
        <f t="shared" si="1"/>
        <v>#N/A</v>
      </c>
      <c r="I42" s="1">
        <f>IF(Suma!$B41=$A$1,Suma!AD41,NA())</f>
        <v>0</v>
      </c>
      <c r="J42" s="1">
        <f>IF(Suma!$B41=$A$1,Suma!AK41,NA())</f>
        <v>0</v>
      </c>
      <c r="K42" s="10">
        <f>IF(Suma!$B41=$A$1,Suma!AS41,NA())</f>
        <v>0</v>
      </c>
      <c r="L42" s="1">
        <f>IF(Suma!$B41=$A$1,Suma!G41,NA())</f>
        <v>0</v>
      </c>
      <c r="M42" s="1">
        <f>IF(Suma!$B41=$A$1,Suma!H41,NA())</f>
        <v>0</v>
      </c>
      <c r="N42" s="1">
        <f>IF(Suma!$B41=$A$1,Suma!AT41,NA())</f>
        <v>1900</v>
      </c>
      <c r="O42" s="1" t="str">
        <f>IF(Suma!$B41=$A$1,Suma!AU41,NA())</f>
        <v>enero</v>
      </c>
      <c r="P42" s="1">
        <f>IF(Suma!$B41=$A$1,Suma!AV41,NA())</f>
        <v>0</v>
      </c>
      <c r="Q42" s="1">
        <f>IF(Suma!$B41=$A$1,Suma!AW41,NA())</f>
        <v>0</v>
      </c>
      <c r="R42" s="10">
        <f>IF(Suma!$B41=$A$1,Suma!AX41,NA())</f>
        <v>0</v>
      </c>
      <c r="S42" s="10">
        <f>IF(Suma!$B41=$A$1,Suma!AY41,NA())</f>
        <v>0</v>
      </c>
      <c r="T42" s="10">
        <f>IF(Suma!$B41=$A$1,Suma!AZ41,NA())</f>
        <v>0</v>
      </c>
      <c r="U42" s="10">
        <f>IF(Suma!$B41=$A$1,Suma!J41,NA())</f>
        <v>0</v>
      </c>
      <c r="V42" s="10">
        <f>IF(Suma!$B41=$A$1,Suma!K41,NA())</f>
        <v>0</v>
      </c>
      <c r="W42" s="10">
        <f>IF(Suma!$B41=$A$1,Suma!L41,NA())</f>
        <v>0</v>
      </c>
      <c r="X42" s="10">
        <f>IF(Suma!$B41=$A$1,Suma!M41,NA())</f>
        <v>0</v>
      </c>
      <c r="Y42" s="10">
        <f>IF(Suma!$B41=$A$1,Suma!N41,NA())</f>
        <v>0</v>
      </c>
      <c r="Z42" s="10">
        <f>IF(Suma!$B41=$A$1,Suma!O41,NA())</f>
        <v>0</v>
      </c>
      <c r="AA42" s="10">
        <f>IF(Suma!$B41=$A$1,Suma!BC41,NA())</f>
        <v>0</v>
      </c>
      <c r="AB42" s="10">
        <f>IF(Suma!$B41=$A$1,Suma!BD41,NA())</f>
        <v>0</v>
      </c>
    </row>
    <row r="43" spans="1:28" x14ac:dyDescent="0.3">
      <c r="A43" s="1">
        <f>IF(Suma!$B42=$A$1,Suma!C42,NA())</f>
        <v>0</v>
      </c>
      <c r="B43" s="1">
        <f>IF(Suma!$B42=$A$1,Suma!D42,NA())</f>
        <v>0</v>
      </c>
      <c r="C43" s="2">
        <f>IF(Suma!$B42=$A$1,Suma!E42,NA())</f>
        <v>0</v>
      </c>
      <c r="D43" s="2">
        <f>IF(Suma!$B42=$A$1,Suma!F42,NA())</f>
        <v>0</v>
      </c>
      <c r="E43" s="1">
        <f>IF(Suma!$B42=$A$1,Suma!P42,NA())</f>
        <v>0</v>
      </c>
      <c r="F43" s="10" t="e">
        <f t="shared" si="0"/>
        <v>#N/A</v>
      </c>
      <c r="G43" s="1">
        <f>IF(Suma!$B42=$A$1,Suma!W42,NA())</f>
        <v>0</v>
      </c>
      <c r="H43" s="10" t="e">
        <f t="shared" si="1"/>
        <v>#N/A</v>
      </c>
      <c r="I43" s="1">
        <f>IF(Suma!$B42=$A$1,Suma!AD42,NA())</f>
        <v>0</v>
      </c>
      <c r="J43" s="1">
        <f>IF(Suma!$B42=$A$1,Suma!AK42,NA())</f>
        <v>0</v>
      </c>
      <c r="K43" s="10">
        <f>IF(Suma!$B42=$A$1,Suma!AS42,NA())</f>
        <v>0</v>
      </c>
      <c r="L43" s="1">
        <f>IF(Suma!$B42=$A$1,Suma!G42,NA())</f>
        <v>0</v>
      </c>
      <c r="M43" s="1">
        <f>IF(Suma!$B42=$A$1,Suma!H42,NA())</f>
        <v>0</v>
      </c>
      <c r="N43" s="1">
        <f>IF(Suma!$B42=$A$1,Suma!AT42,NA())</f>
        <v>1900</v>
      </c>
      <c r="O43" s="1" t="str">
        <f>IF(Suma!$B42=$A$1,Suma!AU42,NA())</f>
        <v>enero</v>
      </c>
      <c r="P43" s="1">
        <f>IF(Suma!$B42=$A$1,Suma!AV42,NA())</f>
        <v>0</v>
      </c>
      <c r="Q43" s="1">
        <f>IF(Suma!$B42=$A$1,Suma!AW42,NA())</f>
        <v>0</v>
      </c>
      <c r="R43" s="10">
        <f>IF(Suma!$B42=$A$1,Suma!AX42,NA())</f>
        <v>0</v>
      </c>
      <c r="S43" s="10">
        <f>IF(Suma!$B42=$A$1,Suma!AY42,NA())</f>
        <v>0</v>
      </c>
      <c r="T43" s="10">
        <f>IF(Suma!$B42=$A$1,Suma!AZ42,NA())</f>
        <v>0</v>
      </c>
      <c r="U43" s="10">
        <f>IF(Suma!$B42=$A$1,Suma!J42,NA())</f>
        <v>0</v>
      </c>
      <c r="V43" s="10">
        <f>IF(Suma!$B42=$A$1,Suma!K42,NA())</f>
        <v>0</v>
      </c>
      <c r="W43" s="10">
        <f>IF(Suma!$B42=$A$1,Suma!L42,NA())</f>
        <v>0</v>
      </c>
      <c r="X43" s="10">
        <f>IF(Suma!$B42=$A$1,Suma!M42,NA())</f>
        <v>0</v>
      </c>
      <c r="Y43" s="10">
        <f>IF(Suma!$B42=$A$1,Suma!N42,NA())</f>
        <v>0</v>
      </c>
      <c r="Z43" s="10">
        <f>IF(Suma!$B42=$A$1,Suma!O42,NA())</f>
        <v>0</v>
      </c>
      <c r="AA43" s="10">
        <f>IF(Suma!$B42=$A$1,Suma!BC42,NA())</f>
        <v>0</v>
      </c>
      <c r="AB43" s="10">
        <f>IF(Suma!$B42=$A$1,Suma!BD42,NA())</f>
        <v>0</v>
      </c>
    </row>
    <row r="44" spans="1:28" x14ac:dyDescent="0.3">
      <c r="A44" s="1">
        <f>IF(Suma!$B43=$A$1,Suma!C43,NA())</f>
        <v>0</v>
      </c>
      <c r="B44" s="1">
        <f>IF(Suma!$B43=$A$1,Suma!D43,NA())</f>
        <v>0</v>
      </c>
      <c r="C44" s="2">
        <f>IF(Suma!$B43=$A$1,Suma!E43,NA())</f>
        <v>0</v>
      </c>
      <c r="D44" s="2">
        <f>IF(Suma!$B43=$A$1,Suma!F43,NA())</f>
        <v>0</v>
      </c>
      <c r="E44" s="1">
        <f>IF(Suma!$B43=$A$1,Suma!P43,NA())</f>
        <v>0</v>
      </c>
      <c r="F44" s="10" t="e">
        <f t="shared" si="0"/>
        <v>#N/A</v>
      </c>
      <c r="G44" s="1">
        <f>IF(Suma!$B43=$A$1,Suma!W43,NA())</f>
        <v>0</v>
      </c>
      <c r="H44" s="10" t="e">
        <f t="shared" si="1"/>
        <v>#N/A</v>
      </c>
      <c r="I44" s="1">
        <f>IF(Suma!$B43=$A$1,Suma!AD43,NA())</f>
        <v>0</v>
      </c>
      <c r="J44" s="1">
        <f>IF(Suma!$B43=$A$1,Suma!AK43,NA())</f>
        <v>0</v>
      </c>
      <c r="K44" s="10">
        <f>IF(Suma!$B43=$A$1,Suma!AS43,NA())</f>
        <v>0</v>
      </c>
      <c r="L44" s="1">
        <f>IF(Suma!$B43=$A$1,Suma!G43,NA())</f>
        <v>0</v>
      </c>
      <c r="M44" s="1">
        <f>IF(Suma!$B43=$A$1,Suma!H43,NA())</f>
        <v>0</v>
      </c>
      <c r="N44" s="1">
        <f>IF(Suma!$B43=$A$1,Suma!AT43,NA())</f>
        <v>1900</v>
      </c>
      <c r="O44" s="1" t="str">
        <f>IF(Suma!$B43=$A$1,Suma!AU43,NA())</f>
        <v>enero</v>
      </c>
      <c r="P44" s="1">
        <f>IF(Suma!$B43=$A$1,Suma!AV43,NA())</f>
        <v>0</v>
      </c>
      <c r="Q44" s="1">
        <f>IF(Suma!$B43=$A$1,Suma!AW43,NA())</f>
        <v>0</v>
      </c>
      <c r="R44" s="10">
        <f>IF(Suma!$B43=$A$1,Suma!AX43,NA())</f>
        <v>0</v>
      </c>
      <c r="S44" s="10">
        <f>IF(Suma!$B43=$A$1,Suma!AY43,NA())</f>
        <v>0</v>
      </c>
      <c r="T44" s="10">
        <f>IF(Suma!$B43=$A$1,Suma!AZ43,NA())</f>
        <v>0</v>
      </c>
      <c r="U44" s="10">
        <f>IF(Suma!$B43=$A$1,Suma!J43,NA())</f>
        <v>0</v>
      </c>
      <c r="V44" s="10">
        <f>IF(Suma!$B43=$A$1,Suma!K43,NA())</f>
        <v>0</v>
      </c>
      <c r="W44" s="10">
        <f>IF(Suma!$B43=$A$1,Suma!L43,NA())</f>
        <v>0</v>
      </c>
      <c r="X44" s="10">
        <f>IF(Suma!$B43=$A$1,Suma!M43,NA())</f>
        <v>0</v>
      </c>
      <c r="Y44" s="10">
        <f>IF(Suma!$B43=$A$1,Suma!N43,NA())</f>
        <v>0</v>
      </c>
      <c r="Z44" s="10">
        <f>IF(Suma!$B43=$A$1,Suma!O43,NA())</f>
        <v>0</v>
      </c>
      <c r="AA44" s="10">
        <f>IF(Suma!$B43=$A$1,Suma!BC43,NA())</f>
        <v>0</v>
      </c>
      <c r="AB44" s="10">
        <f>IF(Suma!$B43=$A$1,Suma!BD43,NA())</f>
        <v>0</v>
      </c>
    </row>
    <row r="45" spans="1:28" x14ac:dyDescent="0.3">
      <c r="A45" s="1">
        <f>IF(Suma!$B44=$A$1,Suma!C44,NA())</f>
        <v>0</v>
      </c>
      <c r="B45" s="1">
        <f>IF(Suma!$B44=$A$1,Suma!D44,NA())</f>
        <v>0</v>
      </c>
      <c r="C45" s="2">
        <f>IF(Suma!$B44=$A$1,Suma!E44,NA())</f>
        <v>0</v>
      </c>
      <c r="D45" s="2">
        <f>IF(Suma!$B44=$A$1,Suma!F44,NA())</f>
        <v>0</v>
      </c>
      <c r="E45" s="1">
        <f>IF(Suma!$B44=$A$1,Suma!P44,NA())</f>
        <v>0</v>
      </c>
      <c r="F45" s="10" t="e">
        <f t="shared" si="0"/>
        <v>#N/A</v>
      </c>
      <c r="G45" s="1">
        <f>IF(Suma!$B44=$A$1,Suma!W44,NA())</f>
        <v>0</v>
      </c>
      <c r="H45" s="10" t="e">
        <f t="shared" si="1"/>
        <v>#N/A</v>
      </c>
      <c r="I45" s="1">
        <f>IF(Suma!$B44=$A$1,Suma!AD44,NA())</f>
        <v>0</v>
      </c>
      <c r="J45" s="1">
        <f>IF(Suma!$B44=$A$1,Suma!AK44,NA())</f>
        <v>0</v>
      </c>
      <c r="K45" s="10">
        <f>IF(Suma!$B44=$A$1,Suma!AS44,NA())</f>
        <v>0</v>
      </c>
      <c r="L45" s="1">
        <f>IF(Suma!$B44=$A$1,Suma!G44,NA())</f>
        <v>0</v>
      </c>
      <c r="M45" s="1">
        <f>IF(Suma!$B44=$A$1,Suma!H44,NA())</f>
        <v>0</v>
      </c>
      <c r="N45" s="1">
        <f>IF(Suma!$B44=$A$1,Suma!AT44,NA())</f>
        <v>1900</v>
      </c>
      <c r="O45" s="1" t="str">
        <f>IF(Suma!$B44=$A$1,Suma!AU44,NA())</f>
        <v>enero</v>
      </c>
      <c r="P45" s="1">
        <f>IF(Suma!$B44=$A$1,Suma!AV44,NA())</f>
        <v>0</v>
      </c>
      <c r="Q45" s="1">
        <f>IF(Suma!$B44=$A$1,Suma!AW44,NA())</f>
        <v>0</v>
      </c>
      <c r="R45" s="10">
        <f>IF(Suma!$B44=$A$1,Suma!AX44,NA())</f>
        <v>0</v>
      </c>
      <c r="S45" s="10">
        <f>IF(Suma!$B44=$A$1,Suma!AY44,NA())</f>
        <v>0</v>
      </c>
      <c r="T45" s="10">
        <f>IF(Suma!$B44=$A$1,Suma!AZ44,NA())</f>
        <v>0</v>
      </c>
      <c r="U45" s="10">
        <f>IF(Suma!$B44=$A$1,Suma!J44,NA())</f>
        <v>0</v>
      </c>
      <c r="V45" s="10">
        <f>IF(Suma!$B44=$A$1,Suma!K44,NA())</f>
        <v>0</v>
      </c>
      <c r="W45" s="10">
        <f>IF(Suma!$B44=$A$1,Suma!L44,NA())</f>
        <v>0</v>
      </c>
      <c r="X45" s="10">
        <f>IF(Suma!$B44=$A$1,Suma!M44,NA())</f>
        <v>0</v>
      </c>
      <c r="Y45" s="10">
        <f>IF(Suma!$B44=$A$1,Suma!N44,NA())</f>
        <v>0</v>
      </c>
      <c r="Z45" s="10">
        <f>IF(Suma!$B44=$A$1,Suma!O44,NA())</f>
        <v>0</v>
      </c>
      <c r="AA45" s="10">
        <f>IF(Suma!$B44=$A$1,Suma!BC44,NA())</f>
        <v>0</v>
      </c>
      <c r="AB45" s="10">
        <f>IF(Suma!$B44=$A$1,Suma!BD44,NA())</f>
        <v>0</v>
      </c>
    </row>
    <row r="46" spans="1:28" x14ac:dyDescent="0.3">
      <c r="A46" s="1">
        <f>IF(Suma!$B45=$A$1,Suma!C45,NA())</f>
        <v>0</v>
      </c>
      <c r="B46" s="1">
        <f>IF(Suma!$B45=$A$1,Suma!D45,NA())</f>
        <v>0</v>
      </c>
      <c r="C46" s="2">
        <f>IF(Suma!$B45=$A$1,Suma!E45,NA())</f>
        <v>0</v>
      </c>
      <c r="D46" s="2">
        <f>IF(Suma!$B45=$A$1,Suma!F45,NA())</f>
        <v>0</v>
      </c>
      <c r="E46" s="1">
        <f>IF(Suma!$B45=$A$1,Suma!P45,NA())</f>
        <v>0</v>
      </c>
      <c r="F46" s="10" t="e">
        <f t="shared" si="0"/>
        <v>#N/A</v>
      </c>
      <c r="G46" s="1">
        <f>IF(Suma!$B45=$A$1,Suma!W45,NA())</f>
        <v>0</v>
      </c>
      <c r="H46" s="10" t="e">
        <f t="shared" si="1"/>
        <v>#N/A</v>
      </c>
      <c r="I46" s="1">
        <f>IF(Suma!$B45=$A$1,Suma!AD45,NA())</f>
        <v>0</v>
      </c>
      <c r="J46" s="1">
        <f>IF(Suma!$B45=$A$1,Suma!AK45,NA())</f>
        <v>0</v>
      </c>
      <c r="K46" s="10">
        <f>IF(Suma!$B45=$A$1,Suma!AS45,NA())</f>
        <v>0</v>
      </c>
      <c r="L46" s="1">
        <f>IF(Suma!$B45=$A$1,Suma!G45,NA())</f>
        <v>0</v>
      </c>
      <c r="M46" s="1">
        <f>IF(Suma!$B45=$A$1,Suma!H45,NA())</f>
        <v>0</v>
      </c>
      <c r="N46" s="1">
        <f>IF(Suma!$B45=$A$1,Suma!AT45,NA())</f>
        <v>1900</v>
      </c>
      <c r="O46" s="1" t="str">
        <f>IF(Suma!$B45=$A$1,Suma!AU45,NA())</f>
        <v>enero</v>
      </c>
      <c r="P46" s="1">
        <f>IF(Suma!$B45=$A$1,Suma!AV45,NA())</f>
        <v>0</v>
      </c>
      <c r="Q46" s="1">
        <f>IF(Suma!$B45=$A$1,Suma!AW45,NA())</f>
        <v>0</v>
      </c>
      <c r="R46" s="10">
        <f>IF(Suma!$B45=$A$1,Suma!AX45,NA())</f>
        <v>0</v>
      </c>
      <c r="S46" s="10">
        <f>IF(Suma!$B45=$A$1,Suma!AY45,NA())</f>
        <v>0</v>
      </c>
      <c r="T46" s="10">
        <f>IF(Suma!$B45=$A$1,Suma!AZ45,NA())</f>
        <v>0</v>
      </c>
      <c r="U46" s="10">
        <f>IF(Suma!$B45=$A$1,Suma!J45,NA())</f>
        <v>0</v>
      </c>
      <c r="V46" s="10">
        <f>IF(Suma!$B45=$A$1,Suma!K45,NA())</f>
        <v>0</v>
      </c>
      <c r="W46" s="10">
        <f>IF(Suma!$B45=$A$1,Suma!L45,NA())</f>
        <v>0</v>
      </c>
      <c r="X46" s="10">
        <f>IF(Suma!$B45=$A$1,Suma!M45,NA())</f>
        <v>0</v>
      </c>
      <c r="Y46" s="10">
        <f>IF(Suma!$B45=$A$1,Suma!N45,NA())</f>
        <v>0</v>
      </c>
      <c r="Z46" s="10">
        <f>IF(Suma!$B45=$A$1,Suma!O45,NA())</f>
        <v>0</v>
      </c>
      <c r="AA46" s="10">
        <f>IF(Suma!$B45=$A$1,Suma!BC45,NA())</f>
        <v>0</v>
      </c>
      <c r="AB46" s="10">
        <f>IF(Suma!$B45=$A$1,Suma!BD45,NA())</f>
        <v>0</v>
      </c>
    </row>
    <row r="47" spans="1:28" x14ac:dyDescent="0.3">
      <c r="A47" s="1">
        <f>IF(Suma!$B46=$A$1,Suma!C46,NA())</f>
        <v>0</v>
      </c>
      <c r="B47" s="1">
        <f>IF(Suma!$B46=$A$1,Suma!D46,NA())</f>
        <v>0</v>
      </c>
      <c r="C47" s="2">
        <f>IF(Suma!$B46=$A$1,Suma!E46,NA())</f>
        <v>0</v>
      </c>
      <c r="D47" s="2">
        <f>IF(Suma!$B46=$A$1,Suma!F46,NA())</f>
        <v>0</v>
      </c>
      <c r="E47" s="1">
        <f>IF(Suma!$B46=$A$1,Suma!P46,NA())</f>
        <v>0</v>
      </c>
      <c r="F47" s="10" t="e">
        <f t="shared" si="0"/>
        <v>#N/A</v>
      </c>
      <c r="G47" s="1">
        <f>IF(Suma!$B46=$A$1,Suma!W46,NA())</f>
        <v>0</v>
      </c>
      <c r="H47" s="10" t="e">
        <f t="shared" si="1"/>
        <v>#N/A</v>
      </c>
      <c r="I47" s="1">
        <f>IF(Suma!$B46=$A$1,Suma!AD46,NA())</f>
        <v>0</v>
      </c>
      <c r="J47" s="1">
        <f>IF(Suma!$B46=$A$1,Suma!AK46,NA())</f>
        <v>0</v>
      </c>
      <c r="K47" s="10">
        <f>IF(Suma!$B46=$A$1,Suma!AS46,NA())</f>
        <v>0</v>
      </c>
      <c r="L47" s="1">
        <f>IF(Suma!$B46=$A$1,Suma!G46,NA())</f>
        <v>0</v>
      </c>
      <c r="M47" s="1">
        <f>IF(Suma!$B46=$A$1,Suma!H46,NA())</f>
        <v>0</v>
      </c>
      <c r="N47" s="1">
        <f>IF(Suma!$B46=$A$1,Suma!AT46,NA())</f>
        <v>1900</v>
      </c>
      <c r="O47" s="1" t="str">
        <f>IF(Suma!$B46=$A$1,Suma!AU46,NA())</f>
        <v>enero</v>
      </c>
      <c r="P47" s="1">
        <f>IF(Suma!$B46=$A$1,Suma!AV46,NA())</f>
        <v>0</v>
      </c>
      <c r="Q47" s="1">
        <f>IF(Suma!$B46=$A$1,Suma!AW46,NA())</f>
        <v>0</v>
      </c>
      <c r="R47" s="10">
        <f>IF(Suma!$B46=$A$1,Suma!AX46,NA())</f>
        <v>0</v>
      </c>
      <c r="S47" s="10">
        <f>IF(Suma!$B46=$A$1,Suma!AY46,NA())</f>
        <v>0</v>
      </c>
      <c r="T47" s="10">
        <f>IF(Suma!$B46=$A$1,Suma!AZ46,NA())</f>
        <v>0</v>
      </c>
      <c r="U47" s="10">
        <f>IF(Suma!$B46=$A$1,Suma!J46,NA())</f>
        <v>0</v>
      </c>
      <c r="V47" s="10">
        <f>IF(Suma!$B46=$A$1,Suma!K46,NA())</f>
        <v>0</v>
      </c>
      <c r="W47" s="10">
        <f>IF(Suma!$B46=$A$1,Suma!L46,NA())</f>
        <v>0</v>
      </c>
      <c r="X47" s="10">
        <f>IF(Suma!$B46=$A$1,Suma!M46,NA())</f>
        <v>0</v>
      </c>
      <c r="Y47" s="10">
        <f>IF(Suma!$B46=$A$1,Suma!N46,NA())</f>
        <v>0</v>
      </c>
      <c r="Z47" s="10">
        <f>IF(Suma!$B46=$A$1,Suma!O46,NA())</f>
        <v>0</v>
      </c>
      <c r="AA47" s="10">
        <f>IF(Suma!$B46=$A$1,Suma!BC46,NA())</f>
        <v>0</v>
      </c>
      <c r="AB47" s="10">
        <f>IF(Suma!$B46=$A$1,Suma!BD46,NA())</f>
        <v>0</v>
      </c>
    </row>
    <row r="48" spans="1:28" x14ac:dyDescent="0.3">
      <c r="A48" s="1">
        <f>IF(Suma!$B47=$A$1,Suma!C47,NA())</f>
        <v>0</v>
      </c>
      <c r="B48" s="1">
        <f>IF(Suma!$B47=$A$1,Suma!D47,NA())</f>
        <v>0</v>
      </c>
      <c r="C48" s="2">
        <f>IF(Suma!$B47=$A$1,Suma!E47,NA())</f>
        <v>0</v>
      </c>
      <c r="D48" s="2">
        <f>IF(Suma!$B47=$A$1,Suma!F47,NA())</f>
        <v>0</v>
      </c>
      <c r="E48" s="1">
        <f>IF(Suma!$B47=$A$1,Suma!P47,NA())</f>
        <v>0</v>
      </c>
      <c r="F48" s="10" t="e">
        <f t="shared" si="0"/>
        <v>#N/A</v>
      </c>
      <c r="G48" s="1">
        <f>IF(Suma!$B47=$A$1,Suma!W47,NA())</f>
        <v>0</v>
      </c>
      <c r="H48" s="10" t="e">
        <f t="shared" si="1"/>
        <v>#N/A</v>
      </c>
      <c r="I48" s="1">
        <f>IF(Suma!$B47=$A$1,Suma!AD47,NA())</f>
        <v>0</v>
      </c>
      <c r="J48" s="1">
        <f>IF(Suma!$B47=$A$1,Suma!AK47,NA())</f>
        <v>0</v>
      </c>
      <c r="K48" s="10">
        <f>IF(Suma!$B47=$A$1,Suma!AS47,NA())</f>
        <v>0</v>
      </c>
      <c r="L48" s="1">
        <f>IF(Suma!$B47=$A$1,Suma!G47,NA())</f>
        <v>0</v>
      </c>
      <c r="M48" s="1">
        <f>IF(Suma!$B47=$A$1,Suma!H47,NA())</f>
        <v>0</v>
      </c>
      <c r="N48" s="1">
        <f>IF(Suma!$B47=$A$1,Suma!AT47,NA())</f>
        <v>1900</v>
      </c>
      <c r="O48" s="1" t="str">
        <f>IF(Suma!$B47=$A$1,Suma!AU47,NA())</f>
        <v>enero</v>
      </c>
      <c r="P48" s="1">
        <f>IF(Suma!$B47=$A$1,Suma!AV47,NA())</f>
        <v>0</v>
      </c>
      <c r="Q48" s="1">
        <f>IF(Suma!$B47=$A$1,Suma!AW47,NA())</f>
        <v>0</v>
      </c>
      <c r="R48" s="10">
        <f>IF(Suma!$B47=$A$1,Suma!AX47,NA())</f>
        <v>0</v>
      </c>
      <c r="S48" s="10">
        <f>IF(Suma!$B47=$A$1,Suma!AY47,NA())</f>
        <v>0</v>
      </c>
      <c r="T48" s="10">
        <f>IF(Suma!$B47=$A$1,Suma!AZ47,NA())</f>
        <v>0</v>
      </c>
      <c r="U48" s="10">
        <f>IF(Suma!$B47=$A$1,Suma!J47,NA())</f>
        <v>0</v>
      </c>
      <c r="V48" s="10">
        <f>IF(Suma!$B47=$A$1,Suma!K47,NA())</f>
        <v>0</v>
      </c>
      <c r="W48" s="10">
        <f>IF(Suma!$B47=$A$1,Suma!L47,NA())</f>
        <v>0</v>
      </c>
      <c r="X48" s="10">
        <f>IF(Suma!$B47=$A$1,Suma!M47,NA())</f>
        <v>0</v>
      </c>
      <c r="Y48" s="10">
        <f>IF(Suma!$B47=$A$1,Suma!N47,NA())</f>
        <v>0</v>
      </c>
      <c r="Z48" s="10">
        <f>IF(Suma!$B47=$A$1,Suma!O47,NA())</f>
        <v>0</v>
      </c>
      <c r="AA48" s="10">
        <f>IF(Suma!$B47=$A$1,Suma!BC47,NA())</f>
        <v>0</v>
      </c>
      <c r="AB48" s="10">
        <f>IF(Suma!$B47=$A$1,Suma!BD47,NA())</f>
        <v>0</v>
      </c>
    </row>
    <row r="49" spans="1:28" x14ac:dyDescent="0.3">
      <c r="A49" s="1">
        <f>IF(Suma!$B48=$A$1,Suma!C48,NA())</f>
        <v>0</v>
      </c>
      <c r="B49" s="1">
        <f>IF(Suma!$B48=$A$1,Suma!D48,NA())</f>
        <v>0</v>
      </c>
      <c r="C49" s="2">
        <f>IF(Suma!$B48=$A$1,Suma!E48,NA())</f>
        <v>0</v>
      </c>
      <c r="D49" s="2">
        <f>IF(Suma!$B48=$A$1,Suma!F48,NA())</f>
        <v>0</v>
      </c>
      <c r="E49" s="1">
        <f>IF(Suma!$B48=$A$1,Suma!P48,NA())</f>
        <v>0</v>
      </c>
      <c r="F49" s="10" t="e">
        <f t="shared" si="0"/>
        <v>#N/A</v>
      </c>
      <c r="G49" s="1">
        <f>IF(Suma!$B48=$A$1,Suma!W48,NA())</f>
        <v>0</v>
      </c>
      <c r="H49" s="10" t="e">
        <f t="shared" si="1"/>
        <v>#N/A</v>
      </c>
      <c r="I49" s="1">
        <f>IF(Suma!$B48=$A$1,Suma!AD48,NA())</f>
        <v>0</v>
      </c>
      <c r="J49" s="1">
        <f>IF(Suma!$B48=$A$1,Suma!AK48,NA())</f>
        <v>0</v>
      </c>
      <c r="K49" s="10">
        <f>IF(Suma!$B48=$A$1,Suma!AS48,NA())</f>
        <v>0</v>
      </c>
      <c r="L49" s="1">
        <f>IF(Suma!$B48=$A$1,Suma!G48,NA())</f>
        <v>0</v>
      </c>
      <c r="M49" s="1">
        <f>IF(Suma!$B48=$A$1,Suma!H48,NA())</f>
        <v>0</v>
      </c>
      <c r="N49" s="1">
        <f>IF(Suma!$B48=$A$1,Suma!AT48,NA())</f>
        <v>1900</v>
      </c>
      <c r="O49" s="1" t="str">
        <f>IF(Suma!$B48=$A$1,Suma!AU48,NA())</f>
        <v>enero</v>
      </c>
      <c r="P49" s="1">
        <f>IF(Suma!$B48=$A$1,Suma!AV48,NA())</f>
        <v>0</v>
      </c>
      <c r="Q49" s="1">
        <f>IF(Suma!$B48=$A$1,Suma!AW48,NA())</f>
        <v>0</v>
      </c>
      <c r="R49" s="10">
        <f>IF(Suma!$B48=$A$1,Suma!AX48,NA())</f>
        <v>0</v>
      </c>
      <c r="S49" s="10">
        <f>IF(Suma!$B48=$A$1,Suma!AY48,NA())</f>
        <v>0</v>
      </c>
      <c r="T49" s="10">
        <f>IF(Suma!$B48=$A$1,Suma!AZ48,NA())</f>
        <v>0</v>
      </c>
      <c r="U49" s="10">
        <f>IF(Suma!$B48=$A$1,Suma!J48,NA())</f>
        <v>0</v>
      </c>
      <c r="V49" s="10">
        <f>IF(Suma!$B48=$A$1,Suma!K48,NA())</f>
        <v>0</v>
      </c>
      <c r="W49" s="10">
        <f>IF(Suma!$B48=$A$1,Suma!L48,NA())</f>
        <v>0</v>
      </c>
      <c r="X49" s="10">
        <f>IF(Suma!$B48=$A$1,Suma!M48,NA())</f>
        <v>0</v>
      </c>
      <c r="Y49" s="10">
        <f>IF(Suma!$B48=$A$1,Suma!N48,NA())</f>
        <v>0</v>
      </c>
      <c r="Z49" s="10">
        <f>IF(Suma!$B48=$A$1,Suma!O48,NA())</f>
        <v>0</v>
      </c>
      <c r="AA49" s="10">
        <f>IF(Suma!$B48=$A$1,Suma!BC48,NA())</f>
        <v>0</v>
      </c>
      <c r="AB49" s="10">
        <f>IF(Suma!$B48=$A$1,Suma!BD48,NA())</f>
        <v>0</v>
      </c>
    </row>
    <row r="50" spans="1:28" x14ac:dyDescent="0.3">
      <c r="A50" s="1">
        <f>IF(Suma!$B49=$A$1,Suma!C49,NA())</f>
        <v>0</v>
      </c>
      <c r="B50" s="1">
        <f>IF(Suma!$B49=$A$1,Suma!D49,NA())</f>
        <v>0</v>
      </c>
      <c r="C50" s="2">
        <f>IF(Suma!$B49=$A$1,Suma!E49,NA())</f>
        <v>0</v>
      </c>
      <c r="D50" s="2">
        <f>IF(Suma!$B49=$A$1,Suma!F49,NA())</f>
        <v>0</v>
      </c>
      <c r="E50" s="1">
        <f>IF(Suma!$B49=$A$1,Suma!P49,NA())</f>
        <v>0</v>
      </c>
      <c r="F50" s="10" t="e">
        <f t="shared" si="0"/>
        <v>#N/A</v>
      </c>
      <c r="G50" s="1">
        <f>IF(Suma!$B49=$A$1,Suma!W49,NA())</f>
        <v>0</v>
      </c>
      <c r="H50" s="10" t="e">
        <f t="shared" si="1"/>
        <v>#N/A</v>
      </c>
      <c r="I50" s="1">
        <f>IF(Suma!$B49=$A$1,Suma!AD49,NA())</f>
        <v>0</v>
      </c>
      <c r="J50" s="1">
        <f>IF(Suma!$B49=$A$1,Suma!AK49,NA())</f>
        <v>0</v>
      </c>
      <c r="K50" s="10">
        <f>IF(Suma!$B49=$A$1,Suma!AS49,NA())</f>
        <v>0</v>
      </c>
      <c r="L50" s="1">
        <f>IF(Suma!$B49=$A$1,Suma!G49,NA())</f>
        <v>0</v>
      </c>
      <c r="M50" s="1">
        <f>IF(Suma!$B49=$A$1,Suma!H49,NA())</f>
        <v>0</v>
      </c>
      <c r="N50" s="1">
        <f>IF(Suma!$B49=$A$1,Suma!AT49,NA())</f>
        <v>1900</v>
      </c>
      <c r="O50" s="1" t="str">
        <f>IF(Suma!$B49=$A$1,Suma!AU49,NA())</f>
        <v>enero</v>
      </c>
      <c r="P50" s="1">
        <f>IF(Suma!$B49=$A$1,Suma!AV49,NA())</f>
        <v>0</v>
      </c>
      <c r="Q50" s="1">
        <f>IF(Suma!$B49=$A$1,Suma!AW49,NA())</f>
        <v>0</v>
      </c>
      <c r="R50" s="10">
        <f>IF(Suma!$B49=$A$1,Suma!AX49,NA())</f>
        <v>0</v>
      </c>
      <c r="S50" s="10">
        <f>IF(Suma!$B49=$A$1,Suma!AY49,NA())</f>
        <v>0</v>
      </c>
      <c r="T50" s="10">
        <f>IF(Suma!$B49=$A$1,Suma!AZ49,NA())</f>
        <v>0</v>
      </c>
      <c r="U50" s="10">
        <f>IF(Suma!$B49=$A$1,Suma!J49,NA())</f>
        <v>0</v>
      </c>
      <c r="V50" s="10">
        <f>IF(Suma!$B49=$A$1,Suma!K49,NA())</f>
        <v>0</v>
      </c>
      <c r="W50" s="10">
        <f>IF(Suma!$B49=$A$1,Suma!L49,NA())</f>
        <v>0</v>
      </c>
      <c r="X50" s="10">
        <f>IF(Suma!$B49=$A$1,Suma!M49,NA())</f>
        <v>0</v>
      </c>
      <c r="Y50" s="10">
        <f>IF(Suma!$B49=$A$1,Suma!N49,NA())</f>
        <v>0</v>
      </c>
      <c r="Z50" s="10">
        <f>IF(Suma!$B49=$A$1,Suma!O49,NA())</f>
        <v>0</v>
      </c>
      <c r="AA50" s="10">
        <f>IF(Suma!$B49=$A$1,Suma!BC49,NA())</f>
        <v>0</v>
      </c>
      <c r="AB50" s="10">
        <f>IF(Suma!$B49=$A$1,Suma!BD49,NA())</f>
        <v>0</v>
      </c>
    </row>
    <row r="51" spans="1:28" x14ac:dyDescent="0.3">
      <c r="A51" s="1">
        <f>IF(Suma!$B50=$A$1,Suma!C50,NA())</f>
        <v>0</v>
      </c>
      <c r="B51" s="1">
        <f>IF(Suma!$B50=$A$1,Suma!D50,NA())</f>
        <v>0</v>
      </c>
      <c r="C51" s="2">
        <f>IF(Suma!$B50=$A$1,Suma!E50,NA())</f>
        <v>0</v>
      </c>
      <c r="D51" s="2">
        <f>IF(Suma!$B50=$A$1,Suma!F50,NA())</f>
        <v>0</v>
      </c>
      <c r="E51" s="1">
        <f>IF(Suma!$B50=$A$1,Suma!P50,NA())</f>
        <v>0</v>
      </c>
      <c r="F51" s="10" t="e">
        <f t="shared" si="0"/>
        <v>#N/A</v>
      </c>
      <c r="G51" s="1">
        <f>IF(Suma!$B50=$A$1,Suma!W50,NA())</f>
        <v>0</v>
      </c>
      <c r="H51" s="10" t="e">
        <f t="shared" si="1"/>
        <v>#N/A</v>
      </c>
      <c r="I51" s="1">
        <f>IF(Suma!$B50=$A$1,Suma!AD50,NA())</f>
        <v>0</v>
      </c>
      <c r="J51" s="1">
        <f>IF(Suma!$B50=$A$1,Suma!AK50,NA())</f>
        <v>0</v>
      </c>
      <c r="K51" s="10">
        <f>IF(Suma!$B50=$A$1,Suma!AS50,NA())</f>
        <v>0</v>
      </c>
      <c r="L51" s="1">
        <f>IF(Suma!$B50=$A$1,Suma!G50,NA())</f>
        <v>0</v>
      </c>
      <c r="M51" s="1">
        <f>IF(Suma!$B50=$A$1,Suma!H50,NA())</f>
        <v>0</v>
      </c>
      <c r="N51" s="1">
        <f>IF(Suma!$B50=$A$1,Suma!AT50,NA())</f>
        <v>1900</v>
      </c>
      <c r="O51" s="1" t="str">
        <f>IF(Suma!$B50=$A$1,Suma!AU50,NA())</f>
        <v>enero</v>
      </c>
      <c r="P51" s="1">
        <f>IF(Suma!$B50=$A$1,Suma!AV50,NA())</f>
        <v>0</v>
      </c>
      <c r="Q51" s="1">
        <f>IF(Suma!$B50=$A$1,Suma!AW50,NA())</f>
        <v>0</v>
      </c>
      <c r="R51" s="10">
        <f>IF(Suma!$B50=$A$1,Suma!AX50,NA())</f>
        <v>0</v>
      </c>
      <c r="S51" s="10">
        <f>IF(Suma!$B50=$A$1,Suma!AY50,NA())</f>
        <v>0</v>
      </c>
      <c r="T51" s="10">
        <f>IF(Suma!$B50=$A$1,Suma!AZ50,NA())</f>
        <v>0</v>
      </c>
      <c r="U51" s="10">
        <f>IF(Suma!$B50=$A$1,Suma!J50,NA())</f>
        <v>0</v>
      </c>
      <c r="V51" s="10">
        <f>IF(Suma!$B50=$A$1,Suma!K50,NA())</f>
        <v>0</v>
      </c>
      <c r="W51" s="10">
        <f>IF(Suma!$B50=$A$1,Suma!L50,NA())</f>
        <v>0</v>
      </c>
      <c r="X51" s="10">
        <f>IF(Suma!$B50=$A$1,Suma!M50,NA())</f>
        <v>0</v>
      </c>
      <c r="Y51" s="10">
        <f>IF(Suma!$B50=$A$1,Suma!N50,NA())</f>
        <v>0</v>
      </c>
      <c r="Z51" s="10">
        <f>IF(Suma!$B50=$A$1,Suma!O50,NA())</f>
        <v>0</v>
      </c>
      <c r="AA51" s="10">
        <f>IF(Suma!$B50=$A$1,Suma!BC50,NA())</f>
        <v>0</v>
      </c>
      <c r="AB51" s="10">
        <f>IF(Suma!$B50=$A$1,Suma!BD50,NA())</f>
        <v>0</v>
      </c>
    </row>
    <row r="52" spans="1:28" x14ac:dyDescent="0.3">
      <c r="A52" s="1">
        <f>IF(Suma!$B51=$A$1,Suma!C51,NA())</f>
        <v>0</v>
      </c>
      <c r="B52" s="1">
        <f>IF(Suma!$B51=$A$1,Suma!D51,NA())</f>
        <v>0</v>
      </c>
      <c r="C52" s="2">
        <f>IF(Suma!$B51=$A$1,Suma!E51,NA())</f>
        <v>0</v>
      </c>
      <c r="D52" s="2">
        <f>IF(Suma!$B51=$A$1,Suma!F51,NA())</f>
        <v>0</v>
      </c>
      <c r="E52" s="1">
        <f>IF(Suma!$B51=$A$1,Suma!P51,NA())</f>
        <v>0</v>
      </c>
      <c r="F52" s="10" t="e">
        <f t="shared" si="0"/>
        <v>#N/A</v>
      </c>
      <c r="G52" s="1">
        <f>IF(Suma!$B51=$A$1,Suma!W51,NA())</f>
        <v>0</v>
      </c>
      <c r="H52" s="10" t="e">
        <f t="shared" si="1"/>
        <v>#N/A</v>
      </c>
      <c r="I52" s="1">
        <f>IF(Suma!$B51=$A$1,Suma!AD51,NA())</f>
        <v>0</v>
      </c>
      <c r="J52" s="1">
        <f>IF(Suma!$B51=$A$1,Suma!AK51,NA())</f>
        <v>0</v>
      </c>
      <c r="K52" s="10">
        <f>IF(Suma!$B51=$A$1,Suma!AS51,NA())</f>
        <v>0</v>
      </c>
      <c r="L52" s="1">
        <f>IF(Suma!$B51=$A$1,Suma!G51,NA())</f>
        <v>0</v>
      </c>
      <c r="M52" s="1">
        <f>IF(Suma!$B51=$A$1,Suma!H51,NA())</f>
        <v>0</v>
      </c>
      <c r="N52" s="1">
        <f>IF(Suma!$B51=$A$1,Suma!AT51,NA())</f>
        <v>1900</v>
      </c>
      <c r="O52" s="1" t="str">
        <f>IF(Suma!$B51=$A$1,Suma!AU51,NA())</f>
        <v>enero</v>
      </c>
      <c r="P52" s="1">
        <f>IF(Suma!$B51=$A$1,Suma!AV51,NA())</f>
        <v>0</v>
      </c>
      <c r="Q52" s="1">
        <f>IF(Suma!$B51=$A$1,Suma!AW51,NA())</f>
        <v>0</v>
      </c>
      <c r="R52" s="10">
        <f>IF(Suma!$B51=$A$1,Suma!AX51,NA())</f>
        <v>0</v>
      </c>
      <c r="S52" s="10">
        <f>IF(Suma!$B51=$A$1,Suma!AY51,NA())</f>
        <v>0</v>
      </c>
      <c r="T52" s="10">
        <f>IF(Suma!$B51=$A$1,Suma!AZ51,NA())</f>
        <v>0</v>
      </c>
      <c r="U52" s="10">
        <f>IF(Suma!$B51=$A$1,Suma!J51,NA())</f>
        <v>0</v>
      </c>
      <c r="V52" s="10">
        <f>IF(Suma!$B51=$A$1,Suma!K51,NA())</f>
        <v>0</v>
      </c>
      <c r="W52" s="10">
        <f>IF(Suma!$B51=$A$1,Suma!L51,NA())</f>
        <v>0</v>
      </c>
      <c r="X52" s="10">
        <f>IF(Suma!$B51=$A$1,Suma!M51,NA())</f>
        <v>0</v>
      </c>
      <c r="Y52" s="10">
        <f>IF(Suma!$B51=$A$1,Suma!N51,NA())</f>
        <v>0</v>
      </c>
      <c r="Z52" s="10">
        <f>IF(Suma!$B51=$A$1,Suma!O51,NA())</f>
        <v>0</v>
      </c>
      <c r="AA52" s="10">
        <f>IF(Suma!$B51=$A$1,Suma!BC51,NA())</f>
        <v>0</v>
      </c>
      <c r="AB52" s="10">
        <f>IF(Suma!$B51=$A$1,Suma!BD51,NA())</f>
        <v>0</v>
      </c>
    </row>
    <row r="53" spans="1:28" x14ac:dyDescent="0.3">
      <c r="A53" s="1">
        <f>IF(Suma!$B52=$A$1,Suma!C52,NA())</f>
        <v>0</v>
      </c>
      <c r="B53" s="1">
        <f>IF(Suma!$B52=$A$1,Suma!D52,NA())</f>
        <v>0</v>
      </c>
      <c r="C53" s="2">
        <f>IF(Suma!$B52=$A$1,Suma!E52,NA())</f>
        <v>0</v>
      </c>
      <c r="D53" s="2">
        <f>IF(Suma!$B52=$A$1,Suma!F52,NA())</f>
        <v>0</v>
      </c>
      <c r="E53" s="1">
        <f>IF(Suma!$B52=$A$1,Suma!P52,NA())</f>
        <v>0</v>
      </c>
      <c r="F53" s="10" t="e">
        <f t="shared" si="0"/>
        <v>#N/A</v>
      </c>
      <c r="G53" s="1">
        <f>IF(Suma!$B52=$A$1,Suma!W52,NA())</f>
        <v>0</v>
      </c>
      <c r="H53" s="10" t="e">
        <f t="shared" si="1"/>
        <v>#N/A</v>
      </c>
      <c r="I53" s="1">
        <f>IF(Suma!$B52=$A$1,Suma!AD52,NA())</f>
        <v>0</v>
      </c>
      <c r="J53" s="1">
        <f>IF(Suma!$B52=$A$1,Suma!AK52,NA())</f>
        <v>0</v>
      </c>
      <c r="K53" s="10">
        <f>IF(Suma!$B52=$A$1,Suma!AS52,NA())</f>
        <v>0</v>
      </c>
      <c r="L53" s="1">
        <f>IF(Suma!$B52=$A$1,Suma!G52,NA())</f>
        <v>0</v>
      </c>
      <c r="M53" s="1">
        <f>IF(Suma!$B52=$A$1,Suma!H52,NA())</f>
        <v>0</v>
      </c>
      <c r="N53" s="1">
        <f>IF(Suma!$B52=$A$1,Suma!AT52,NA())</f>
        <v>1900</v>
      </c>
      <c r="O53" s="1" t="str">
        <f>IF(Suma!$B52=$A$1,Suma!AU52,NA())</f>
        <v>enero</v>
      </c>
      <c r="P53" s="1">
        <f>IF(Suma!$B52=$A$1,Suma!AV52,NA())</f>
        <v>0</v>
      </c>
      <c r="Q53" s="1">
        <f>IF(Suma!$B52=$A$1,Suma!AW52,NA())</f>
        <v>0</v>
      </c>
      <c r="R53" s="10">
        <f>IF(Suma!$B52=$A$1,Suma!AX52,NA())</f>
        <v>0</v>
      </c>
      <c r="S53" s="10">
        <f>IF(Suma!$B52=$A$1,Suma!AY52,NA())</f>
        <v>0</v>
      </c>
      <c r="T53" s="10">
        <f>IF(Suma!$B52=$A$1,Suma!AZ52,NA())</f>
        <v>0</v>
      </c>
      <c r="U53" s="10">
        <f>IF(Suma!$B52=$A$1,Suma!J52,NA())</f>
        <v>0</v>
      </c>
      <c r="V53" s="10">
        <f>IF(Suma!$B52=$A$1,Suma!K52,NA())</f>
        <v>0</v>
      </c>
      <c r="W53" s="10">
        <f>IF(Suma!$B52=$A$1,Suma!L52,NA())</f>
        <v>0</v>
      </c>
      <c r="X53" s="10">
        <f>IF(Suma!$B52=$A$1,Suma!M52,NA())</f>
        <v>0</v>
      </c>
      <c r="Y53" s="10">
        <f>IF(Suma!$B52=$A$1,Suma!N52,NA())</f>
        <v>0</v>
      </c>
      <c r="Z53" s="10">
        <f>IF(Suma!$B52=$A$1,Suma!O52,NA())</f>
        <v>0</v>
      </c>
      <c r="AA53" s="10">
        <f>IF(Suma!$B52=$A$1,Suma!BC52,NA())</f>
        <v>0</v>
      </c>
      <c r="AB53" s="10">
        <f>IF(Suma!$B52=$A$1,Suma!BD52,NA())</f>
        <v>0</v>
      </c>
    </row>
    <row r="54" spans="1:28" x14ac:dyDescent="0.3">
      <c r="A54" s="1">
        <f>IF(Suma!$B53=$A$1,Suma!C53,NA())</f>
        <v>0</v>
      </c>
      <c r="B54" s="1">
        <f>IF(Suma!$B53=$A$1,Suma!D53,NA())</f>
        <v>0</v>
      </c>
      <c r="C54" s="2">
        <f>IF(Suma!$B53=$A$1,Suma!E53,NA())</f>
        <v>0</v>
      </c>
      <c r="D54" s="2">
        <f>IF(Suma!$B53=$A$1,Suma!F53,NA())</f>
        <v>0</v>
      </c>
      <c r="E54" s="1">
        <f>IF(Suma!$B53=$A$1,Suma!P53,NA())</f>
        <v>0</v>
      </c>
      <c r="F54" s="10" t="e">
        <f t="shared" si="0"/>
        <v>#N/A</v>
      </c>
      <c r="G54" s="1">
        <f>IF(Suma!$B53=$A$1,Suma!W53,NA())</f>
        <v>0</v>
      </c>
      <c r="H54" s="10" t="e">
        <f t="shared" si="1"/>
        <v>#N/A</v>
      </c>
      <c r="I54" s="1">
        <f>IF(Suma!$B53=$A$1,Suma!AD53,NA())</f>
        <v>0</v>
      </c>
      <c r="J54" s="1">
        <f>IF(Suma!$B53=$A$1,Suma!AK53,NA())</f>
        <v>0</v>
      </c>
      <c r="K54" s="10">
        <f>IF(Suma!$B53=$A$1,Suma!AS53,NA())</f>
        <v>0</v>
      </c>
      <c r="L54" s="1">
        <f>IF(Suma!$B53=$A$1,Suma!G53,NA())</f>
        <v>0</v>
      </c>
      <c r="M54" s="1">
        <f>IF(Suma!$B53=$A$1,Suma!H53,NA())</f>
        <v>0</v>
      </c>
      <c r="N54" s="1">
        <f>IF(Suma!$B53=$A$1,Suma!AT53,NA())</f>
        <v>1900</v>
      </c>
      <c r="O54" s="1" t="str">
        <f>IF(Suma!$B53=$A$1,Suma!AU53,NA())</f>
        <v>enero</v>
      </c>
      <c r="P54" s="1">
        <f>IF(Suma!$B53=$A$1,Suma!AV53,NA())</f>
        <v>0</v>
      </c>
      <c r="Q54" s="1">
        <f>IF(Suma!$B53=$A$1,Suma!AW53,NA())</f>
        <v>0</v>
      </c>
      <c r="R54" s="10">
        <f>IF(Suma!$B53=$A$1,Suma!AX53,NA())</f>
        <v>0</v>
      </c>
      <c r="S54" s="10">
        <f>IF(Suma!$B53=$A$1,Suma!AY53,NA())</f>
        <v>0</v>
      </c>
      <c r="T54" s="10">
        <f>IF(Suma!$B53=$A$1,Suma!AZ53,NA())</f>
        <v>0</v>
      </c>
      <c r="U54" s="10">
        <f>IF(Suma!$B53=$A$1,Suma!J53,NA())</f>
        <v>0</v>
      </c>
      <c r="V54" s="10">
        <f>IF(Suma!$B53=$A$1,Suma!K53,NA())</f>
        <v>0</v>
      </c>
      <c r="W54" s="10">
        <f>IF(Suma!$B53=$A$1,Suma!L53,NA())</f>
        <v>0</v>
      </c>
      <c r="X54" s="10">
        <f>IF(Suma!$B53=$A$1,Suma!M53,NA())</f>
        <v>0</v>
      </c>
      <c r="Y54" s="10">
        <f>IF(Suma!$B53=$A$1,Suma!N53,NA())</f>
        <v>0</v>
      </c>
      <c r="Z54" s="10">
        <f>IF(Suma!$B53=$A$1,Suma!O53,NA())</f>
        <v>0</v>
      </c>
      <c r="AA54" s="10">
        <f>IF(Suma!$B53=$A$1,Suma!BC53,NA())</f>
        <v>0</v>
      </c>
      <c r="AB54" s="10">
        <f>IF(Suma!$B53=$A$1,Suma!BD53,NA())</f>
        <v>0</v>
      </c>
    </row>
    <row r="55" spans="1:28" x14ac:dyDescent="0.3">
      <c r="A55" s="1">
        <f>IF(Suma!$B54=$A$1,Suma!C54,NA())</f>
        <v>0</v>
      </c>
      <c r="B55" s="1">
        <f>IF(Suma!$B54=$A$1,Suma!D54,NA())</f>
        <v>0</v>
      </c>
      <c r="C55" s="2">
        <f>IF(Suma!$B54=$A$1,Suma!E54,NA())</f>
        <v>0</v>
      </c>
      <c r="D55" s="2">
        <f>IF(Suma!$B54=$A$1,Suma!F54,NA())</f>
        <v>0</v>
      </c>
      <c r="E55" s="1">
        <f>IF(Suma!$B54=$A$1,Suma!P54,NA())</f>
        <v>0</v>
      </c>
      <c r="F55" s="10" t="e">
        <f t="shared" si="0"/>
        <v>#N/A</v>
      </c>
      <c r="G55" s="1">
        <f>IF(Suma!$B54=$A$1,Suma!W54,NA())</f>
        <v>0</v>
      </c>
      <c r="H55" s="10" t="e">
        <f t="shared" si="1"/>
        <v>#N/A</v>
      </c>
      <c r="I55" s="1">
        <f>IF(Suma!$B54=$A$1,Suma!AD54,NA())</f>
        <v>0</v>
      </c>
      <c r="J55" s="1">
        <f>IF(Suma!$B54=$A$1,Suma!AK54,NA())</f>
        <v>0</v>
      </c>
      <c r="K55" s="10">
        <f>IF(Suma!$B54=$A$1,Suma!AS54,NA())</f>
        <v>0</v>
      </c>
      <c r="L55" s="1">
        <f>IF(Suma!$B54=$A$1,Suma!G54,NA())</f>
        <v>0</v>
      </c>
      <c r="M55" s="1">
        <f>IF(Suma!$B54=$A$1,Suma!H54,NA())</f>
        <v>0</v>
      </c>
      <c r="N55" s="1">
        <f>IF(Suma!$B54=$A$1,Suma!AT54,NA())</f>
        <v>1900</v>
      </c>
      <c r="O55" s="1" t="str">
        <f>IF(Suma!$B54=$A$1,Suma!AU54,NA())</f>
        <v>enero</v>
      </c>
      <c r="P55" s="1">
        <f>IF(Suma!$B54=$A$1,Suma!AV54,NA())</f>
        <v>0</v>
      </c>
      <c r="Q55" s="1">
        <f>IF(Suma!$B54=$A$1,Suma!AW54,NA())</f>
        <v>0</v>
      </c>
      <c r="R55" s="10">
        <f>IF(Suma!$B54=$A$1,Suma!AX54,NA())</f>
        <v>0</v>
      </c>
      <c r="S55" s="10">
        <f>IF(Suma!$B54=$A$1,Suma!AY54,NA())</f>
        <v>0</v>
      </c>
      <c r="T55" s="10">
        <f>IF(Suma!$B54=$A$1,Suma!AZ54,NA())</f>
        <v>0</v>
      </c>
      <c r="U55" s="10">
        <f>IF(Suma!$B54=$A$1,Suma!J54,NA())</f>
        <v>0</v>
      </c>
      <c r="V55" s="10">
        <f>IF(Suma!$B54=$A$1,Suma!K54,NA())</f>
        <v>0</v>
      </c>
      <c r="W55" s="10">
        <f>IF(Suma!$B54=$A$1,Suma!L54,NA())</f>
        <v>0</v>
      </c>
      <c r="X55" s="10">
        <f>IF(Suma!$B54=$A$1,Suma!M54,NA())</f>
        <v>0</v>
      </c>
      <c r="Y55" s="10">
        <f>IF(Suma!$B54=$A$1,Suma!N54,NA())</f>
        <v>0</v>
      </c>
      <c r="Z55" s="10">
        <f>IF(Suma!$B54=$A$1,Suma!O54,NA())</f>
        <v>0</v>
      </c>
      <c r="AA55" s="10">
        <f>IF(Suma!$B54=$A$1,Suma!BC54,NA())</f>
        <v>0</v>
      </c>
      <c r="AB55" s="10">
        <f>IF(Suma!$B54=$A$1,Suma!BD54,NA())</f>
        <v>0</v>
      </c>
    </row>
    <row r="56" spans="1:28" x14ac:dyDescent="0.3">
      <c r="A56" s="1">
        <f>IF(Suma!$B55=$A$1,Suma!C55,NA())</f>
        <v>0</v>
      </c>
      <c r="B56" s="1">
        <f>IF(Suma!$B55=$A$1,Suma!D55,NA())</f>
        <v>0</v>
      </c>
      <c r="C56" s="2">
        <f>IF(Suma!$B55=$A$1,Suma!E55,NA())</f>
        <v>0</v>
      </c>
      <c r="D56" s="2">
        <f>IF(Suma!$B55=$A$1,Suma!F55,NA())</f>
        <v>0</v>
      </c>
      <c r="E56" s="1">
        <f>IF(Suma!$B55=$A$1,Suma!P55,NA())</f>
        <v>0</v>
      </c>
      <c r="F56" s="10" t="e">
        <f t="shared" si="0"/>
        <v>#N/A</v>
      </c>
      <c r="G56" s="1">
        <f>IF(Suma!$B55=$A$1,Suma!W55,NA())</f>
        <v>0</v>
      </c>
      <c r="H56" s="10" t="e">
        <f t="shared" si="1"/>
        <v>#N/A</v>
      </c>
      <c r="I56" s="1">
        <f>IF(Suma!$B55=$A$1,Suma!AD55,NA())</f>
        <v>0</v>
      </c>
      <c r="J56" s="1">
        <f>IF(Suma!$B55=$A$1,Suma!AK55,NA())</f>
        <v>0</v>
      </c>
      <c r="K56" s="10">
        <f>IF(Suma!$B55=$A$1,Suma!AS55,NA())</f>
        <v>0</v>
      </c>
      <c r="L56" s="1">
        <f>IF(Suma!$B55=$A$1,Suma!G55,NA())</f>
        <v>0</v>
      </c>
      <c r="M56" s="1">
        <f>IF(Suma!$B55=$A$1,Suma!H55,NA())</f>
        <v>0</v>
      </c>
      <c r="N56" s="1">
        <f>IF(Suma!$B55=$A$1,Suma!AT55,NA())</f>
        <v>1900</v>
      </c>
      <c r="O56" s="1" t="str">
        <f>IF(Suma!$B55=$A$1,Suma!AU55,NA())</f>
        <v>enero</v>
      </c>
      <c r="P56" s="1">
        <f>IF(Suma!$B55=$A$1,Suma!AV55,NA())</f>
        <v>0</v>
      </c>
      <c r="Q56" s="1">
        <f>IF(Suma!$B55=$A$1,Suma!AW55,NA())</f>
        <v>0</v>
      </c>
      <c r="R56" s="10">
        <f>IF(Suma!$B55=$A$1,Suma!AX55,NA())</f>
        <v>0</v>
      </c>
      <c r="S56" s="10">
        <f>IF(Suma!$B55=$A$1,Suma!AY55,NA())</f>
        <v>0</v>
      </c>
      <c r="T56" s="10">
        <f>IF(Suma!$B55=$A$1,Suma!AZ55,NA())</f>
        <v>0</v>
      </c>
      <c r="U56" s="10">
        <f>IF(Suma!$B55=$A$1,Suma!J55,NA())</f>
        <v>0</v>
      </c>
      <c r="V56" s="10">
        <f>IF(Suma!$B55=$A$1,Suma!K55,NA())</f>
        <v>0</v>
      </c>
      <c r="W56" s="10">
        <f>IF(Suma!$B55=$A$1,Suma!L55,NA())</f>
        <v>0</v>
      </c>
      <c r="X56" s="10">
        <f>IF(Suma!$B55=$A$1,Suma!M55,NA())</f>
        <v>0</v>
      </c>
      <c r="Y56" s="10">
        <f>IF(Suma!$B55=$A$1,Suma!N55,NA())</f>
        <v>0</v>
      </c>
      <c r="Z56" s="10">
        <f>IF(Suma!$B55=$A$1,Suma!O55,NA())</f>
        <v>0</v>
      </c>
      <c r="AA56" s="10">
        <f>IF(Suma!$B55=$A$1,Suma!BC55,NA())</f>
        <v>0</v>
      </c>
      <c r="AB56" s="10">
        <f>IF(Suma!$B55=$A$1,Suma!BD55,NA())</f>
        <v>0</v>
      </c>
    </row>
    <row r="57" spans="1:28" x14ac:dyDescent="0.3">
      <c r="A57" s="1">
        <f>IF(Suma!$B56=$A$1,Suma!C56,NA())</f>
        <v>0</v>
      </c>
      <c r="B57" s="1">
        <f>IF(Suma!$B56=$A$1,Suma!D56,NA())</f>
        <v>0</v>
      </c>
      <c r="C57" s="2">
        <f>IF(Suma!$B56=$A$1,Suma!E56,NA())</f>
        <v>0</v>
      </c>
      <c r="D57" s="2">
        <f>IF(Suma!$B56=$A$1,Suma!F56,NA())</f>
        <v>0</v>
      </c>
      <c r="E57" s="1">
        <f>IF(Suma!$B56=$A$1,Suma!P56,NA())</f>
        <v>0</v>
      </c>
      <c r="F57" s="10" t="e">
        <f t="shared" si="0"/>
        <v>#N/A</v>
      </c>
      <c r="G57" s="1">
        <f>IF(Suma!$B56=$A$1,Suma!W56,NA())</f>
        <v>0</v>
      </c>
      <c r="H57" s="10" t="e">
        <f t="shared" si="1"/>
        <v>#N/A</v>
      </c>
      <c r="I57" s="1">
        <f>IF(Suma!$B56=$A$1,Suma!AD56,NA())</f>
        <v>0</v>
      </c>
      <c r="J57" s="1">
        <f>IF(Suma!$B56=$A$1,Suma!AK56,NA())</f>
        <v>0</v>
      </c>
      <c r="K57" s="10">
        <f>IF(Suma!$B56=$A$1,Suma!AS56,NA())</f>
        <v>0</v>
      </c>
      <c r="L57" s="1">
        <f>IF(Suma!$B56=$A$1,Suma!G56,NA())</f>
        <v>0</v>
      </c>
      <c r="M57" s="1">
        <f>IF(Suma!$B56=$A$1,Suma!H56,NA())</f>
        <v>0</v>
      </c>
      <c r="N57" s="1">
        <f>IF(Suma!$B56=$A$1,Suma!AT56,NA())</f>
        <v>1900</v>
      </c>
      <c r="O57" s="1" t="str">
        <f>IF(Suma!$B56=$A$1,Suma!AU56,NA())</f>
        <v>enero</v>
      </c>
      <c r="P57" s="1">
        <f>IF(Suma!$B56=$A$1,Suma!AV56,NA())</f>
        <v>0</v>
      </c>
      <c r="Q57" s="1">
        <f>IF(Suma!$B56=$A$1,Suma!AW56,NA())</f>
        <v>0</v>
      </c>
      <c r="R57" s="10">
        <f>IF(Suma!$B56=$A$1,Suma!AX56,NA())</f>
        <v>0</v>
      </c>
      <c r="S57" s="10">
        <f>IF(Suma!$B56=$A$1,Suma!AY56,NA())</f>
        <v>0</v>
      </c>
      <c r="T57" s="10">
        <f>IF(Suma!$B56=$A$1,Suma!AZ56,NA())</f>
        <v>0</v>
      </c>
      <c r="U57" s="10">
        <f>IF(Suma!$B56=$A$1,Suma!J56,NA())</f>
        <v>0</v>
      </c>
      <c r="V57" s="10">
        <f>IF(Suma!$B56=$A$1,Suma!K56,NA())</f>
        <v>0</v>
      </c>
      <c r="W57" s="10">
        <f>IF(Suma!$B56=$A$1,Suma!L56,NA())</f>
        <v>0</v>
      </c>
      <c r="X57" s="10">
        <f>IF(Suma!$B56=$A$1,Suma!M56,NA())</f>
        <v>0</v>
      </c>
      <c r="Y57" s="10">
        <f>IF(Suma!$B56=$A$1,Suma!N56,NA())</f>
        <v>0</v>
      </c>
      <c r="Z57" s="10">
        <f>IF(Suma!$B56=$A$1,Suma!O56,NA())</f>
        <v>0</v>
      </c>
      <c r="AA57" s="10">
        <f>IF(Suma!$B56=$A$1,Suma!BC56,NA())</f>
        <v>0</v>
      </c>
      <c r="AB57" s="10">
        <f>IF(Suma!$B56=$A$1,Suma!BD56,NA())</f>
        <v>0</v>
      </c>
    </row>
    <row r="58" spans="1:28" x14ac:dyDescent="0.3">
      <c r="A58" s="1">
        <f>IF(Suma!$B57=$A$1,Suma!C57,NA())</f>
        <v>0</v>
      </c>
      <c r="B58" s="1">
        <f>IF(Suma!$B57=$A$1,Suma!D57,NA())</f>
        <v>0</v>
      </c>
      <c r="C58" s="2">
        <f>IF(Suma!$B57=$A$1,Suma!E57,NA())</f>
        <v>0</v>
      </c>
      <c r="D58" s="2">
        <f>IF(Suma!$B57=$A$1,Suma!F57,NA())</f>
        <v>0</v>
      </c>
      <c r="E58" s="1">
        <f>IF(Suma!$B57=$A$1,Suma!P57,NA())</f>
        <v>0</v>
      </c>
      <c r="F58" s="10" t="e">
        <f t="shared" si="0"/>
        <v>#N/A</v>
      </c>
      <c r="G58" s="1">
        <f>IF(Suma!$B57=$A$1,Suma!W57,NA())</f>
        <v>0</v>
      </c>
      <c r="H58" s="10" t="e">
        <f t="shared" si="1"/>
        <v>#N/A</v>
      </c>
      <c r="I58" s="1">
        <f>IF(Suma!$B57=$A$1,Suma!AD57,NA())</f>
        <v>0</v>
      </c>
      <c r="J58" s="1">
        <f>IF(Suma!$B57=$A$1,Suma!AK57,NA())</f>
        <v>0</v>
      </c>
      <c r="K58" s="10">
        <f>IF(Suma!$B57=$A$1,Suma!AS57,NA())</f>
        <v>0</v>
      </c>
      <c r="L58" s="1">
        <f>IF(Suma!$B57=$A$1,Suma!G57,NA())</f>
        <v>0</v>
      </c>
      <c r="M58" s="1">
        <f>IF(Suma!$B57=$A$1,Suma!H57,NA())</f>
        <v>0</v>
      </c>
      <c r="N58" s="1">
        <f>IF(Suma!$B57=$A$1,Suma!AT57,NA())</f>
        <v>1900</v>
      </c>
      <c r="O58" s="1" t="str">
        <f>IF(Suma!$B57=$A$1,Suma!AU57,NA())</f>
        <v>enero</v>
      </c>
      <c r="P58" s="1">
        <f>IF(Suma!$B57=$A$1,Suma!AV57,NA())</f>
        <v>0</v>
      </c>
      <c r="Q58" s="1">
        <f>IF(Suma!$B57=$A$1,Suma!AW57,NA())</f>
        <v>0</v>
      </c>
      <c r="R58" s="10">
        <f>IF(Suma!$B57=$A$1,Suma!AX57,NA())</f>
        <v>0</v>
      </c>
      <c r="S58" s="10">
        <f>IF(Suma!$B57=$A$1,Suma!AY57,NA())</f>
        <v>0</v>
      </c>
      <c r="T58" s="10">
        <f>IF(Suma!$B57=$A$1,Suma!AZ57,NA())</f>
        <v>0</v>
      </c>
      <c r="U58" s="10">
        <f>IF(Suma!$B57=$A$1,Suma!J57,NA())</f>
        <v>0</v>
      </c>
      <c r="V58" s="10">
        <f>IF(Suma!$B57=$A$1,Suma!K57,NA())</f>
        <v>0</v>
      </c>
      <c r="W58" s="10">
        <f>IF(Suma!$B57=$A$1,Suma!L57,NA())</f>
        <v>0</v>
      </c>
      <c r="X58" s="10">
        <f>IF(Suma!$B57=$A$1,Suma!M57,NA())</f>
        <v>0</v>
      </c>
      <c r="Y58" s="10">
        <f>IF(Suma!$B57=$A$1,Suma!N57,NA())</f>
        <v>0</v>
      </c>
      <c r="Z58" s="10">
        <f>IF(Suma!$B57=$A$1,Suma!O57,NA())</f>
        <v>0</v>
      </c>
      <c r="AA58" s="10">
        <f>IF(Suma!$B57=$A$1,Suma!BC57,NA())</f>
        <v>0</v>
      </c>
      <c r="AB58" s="10">
        <f>IF(Suma!$B57=$A$1,Suma!BD57,NA())</f>
        <v>0</v>
      </c>
    </row>
    <row r="59" spans="1:28" x14ac:dyDescent="0.3">
      <c r="A59" s="1">
        <f>IF(Suma!$B58=$A$1,Suma!C58,NA())</f>
        <v>0</v>
      </c>
      <c r="B59" s="1">
        <f>IF(Suma!$B58=$A$1,Suma!D58,NA())</f>
        <v>0</v>
      </c>
      <c r="C59" s="2">
        <f>IF(Suma!$B58=$A$1,Suma!E58,NA())</f>
        <v>0</v>
      </c>
      <c r="D59" s="2">
        <f>IF(Suma!$B58=$A$1,Suma!F58,NA())</f>
        <v>0</v>
      </c>
      <c r="E59" s="1">
        <f>IF(Suma!$B58=$A$1,Suma!P58,NA())</f>
        <v>0</v>
      </c>
      <c r="F59" s="10" t="e">
        <f t="shared" si="0"/>
        <v>#N/A</v>
      </c>
      <c r="G59" s="1">
        <f>IF(Suma!$B58=$A$1,Suma!W58,NA())</f>
        <v>0</v>
      </c>
      <c r="H59" s="10" t="e">
        <f t="shared" si="1"/>
        <v>#N/A</v>
      </c>
      <c r="I59" s="1">
        <f>IF(Suma!$B58=$A$1,Suma!AD58,NA())</f>
        <v>0</v>
      </c>
      <c r="J59" s="1">
        <f>IF(Suma!$B58=$A$1,Suma!AK58,NA())</f>
        <v>0</v>
      </c>
      <c r="K59" s="10">
        <f>IF(Suma!$B58=$A$1,Suma!AS58,NA())</f>
        <v>0</v>
      </c>
      <c r="L59" s="1">
        <f>IF(Suma!$B58=$A$1,Suma!G58,NA())</f>
        <v>0</v>
      </c>
      <c r="M59" s="1">
        <f>IF(Suma!$B58=$A$1,Suma!H58,NA())</f>
        <v>0</v>
      </c>
      <c r="N59" s="1">
        <f>IF(Suma!$B58=$A$1,Suma!AT58,NA())</f>
        <v>1900</v>
      </c>
      <c r="O59" s="1" t="str">
        <f>IF(Suma!$B58=$A$1,Suma!AU58,NA())</f>
        <v>enero</v>
      </c>
      <c r="P59" s="1">
        <f>IF(Suma!$B58=$A$1,Suma!AV58,NA())</f>
        <v>0</v>
      </c>
      <c r="Q59" s="1">
        <f>IF(Suma!$B58=$A$1,Suma!AW58,NA())</f>
        <v>0</v>
      </c>
      <c r="R59" s="10">
        <f>IF(Suma!$B58=$A$1,Suma!AX58,NA())</f>
        <v>0</v>
      </c>
      <c r="S59" s="10">
        <f>IF(Suma!$B58=$A$1,Suma!AY58,NA())</f>
        <v>0</v>
      </c>
      <c r="T59" s="10">
        <f>IF(Suma!$B58=$A$1,Suma!AZ58,NA())</f>
        <v>0</v>
      </c>
      <c r="U59" s="10">
        <f>IF(Suma!$B58=$A$1,Suma!J58,NA())</f>
        <v>0</v>
      </c>
      <c r="V59" s="10">
        <f>IF(Suma!$B58=$A$1,Suma!K58,NA())</f>
        <v>0</v>
      </c>
      <c r="W59" s="10">
        <f>IF(Suma!$B58=$A$1,Suma!L58,NA())</f>
        <v>0</v>
      </c>
      <c r="X59" s="10">
        <f>IF(Suma!$B58=$A$1,Suma!M58,NA())</f>
        <v>0</v>
      </c>
      <c r="Y59" s="10">
        <f>IF(Suma!$B58=$A$1,Suma!N58,NA())</f>
        <v>0</v>
      </c>
      <c r="Z59" s="10">
        <f>IF(Suma!$B58=$A$1,Suma!O58,NA())</f>
        <v>0</v>
      </c>
      <c r="AA59" s="10">
        <f>IF(Suma!$B58=$A$1,Suma!BC58,NA())</f>
        <v>0</v>
      </c>
      <c r="AB59" s="10">
        <f>IF(Suma!$B58=$A$1,Suma!BD58,NA())</f>
        <v>0</v>
      </c>
    </row>
    <row r="60" spans="1:28" x14ac:dyDescent="0.3">
      <c r="A60" s="1">
        <f>IF(Suma!$B59=$A$1,Suma!C59,NA())</f>
        <v>0</v>
      </c>
      <c r="B60" s="1">
        <f>IF(Suma!$B59=$A$1,Suma!D59,NA())</f>
        <v>0</v>
      </c>
      <c r="C60" s="2">
        <f>IF(Suma!$B59=$A$1,Suma!E59,NA())</f>
        <v>0</v>
      </c>
      <c r="D60" s="2">
        <f>IF(Suma!$B59=$A$1,Suma!F59,NA())</f>
        <v>0</v>
      </c>
      <c r="E60" s="1">
        <f>IF(Suma!$B59=$A$1,Suma!P59,NA())</f>
        <v>0</v>
      </c>
      <c r="F60" s="10" t="e">
        <f t="shared" si="0"/>
        <v>#N/A</v>
      </c>
      <c r="G60" s="1">
        <f>IF(Suma!$B59=$A$1,Suma!W59,NA())</f>
        <v>0</v>
      </c>
      <c r="H60" s="10" t="e">
        <f t="shared" si="1"/>
        <v>#N/A</v>
      </c>
      <c r="I60" s="1">
        <f>IF(Suma!$B59=$A$1,Suma!AD59,NA())</f>
        <v>0</v>
      </c>
      <c r="J60" s="1">
        <f>IF(Suma!$B59=$A$1,Suma!AK59,NA())</f>
        <v>0</v>
      </c>
      <c r="K60" s="10">
        <f>IF(Suma!$B59=$A$1,Suma!AS59,NA())</f>
        <v>0</v>
      </c>
      <c r="L60" s="1">
        <f>IF(Suma!$B59=$A$1,Suma!G59,NA())</f>
        <v>0</v>
      </c>
      <c r="M60" s="1">
        <f>IF(Suma!$B59=$A$1,Suma!H59,NA())</f>
        <v>0</v>
      </c>
      <c r="N60" s="1">
        <f>IF(Suma!$B59=$A$1,Suma!AT59,NA())</f>
        <v>1900</v>
      </c>
      <c r="O60" s="1" t="str">
        <f>IF(Suma!$B59=$A$1,Suma!AU59,NA())</f>
        <v>enero</v>
      </c>
      <c r="P60" s="1">
        <f>IF(Suma!$B59=$A$1,Suma!AV59,NA())</f>
        <v>0</v>
      </c>
      <c r="Q60" s="1">
        <f>IF(Suma!$B59=$A$1,Suma!AW59,NA())</f>
        <v>0</v>
      </c>
      <c r="R60" s="10">
        <f>IF(Suma!$B59=$A$1,Suma!AX59,NA())</f>
        <v>0</v>
      </c>
      <c r="S60" s="10">
        <f>IF(Suma!$B59=$A$1,Suma!AY59,NA())</f>
        <v>0</v>
      </c>
      <c r="T60" s="10">
        <f>IF(Suma!$B59=$A$1,Suma!AZ59,NA())</f>
        <v>0</v>
      </c>
      <c r="U60" s="10">
        <f>IF(Suma!$B59=$A$1,Suma!J59,NA())</f>
        <v>0</v>
      </c>
      <c r="V60" s="10">
        <f>IF(Suma!$B59=$A$1,Suma!K59,NA())</f>
        <v>0</v>
      </c>
      <c r="W60" s="10">
        <f>IF(Suma!$B59=$A$1,Suma!L59,NA())</f>
        <v>0</v>
      </c>
      <c r="X60" s="10">
        <f>IF(Suma!$B59=$A$1,Suma!M59,NA())</f>
        <v>0</v>
      </c>
      <c r="Y60" s="10">
        <f>IF(Suma!$B59=$A$1,Suma!N59,NA())</f>
        <v>0</v>
      </c>
      <c r="Z60" s="10">
        <f>IF(Suma!$B59=$A$1,Suma!O59,NA())</f>
        <v>0</v>
      </c>
      <c r="AA60" s="10">
        <f>IF(Suma!$B59=$A$1,Suma!BC59,NA())</f>
        <v>0</v>
      </c>
      <c r="AB60" s="10">
        <f>IF(Suma!$B59=$A$1,Suma!BD59,NA())</f>
        <v>0</v>
      </c>
    </row>
    <row r="61" spans="1:28" x14ac:dyDescent="0.3">
      <c r="A61" s="1">
        <f>IF(Suma!$B60=$A$1,Suma!C60,NA())</f>
        <v>0</v>
      </c>
      <c r="B61" s="1">
        <f>IF(Suma!$B60=$A$1,Suma!D60,NA())</f>
        <v>0</v>
      </c>
      <c r="C61" s="2">
        <f>IF(Suma!$B60=$A$1,Suma!E60,NA())</f>
        <v>0</v>
      </c>
      <c r="D61" s="2">
        <f>IF(Suma!$B60=$A$1,Suma!F60,NA())</f>
        <v>0</v>
      </c>
      <c r="E61" s="1">
        <f>IF(Suma!$B60=$A$1,Suma!P60,NA())</f>
        <v>0</v>
      </c>
      <c r="F61" s="10" t="e">
        <f t="shared" si="0"/>
        <v>#N/A</v>
      </c>
      <c r="G61" s="1">
        <f>IF(Suma!$B60=$A$1,Suma!W60,NA())</f>
        <v>0</v>
      </c>
      <c r="H61" s="10" t="e">
        <f t="shared" si="1"/>
        <v>#N/A</v>
      </c>
      <c r="I61" s="1">
        <f>IF(Suma!$B60=$A$1,Suma!AD60,NA())</f>
        <v>0</v>
      </c>
      <c r="J61" s="1">
        <f>IF(Suma!$B60=$A$1,Suma!AK60,NA())</f>
        <v>0</v>
      </c>
      <c r="K61" s="10">
        <f>IF(Suma!$B60=$A$1,Suma!AS60,NA())</f>
        <v>0</v>
      </c>
      <c r="L61" s="1">
        <f>IF(Suma!$B60=$A$1,Suma!G60,NA())</f>
        <v>0</v>
      </c>
      <c r="M61" s="1">
        <f>IF(Suma!$B60=$A$1,Suma!H60,NA())</f>
        <v>0</v>
      </c>
      <c r="N61" s="1">
        <f>IF(Suma!$B60=$A$1,Suma!AT60,NA())</f>
        <v>1900</v>
      </c>
      <c r="O61" s="1" t="str">
        <f>IF(Suma!$B60=$A$1,Suma!AU60,NA())</f>
        <v>enero</v>
      </c>
      <c r="P61" s="1">
        <f>IF(Suma!$B60=$A$1,Suma!AV60,NA())</f>
        <v>0</v>
      </c>
      <c r="Q61" s="1">
        <f>IF(Suma!$B60=$A$1,Suma!AW60,NA())</f>
        <v>0</v>
      </c>
      <c r="R61" s="10">
        <f>IF(Suma!$B60=$A$1,Suma!AX60,NA())</f>
        <v>0</v>
      </c>
      <c r="S61" s="10">
        <f>IF(Suma!$B60=$A$1,Suma!AY60,NA())</f>
        <v>0</v>
      </c>
      <c r="T61" s="10">
        <f>IF(Suma!$B60=$A$1,Suma!AZ60,NA())</f>
        <v>0</v>
      </c>
      <c r="U61" s="10">
        <f>IF(Suma!$B60=$A$1,Suma!J60,NA())</f>
        <v>0</v>
      </c>
      <c r="V61" s="10">
        <f>IF(Suma!$B60=$A$1,Suma!K60,NA())</f>
        <v>0</v>
      </c>
      <c r="W61" s="10">
        <f>IF(Suma!$B60=$A$1,Suma!L60,NA())</f>
        <v>0</v>
      </c>
      <c r="X61" s="10">
        <f>IF(Suma!$B60=$A$1,Suma!M60,NA())</f>
        <v>0</v>
      </c>
      <c r="Y61" s="10">
        <f>IF(Suma!$B60=$A$1,Suma!N60,NA())</f>
        <v>0</v>
      </c>
      <c r="Z61" s="10">
        <f>IF(Suma!$B60=$A$1,Suma!O60,NA())</f>
        <v>0</v>
      </c>
      <c r="AA61" s="10">
        <f>IF(Suma!$B60=$A$1,Suma!BC60,NA())</f>
        <v>0</v>
      </c>
      <c r="AB61" s="10">
        <f>IF(Suma!$B60=$A$1,Suma!BD60,NA())</f>
        <v>0</v>
      </c>
    </row>
    <row r="62" spans="1:28" x14ac:dyDescent="0.3">
      <c r="A62" s="1">
        <f>IF(Suma!$B61=$A$1,Suma!C61,NA())</f>
        <v>0</v>
      </c>
      <c r="B62" s="1">
        <f>IF(Suma!$B61=$A$1,Suma!D61,NA())</f>
        <v>0</v>
      </c>
      <c r="C62" s="2">
        <f>IF(Suma!$B61=$A$1,Suma!E61,NA())</f>
        <v>0</v>
      </c>
      <c r="D62" s="2">
        <f>IF(Suma!$B61=$A$1,Suma!F61,NA())</f>
        <v>0</v>
      </c>
      <c r="E62" s="1">
        <f>IF(Suma!$B61=$A$1,Suma!P61,NA())</f>
        <v>0</v>
      </c>
      <c r="F62" s="10" t="e">
        <f t="shared" si="0"/>
        <v>#N/A</v>
      </c>
      <c r="G62" s="1">
        <f>IF(Suma!$B61=$A$1,Suma!W61,NA())</f>
        <v>0</v>
      </c>
      <c r="H62" s="10" t="e">
        <f t="shared" si="1"/>
        <v>#N/A</v>
      </c>
      <c r="I62" s="1">
        <f>IF(Suma!$B61=$A$1,Suma!AD61,NA())</f>
        <v>0</v>
      </c>
      <c r="J62" s="1">
        <f>IF(Suma!$B61=$A$1,Suma!AK61,NA())</f>
        <v>0</v>
      </c>
      <c r="K62" s="10">
        <f>IF(Suma!$B61=$A$1,Suma!AS61,NA())</f>
        <v>0</v>
      </c>
      <c r="L62" s="1">
        <f>IF(Suma!$B61=$A$1,Suma!G61,NA())</f>
        <v>0</v>
      </c>
      <c r="M62" s="1">
        <f>IF(Suma!$B61=$A$1,Suma!H61,NA())</f>
        <v>0</v>
      </c>
      <c r="N62" s="1">
        <f>IF(Suma!$B61=$A$1,Suma!AT61,NA())</f>
        <v>1900</v>
      </c>
      <c r="O62" s="1" t="str">
        <f>IF(Suma!$B61=$A$1,Suma!AU61,NA())</f>
        <v>enero</v>
      </c>
      <c r="P62" s="1">
        <f>IF(Suma!$B61=$A$1,Suma!AV61,NA())</f>
        <v>0</v>
      </c>
      <c r="Q62" s="1">
        <f>IF(Suma!$B61=$A$1,Suma!AW61,NA())</f>
        <v>0</v>
      </c>
      <c r="R62" s="10">
        <f>IF(Suma!$B61=$A$1,Suma!AX61,NA())</f>
        <v>0</v>
      </c>
      <c r="S62" s="10">
        <f>IF(Suma!$B61=$A$1,Suma!AY61,NA())</f>
        <v>0</v>
      </c>
      <c r="T62" s="10">
        <f>IF(Suma!$B61=$A$1,Suma!AZ61,NA())</f>
        <v>0</v>
      </c>
      <c r="U62" s="10">
        <f>IF(Suma!$B61=$A$1,Suma!J61,NA())</f>
        <v>0</v>
      </c>
      <c r="V62" s="10">
        <f>IF(Suma!$B61=$A$1,Suma!K61,NA())</f>
        <v>0</v>
      </c>
      <c r="W62" s="10">
        <f>IF(Suma!$B61=$A$1,Suma!L61,NA())</f>
        <v>0</v>
      </c>
      <c r="X62" s="10">
        <f>IF(Suma!$B61=$A$1,Suma!M61,NA())</f>
        <v>0</v>
      </c>
      <c r="Y62" s="10">
        <f>IF(Suma!$B61=$A$1,Suma!N61,NA())</f>
        <v>0</v>
      </c>
      <c r="Z62" s="10">
        <f>IF(Suma!$B61=$A$1,Suma!O61,NA())</f>
        <v>0</v>
      </c>
      <c r="AA62" s="10">
        <f>IF(Suma!$B61=$A$1,Suma!BC61,NA())</f>
        <v>0</v>
      </c>
      <c r="AB62" s="10">
        <f>IF(Suma!$B61=$A$1,Suma!BD61,NA())</f>
        <v>0</v>
      </c>
    </row>
    <row r="63" spans="1:28" x14ac:dyDescent="0.3">
      <c r="A63" s="1">
        <f>IF(Suma!$B62=$A$1,Suma!C62,NA())</f>
        <v>0</v>
      </c>
      <c r="B63" s="1">
        <f>IF(Suma!$B62=$A$1,Suma!D62,NA())</f>
        <v>0</v>
      </c>
      <c r="C63" s="2">
        <f>IF(Suma!$B62=$A$1,Suma!E62,NA())</f>
        <v>0</v>
      </c>
      <c r="D63" s="2">
        <f>IF(Suma!$B62=$A$1,Suma!F62,NA())</f>
        <v>0</v>
      </c>
      <c r="E63" s="1">
        <f>IF(Suma!$B62=$A$1,Suma!P62,NA())</f>
        <v>0</v>
      </c>
      <c r="F63" s="10" t="e">
        <f t="shared" si="0"/>
        <v>#N/A</v>
      </c>
      <c r="G63" s="1">
        <f>IF(Suma!$B62=$A$1,Suma!W62,NA())</f>
        <v>0</v>
      </c>
      <c r="H63" s="10" t="e">
        <f t="shared" si="1"/>
        <v>#N/A</v>
      </c>
      <c r="I63" s="1">
        <f>IF(Suma!$B62=$A$1,Suma!AD62,NA())</f>
        <v>0</v>
      </c>
      <c r="J63" s="1">
        <f>IF(Suma!$B62=$A$1,Suma!AK62,NA())</f>
        <v>0</v>
      </c>
      <c r="K63" s="10">
        <f>IF(Suma!$B62=$A$1,Suma!AS62,NA())</f>
        <v>0</v>
      </c>
      <c r="L63" s="1">
        <f>IF(Suma!$B62=$A$1,Suma!G62,NA())</f>
        <v>0</v>
      </c>
      <c r="M63" s="1">
        <f>IF(Suma!$B62=$A$1,Suma!H62,NA())</f>
        <v>0</v>
      </c>
      <c r="N63" s="1">
        <f>IF(Suma!$B62=$A$1,Suma!AT62,NA())</f>
        <v>1900</v>
      </c>
      <c r="O63" s="1" t="str">
        <f>IF(Suma!$B62=$A$1,Suma!AU62,NA())</f>
        <v>enero</v>
      </c>
      <c r="P63" s="1">
        <f>IF(Suma!$B62=$A$1,Suma!AV62,NA())</f>
        <v>0</v>
      </c>
      <c r="Q63" s="1">
        <f>IF(Suma!$B62=$A$1,Suma!AW62,NA())</f>
        <v>0</v>
      </c>
      <c r="R63" s="10">
        <f>IF(Suma!$B62=$A$1,Suma!AX62,NA())</f>
        <v>0</v>
      </c>
      <c r="S63" s="10">
        <f>IF(Suma!$B62=$A$1,Suma!AY62,NA())</f>
        <v>0</v>
      </c>
      <c r="T63" s="10">
        <f>IF(Suma!$B62=$A$1,Suma!AZ62,NA())</f>
        <v>0</v>
      </c>
      <c r="U63" s="10">
        <f>IF(Suma!$B62=$A$1,Suma!J62,NA())</f>
        <v>0</v>
      </c>
      <c r="V63" s="10">
        <f>IF(Suma!$B62=$A$1,Suma!K62,NA())</f>
        <v>0</v>
      </c>
      <c r="W63" s="10">
        <f>IF(Suma!$B62=$A$1,Suma!L62,NA())</f>
        <v>0</v>
      </c>
      <c r="X63" s="10">
        <f>IF(Suma!$B62=$A$1,Suma!M62,NA())</f>
        <v>0</v>
      </c>
      <c r="Y63" s="10">
        <f>IF(Suma!$B62=$A$1,Suma!N62,NA())</f>
        <v>0</v>
      </c>
      <c r="Z63" s="10">
        <f>IF(Suma!$B62=$A$1,Suma!O62,NA())</f>
        <v>0</v>
      </c>
      <c r="AA63" s="10">
        <f>IF(Suma!$B62=$A$1,Suma!BC62,NA())</f>
        <v>0</v>
      </c>
      <c r="AB63" s="10">
        <f>IF(Suma!$B62=$A$1,Suma!BD62,NA())</f>
        <v>0</v>
      </c>
    </row>
    <row r="64" spans="1:28" x14ac:dyDescent="0.3">
      <c r="A64" s="1">
        <f>IF(Suma!$B63=$A$1,Suma!C63,NA())</f>
        <v>0</v>
      </c>
      <c r="B64" s="1">
        <f>IF(Suma!$B63=$A$1,Suma!D63,NA())</f>
        <v>0</v>
      </c>
      <c r="C64" s="2">
        <f>IF(Suma!$B63=$A$1,Suma!E63,NA())</f>
        <v>0</v>
      </c>
      <c r="D64" s="2">
        <f>IF(Suma!$B63=$A$1,Suma!F63,NA())</f>
        <v>0</v>
      </c>
      <c r="E64" s="1">
        <f>IF(Suma!$B63=$A$1,Suma!P63,NA())</f>
        <v>0</v>
      </c>
      <c r="F64" s="10" t="e">
        <f t="shared" si="0"/>
        <v>#N/A</v>
      </c>
      <c r="G64" s="1">
        <f>IF(Suma!$B63=$A$1,Suma!W63,NA())</f>
        <v>0</v>
      </c>
      <c r="H64" s="10" t="e">
        <f t="shared" si="1"/>
        <v>#N/A</v>
      </c>
      <c r="I64" s="1">
        <f>IF(Suma!$B63=$A$1,Suma!AD63,NA())</f>
        <v>0</v>
      </c>
      <c r="J64" s="1">
        <f>IF(Suma!$B63=$A$1,Suma!AK63,NA())</f>
        <v>0</v>
      </c>
      <c r="K64" s="10">
        <f>IF(Suma!$B63=$A$1,Suma!AS63,NA())</f>
        <v>0</v>
      </c>
      <c r="L64" s="1">
        <f>IF(Suma!$B63=$A$1,Suma!G63,NA())</f>
        <v>0</v>
      </c>
      <c r="M64" s="1">
        <f>IF(Suma!$B63=$A$1,Suma!H63,NA())</f>
        <v>0</v>
      </c>
      <c r="N64" s="1">
        <f>IF(Suma!$B63=$A$1,Suma!AT63,NA())</f>
        <v>1900</v>
      </c>
      <c r="O64" s="1" t="str">
        <f>IF(Suma!$B63=$A$1,Suma!AU63,NA())</f>
        <v>enero</v>
      </c>
      <c r="P64" s="1">
        <f>IF(Suma!$B63=$A$1,Suma!AV63,NA())</f>
        <v>0</v>
      </c>
      <c r="Q64" s="1">
        <f>IF(Suma!$B63=$A$1,Suma!AW63,NA())</f>
        <v>0</v>
      </c>
      <c r="R64" s="10">
        <f>IF(Suma!$B63=$A$1,Suma!AX63,NA())</f>
        <v>0</v>
      </c>
      <c r="S64" s="10">
        <f>IF(Suma!$B63=$A$1,Suma!AY63,NA())</f>
        <v>0</v>
      </c>
      <c r="T64" s="10">
        <f>IF(Suma!$B63=$A$1,Suma!AZ63,NA())</f>
        <v>0</v>
      </c>
      <c r="U64" s="10">
        <f>IF(Suma!$B63=$A$1,Suma!J63,NA())</f>
        <v>0</v>
      </c>
      <c r="V64" s="10">
        <f>IF(Suma!$B63=$A$1,Suma!K63,NA())</f>
        <v>0</v>
      </c>
      <c r="W64" s="10">
        <f>IF(Suma!$B63=$A$1,Suma!L63,NA())</f>
        <v>0</v>
      </c>
      <c r="X64" s="10">
        <f>IF(Suma!$B63=$A$1,Suma!M63,NA())</f>
        <v>0</v>
      </c>
      <c r="Y64" s="10">
        <f>IF(Suma!$B63=$A$1,Suma!N63,NA())</f>
        <v>0</v>
      </c>
      <c r="Z64" s="10">
        <f>IF(Suma!$B63=$A$1,Suma!O63,NA())</f>
        <v>0</v>
      </c>
      <c r="AA64" s="10">
        <f>IF(Suma!$B63=$A$1,Suma!BC63,NA())</f>
        <v>0</v>
      </c>
      <c r="AB64" s="10">
        <f>IF(Suma!$B63=$A$1,Suma!BD63,NA())</f>
        <v>0</v>
      </c>
    </row>
    <row r="65" spans="1:28" x14ac:dyDescent="0.3">
      <c r="A65" s="1">
        <f>IF(Suma!$B64=$A$1,Suma!C64,NA())</f>
        <v>0</v>
      </c>
      <c r="B65" s="1">
        <f>IF(Suma!$B64=$A$1,Suma!D64,NA())</f>
        <v>0</v>
      </c>
      <c r="C65" s="2">
        <f>IF(Suma!$B64=$A$1,Suma!E64,NA())</f>
        <v>0</v>
      </c>
      <c r="D65" s="2">
        <f>IF(Suma!$B64=$A$1,Suma!F64,NA())</f>
        <v>0</v>
      </c>
      <c r="E65" s="1">
        <f>IF(Suma!$B64=$A$1,Suma!P64,NA())</f>
        <v>0</v>
      </c>
      <c r="F65" s="10" t="e">
        <f t="shared" si="0"/>
        <v>#N/A</v>
      </c>
      <c r="G65" s="1">
        <f>IF(Suma!$B64=$A$1,Suma!W64,NA())</f>
        <v>0</v>
      </c>
      <c r="H65" s="10" t="e">
        <f t="shared" si="1"/>
        <v>#N/A</v>
      </c>
      <c r="I65" s="1">
        <f>IF(Suma!$B64=$A$1,Suma!AD64,NA())</f>
        <v>0</v>
      </c>
      <c r="J65" s="1">
        <f>IF(Suma!$B64=$A$1,Suma!AK64,NA())</f>
        <v>0</v>
      </c>
      <c r="K65" s="10">
        <f>IF(Suma!$B64=$A$1,Suma!AS64,NA())</f>
        <v>0</v>
      </c>
      <c r="L65" s="1">
        <f>IF(Suma!$B64=$A$1,Suma!G64,NA())</f>
        <v>0</v>
      </c>
      <c r="M65" s="1">
        <f>IF(Suma!$B64=$A$1,Suma!H64,NA())</f>
        <v>0</v>
      </c>
      <c r="N65" s="1">
        <f>IF(Suma!$B64=$A$1,Suma!AT64,NA())</f>
        <v>1900</v>
      </c>
      <c r="O65" s="1" t="str">
        <f>IF(Suma!$B64=$A$1,Suma!AU64,NA())</f>
        <v>enero</v>
      </c>
      <c r="P65" s="1">
        <f>IF(Suma!$B64=$A$1,Suma!AV64,NA())</f>
        <v>0</v>
      </c>
      <c r="Q65" s="1">
        <f>IF(Suma!$B64=$A$1,Suma!AW64,NA())</f>
        <v>0</v>
      </c>
      <c r="R65" s="10">
        <f>IF(Suma!$B64=$A$1,Suma!AX64,NA())</f>
        <v>0</v>
      </c>
      <c r="S65" s="10">
        <f>IF(Suma!$B64=$A$1,Suma!AY64,NA())</f>
        <v>0</v>
      </c>
      <c r="T65" s="10">
        <f>IF(Suma!$B64=$A$1,Suma!AZ64,NA())</f>
        <v>0</v>
      </c>
      <c r="U65" s="10">
        <f>IF(Suma!$B64=$A$1,Suma!J64,NA())</f>
        <v>0</v>
      </c>
      <c r="V65" s="10">
        <f>IF(Suma!$B64=$A$1,Suma!K64,NA())</f>
        <v>0</v>
      </c>
      <c r="W65" s="10">
        <f>IF(Suma!$B64=$A$1,Suma!L64,NA())</f>
        <v>0</v>
      </c>
      <c r="X65" s="10">
        <f>IF(Suma!$B64=$A$1,Suma!M64,NA())</f>
        <v>0</v>
      </c>
      <c r="Y65" s="10">
        <f>IF(Suma!$B64=$A$1,Suma!N64,NA())</f>
        <v>0</v>
      </c>
      <c r="Z65" s="10">
        <f>IF(Suma!$B64=$A$1,Suma!O64,NA())</f>
        <v>0</v>
      </c>
      <c r="AA65" s="10">
        <f>IF(Suma!$B64=$A$1,Suma!BC64,NA())</f>
        <v>0</v>
      </c>
      <c r="AB65" s="10">
        <f>IF(Suma!$B64=$A$1,Suma!BD64,NA())</f>
        <v>0</v>
      </c>
    </row>
    <row r="66" spans="1:28" x14ac:dyDescent="0.3">
      <c r="A66" s="1">
        <f>IF(Suma!$B65=$A$1,Suma!C65,NA())</f>
        <v>0</v>
      </c>
      <c r="B66" s="1">
        <f>IF(Suma!$B65=$A$1,Suma!D65,NA())</f>
        <v>0</v>
      </c>
      <c r="C66" s="2">
        <f>IF(Suma!$B65=$A$1,Suma!E65,NA())</f>
        <v>0</v>
      </c>
      <c r="D66" s="2">
        <f>IF(Suma!$B65=$A$1,Suma!F65,NA())</f>
        <v>0</v>
      </c>
      <c r="E66" s="1">
        <f>IF(Suma!$B65=$A$1,Suma!P65,NA())</f>
        <v>0</v>
      </c>
      <c r="F66" s="10" t="e">
        <f t="shared" si="0"/>
        <v>#N/A</v>
      </c>
      <c r="G66" s="1">
        <f>IF(Suma!$B65=$A$1,Suma!W65,NA())</f>
        <v>0</v>
      </c>
      <c r="H66" s="10" t="e">
        <f t="shared" si="1"/>
        <v>#N/A</v>
      </c>
      <c r="I66" s="1">
        <f>IF(Suma!$B65=$A$1,Suma!AD65,NA())</f>
        <v>0</v>
      </c>
      <c r="J66" s="1">
        <f>IF(Suma!$B65=$A$1,Suma!AK65,NA())</f>
        <v>0</v>
      </c>
      <c r="K66" s="10">
        <f>IF(Suma!$B65=$A$1,Suma!AS65,NA())</f>
        <v>0</v>
      </c>
      <c r="L66" s="1">
        <f>IF(Suma!$B65=$A$1,Suma!G65,NA())</f>
        <v>0</v>
      </c>
      <c r="M66" s="1">
        <f>IF(Suma!$B65=$A$1,Suma!H65,NA())</f>
        <v>0</v>
      </c>
      <c r="N66" s="1">
        <f>IF(Suma!$B65=$A$1,Suma!AT65,NA())</f>
        <v>1900</v>
      </c>
      <c r="O66" s="1" t="str">
        <f>IF(Suma!$B65=$A$1,Suma!AU65,NA())</f>
        <v>enero</v>
      </c>
      <c r="P66" s="1">
        <f>IF(Suma!$B65=$A$1,Suma!AV65,NA())</f>
        <v>0</v>
      </c>
      <c r="Q66" s="1">
        <f>IF(Suma!$B65=$A$1,Suma!AW65,NA())</f>
        <v>0</v>
      </c>
      <c r="R66" s="10">
        <f>IF(Suma!$B65=$A$1,Suma!AX65,NA())</f>
        <v>0</v>
      </c>
      <c r="S66" s="10">
        <f>IF(Suma!$B65=$A$1,Suma!AY65,NA())</f>
        <v>0</v>
      </c>
      <c r="T66" s="10">
        <f>IF(Suma!$B65=$A$1,Suma!AZ65,NA())</f>
        <v>0</v>
      </c>
      <c r="U66" s="10">
        <f>IF(Suma!$B65=$A$1,Suma!J65,NA())</f>
        <v>0</v>
      </c>
      <c r="V66" s="10">
        <f>IF(Suma!$B65=$A$1,Suma!K65,NA())</f>
        <v>0</v>
      </c>
      <c r="W66" s="10">
        <f>IF(Suma!$B65=$A$1,Suma!L65,NA())</f>
        <v>0</v>
      </c>
      <c r="X66" s="10">
        <f>IF(Suma!$B65=$A$1,Suma!M65,NA())</f>
        <v>0</v>
      </c>
      <c r="Y66" s="10">
        <f>IF(Suma!$B65=$A$1,Suma!N65,NA())</f>
        <v>0</v>
      </c>
      <c r="Z66" s="10">
        <f>IF(Suma!$B65=$A$1,Suma!O65,NA())</f>
        <v>0</v>
      </c>
      <c r="AA66" s="10">
        <f>IF(Suma!$B65=$A$1,Suma!BC65,NA())</f>
        <v>0</v>
      </c>
      <c r="AB66" s="10">
        <f>IF(Suma!$B65=$A$1,Suma!BD65,NA())</f>
        <v>0</v>
      </c>
    </row>
    <row r="67" spans="1:28" x14ac:dyDescent="0.3">
      <c r="A67" s="1">
        <f>IF(Suma!$B66=$A$1,Suma!C66,NA())</f>
        <v>0</v>
      </c>
      <c r="B67" s="1">
        <f>IF(Suma!$B66=$A$1,Suma!D66,NA())</f>
        <v>0</v>
      </c>
      <c r="C67" s="2">
        <f>IF(Suma!$B66=$A$1,Suma!E66,NA())</f>
        <v>0</v>
      </c>
      <c r="D67" s="2">
        <f>IF(Suma!$B66=$A$1,Suma!F66,NA())</f>
        <v>0</v>
      </c>
      <c r="E67" s="1">
        <f>IF(Suma!$B66=$A$1,Suma!P66,NA())</f>
        <v>0</v>
      </c>
      <c r="F67" s="10" t="e">
        <f t="shared" si="0"/>
        <v>#N/A</v>
      </c>
      <c r="G67" s="1">
        <f>IF(Suma!$B66=$A$1,Suma!W66,NA())</f>
        <v>0</v>
      </c>
      <c r="H67" s="10" t="e">
        <f t="shared" si="1"/>
        <v>#N/A</v>
      </c>
      <c r="I67" s="1">
        <f>IF(Suma!$B66=$A$1,Suma!AD66,NA())</f>
        <v>0</v>
      </c>
      <c r="J67" s="1">
        <f>IF(Suma!$B66=$A$1,Suma!AK66,NA())</f>
        <v>0</v>
      </c>
      <c r="K67" s="10">
        <f>IF(Suma!$B66=$A$1,Suma!AS66,NA())</f>
        <v>0</v>
      </c>
      <c r="L67" s="1">
        <f>IF(Suma!$B66=$A$1,Suma!G66,NA())</f>
        <v>0</v>
      </c>
      <c r="M67" s="1">
        <f>IF(Suma!$B66=$A$1,Suma!H66,NA())</f>
        <v>0</v>
      </c>
      <c r="N67" s="1">
        <f>IF(Suma!$B66=$A$1,Suma!AT66,NA())</f>
        <v>1900</v>
      </c>
      <c r="O67" s="1" t="str">
        <f>IF(Suma!$B66=$A$1,Suma!AU66,NA())</f>
        <v>enero</v>
      </c>
      <c r="P67" s="1">
        <f>IF(Suma!$B66=$A$1,Suma!AV66,NA())</f>
        <v>0</v>
      </c>
      <c r="Q67" s="1">
        <f>IF(Suma!$B66=$A$1,Suma!AW66,NA())</f>
        <v>0</v>
      </c>
      <c r="R67" s="10">
        <f>IF(Suma!$B66=$A$1,Suma!AX66,NA())</f>
        <v>0</v>
      </c>
      <c r="S67" s="10">
        <f>IF(Suma!$B66=$A$1,Suma!AY66,NA())</f>
        <v>0</v>
      </c>
      <c r="T67" s="10">
        <f>IF(Suma!$B66=$A$1,Suma!AZ66,NA())</f>
        <v>0</v>
      </c>
      <c r="U67" s="10">
        <f>IF(Suma!$B66=$A$1,Suma!J66,NA())</f>
        <v>0</v>
      </c>
      <c r="V67" s="10">
        <f>IF(Suma!$B66=$A$1,Suma!K66,NA())</f>
        <v>0</v>
      </c>
      <c r="W67" s="10">
        <f>IF(Suma!$B66=$A$1,Suma!L66,NA())</f>
        <v>0</v>
      </c>
      <c r="X67" s="10">
        <f>IF(Suma!$B66=$A$1,Suma!M66,NA())</f>
        <v>0</v>
      </c>
      <c r="Y67" s="10">
        <f>IF(Suma!$B66=$A$1,Suma!N66,NA())</f>
        <v>0</v>
      </c>
      <c r="Z67" s="10">
        <f>IF(Suma!$B66=$A$1,Suma!O66,NA())</f>
        <v>0</v>
      </c>
      <c r="AA67" s="10">
        <f>IF(Suma!$B66=$A$1,Suma!BC66,NA())</f>
        <v>0</v>
      </c>
      <c r="AB67" s="10">
        <f>IF(Suma!$B66=$A$1,Suma!BD66,NA())</f>
        <v>0</v>
      </c>
    </row>
    <row r="68" spans="1:28" x14ac:dyDescent="0.3">
      <c r="A68" s="1">
        <f>IF(Suma!$B67=$A$1,Suma!C67,NA())</f>
        <v>0</v>
      </c>
      <c r="B68" s="1">
        <f>IF(Suma!$B67=$A$1,Suma!D67,NA())</f>
        <v>0</v>
      </c>
      <c r="C68" s="2">
        <f>IF(Suma!$B67=$A$1,Suma!E67,NA())</f>
        <v>0</v>
      </c>
      <c r="D68" s="2">
        <f>IF(Suma!$B67=$A$1,Suma!F67,NA())</f>
        <v>0</v>
      </c>
      <c r="E68" s="1">
        <f>IF(Suma!$B67=$A$1,Suma!P67,NA())</f>
        <v>0</v>
      </c>
      <c r="F68" s="10" t="e">
        <f t="shared" ref="F68:F131" si="2">IFERROR(E68/($D68-$C68),NA())</f>
        <v>#N/A</v>
      </c>
      <c r="G68" s="1">
        <f>IF(Suma!$B67=$A$1,Suma!W67,NA())</f>
        <v>0</v>
      </c>
      <c r="H68" s="10" t="e">
        <f t="shared" ref="H68:H131" si="3">IFERROR(G68/($D68-$C68),NA())</f>
        <v>#N/A</v>
      </c>
      <c r="I68" s="1">
        <f>IF(Suma!$B67=$A$1,Suma!AD67,NA())</f>
        <v>0</v>
      </c>
      <c r="J68" s="1">
        <f>IF(Suma!$B67=$A$1,Suma!AK67,NA())</f>
        <v>0</v>
      </c>
      <c r="K68" s="10">
        <f>IF(Suma!$B67=$A$1,Suma!AS67,NA())</f>
        <v>0</v>
      </c>
      <c r="L68" s="1">
        <f>IF(Suma!$B67=$A$1,Suma!G67,NA())</f>
        <v>0</v>
      </c>
      <c r="M68" s="1">
        <f>IF(Suma!$B67=$A$1,Suma!H67,NA())</f>
        <v>0</v>
      </c>
      <c r="N68" s="1">
        <f>IF(Suma!$B67=$A$1,Suma!AT67,NA())</f>
        <v>1900</v>
      </c>
      <c r="O68" s="1" t="str">
        <f>IF(Suma!$B67=$A$1,Suma!AU67,NA())</f>
        <v>enero</v>
      </c>
      <c r="P68" s="1">
        <f>IF(Suma!$B67=$A$1,Suma!AV67,NA())</f>
        <v>0</v>
      </c>
      <c r="Q68" s="1">
        <f>IF(Suma!$B67=$A$1,Suma!AW67,NA())</f>
        <v>0</v>
      </c>
      <c r="R68" s="10">
        <f>IF(Suma!$B67=$A$1,Suma!AX67,NA())</f>
        <v>0</v>
      </c>
      <c r="S68" s="10">
        <f>IF(Suma!$B67=$A$1,Suma!AY67,NA())</f>
        <v>0</v>
      </c>
      <c r="T68" s="10">
        <f>IF(Suma!$B67=$A$1,Suma!AZ67,NA())</f>
        <v>0</v>
      </c>
      <c r="U68" s="10">
        <f>IF(Suma!$B67=$A$1,Suma!J67,NA())</f>
        <v>0</v>
      </c>
      <c r="V68" s="10">
        <f>IF(Suma!$B67=$A$1,Suma!K67,NA())</f>
        <v>0</v>
      </c>
      <c r="W68" s="10">
        <f>IF(Suma!$B67=$A$1,Suma!L67,NA())</f>
        <v>0</v>
      </c>
      <c r="X68" s="10">
        <f>IF(Suma!$B67=$A$1,Suma!M67,NA())</f>
        <v>0</v>
      </c>
      <c r="Y68" s="10">
        <f>IF(Suma!$B67=$A$1,Suma!N67,NA())</f>
        <v>0</v>
      </c>
      <c r="Z68" s="10">
        <f>IF(Suma!$B67=$A$1,Suma!O67,NA())</f>
        <v>0</v>
      </c>
      <c r="AA68" s="10">
        <f>IF(Suma!$B67=$A$1,Suma!BC67,NA())</f>
        <v>0</v>
      </c>
      <c r="AB68" s="10">
        <f>IF(Suma!$B67=$A$1,Suma!BD67,NA())</f>
        <v>0</v>
      </c>
    </row>
    <row r="69" spans="1:28" x14ac:dyDescent="0.3">
      <c r="A69" s="1">
        <f>IF(Suma!$B68=$A$1,Suma!C68,NA())</f>
        <v>0</v>
      </c>
      <c r="B69" s="1">
        <f>IF(Suma!$B68=$A$1,Suma!D68,NA())</f>
        <v>0</v>
      </c>
      <c r="C69" s="2">
        <f>IF(Suma!$B68=$A$1,Suma!E68,NA())</f>
        <v>0</v>
      </c>
      <c r="D69" s="2">
        <f>IF(Suma!$B68=$A$1,Suma!F68,NA())</f>
        <v>0</v>
      </c>
      <c r="E69" s="1">
        <f>IF(Suma!$B68=$A$1,Suma!P68,NA())</f>
        <v>0</v>
      </c>
      <c r="F69" s="10" t="e">
        <f t="shared" si="2"/>
        <v>#N/A</v>
      </c>
      <c r="G69" s="1">
        <f>IF(Suma!$B68=$A$1,Suma!W68,NA())</f>
        <v>0</v>
      </c>
      <c r="H69" s="10" t="e">
        <f t="shared" si="3"/>
        <v>#N/A</v>
      </c>
      <c r="I69" s="1">
        <f>IF(Suma!$B68=$A$1,Suma!AD68,NA())</f>
        <v>0</v>
      </c>
      <c r="J69" s="1">
        <f>IF(Suma!$B68=$A$1,Suma!AK68,NA())</f>
        <v>0</v>
      </c>
      <c r="K69" s="10">
        <f>IF(Suma!$B68=$A$1,Suma!AS68,NA())</f>
        <v>0</v>
      </c>
      <c r="L69" s="1">
        <f>IF(Suma!$B68=$A$1,Suma!G68,NA())</f>
        <v>0</v>
      </c>
      <c r="M69" s="1">
        <f>IF(Suma!$B68=$A$1,Suma!H68,NA())</f>
        <v>0</v>
      </c>
      <c r="N69" s="1">
        <f>IF(Suma!$B68=$A$1,Suma!AT68,NA())</f>
        <v>1900</v>
      </c>
      <c r="O69" s="1" t="str">
        <f>IF(Suma!$B68=$A$1,Suma!AU68,NA())</f>
        <v>enero</v>
      </c>
      <c r="P69" s="1">
        <f>IF(Suma!$B68=$A$1,Suma!AV68,NA())</f>
        <v>0</v>
      </c>
      <c r="Q69" s="1">
        <f>IF(Suma!$B68=$A$1,Suma!AW68,NA())</f>
        <v>0</v>
      </c>
      <c r="R69" s="10">
        <f>IF(Suma!$B68=$A$1,Suma!AX68,NA())</f>
        <v>0</v>
      </c>
      <c r="S69" s="10">
        <f>IF(Suma!$B68=$A$1,Suma!AY68,NA())</f>
        <v>0</v>
      </c>
      <c r="T69" s="10">
        <f>IF(Suma!$B68=$A$1,Suma!AZ68,NA())</f>
        <v>0</v>
      </c>
      <c r="U69" s="10">
        <f>IF(Suma!$B68=$A$1,Suma!J68,NA())</f>
        <v>0</v>
      </c>
      <c r="V69" s="10">
        <f>IF(Suma!$B68=$A$1,Suma!K68,NA())</f>
        <v>0</v>
      </c>
      <c r="W69" s="10">
        <f>IF(Suma!$B68=$A$1,Suma!L68,NA())</f>
        <v>0</v>
      </c>
      <c r="X69" s="10">
        <f>IF(Suma!$B68=$A$1,Suma!M68,NA())</f>
        <v>0</v>
      </c>
      <c r="Y69" s="10">
        <f>IF(Suma!$B68=$A$1,Suma!N68,NA())</f>
        <v>0</v>
      </c>
      <c r="Z69" s="10">
        <f>IF(Suma!$B68=$A$1,Suma!O68,NA())</f>
        <v>0</v>
      </c>
      <c r="AA69" s="10">
        <f>IF(Suma!$B68=$A$1,Suma!BC68,NA())</f>
        <v>0</v>
      </c>
      <c r="AB69" s="10">
        <f>IF(Suma!$B68=$A$1,Suma!BD68,NA())</f>
        <v>0</v>
      </c>
    </row>
    <row r="70" spans="1:28" x14ac:dyDescent="0.3">
      <c r="A70" s="1">
        <f>IF(Suma!$B69=$A$1,Suma!C69,NA())</f>
        <v>0</v>
      </c>
      <c r="B70" s="1">
        <f>IF(Suma!$B69=$A$1,Suma!D69,NA())</f>
        <v>0</v>
      </c>
      <c r="C70" s="2">
        <f>IF(Suma!$B69=$A$1,Suma!E69,NA())</f>
        <v>0</v>
      </c>
      <c r="D70" s="2">
        <f>IF(Suma!$B69=$A$1,Suma!F69,NA())</f>
        <v>0</v>
      </c>
      <c r="E70" s="1">
        <f>IF(Suma!$B69=$A$1,Suma!P69,NA())</f>
        <v>0</v>
      </c>
      <c r="F70" s="10" t="e">
        <f t="shared" si="2"/>
        <v>#N/A</v>
      </c>
      <c r="G70" s="1">
        <f>IF(Suma!$B69=$A$1,Suma!W69,NA())</f>
        <v>0</v>
      </c>
      <c r="H70" s="10" t="e">
        <f t="shared" si="3"/>
        <v>#N/A</v>
      </c>
      <c r="I70" s="1">
        <f>IF(Suma!$B69=$A$1,Suma!AD69,NA())</f>
        <v>0</v>
      </c>
      <c r="J70" s="1">
        <f>IF(Suma!$B69=$A$1,Suma!AK69,NA())</f>
        <v>0</v>
      </c>
      <c r="K70" s="10">
        <f>IF(Suma!$B69=$A$1,Suma!AS69,NA())</f>
        <v>0</v>
      </c>
      <c r="L70" s="1">
        <f>IF(Suma!$B69=$A$1,Suma!G69,NA())</f>
        <v>0</v>
      </c>
      <c r="M70" s="1">
        <f>IF(Suma!$B69=$A$1,Suma!H69,NA())</f>
        <v>0</v>
      </c>
      <c r="N70" s="1">
        <f>IF(Suma!$B69=$A$1,Suma!AT69,NA())</f>
        <v>1900</v>
      </c>
      <c r="O70" s="1" t="str">
        <f>IF(Suma!$B69=$A$1,Suma!AU69,NA())</f>
        <v>enero</v>
      </c>
      <c r="P70" s="1">
        <f>IF(Suma!$B69=$A$1,Suma!AV69,NA())</f>
        <v>0</v>
      </c>
      <c r="Q70" s="1">
        <f>IF(Suma!$B69=$A$1,Suma!AW69,NA())</f>
        <v>0</v>
      </c>
      <c r="R70" s="10">
        <f>IF(Suma!$B69=$A$1,Suma!AX69,NA())</f>
        <v>0</v>
      </c>
      <c r="S70" s="10">
        <f>IF(Suma!$B69=$A$1,Suma!AY69,NA())</f>
        <v>0</v>
      </c>
      <c r="T70" s="10">
        <f>IF(Suma!$B69=$A$1,Suma!AZ69,NA())</f>
        <v>0</v>
      </c>
      <c r="U70" s="10">
        <f>IF(Suma!$B69=$A$1,Suma!J69,NA())</f>
        <v>0</v>
      </c>
      <c r="V70" s="10">
        <f>IF(Suma!$B69=$A$1,Suma!K69,NA())</f>
        <v>0</v>
      </c>
      <c r="W70" s="10">
        <f>IF(Suma!$B69=$A$1,Suma!L69,NA())</f>
        <v>0</v>
      </c>
      <c r="X70" s="10">
        <f>IF(Suma!$B69=$A$1,Suma!M69,NA())</f>
        <v>0</v>
      </c>
      <c r="Y70" s="10">
        <f>IF(Suma!$B69=$A$1,Suma!N69,NA())</f>
        <v>0</v>
      </c>
      <c r="Z70" s="10">
        <f>IF(Suma!$B69=$A$1,Suma!O69,NA())</f>
        <v>0</v>
      </c>
      <c r="AA70" s="10">
        <f>IF(Suma!$B69=$A$1,Suma!BC69,NA())</f>
        <v>0</v>
      </c>
      <c r="AB70" s="10">
        <f>IF(Suma!$B69=$A$1,Suma!BD69,NA())</f>
        <v>0</v>
      </c>
    </row>
    <row r="71" spans="1:28" x14ac:dyDescent="0.3">
      <c r="A71" s="1">
        <f>IF(Suma!$B70=$A$1,Suma!C70,NA())</f>
        <v>0</v>
      </c>
      <c r="B71" s="1">
        <f>IF(Suma!$B70=$A$1,Suma!D70,NA())</f>
        <v>0</v>
      </c>
      <c r="C71" s="2">
        <f>IF(Suma!$B70=$A$1,Suma!E70,NA())</f>
        <v>0</v>
      </c>
      <c r="D71" s="2">
        <f>IF(Suma!$B70=$A$1,Suma!F70,NA())</f>
        <v>0</v>
      </c>
      <c r="E71" s="1">
        <f>IF(Suma!$B70=$A$1,Suma!P70,NA())</f>
        <v>0</v>
      </c>
      <c r="F71" s="10" t="e">
        <f t="shared" si="2"/>
        <v>#N/A</v>
      </c>
      <c r="G71" s="1">
        <f>IF(Suma!$B70=$A$1,Suma!W70,NA())</f>
        <v>0</v>
      </c>
      <c r="H71" s="10" t="e">
        <f t="shared" si="3"/>
        <v>#N/A</v>
      </c>
      <c r="I71" s="1">
        <f>IF(Suma!$B70=$A$1,Suma!AD70,NA())</f>
        <v>0</v>
      </c>
      <c r="J71" s="1">
        <f>IF(Suma!$B70=$A$1,Suma!AK70,NA())</f>
        <v>0</v>
      </c>
      <c r="K71" s="10">
        <f>IF(Suma!$B70=$A$1,Suma!AS70,NA())</f>
        <v>0</v>
      </c>
      <c r="L71" s="1">
        <f>IF(Suma!$B70=$A$1,Suma!G70,NA())</f>
        <v>0</v>
      </c>
      <c r="M71" s="1">
        <f>IF(Suma!$B70=$A$1,Suma!H70,NA())</f>
        <v>0</v>
      </c>
      <c r="N71" s="1">
        <f>IF(Suma!$B70=$A$1,Suma!AT70,NA())</f>
        <v>1900</v>
      </c>
      <c r="O71" s="1" t="str">
        <f>IF(Suma!$B70=$A$1,Suma!AU70,NA())</f>
        <v>enero</v>
      </c>
      <c r="P71" s="1">
        <f>IF(Suma!$B70=$A$1,Suma!AV70,NA())</f>
        <v>0</v>
      </c>
      <c r="Q71" s="1">
        <f>IF(Suma!$B70=$A$1,Suma!AW70,NA())</f>
        <v>0</v>
      </c>
      <c r="R71" s="10">
        <f>IF(Suma!$B70=$A$1,Suma!AX70,NA())</f>
        <v>0</v>
      </c>
      <c r="S71" s="10">
        <f>IF(Suma!$B70=$A$1,Suma!AY70,NA())</f>
        <v>0</v>
      </c>
      <c r="T71" s="10">
        <f>IF(Suma!$B70=$A$1,Suma!AZ70,NA())</f>
        <v>0</v>
      </c>
      <c r="U71" s="10">
        <f>IF(Suma!$B70=$A$1,Suma!J70,NA())</f>
        <v>0</v>
      </c>
      <c r="V71" s="10">
        <f>IF(Suma!$B70=$A$1,Suma!K70,NA())</f>
        <v>0</v>
      </c>
      <c r="W71" s="10">
        <f>IF(Suma!$B70=$A$1,Suma!L70,NA())</f>
        <v>0</v>
      </c>
      <c r="X71" s="10">
        <f>IF(Suma!$B70=$A$1,Suma!M70,NA())</f>
        <v>0</v>
      </c>
      <c r="Y71" s="10">
        <f>IF(Suma!$B70=$A$1,Suma!N70,NA())</f>
        <v>0</v>
      </c>
      <c r="Z71" s="10">
        <f>IF(Suma!$B70=$A$1,Suma!O70,NA())</f>
        <v>0</v>
      </c>
      <c r="AA71" s="10">
        <f>IF(Suma!$B70=$A$1,Suma!BC70,NA())</f>
        <v>0</v>
      </c>
      <c r="AB71" s="10">
        <f>IF(Suma!$B70=$A$1,Suma!BD70,NA())</f>
        <v>0</v>
      </c>
    </row>
    <row r="72" spans="1:28" x14ac:dyDescent="0.3">
      <c r="A72" s="1">
        <f>IF(Suma!$B71=$A$1,Suma!C71,NA())</f>
        <v>0</v>
      </c>
      <c r="B72" s="1">
        <f>IF(Suma!$B71=$A$1,Suma!D71,NA())</f>
        <v>0</v>
      </c>
      <c r="C72" s="2">
        <f>IF(Suma!$B71=$A$1,Suma!E71,NA())</f>
        <v>0</v>
      </c>
      <c r="D72" s="2">
        <f>IF(Suma!$B71=$A$1,Suma!F71,NA())</f>
        <v>0</v>
      </c>
      <c r="E72" s="1">
        <f>IF(Suma!$B71=$A$1,Suma!P71,NA())</f>
        <v>0</v>
      </c>
      <c r="F72" s="10" t="e">
        <f t="shared" si="2"/>
        <v>#N/A</v>
      </c>
      <c r="G72" s="1">
        <f>IF(Suma!$B71=$A$1,Suma!W71,NA())</f>
        <v>0</v>
      </c>
      <c r="H72" s="10" t="e">
        <f t="shared" si="3"/>
        <v>#N/A</v>
      </c>
      <c r="I72" s="1">
        <f>IF(Suma!$B71=$A$1,Suma!AD71,NA())</f>
        <v>0</v>
      </c>
      <c r="J72" s="1">
        <f>IF(Suma!$B71=$A$1,Suma!AK71,NA())</f>
        <v>0</v>
      </c>
      <c r="K72" s="10">
        <f>IF(Suma!$B71=$A$1,Suma!AS71,NA())</f>
        <v>0</v>
      </c>
      <c r="L72" s="1">
        <f>IF(Suma!$B71=$A$1,Suma!G71,NA())</f>
        <v>0</v>
      </c>
      <c r="M72" s="1">
        <f>IF(Suma!$B71=$A$1,Suma!H71,NA())</f>
        <v>0</v>
      </c>
      <c r="N72" s="1">
        <f>IF(Suma!$B71=$A$1,Suma!AT71,NA())</f>
        <v>1900</v>
      </c>
      <c r="O72" s="1" t="str">
        <f>IF(Suma!$B71=$A$1,Suma!AU71,NA())</f>
        <v>enero</v>
      </c>
      <c r="P72" s="1">
        <f>IF(Suma!$B71=$A$1,Suma!AV71,NA())</f>
        <v>0</v>
      </c>
      <c r="Q72" s="1">
        <f>IF(Suma!$B71=$A$1,Suma!AW71,NA())</f>
        <v>0</v>
      </c>
      <c r="R72" s="10">
        <f>IF(Suma!$B71=$A$1,Suma!AX71,NA())</f>
        <v>0</v>
      </c>
      <c r="S72" s="10">
        <f>IF(Suma!$B71=$A$1,Suma!AY71,NA())</f>
        <v>0</v>
      </c>
      <c r="T72" s="10">
        <f>IF(Suma!$B71=$A$1,Suma!AZ71,NA())</f>
        <v>0</v>
      </c>
      <c r="U72" s="10">
        <f>IF(Suma!$B71=$A$1,Suma!J71,NA())</f>
        <v>0</v>
      </c>
      <c r="V72" s="10">
        <f>IF(Suma!$B71=$A$1,Suma!K71,NA())</f>
        <v>0</v>
      </c>
      <c r="W72" s="10">
        <f>IF(Suma!$B71=$A$1,Suma!L71,NA())</f>
        <v>0</v>
      </c>
      <c r="X72" s="10">
        <f>IF(Suma!$B71=$A$1,Suma!M71,NA())</f>
        <v>0</v>
      </c>
      <c r="Y72" s="10">
        <f>IF(Suma!$B71=$A$1,Suma!N71,NA())</f>
        <v>0</v>
      </c>
      <c r="Z72" s="10">
        <f>IF(Suma!$B71=$A$1,Suma!O71,NA())</f>
        <v>0</v>
      </c>
      <c r="AA72" s="10">
        <f>IF(Suma!$B71=$A$1,Suma!BC71,NA())</f>
        <v>0</v>
      </c>
      <c r="AB72" s="10">
        <f>IF(Suma!$B71=$A$1,Suma!BD71,NA())</f>
        <v>0</v>
      </c>
    </row>
    <row r="73" spans="1:28" x14ac:dyDescent="0.3">
      <c r="A73" s="1">
        <f>IF(Suma!$B72=$A$1,Suma!C72,NA())</f>
        <v>0</v>
      </c>
      <c r="B73" s="1">
        <f>IF(Suma!$B72=$A$1,Suma!D72,NA())</f>
        <v>0</v>
      </c>
      <c r="C73" s="2">
        <f>IF(Suma!$B72=$A$1,Suma!E72,NA())</f>
        <v>0</v>
      </c>
      <c r="D73" s="2">
        <f>IF(Suma!$B72=$A$1,Suma!F72,NA())</f>
        <v>0</v>
      </c>
      <c r="E73" s="1">
        <f>IF(Suma!$B72=$A$1,Suma!P72,NA())</f>
        <v>0</v>
      </c>
      <c r="F73" s="10" t="e">
        <f t="shared" si="2"/>
        <v>#N/A</v>
      </c>
      <c r="G73" s="1">
        <f>IF(Suma!$B72=$A$1,Suma!W72,NA())</f>
        <v>0</v>
      </c>
      <c r="H73" s="10" t="e">
        <f t="shared" si="3"/>
        <v>#N/A</v>
      </c>
      <c r="I73" s="1">
        <f>IF(Suma!$B72=$A$1,Suma!AD72,NA())</f>
        <v>0</v>
      </c>
      <c r="J73" s="1">
        <f>IF(Suma!$B72=$A$1,Suma!AK72,NA())</f>
        <v>0</v>
      </c>
      <c r="K73" s="10">
        <f>IF(Suma!$B72=$A$1,Suma!AS72,NA())</f>
        <v>0</v>
      </c>
      <c r="L73" s="1">
        <f>IF(Suma!$B72=$A$1,Suma!G72,NA())</f>
        <v>0</v>
      </c>
      <c r="M73" s="1">
        <f>IF(Suma!$B72=$A$1,Suma!H72,NA())</f>
        <v>0</v>
      </c>
      <c r="N73" s="1">
        <f>IF(Suma!$B72=$A$1,Suma!AT72,NA())</f>
        <v>1900</v>
      </c>
      <c r="O73" s="1" t="str">
        <f>IF(Suma!$B72=$A$1,Suma!AU72,NA())</f>
        <v>enero</v>
      </c>
      <c r="P73" s="1">
        <f>IF(Suma!$B72=$A$1,Suma!AV72,NA())</f>
        <v>0</v>
      </c>
      <c r="Q73" s="1">
        <f>IF(Suma!$B72=$A$1,Suma!AW72,NA())</f>
        <v>0</v>
      </c>
      <c r="R73" s="10">
        <f>IF(Suma!$B72=$A$1,Suma!AX72,NA())</f>
        <v>0</v>
      </c>
      <c r="S73" s="10">
        <f>IF(Suma!$B72=$A$1,Suma!AY72,NA())</f>
        <v>0</v>
      </c>
      <c r="T73" s="10">
        <f>IF(Suma!$B72=$A$1,Suma!AZ72,NA())</f>
        <v>0</v>
      </c>
      <c r="U73" s="10">
        <f>IF(Suma!$B72=$A$1,Suma!J72,NA())</f>
        <v>0</v>
      </c>
      <c r="V73" s="10">
        <f>IF(Suma!$B72=$A$1,Suma!K72,NA())</f>
        <v>0</v>
      </c>
      <c r="W73" s="10">
        <f>IF(Suma!$B72=$A$1,Suma!L72,NA())</f>
        <v>0</v>
      </c>
      <c r="X73" s="10">
        <f>IF(Suma!$B72=$A$1,Suma!M72,NA())</f>
        <v>0</v>
      </c>
      <c r="Y73" s="10">
        <f>IF(Suma!$B72=$A$1,Suma!N72,NA())</f>
        <v>0</v>
      </c>
      <c r="Z73" s="10">
        <f>IF(Suma!$B72=$A$1,Suma!O72,NA())</f>
        <v>0</v>
      </c>
      <c r="AA73" s="10">
        <f>IF(Suma!$B72=$A$1,Suma!BC72,NA())</f>
        <v>0</v>
      </c>
      <c r="AB73" s="10">
        <f>IF(Suma!$B72=$A$1,Suma!BD72,NA())</f>
        <v>0</v>
      </c>
    </row>
    <row r="74" spans="1:28" x14ac:dyDescent="0.3">
      <c r="A74" s="1">
        <f>IF(Suma!$B73=$A$1,Suma!C73,NA())</f>
        <v>0</v>
      </c>
      <c r="B74" s="1">
        <f>IF(Suma!$B73=$A$1,Suma!D73,NA())</f>
        <v>0</v>
      </c>
      <c r="C74" s="2">
        <f>IF(Suma!$B73=$A$1,Suma!E73,NA())</f>
        <v>0</v>
      </c>
      <c r="D74" s="2">
        <f>IF(Suma!$B73=$A$1,Suma!F73,NA())</f>
        <v>0</v>
      </c>
      <c r="E74" s="1">
        <f>IF(Suma!$B73=$A$1,Suma!P73,NA())</f>
        <v>0</v>
      </c>
      <c r="F74" s="10" t="e">
        <f t="shared" si="2"/>
        <v>#N/A</v>
      </c>
      <c r="G74" s="1">
        <f>IF(Suma!$B73=$A$1,Suma!W73,NA())</f>
        <v>0</v>
      </c>
      <c r="H74" s="10" t="e">
        <f t="shared" si="3"/>
        <v>#N/A</v>
      </c>
      <c r="I74" s="1">
        <f>IF(Suma!$B73=$A$1,Suma!AD73,NA())</f>
        <v>0</v>
      </c>
      <c r="J74" s="1">
        <f>IF(Suma!$B73=$A$1,Suma!AK73,NA())</f>
        <v>0</v>
      </c>
      <c r="K74" s="10">
        <f>IF(Suma!$B73=$A$1,Suma!AS73,NA())</f>
        <v>0</v>
      </c>
      <c r="L74" s="1">
        <f>IF(Suma!$B73=$A$1,Suma!G73,NA())</f>
        <v>0</v>
      </c>
      <c r="M74" s="1">
        <f>IF(Suma!$B73=$A$1,Suma!H73,NA())</f>
        <v>0</v>
      </c>
      <c r="N74" s="1">
        <f>IF(Suma!$B73=$A$1,Suma!AT73,NA())</f>
        <v>1900</v>
      </c>
      <c r="O74" s="1" t="str">
        <f>IF(Suma!$B73=$A$1,Suma!AU73,NA())</f>
        <v>enero</v>
      </c>
      <c r="P74" s="1">
        <f>IF(Suma!$B73=$A$1,Suma!AV73,NA())</f>
        <v>0</v>
      </c>
      <c r="Q74" s="1">
        <f>IF(Suma!$B73=$A$1,Suma!AW73,NA())</f>
        <v>0</v>
      </c>
      <c r="R74" s="10">
        <f>IF(Suma!$B73=$A$1,Suma!AX73,NA())</f>
        <v>0</v>
      </c>
      <c r="S74" s="10">
        <f>IF(Suma!$B73=$A$1,Suma!AY73,NA())</f>
        <v>0</v>
      </c>
      <c r="T74" s="10">
        <f>IF(Suma!$B73=$A$1,Suma!AZ73,NA())</f>
        <v>0</v>
      </c>
      <c r="U74" s="10">
        <f>IF(Suma!$B73=$A$1,Suma!J73,NA())</f>
        <v>0</v>
      </c>
      <c r="V74" s="10">
        <f>IF(Suma!$B73=$A$1,Suma!K73,NA())</f>
        <v>0</v>
      </c>
      <c r="W74" s="10">
        <f>IF(Suma!$B73=$A$1,Suma!L73,NA())</f>
        <v>0</v>
      </c>
      <c r="X74" s="10">
        <f>IF(Suma!$B73=$A$1,Suma!M73,NA())</f>
        <v>0</v>
      </c>
      <c r="Y74" s="10">
        <f>IF(Suma!$B73=$A$1,Suma!N73,NA())</f>
        <v>0</v>
      </c>
      <c r="Z74" s="10">
        <f>IF(Suma!$B73=$A$1,Suma!O73,NA())</f>
        <v>0</v>
      </c>
      <c r="AA74" s="10">
        <f>IF(Suma!$B73=$A$1,Suma!BC73,NA())</f>
        <v>0</v>
      </c>
      <c r="AB74" s="10">
        <f>IF(Suma!$B73=$A$1,Suma!BD73,NA())</f>
        <v>0</v>
      </c>
    </row>
    <row r="75" spans="1:28" x14ac:dyDescent="0.3">
      <c r="A75" s="1">
        <f>IF(Suma!$B74=$A$1,Suma!C74,NA())</f>
        <v>0</v>
      </c>
      <c r="B75" s="1">
        <f>IF(Suma!$B74=$A$1,Suma!D74,NA())</f>
        <v>0</v>
      </c>
      <c r="C75" s="2">
        <f>IF(Suma!$B74=$A$1,Suma!E74,NA())</f>
        <v>0</v>
      </c>
      <c r="D75" s="2">
        <f>IF(Suma!$B74=$A$1,Suma!F74,NA())</f>
        <v>0</v>
      </c>
      <c r="E75" s="1">
        <f>IF(Suma!$B74=$A$1,Suma!P74,NA())</f>
        <v>0</v>
      </c>
      <c r="F75" s="10" t="e">
        <f t="shared" si="2"/>
        <v>#N/A</v>
      </c>
      <c r="G75" s="1">
        <f>IF(Suma!$B74=$A$1,Suma!W74,NA())</f>
        <v>0</v>
      </c>
      <c r="H75" s="10" t="e">
        <f t="shared" si="3"/>
        <v>#N/A</v>
      </c>
      <c r="I75" s="1">
        <f>IF(Suma!$B74=$A$1,Suma!AD74,NA())</f>
        <v>0</v>
      </c>
      <c r="J75" s="1">
        <f>IF(Suma!$B74=$A$1,Suma!AK74,NA())</f>
        <v>0</v>
      </c>
      <c r="K75" s="10">
        <f>IF(Suma!$B74=$A$1,Suma!AS74,NA())</f>
        <v>0</v>
      </c>
      <c r="L75" s="1">
        <f>IF(Suma!$B74=$A$1,Suma!G74,NA())</f>
        <v>0</v>
      </c>
      <c r="M75" s="1">
        <f>IF(Suma!$B74=$A$1,Suma!H74,NA())</f>
        <v>0</v>
      </c>
      <c r="N75" s="1">
        <f>IF(Suma!$B74=$A$1,Suma!AT74,NA())</f>
        <v>1900</v>
      </c>
      <c r="O75" s="1" t="str">
        <f>IF(Suma!$B74=$A$1,Suma!AU74,NA())</f>
        <v>enero</v>
      </c>
      <c r="P75" s="1">
        <f>IF(Suma!$B74=$A$1,Suma!AV74,NA())</f>
        <v>0</v>
      </c>
      <c r="Q75" s="1">
        <f>IF(Suma!$B74=$A$1,Suma!AW74,NA())</f>
        <v>0</v>
      </c>
      <c r="R75" s="10">
        <f>IF(Suma!$B74=$A$1,Suma!AX74,NA())</f>
        <v>0</v>
      </c>
      <c r="S75" s="10">
        <f>IF(Suma!$B74=$A$1,Suma!AY74,NA())</f>
        <v>0</v>
      </c>
      <c r="T75" s="10">
        <f>IF(Suma!$B74=$A$1,Suma!AZ74,NA())</f>
        <v>0</v>
      </c>
      <c r="U75" s="10">
        <f>IF(Suma!$B74=$A$1,Suma!J74,NA())</f>
        <v>0</v>
      </c>
      <c r="V75" s="10">
        <f>IF(Suma!$B74=$A$1,Suma!K74,NA())</f>
        <v>0</v>
      </c>
      <c r="W75" s="10">
        <f>IF(Suma!$B74=$A$1,Suma!L74,NA())</f>
        <v>0</v>
      </c>
      <c r="X75" s="10">
        <f>IF(Suma!$B74=$A$1,Suma!M74,NA())</f>
        <v>0</v>
      </c>
      <c r="Y75" s="10">
        <f>IF(Suma!$B74=$A$1,Suma!N74,NA())</f>
        <v>0</v>
      </c>
      <c r="Z75" s="10">
        <f>IF(Suma!$B74=$A$1,Suma!O74,NA())</f>
        <v>0</v>
      </c>
      <c r="AA75" s="10">
        <f>IF(Suma!$B74=$A$1,Suma!BC74,NA())</f>
        <v>0</v>
      </c>
      <c r="AB75" s="10">
        <f>IF(Suma!$B74=$A$1,Suma!BD74,NA())</f>
        <v>0</v>
      </c>
    </row>
    <row r="76" spans="1:28" x14ac:dyDescent="0.3">
      <c r="A76" s="1">
        <f>IF(Suma!$B75=$A$1,Suma!C75,NA())</f>
        <v>0</v>
      </c>
      <c r="B76" s="1">
        <f>IF(Suma!$B75=$A$1,Suma!D75,NA())</f>
        <v>0</v>
      </c>
      <c r="C76" s="2">
        <f>IF(Suma!$B75=$A$1,Suma!E75,NA())</f>
        <v>0</v>
      </c>
      <c r="D76" s="2">
        <f>IF(Suma!$B75=$A$1,Suma!F75,NA())</f>
        <v>0</v>
      </c>
      <c r="E76" s="1">
        <f>IF(Suma!$B75=$A$1,Suma!P75,NA())</f>
        <v>0</v>
      </c>
      <c r="F76" s="10" t="e">
        <f t="shared" si="2"/>
        <v>#N/A</v>
      </c>
      <c r="G76" s="1">
        <f>IF(Suma!$B75=$A$1,Suma!W75,NA())</f>
        <v>0</v>
      </c>
      <c r="H76" s="10" t="e">
        <f t="shared" si="3"/>
        <v>#N/A</v>
      </c>
      <c r="I76" s="1">
        <f>IF(Suma!$B75=$A$1,Suma!AD75,NA())</f>
        <v>0</v>
      </c>
      <c r="J76" s="1">
        <f>IF(Suma!$B75=$A$1,Suma!AK75,NA())</f>
        <v>0</v>
      </c>
      <c r="K76" s="10">
        <f>IF(Suma!$B75=$A$1,Suma!AS75,NA())</f>
        <v>0</v>
      </c>
      <c r="L76" s="1">
        <f>IF(Suma!$B75=$A$1,Suma!G75,NA())</f>
        <v>0</v>
      </c>
      <c r="M76" s="1">
        <f>IF(Suma!$B75=$A$1,Suma!H75,NA())</f>
        <v>0</v>
      </c>
      <c r="N76" s="1">
        <f>IF(Suma!$B75=$A$1,Suma!AT75,NA())</f>
        <v>1900</v>
      </c>
      <c r="O76" s="1" t="str">
        <f>IF(Suma!$B75=$A$1,Suma!AU75,NA())</f>
        <v>enero</v>
      </c>
      <c r="P76" s="1">
        <f>IF(Suma!$B75=$A$1,Suma!AV75,NA())</f>
        <v>0</v>
      </c>
      <c r="Q76" s="1">
        <f>IF(Suma!$B75=$A$1,Suma!AW75,NA())</f>
        <v>0</v>
      </c>
      <c r="R76" s="10">
        <f>IF(Suma!$B75=$A$1,Suma!AX75,NA())</f>
        <v>0</v>
      </c>
      <c r="S76" s="10">
        <f>IF(Suma!$B75=$A$1,Suma!AY75,NA())</f>
        <v>0</v>
      </c>
      <c r="T76" s="10">
        <f>IF(Suma!$B75=$A$1,Suma!AZ75,NA())</f>
        <v>0</v>
      </c>
      <c r="U76" s="10">
        <f>IF(Suma!$B75=$A$1,Suma!J75,NA())</f>
        <v>0</v>
      </c>
      <c r="V76" s="10">
        <f>IF(Suma!$B75=$A$1,Suma!K75,NA())</f>
        <v>0</v>
      </c>
      <c r="W76" s="10">
        <f>IF(Suma!$B75=$A$1,Suma!L75,NA())</f>
        <v>0</v>
      </c>
      <c r="X76" s="10">
        <f>IF(Suma!$B75=$A$1,Suma!M75,NA())</f>
        <v>0</v>
      </c>
      <c r="Y76" s="10">
        <f>IF(Suma!$B75=$A$1,Suma!N75,NA())</f>
        <v>0</v>
      </c>
      <c r="Z76" s="10">
        <f>IF(Suma!$B75=$A$1,Suma!O75,NA())</f>
        <v>0</v>
      </c>
      <c r="AA76" s="10">
        <f>IF(Suma!$B75=$A$1,Suma!BC75,NA())</f>
        <v>0</v>
      </c>
      <c r="AB76" s="10">
        <f>IF(Suma!$B75=$A$1,Suma!BD75,NA())</f>
        <v>0</v>
      </c>
    </row>
    <row r="77" spans="1:28" x14ac:dyDescent="0.3">
      <c r="A77" s="1">
        <f>IF(Suma!$B76=$A$1,Suma!C76,NA())</f>
        <v>0</v>
      </c>
      <c r="B77" s="1">
        <f>IF(Suma!$B76=$A$1,Suma!D76,NA())</f>
        <v>0</v>
      </c>
      <c r="C77" s="2">
        <f>IF(Suma!$B76=$A$1,Suma!E76,NA())</f>
        <v>0</v>
      </c>
      <c r="D77" s="2">
        <f>IF(Suma!$B76=$A$1,Suma!F76,NA())</f>
        <v>0</v>
      </c>
      <c r="E77" s="1">
        <f>IF(Suma!$B76=$A$1,Suma!P76,NA())</f>
        <v>0</v>
      </c>
      <c r="F77" s="10" t="e">
        <f t="shared" si="2"/>
        <v>#N/A</v>
      </c>
      <c r="G77" s="1">
        <f>IF(Suma!$B76=$A$1,Suma!W76,NA())</f>
        <v>0</v>
      </c>
      <c r="H77" s="10" t="e">
        <f t="shared" si="3"/>
        <v>#N/A</v>
      </c>
      <c r="I77" s="1">
        <f>IF(Suma!$B76=$A$1,Suma!AD76,NA())</f>
        <v>0</v>
      </c>
      <c r="J77" s="1">
        <f>IF(Suma!$B76=$A$1,Suma!AK76,NA())</f>
        <v>0</v>
      </c>
      <c r="K77" s="10">
        <f>IF(Suma!$B76=$A$1,Suma!AS76,NA())</f>
        <v>0</v>
      </c>
      <c r="L77" s="1">
        <f>IF(Suma!$B76=$A$1,Suma!G76,NA())</f>
        <v>0</v>
      </c>
      <c r="M77" s="1">
        <f>IF(Suma!$B76=$A$1,Suma!H76,NA())</f>
        <v>0</v>
      </c>
      <c r="N77" s="1">
        <f>IF(Suma!$B76=$A$1,Suma!AT76,NA())</f>
        <v>1900</v>
      </c>
      <c r="O77" s="1" t="str">
        <f>IF(Suma!$B76=$A$1,Suma!AU76,NA())</f>
        <v>enero</v>
      </c>
      <c r="P77" s="1">
        <f>IF(Suma!$B76=$A$1,Suma!AV76,NA())</f>
        <v>0</v>
      </c>
      <c r="Q77" s="1">
        <f>IF(Suma!$B76=$A$1,Suma!AW76,NA())</f>
        <v>0</v>
      </c>
      <c r="R77" s="10">
        <f>IF(Suma!$B76=$A$1,Suma!AX76,NA())</f>
        <v>0</v>
      </c>
      <c r="S77" s="10">
        <f>IF(Suma!$B76=$A$1,Suma!AY76,NA())</f>
        <v>0</v>
      </c>
      <c r="T77" s="10">
        <f>IF(Suma!$B76=$A$1,Suma!AZ76,NA())</f>
        <v>0</v>
      </c>
      <c r="U77" s="10">
        <f>IF(Suma!$B76=$A$1,Suma!J76,NA())</f>
        <v>0</v>
      </c>
      <c r="V77" s="10">
        <f>IF(Suma!$B76=$A$1,Suma!K76,NA())</f>
        <v>0</v>
      </c>
      <c r="W77" s="10">
        <f>IF(Suma!$B76=$A$1,Suma!L76,NA())</f>
        <v>0</v>
      </c>
      <c r="X77" s="10">
        <f>IF(Suma!$B76=$A$1,Suma!M76,NA())</f>
        <v>0</v>
      </c>
      <c r="Y77" s="10">
        <f>IF(Suma!$B76=$A$1,Suma!N76,NA())</f>
        <v>0</v>
      </c>
      <c r="Z77" s="10">
        <f>IF(Suma!$B76=$A$1,Suma!O76,NA())</f>
        <v>0</v>
      </c>
      <c r="AA77" s="10">
        <f>IF(Suma!$B76=$A$1,Suma!BC76,NA())</f>
        <v>0</v>
      </c>
      <c r="AB77" s="10">
        <f>IF(Suma!$B76=$A$1,Suma!BD76,NA())</f>
        <v>0</v>
      </c>
    </row>
    <row r="78" spans="1:28" x14ac:dyDescent="0.3">
      <c r="A78" s="1">
        <f>IF(Suma!$B77=$A$1,Suma!C77,NA())</f>
        <v>0</v>
      </c>
      <c r="B78" s="1">
        <f>IF(Suma!$B77=$A$1,Suma!D77,NA())</f>
        <v>0</v>
      </c>
      <c r="C78" s="2">
        <f>IF(Suma!$B77=$A$1,Suma!E77,NA())</f>
        <v>0</v>
      </c>
      <c r="D78" s="2">
        <f>IF(Suma!$B77=$A$1,Suma!F77,NA())</f>
        <v>0</v>
      </c>
      <c r="E78" s="1">
        <f>IF(Suma!$B77=$A$1,Suma!P77,NA())</f>
        <v>0</v>
      </c>
      <c r="F78" s="10" t="e">
        <f t="shared" si="2"/>
        <v>#N/A</v>
      </c>
      <c r="G78" s="1">
        <f>IF(Suma!$B77=$A$1,Suma!W77,NA())</f>
        <v>0</v>
      </c>
      <c r="H78" s="10" t="e">
        <f t="shared" si="3"/>
        <v>#N/A</v>
      </c>
      <c r="I78" s="1">
        <f>IF(Suma!$B77=$A$1,Suma!AD77,NA())</f>
        <v>0</v>
      </c>
      <c r="J78" s="1">
        <f>IF(Suma!$B77=$A$1,Suma!AK77,NA())</f>
        <v>0</v>
      </c>
      <c r="K78" s="10">
        <f>IF(Suma!$B77=$A$1,Suma!AS77,NA())</f>
        <v>0</v>
      </c>
      <c r="L78" s="1">
        <f>IF(Suma!$B77=$A$1,Suma!G77,NA())</f>
        <v>0</v>
      </c>
      <c r="M78" s="1">
        <f>IF(Suma!$B77=$A$1,Suma!H77,NA())</f>
        <v>0</v>
      </c>
      <c r="N78" s="1">
        <f>IF(Suma!$B77=$A$1,Suma!AT77,NA())</f>
        <v>1900</v>
      </c>
      <c r="O78" s="1" t="str">
        <f>IF(Suma!$B77=$A$1,Suma!AU77,NA())</f>
        <v>enero</v>
      </c>
      <c r="P78" s="1">
        <f>IF(Suma!$B77=$A$1,Suma!AV77,NA())</f>
        <v>0</v>
      </c>
      <c r="Q78" s="1">
        <f>IF(Suma!$B77=$A$1,Suma!AW77,NA())</f>
        <v>0</v>
      </c>
      <c r="R78" s="10">
        <f>IF(Suma!$B77=$A$1,Suma!AX77,NA())</f>
        <v>0</v>
      </c>
      <c r="S78" s="10">
        <f>IF(Suma!$B77=$A$1,Suma!AY77,NA())</f>
        <v>0</v>
      </c>
      <c r="T78" s="10">
        <f>IF(Suma!$B77=$A$1,Suma!AZ77,NA())</f>
        <v>0</v>
      </c>
      <c r="U78" s="10">
        <f>IF(Suma!$B77=$A$1,Suma!J77,NA())</f>
        <v>0</v>
      </c>
      <c r="V78" s="10">
        <f>IF(Suma!$B77=$A$1,Suma!K77,NA())</f>
        <v>0</v>
      </c>
      <c r="W78" s="10">
        <f>IF(Suma!$B77=$A$1,Suma!L77,NA())</f>
        <v>0</v>
      </c>
      <c r="X78" s="10">
        <f>IF(Suma!$B77=$A$1,Suma!M77,NA())</f>
        <v>0</v>
      </c>
      <c r="Y78" s="10">
        <f>IF(Suma!$B77=$A$1,Suma!N77,NA())</f>
        <v>0</v>
      </c>
      <c r="Z78" s="10">
        <f>IF(Suma!$B77=$A$1,Suma!O77,NA())</f>
        <v>0</v>
      </c>
      <c r="AA78" s="10">
        <f>IF(Suma!$B77=$A$1,Suma!BC77,NA())</f>
        <v>0</v>
      </c>
      <c r="AB78" s="10">
        <f>IF(Suma!$B77=$A$1,Suma!BD77,NA())</f>
        <v>0</v>
      </c>
    </row>
    <row r="79" spans="1:28" x14ac:dyDescent="0.3">
      <c r="A79" s="1">
        <f>IF(Suma!$B78=$A$1,Suma!C78,NA())</f>
        <v>0</v>
      </c>
      <c r="B79" s="1">
        <f>IF(Suma!$B78=$A$1,Suma!D78,NA())</f>
        <v>0</v>
      </c>
      <c r="C79" s="2">
        <f>IF(Suma!$B78=$A$1,Suma!E78,NA())</f>
        <v>0</v>
      </c>
      <c r="D79" s="2">
        <f>IF(Suma!$B78=$A$1,Suma!F78,NA())</f>
        <v>0</v>
      </c>
      <c r="E79" s="1">
        <f>IF(Suma!$B78=$A$1,Suma!P78,NA())</f>
        <v>0</v>
      </c>
      <c r="F79" s="10" t="e">
        <f t="shared" si="2"/>
        <v>#N/A</v>
      </c>
      <c r="G79" s="1">
        <f>IF(Suma!$B78=$A$1,Suma!W78,NA())</f>
        <v>0</v>
      </c>
      <c r="H79" s="10" t="e">
        <f t="shared" si="3"/>
        <v>#N/A</v>
      </c>
      <c r="I79" s="1">
        <f>IF(Suma!$B78=$A$1,Suma!AD78,NA())</f>
        <v>0</v>
      </c>
      <c r="J79" s="1">
        <f>IF(Suma!$B78=$A$1,Suma!AK78,NA())</f>
        <v>0</v>
      </c>
      <c r="K79" s="10">
        <f>IF(Suma!$B78=$A$1,Suma!AS78,NA())</f>
        <v>0</v>
      </c>
      <c r="L79" s="1">
        <f>IF(Suma!$B78=$A$1,Suma!G78,NA())</f>
        <v>0</v>
      </c>
      <c r="M79" s="1">
        <f>IF(Suma!$B78=$A$1,Suma!H78,NA())</f>
        <v>0</v>
      </c>
      <c r="N79" s="1">
        <f>IF(Suma!$B78=$A$1,Suma!AT78,NA())</f>
        <v>1900</v>
      </c>
      <c r="O79" s="1" t="str">
        <f>IF(Suma!$B78=$A$1,Suma!AU78,NA())</f>
        <v>enero</v>
      </c>
      <c r="P79" s="1">
        <f>IF(Suma!$B78=$A$1,Suma!AV78,NA())</f>
        <v>0</v>
      </c>
      <c r="Q79" s="1">
        <f>IF(Suma!$B78=$A$1,Suma!AW78,NA())</f>
        <v>0</v>
      </c>
      <c r="R79" s="10">
        <f>IF(Suma!$B78=$A$1,Suma!AX78,NA())</f>
        <v>0</v>
      </c>
      <c r="S79" s="10">
        <f>IF(Suma!$B78=$A$1,Suma!AY78,NA())</f>
        <v>0</v>
      </c>
      <c r="T79" s="10">
        <f>IF(Suma!$B78=$A$1,Suma!AZ78,NA())</f>
        <v>0</v>
      </c>
      <c r="U79" s="10">
        <f>IF(Suma!$B78=$A$1,Suma!J78,NA())</f>
        <v>0</v>
      </c>
      <c r="V79" s="10">
        <f>IF(Suma!$B78=$A$1,Suma!K78,NA())</f>
        <v>0</v>
      </c>
      <c r="W79" s="10">
        <f>IF(Suma!$B78=$A$1,Suma!L78,NA())</f>
        <v>0</v>
      </c>
      <c r="X79" s="10">
        <f>IF(Suma!$B78=$A$1,Suma!M78,NA())</f>
        <v>0</v>
      </c>
      <c r="Y79" s="10">
        <f>IF(Suma!$B78=$A$1,Suma!N78,NA())</f>
        <v>0</v>
      </c>
      <c r="Z79" s="10">
        <f>IF(Suma!$B78=$A$1,Suma!O78,NA())</f>
        <v>0</v>
      </c>
      <c r="AA79" s="10">
        <f>IF(Suma!$B78=$A$1,Suma!BC78,NA())</f>
        <v>0</v>
      </c>
      <c r="AB79" s="10">
        <f>IF(Suma!$B78=$A$1,Suma!BD78,NA())</f>
        <v>0</v>
      </c>
    </row>
    <row r="80" spans="1:28" x14ac:dyDescent="0.3">
      <c r="A80" s="1">
        <f>IF(Suma!$B79=$A$1,Suma!C79,NA())</f>
        <v>0</v>
      </c>
      <c r="B80" s="1">
        <f>IF(Suma!$B79=$A$1,Suma!D79,NA())</f>
        <v>0</v>
      </c>
      <c r="C80" s="2">
        <f>IF(Suma!$B79=$A$1,Suma!E79,NA())</f>
        <v>0</v>
      </c>
      <c r="D80" s="2">
        <f>IF(Suma!$B79=$A$1,Suma!F79,NA())</f>
        <v>0</v>
      </c>
      <c r="E80" s="1">
        <f>IF(Suma!$B79=$A$1,Suma!P79,NA())</f>
        <v>0</v>
      </c>
      <c r="F80" s="10" t="e">
        <f t="shared" si="2"/>
        <v>#N/A</v>
      </c>
      <c r="G80" s="1">
        <f>IF(Suma!$B79=$A$1,Suma!W79,NA())</f>
        <v>0</v>
      </c>
      <c r="H80" s="10" t="e">
        <f t="shared" si="3"/>
        <v>#N/A</v>
      </c>
      <c r="I80" s="1">
        <f>IF(Suma!$B79=$A$1,Suma!AD79,NA())</f>
        <v>0</v>
      </c>
      <c r="J80" s="1">
        <f>IF(Suma!$B79=$A$1,Suma!AK79,NA())</f>
        <v>0</v>
      </c>
      <c r="K80" s="10">
        <f>IF(Suma!$B79=$A$1,Suma!AS79,NA())</f>
        <v>0</v>
      </c>
      <c r="L80" s="1">
        <f>IF(Suma!$B79=$A$1,Suma!G79,NA())</f>
        <v>0</v>
      </c>
      <c r="M80" s="1">
        <f>IF(Suma!$B79=$A$1,Suma!H79,NA())</f>
        <v>0</v>
      </c>
      <c r="N80" s="1">
        <f>IF(Suma!$B79=$A$1,Suma!AT79,NA())</f>
        <v>1900</v>
      </c>
      <c r="O80" s="1" t="str">
        <f>IF(Suma!$B79=$A$1,Suma!AU79,NA())</f>
        <v>enero</v>
      </c>
      <c r="P80" s="1">
        <f>IF(Suma!$B79=$A$1,Suma!AV79,NA())</f>
        <v>0</v>
      </c>
      <c r="Q80" s="1">
        <f>IF(Suma!$B79=$A$1,Suma!AW79,NA())</f>
        <v>0</v>
      </c>
      <c r="R80" s="10">
        <f>IF(Suma!$B79=$A$1,Suma!AX79,NA())</f>
        <v>0</v>
      </c>
      <c r="S80" s="10">
        <f>IF(Suma!$B79=$A$1,Suma!AY79,NA())</f>
        <v>0</v>
      </c>
      <c r="T80" s="10">
        <f>IF(Suma!$B79=$A$1,Suma!AZ79,NA())</f>
        <v>0</v>
      </c>
      <c r="U80" s="10">
        <f>IF(Suma!$B79=$A$1,Suma!J79,NA())</f>
        <v>0</v>
      </c>
      <c r="V80" s="10">
        <f>IF(Suma!$B79=$A$1,Suma!K79,NA())</f>
        <v>0</v>
      </c>
      <c r="W80" s="10">
        <f>IF(Suma!$B79=$A$1,Suma!L79,NA())</f>
        <v>0</v>
      </c>
      <c r="X80" s="10">
        <f>IF(Suma!$B79=$A$1,Suma!M79,NA())</f>
        <v>0</v>
      </c>
      <c r="Y80" s="10">
        <f>IF(Suma!$B79=$A$1,Suma!N79,NA())</f>
        <v>0</v>
      </c>
      <c r="Z80" s="10">
        <f>IF(Suma!$B79=$A$1,Suma!O79,NA())</f>
        <v>0</v>
      </c>
      <c r="AA80" s="10">
        <f>IF(Suma!$B79=$A$1,Suma!BC79,NA())</f>
        <v>0</v>
      </c>
      <c r="AB80" s="10">
        <f>IF(Suma!$B79=$A$1,Suma!BD79,NA())</f>
        <v>0</v>
      </c>
    </row>
    <row r="81" spans="1:28" x14ac:dyDescent="0.3">
      <c r="A81" s="1">
        <f>IF(Suma!$B80=$A$1,Suma!C80,NA())</f>
        <v>0</v>
      </c>
      <c r="B81" s="1">
        <f>IF(Suma!$B80=$A$1,Suma!D80,NA())</f>
        <v>0</v>
      </c>
      <c r="C81" s="2">
        <f>IF(Suma!$B80=$A$1,Suma!E80,NA())</f>
        <v>0</v>
      </c>
      <c r="D81" s="2">
        <f>IF(Suma!$B80=$A$1,Suma!F80,NA())</f>
        <v>0</v>
      </c>
      <c r="E81" s="1">
        <f>IF(Suma!$B80=$A$1,Suma!P80,NA())</f>
        <v>0</v>
      </c>
      <c r="F81" s="10" t="e">
        <f t="shared" si="2"/>
        <v>#N/A</v>
      </c>
      <c r="G81" s="1">
        <f>IF(Suma!$B80=$A$1,Suma!W80,NA())</f>
        <v>0</v>
      </c>
      <c r="H81" s="10" t="e">
        <f t="shared" si="3"/>
        <v>#N/A</v>
      </c>
      <c r="I81" s="1">
        <f>IF(Suma!$B80=$A$1,Suma!AD80,NA())</f>
        <v>0</v>
      </c>
      <c r="J81" s="1">
        <f>IF(Suma!$B80=$A$1,Suma!AK80,NA())</f>
        <v>0</v>
      </c>
      <c r="K81" s="10">
        <f>IF(Suma!$B80=$A$1,Suma!AS80,NA())</f>
        <v>0</v>
      </c>
      <c r="L81" s="1">
        <f>IF(Suma!$B80=$A$1,Suma!G80,NA())</f>
        <v>0</v>
      </c>
      <c r="M81" s="1">
        <f>IF(Suma!$B80=$A$1,Suma!H80,NA())</f>
        <v>0</v>
      </c>
      <c r="N81" s="1">
        <f>IF(Suma!$B80=$A$1,Suma!AT80,NA())</f>
        <v>1900</v>
      </c>
      <c r="O81" s="1" t="str">
        <f>IF(Suma!$B80=$A$1,Suma!AU80,NA())</f>
        <v>enero</v>
      </c>
      <c r="P81" s="1">
        <f>IF(Suma!$B80=$A$1,Suma!AV80,NA())</f>
        <v>0</v>
      </c>
      <c r="Q81" s="1">
        <f>IF(Suma!$B80=$A$1,Suma!AW80,NA())</f>
        <v>0</v>
      </c>
      <c r="R81" s="10">
        <f>IF(Suma!$B80=$A$1,Suma!AX80,NA())</f>
        <v>0</v>
      </c>
      <c r="S81" s="10">
        <f>IF(Suma!$B80=$A$1,Suma!AY80,NA())</f>
        <v>0</v>
      </c>
      <c r="T81" s="10">
        <f>IF(Suma!$B80=$A$1,Suma!AZ80,NA())</f>
        <v>0</v>
      </c>
      <c r="U81" s="10">
        <f>IF(Suma!$B80=$A$1,Suma!J80,NA())</f>
        <v>0</v>
      </c>
      <c r="V81" s="10">
        <f>IF(Suma!$B80=$A$1,Suma!K80,NA())</f>
        <v>0</v>
      </c>
      <c r="W81" s="10">
        <f>IF(Suma!$B80=$A$1,Suma!L80,NA())</f>
        <v>0</v>
      </c>
      <c r="X81" s="10">
        <f>IF(Suma!$B80=$A$1,Suma!M80,NA())</f>
        <v>0</v>
      </c>
      <c r="Y81" s="10">
        <f>IF(Suma!$B80=$A$1,Suma!N80,NA())</f>
        <v>0</v>
      </c>
      <c r="Z81" s="10">
        <f>IF(Suma!$B80=$A$1,Suma!O80,NA())</f>
        <v>0</v>
      </c>
      <c r="AA81" s="10">
        <f>IF(Suma!$B80=$A$1,Suma!BC80,NA())</f>
        <v>0</v>
      </c>
      <c r="AB81" s="10">
        <f>IF(Suma!$B80=$A$1,Suma!BD80,NA())</f>
        <v>0</v>
      </c>
    </row>
    <row r="82" spans="1:28" x14ac:dyDescent="0.3">
      <c r="A82" s="1">
        <f>IF(Suma!$B81=$A$1,Suma!C81,NA())</f>
        <v>0</v>
      </c>
      <c r="B82" s="1">
        <f>IF(Suma!$B81=$A$1,Suma!D81,NA())</f>
        <v>0</v>
      </c>
      <c r="C82" s="2">
        <f>IF(Suma!$B81=$A$1,Suma!E81,NA())</f>
        <v>0</v>
      </c>
      <c r="D82" s="2">
        <f>IF(Suma!$B81=$A$1,Suma!F81,NA())</f>
        <v>0</v>
      </c>
      <c r="E82" s="1">
        <f>IF(Suma!$B81=$A$1,Suma!P81,NA())</f>
        <v>0</v>
      </c>
      <c r="F82" s="10" t="e">
        <f t="shared" si="2"/>
        <v>#N/A</v>
      </c>
      <c r="G82" s="1">
        <f>IF(Suma!$B81=$A$1,Suma!W81,NA())</f>
        <v>0</v>
      </c>
      <c r="H82" s="10" t="e">
        <f t="shared" si="3"/>
        <v>#N/A</v>
      </c>
      <c r="I82" s="1">
        <f>IF(Suma!$B81=$A$1,Suma!AD81,NA())</f>
        <v>0</v>
      </c>
      <c r="J82" s="1">
        <f>IF(Suma!$B81=$A$1,Suma!AK81,NA())</f>
        <v>0</v>
      </c>
      <c r="K82" s="10">
        <f>IF(Suma!$B81=$A$1,Suma!AS81,NA())</f>
        <v>0</v>
      </c>
      <c r="L82" s="1">
        <f>IF(Suma!$B81=$A$1,Suma!G81,NA())</f>
        <v>0</v>
      </c>
      <c r="M82" s="1">
        <f>IF(Suma!$B81=$A$1,Suma!H81,NA())</f>
        <v>0</v>
      </c>
      <c r="N82" s="1">
        <f>IF(Suma!$B81=$A$1,Suma!AT81,NA())</f>
        <v>1900</v>
      </c>
      <c r="O82" s="1" t="str">
        <f>IF(Suma!$B81=$A$1,Suma!AU81,NA())</f>
        <v>enero</v>
      </c>
      <c r="P82" s="1">
        <f>IF(Suma!$B81=$A$1,Suma!AV81,NA())</f>
        <v>0</v>
      </c>
      <c r="Q82" s="1">
        <f>IF(Suma!$B81=$A$1,Suma!AW81,NA())</f>
        <v>0</v>
      </c>
      <c r="R82" s="10">
        <f>IF(Suma!$B81=$A$1,Suma!AX81,NA())</f>
        <v>0</v>
      </c>
      <c r="S82" s="10">
        <f>IF(Suma!$B81=$A$1,Suma!AY81,NA())</f>
        <v>0</v>
      </c>
      <c r="T82" s="10">
        <f>IF(Suma!$B81=$A$1,Suma!AZ81,NA())</f>
        <v>0</v>
      </c>
      <c r="U82" s="10">
        <f>IF(Suma!$B81=$A$1,Suma!J81,NA())</f>
        <v>0</v>
      </c>
      <c r="V82" s="10">
        <f>IF(Suma!$B81=$A$1,Suma!K81,NA())</f>
        <v>0</v>
      </c>
      <c r="W82" s="10">
        <f>IF(Suma!$B81=$A$1,Suma!L81,NA())</f>
        <v>0</v>
      </c>
      <c r="X82" s="10">
        <f>IF(Suma!$B81=$A$1,Suma!M81,NA())</f>
        <v>0</v>
      </c>
      <c r="Y82" s="10">
        <f>IF(Suma!$B81=$A$1,Suma!N81,NA())</f>
        <v>0</v>
      </c>
      <c r="Z82" s="10">
        <f>IF(Suma!$B81=$A$1,Suma!O81,NA())</f>
        <v>0</v>
      </c>
      <c r="AA82" s="10">
        <f>IF(Suma!$B81=$A$1,Suma!BC81,NA())</f>
        <v>0</v>
      </c>
      <c r="AB82" s="10">
        <f>IF(Suma!$B81=$A$1,Suma!BD81,NA())</f>
        <v>0</v>
      </c>
    </row>
    <row r="83" spans="1:28" x14ac:dyDescent="0.3">
      <c r="A83" s="1">
        <f>IF(Suma!$B82=$A$1,Suma!C82,NA())</f>
        <v>0</v>
      </c>
      <c r="B83" s="1">
        <f>IF(Suma!$B82=$A$1,Suma!D82,NA())</f>
        <v>0</v>
      </c>
      <c r="C83" s="2">
        <f>IF(Suma!$B82=$A$1,Suma!E82,NA())</f>
        <v>0</v>
      </c>
      <c r="D83" s="2">
        <f>IF(Suma!$B82=$A$1,Suma!F82,NA())</f>
        <v>0</v>
      </c>
      <c r="E83" s="1">
        <f>IF(Suma!$B82=$A$1,Suma!P82,NA())</f>
        <v>0</v>
      </c>
      <c r="F83" s="10" t="e">
        <f t="shared" si="2"/>
        <v>#N/A</v>
      </c>
      <c r="G83" s="1">
        <f>IF(Suma!$B82=$A$1,Suma!W82,NA())</f>
        <v>0</v>
      </c>
      <c r="H83" s="10" t="e">
        <f t="shared" si="3"/>
        <v>#N/A</v>
      </c>
      <c r="I83" s="1">
        <f>IF(Suma!$B82=$A$1,Suma!AD82,NA())</f>
        <v>0</v>
      </c>
      <c r="J83" s="1">
        <f>IF(Suma!$B82=$A$1,Suma!AK82,NA())</f>
        <v>0</v>
      </c>
      <c r="K83" s="10">
        <f>IF(Suma!$B82=$A$1,Suma!AS82,NA())</f>
        <v>0</v>
      </c>
      <c r="L83" s="1">
        <f>IF(Suma!$B82=$A$1,Suma!G82,NA())</f>
        <v>0</v>
      </c>
      <c r="M83" s="1">
        <f>IF(Suma!$B82=$A$1,Suma!H82,NA())</f>
        <v>0</v>
      </c>
      <c r="N83" s="1">
        <f>IF(Suma!$B82=$A$1,Suma!AT82,NA())</f>
        <v>1900</v>
      </c>
      <c r="O83" s="1" t="str">
        <f>IF(Suma!$B82=$A$1,Suma!AU82,NA())</f>
        <v>enero</v>
      </c>
      <c r="P83" s="1">
        <f>IF(Suma!$B82=$A$1,Suma!AV82,NA())</f>
        <v>0</v>
      </c>
      <c r="Q83" s="1">
        <f>IF(Suma!$B82=$A$1,Suma!AW82,NA())</f>
        <v>0</v>
      </c>
      <c r="R83" s="10">
        <f>IF(Suma!$B82=$A$1,Suma!AX82,NA())</f>
        <v>0</v>
      </c>
      <c r="S83" s="10">
        <f>IF(Suma!$B82=$A$1,Suma!AY82,NA())</f>
        <v>0</v>
      </c>
      <c r="T83" s="10">
        <f>IF(Suma!$B82=$A$1,Suma!AZ82,NA())</f>
        <v>0</v>
      </c>
      <c r="U83" s="10">
        <f>IF(Suma!$B82=$A$1,Suma!J82,NA())</f>
        <v>0</v>
      </c>
      <c r="V83" s="10">
        <f>IF(Suma!$B82=$A$1,Suma!K82,NA())</f>
        <v>0</v>
      </c>
      <c r="W83" s="10">
        <f>IF(Suma!$B82=$A$1,Suma!L82,NA())</f>
        <v>0</v>
      </c>
      <c r="X83" s="10">
        <f>IF(Suma!$B82=$A$1,Suma!M82,NA())</f>
        <v>0</v>
      </c>
      <c r="Y83" s="10">
        <f>IF(Suma!$B82=$A$1,Suma!N82,NA())</f>
        <v>0</v>
      </c>
      <c r="Z83" s="10">
        <f>IF(Suma!$B82=$A$1,Suma!O82,NA())</f>
        <v>0</v>
      </c>
      <c r="AA83" s="10">
        <f>IF(Suma!$B82=$A$1,Suma!BC82,NA())</f>
        <v>0</v>
      </c>
      <c r="AB83" s="10">
        <f>IF(Suma!$B82=$A$1,Suma!BD82,NA())</f>
        <v>0</v>
      </c>
    </row>
    <row r="84" spans="1:28" x14ac:dyDescent="0.3">
      <c r="A84" s="1">
        <f>IF(Suma!$B83=$A$1,Suma!C83,NA())</f>
        <v>0</v>
      </c>
      <c r="B84" s="1">
        <f>IF(Suma!$B83=$A$1,Suma!D83,NA())</f>
        <v>0</v>
      </c>
      <c r="C84" s="2">
        <f>IF(Suma!$B83=$A$1,Suma!E83,NA())</f>
        <v>0</v>
      </c>
      <c r="D84" s="2">
        <f>IF(Suma!$B83=$A$1,Suma!F83,NA())</f>
        <v>0</v>
      </c>
      <c r="E84" s="1">
        <f>IF(Suma!$B83=$A$1,Suma!P83,NA())</f>
        <v>0</v>
      </c>
      <c r="F84" s="10" t="e">
        <f t="shared" si="2"/>
        <v>#N/A</v>
      </c>
      <c r="G84" s="1">
        <f>IF(Suma!$B83=$A$1,Suma!W83,NA())</f>
        <v>0</v>
      </c>
      <c r="H84" s="10" t="e">
        <f t="shared" si="3"/>
        <v>#N/A</v>
      </c>
      <c r="I84" s="1">
        <f>IF(Suma!$B83=$A$1,Suma!AD83,NA())</f>
        <v>0</v>
      </c>
      <c r="J84" s="1">
        <f>IF(Suma!$B83=$A$1,Suma!AK83,NA())</f>
        <v>0</v>
      </c>
      <c r="K84" s="10">
        <f>IF(Suma!$B83=$A$1,Suma!AS83,NA())</f>
        <v>0</v>
      </c>
      <c r="L84" s="1">
        <f>IF(Suma!$B83=$A$1,Suma!G83,NA())</f>
        <v>0</v>
      </c>
      <c r="M84" s="1">
        <f>IF(Suma!$B83=$A$1,Suma!H83,NA())</f>
        <v>0</v>
      </c>
      <c r="N84" s="1">
        <f>IF(Suma!$B83=$A$1,Suma!AT83,NA())</f>
        <v>1900</v>
      </c>
      <c r="O84" s="1" t="str">
        <f>IF(Suma!$B83=$A$1,Suma!AU83,NA())</f>
        <v>enero</v>
      </c>
      <c r="P84" s="1">
        <f>IF(Suma!$B83=$A$1,Suma!AV83,NA())</f>
        <v>0</v>
      </c>
      <c r="Q84" s="1">
        <f>IF(Suma!$B83=$A$1,Suma!AW83,NA())</f>
        <v>0</v>
      </c>
      <c r="R84" s="10">
        <f>IF(Suma!$B83=$A$1,Suma!AX83,NA())</f>
        <v>0</v>
      </c>
      <c r="S84" s="10">
        <f>IF(Suma!$B83=$A$1,Suma!AY83,NA())</f>
        <v>0</v>
      </c>
      <c r="T84" s="10">
        <f>IF(Suma!$B83=$A$1,Suma!AZ83,NA())</f>
        <v>0</v>
      </c>
      <c r="U84" s="10">
        <f>IF(Suma!$B83=$A$1,Suma!J83,NA())</f>
        <v>0</v>
      </c>
      <c r="V84" s="10">
        <f>IF(Suma!$B83=$A$1,Suma!K83,NA())</f>
        <v>0</v>
      </c>
      <c r="W84" s="10">
        <f>IF(Suma!$B83=$A$1,Suma!L83,NA())</f>
        <v>0</v>
      </c>
      <c r="X84" s="10">
        <f>IF(Suma!$B83=$A$1,Suma!M83,NA())</f>
        <v>0</v>
      </c>
      <c r="Y84" s="10">
        <f>IF(Suma!$B83=$A$1,Suma!N83,NA())</f>
        <v>0</v>
      </c>
      <c r="Z84" s="10">
        <f>IF(Suma!$B83=$A$1,Suma!O83,NA())</f>
        <v>0</v>
      </c>
      <c r="AA84" s="10">
        <f>IF(Suma!$B83=$A$1,Suma!BC83,NA())</f>
        <v>0</v>
      </c>
      <c r="AB84" s="10">
        <f>IF(Suma!$B83=$A$1,Suma!BD83,NA())</f>
        <v>0</v>
      </c>
    </row>
    <row r="85" spans="1:28" x14ac:dyDescent="0.3">
      <c r="A85" s="1">
        <f>IF(Suma!$B84=$A$1,Suma!C84,NA())</f>
        <v>0</v>
      </c>
      <c r="B85" s="1">
        <f>IF(Suma!$B84=$A$1,Suma!D84,NA())</f>
        <v>0</v>
      </c>
      <c r="C85" s="2">
        <f>IF(Suma!$B84=$A$1,Suma!E84,NA())</f>
        <v>0</v>
      </c>
      <c r="D85" s="2">
        <f>IF(Suma!$B84=$A$1,Suma!F84,NA())</f>
        <v>0</v>
      </c>
      <c r="E85" s="1">
        <f>IF(Suma!$B84=$A$1,Suma!P84,NA())</f>
        <v>0</v>
      </c>
      <c r="F85" s="10" t="e">
        <f t="shared" si="2"/>
        <v>#N/A</v>
      </c>
      <c r="G85" s="1">
        <f>IF(Suma!$B84=$A$1,Suma!W84,NA())</f>
        <v>0</v>
      </c>
      <c r="H85" s="10" t="e">
        <f t="shared" si="3"/>
        <v>#N/A</v>
      </c>
      <c r="I85" s="1">
        <f>IF(Suma!$B84=$A$1,Suma!AD84,NA())</f>
        <v>0</v>
      </c>
      <c r="J85" s="1">
        <f>IF(Suma!$B84=$A$1,Suma!AK84,NA())</f>
        <v>0</v>
      </c>
      <c r="K85" s="10">
        <f>IF(Suma!$B84=$A$1,Suma!AS84,NA())</f>
        <v>0</v>
      </c>
      <c r="L85" s="1">
        <f>IF(Suma!$B84=$A$1,Suma!G84,NA())</f>
        <v>0</v>
      </c>
      <c r="M85" s="1">
        <f>IF(Suma!$B84=$A$1,Suma!H84,NA())</f>
        <v>0</v>
      </c>
      <c r="N85" s="1">
        <f>IF(Suma!$B84=$A$1,Suma!AT84,NA())</f>
        <v>1900</v>
      </c>
      <c r="O85" s="1" t="str">
        <f>IF(Suma!$B84=$A$1,Suma!AU84,NA())</f>
        <v>enero</v>
      </c>
      <c r="P85" s="1">
        <f>IF(Suma!$B84=$A$1,Suma!AV84,NA())</f>
        <v>0</v>
      </c>
      <c r="Q85" s="1">
        <f>IF(Suma!$B84=$A$1,Suma!AW84,NA())</f>
        <v>0</v>
      </c>
      <c r="R85" s="10">
        <f>IF(Suma!$B84=$A$1,Suma!AX84,NA())</f>
        <v>0</v>
      </c>
      <c r="S85" s="10">
        <f>IF(Suma!$B84=$A$1,Suma!AY84,NA())</f>
        <v>0</v>
      </c>
      <c r="T85" s="10">
        <f>IF(Suma!$B84=$A$1,Suma!AZ84,NA())</f>
        <v>0</v>
      </c>
      <c r="U85" s="10">
        <f>IF(Suma!$B84=$A$1,Suma!J84,NA())</f>
        <v>0</v>
      </c>
      <c r="V85" s="10">
        <f>IF(Suma!$B84=$A$1,Suma!K84,NA())</f>
        <v>0</v>
      </c>
      <c r="W85" s="10">
        <f>IF(Suma!$B84=$A$1,Suma!L84,NA())</f>
        <v>0</v>
      </c>
      <c r="X85" s="10">
        <f>IF(Suma!$B84=$A$1,Suma!M84,NA())</f>
        <v>0</v>
      </c>
      <c r="Y85" s="10">
        <f>IF(Suma!$B84=$A$1,Suma!N84,NA())</f>
        <v>0</v>
      </c>
      <c r="Z85" s="10">
        <f>IF(Suma!$B84=$A$1,Suma!O84,NA())</f>
        <v>0</v>
      </c>
      <c r="AA85" s="10">
        <f>IF(Suma!$B84=$A$1,Suma!BC84,NA())</f>
        <v>0</v>
      </c>
      <c r="AB85" s="10">
        <f>IF(Suma!$B84=$A$1,Suma!BD84,NA())</f>
        <v>0</v>
      </c>
    </row>
    <row r="86" spans="1:28" x14ac:dyDescent="0.3">
      <c r="A86" s="1">
        <f>IF(Suma!$B85=$A$1,Suma!C85,NA())</f>
        <v>0</v>
      </c>
      <c r="B86" s="1">
        <f>IF(Suma!$B85=$A$1,Suma!D85,NA())</f>
        <v>0</v>
      </c>
      <c r="C86" s="2">
        <f>IF(Suma!$B85=$A$1,Suma!E85,NA())</f>
        <v>0</v>
      </c>
      <c r="D86" s="2">
        <f>IF(Suma!$B85=$A$1,Suma!F85,NA())</f>
        <v>0</v>
      </c>
      <c r="E86" s="1">
        <f>IF(Suma!$B85=$A$1,Suma!P85,NA())</f>
        <v>0</v>
      </c>
      <c r="F86" s="10" t="e">
        <f t="shared" si="2"/>
        <v>#N/A</v>
      </c>
      <c r="G86" s="1">
        <f>IF(Suma!$B85=$A$1,Suma!W85,NA())</f>
        <v>0</v>
      </c>
      <c r="H86" s="10" t="e">
        <f t="shared" si="3"/>
        <v>#N/A</v>
      </c>
      <c r="I86" s="1">
        <f>IF(Suma!$B85=$A$1,Suma!AD85,NA())</f>
        <v>0</v>
      </c>
      <c r="J86" s="1">
        <f>IF(Suma!$B85=$A$1,Suma!AK85,NA())</f>
        <v>0</v>
      </c>
      <c r="K86" s="10">
        <f>IF(Suma!$B85=$A$1,Suma!AS85,NA())</f>
        <v>0</v>
      </c>
      <c r="L86" s="1">
        <f>IF(Suma!$B85=$A$1,Suma!G85,NA())</f>
        <v>0</v>
      </c>
      <c r="M86" s="1">
        <f>IF(Suma!$B85=$A$1,Suma!H85,NA())</f>
        <v>0</v>
      </c>
      <c r="N86" s="1">
        <f>IF(Suma!$B85=$A$1,Suma!AT85,NA())</f>
        <v>1900</v>
      </c>
      <c r="O86" s="1" t="str">
        <f>IF(Suma!$B85=$A$1,Suma!AU85,NA())</f>
        <v>enero</v>
      </c>
      <c r="P86" s="1">
        <f>IF(Suma!$B85=$A$1,Suma!AV85,NA())</f>
        <v>0</v>
      </c>
      <c r="Q86" s="1">
        <f>IF(Suma!$B85=$A$1,Suma!AW85,NA())</f>
        <v>0</v>
      </c>
      <c r="R86" s="10">
        <f>IF(Suma!$B85=$A$1,Suma!AX85,NA())</f>
        <v>0</v>
      </c>
      <c r="S86" s="10">
        <f>IF(Suma!$B85=$A$1,Suma!AY85,NA())</f>
        <v>0</v>
      </c>
      <c r="T86" s="10">
        <f>IF(Suma!$B85=$A$1,Suma!AZ85,NA())</f>
        <v>0</v>
      </c>
      <c r="U86" s="10">
        <f>IF(Suma!$B85=$A$1,Suma!J85,NA())</f>
        <v>0</v>
      </c>
      <c r="V86" s="10">
        <f>IF(Suma!$B85=$A$1,Suma!K85,NA())</f>
        <v>0</v>
      </c>
      <c r="W86" s="10">
        <f>IF(Suma!$B85=$A$1,Suma!L85,NA())</f>
        <v>0</v>
      </c>
      <c r="X86" s="10">
        <f>IF(Suma!$B85=$A$1,Suma!M85,NA())</f>
        <v>0</v>
      </c>
      <c r="Y86" s="10">
        <f>IF(Suma!$B85=$A$1,Suma!N85,NA())</f>
        <v>0</v>
      </c>
      <c r="Z86" s="10">
        <f>IF(Suma!$B85=$A$1,Suma!O85,NA())</f>
        <v>0</v>
      </c>
      <c r="AA86" s="10">
        <f>IF(Suma!$B85=$A$1,Suma!BC85,NA())</f>
        <v>0</v>
      </c>
      <c r="AB86" s="10">
        <f>IF(Suma!$B85=$A$1,Suma!BD85,NA())</f>
        <v>0</v>
      </c>
    </row>
    <row r="87" spans="1:28" x14ac:dyDescent="0.3">
      <c r="A87" s="1">
        <f>IF(Suma!$B86=$A$1,Suma!C86,NA())</f>
        <v>0</v>
      </c>
      <c r="B87" s="1">
        <f>IF(Suma!$B86=$A$1,Suma!D86,NA())</f>
        <v>0</v>
      </c>
      <c r="C87" s="2">
        <f>IF(Suma!$B86=$A$1,Suma!E86,NA())</f>
        <v>0</v>
      </c>
      <c r="D87" s="2">
        <f>IF(Suma!$B86=$A$1,Suma!F86,NA())</f>
        <v>0</v>
      </c>
      <c r="E87" s="1">
        <f>IF(Suma!$B86=$A$1,Suma!P86,NA())</f>
        <v>0</v>
      </c>
      <c r="F87" s="10" t="e">
        <f t="shared" si="2"/>
        <v>#N/A</v>
      </c>
      <c r="G87" s="1">
        <f>IF(Suma!$B86=$A$1,Suma!W86,NA())</f>
        <v>0</v>
      </c>
      <c r="H87" s="10" t="e">
        <f t="shared" si="3"/>
        <v>#N/A</v>
      </c>
      <c r="I87" s="1">
        <f>IF(Suma!$B86=$A$1,Suma!AD86,NA())</f>
        <v>0</v>
      </c>
      <c r="J87" s="1">
        <f>IF(Suma!$B86=$A$1,Suma!AK86,NA())</f>
        <v>0</v>
      </c>
      <c r="K87" s="10">
        <f>IF(Suma!$B86=$A$1,Suma!AS86,NA())</f>
        <v>0</v>
      </c>
      <c r="L87" s="1">
        <f>IF(Suma!$B86=$A$1,Suma!G86,NA())</f>
        <v>0</v>
      </c>
      <c r="M87" s="1">
        <f>IF(Suma!$B86=$A$1,Suma!H86,NA())</f>
        <v>0</v>
      </c>
      <c r="N87" s="1">
        <f>IF(Suma!$B86=$A$1,Suma!AT86,NA())</f>
        <v>1900</v>
      </c>
      <c r="O87" s="1" t="str">
        <f>IF(Suma!$B86=$A$1,Suma!AU86,NA())</f>
        <v>enero</v>
      </c>
      <c r="P87" s="1">
        <f>IF(Suma!$B86=$A$1,Suma!AV86,NA())</f>
        <v>0</v>
      </c>
      <c r="Q87" s="1">
        <f>IF(Suma!$B86=$A$1,Suma!AW86,NA())</f>
        <v>0</v>
      </c>
      <c r="R87" s="10">
        <f>IF(Suma!$B86=$A$1,Suma!AX86,NA())</f>
        <v>0</v>
      </c>
      <c r="S87" s="10">
        <f>IF(Suma!$B86=$A$1,Suma!AY86,NA())</f>
        <v>0</v>
      </c>
      <c r="T87" s="10">
        <f>IF(Suma!$B86=$A$1,Suma!AZ86,NA())</f>
        <v>0</v>
      </c>
      <c r="U87" s="10">
        <f>IF(Suma!$B86=$A$1,Suma!J86,NA())</f>
        <v>0</v>
      </c>
      <c r="V87" s="10">
        <f>IF(Suma!$B86=$A$1,Suma!K86,NA())</f>
        <v>0</v>
      </c>
      <c r="W87" s="10">
        <f>IF(Suma!$B86=$A$1,Suma!L86,NA())</f>
        <v>0</v>
      </c>
      <c r="X87" s="10">
        <f>IF(Suma!$B86=$A$1,Suma!M86,NA())</f>
        <v>0</v>
      </c>
      <c r="Y87" s="10">
        <f>IF(Suma!$B86=$A$1,Suma!N86,NA())</f>
        <v>0</v>
      </c>
      <c r="Z87" s="10">
        <f>IF(Suma!$B86=$A$1,Suma!O86,NA())</f>
        <v>0</v>
      </c>
      <c r="AA87" s="10">
        <f>IF(Suma!$B86=$A$1,Suma!BC86,NA())</f>
        <v>0</v>
      </c>
      <c r="AB87" s="10">
        <f>IF(Suma!$B86=$A$1,Suma!BD86,NA())</f>
        <v>0</v>
      </c>
    </row>
    <row r="88" spans="1:28" x14ac:dyDescent="0.3">
      <c r="A88" s="1">
        <f>IF(Suma!$B87=$A$1,Suma!C87,NA())</f>
        <v>0</v>
      </c>
      <c r="B88" s="1">
        <f>IF(Suma!$B87=$A$1,Suma!D87,NA())</f>
        <v>0</v>
      </c>
      <c r="C88" s="2">
        <f>IF(Suma!$B87=$A$1,Suma!E87,NA())</f>
        <v>0</v>
      </c>
      <c r="D88" s="2">
        <f>IF(Suma!$B87=$A$1,Suma!F87,NA())</f>
        <v>0</v>
      </c>
      <c r="E88" s="1">
        <f>IF(Suma!$B87=$A$1,Suma!P87,NA())</f>
        <v>0</v>
      </c>
      <c r="F88" s="10" t="e">
        <f t="shared" si="2"/>
        <v>#N/A</v>
      </c>
      <c r="G88" s="1">
        <f>IF(Suma!$B87=$A$1,Suma!W87,NA())</f>
        <v>0</v>
      </c>
      <c r="H88" s="10" t="e">
        <f t="shared" si="3"/>
        <v>#N/A</v>
      </c>
      <c r="I88" s="1">
        <f>IF(Suma!$B87=$A$1,Suma!AD87,NA())</f>
        <v>0</v>
      </c>
      <c r="J88" s="1">
        <f>IF(Suma!$B87=$A$1,Suma!AK87,NA())</f>
        <v>0</v>
      </c>
      <c r="K88" s="10">
        <f>IF(Suma!$B87=$A$1,Suma!AS87,NA())</f>
        <v>0</v>
      </c>
      <c r="L88" s="1">
        <f>IF(Suma!$B87=$A$1,Suma!G87,NA())</f>
        <v>0</v>
      </c>
      <c r="M88" s="1">
        <f>IF(Suma!$B87=$A$1,Suma!H87,NA())</f>
        <v>0</v>
      </c>
      <c r="N88" s="1">
        <f>IF(Suma!$B87=$A$1,Suma!AT87,NA())</f>
        <v>1900</v>
      </c>
      <c r="O88" s="1" t="str">
        <f>IF(Suma!$B87=$A$1,Suma!AU87,NA())</f>
        <v>enero</v>
      </c>
      <c r="P88" s="1">
        <f>IF(Suma!$B87=$A$1,Suma!AV87,NA())</f>
        <v>0</v>
      </c>
      <c r="Q88" s="1">
        <f>IF(Suma!$B87=$A$1,Suma!AW87,NA())</f>
        <v>0</v>
      </c>
      <c r="R88" s="10">
        <f>IF(Suma!$B87=$A$1,Suma!AX87,NA())</f>
        <v>0</v>
      </c>
      <c r="S88" s="10">
        <f>IF(Suma!$B87=$A$1,Suma!AY87,NA())</f>
        <v>0</v>
      </c>
      <c r="T88" s="10">
        <f>IF(Suma!$B87=$A$1,Suma!AZ87,NA())</f>
        <v>0</v>
      </c>
      <c r="U88" s="10">
        <f>IF(Suma!$B87=$A$1,Suma!J87,NA())</f>
        <v>0</v>
      </c>
      <c r="V88" s="10">
        <f>IF(Suma!$B87=$A$1,Suma!K87,NA())</f>
        <v>0</v>
      </c>
      <c r="W88" s="10">
        <f>IF(Suma!$B87=$A$1,Suma!L87,NA())</f>
        <v>0</v>
      </c>
      <c r="X88" s="10">
        <f>IF(Suma!$B87=$A$1,Suma!M87,NA())</f>
        <v>0</v>
      </c>
      <c r="Y88" s="10">
        <f>IF(Suma!$B87=$A$1,Suma!N87,NA())</f>
        <v>0</v>
      </c>
      <c r="Z88" s="10">
        <f>IF(Suma!$B87=$A$1,Suma!O87,NA())</f>
        <v>0</v>
      </c>
      <c r="AA88" s="10">
        <f>IF(Suma!$B87=$A$1,Suma!BC87,NA())</f>
        <v>0</v>
      </c>
      <c r="AB88" s="10">
        <f>IF(Suma!$B87=$A$1,Suma!BD87,NA())</f>
        <v>0</v>
      </c>
    </row>
    <row r="89" spans="1:28" x14ac:dyDescent="0.3">
      <c r="A89" s="1">
        <f>IF(Suma!$B88=$A$1,Suma!C88,NA())</f>
        <v>0</v>
      </c>
      <c r="B89" s="1">
        <f>IF(Suma!$B88=$A$1,Suma!D88,NA())</f>
        <v>0</v>
      </c>
      <c r="C89" s="2">
        <f>IF(Suma!$B88=$A$1,Suma!E88,NA())</f>
        <v>0</v>
      </c>
      <c r="D89" s="2">
        <f>IF(Suma!$B88=$A$1,Suma!F88,NA())</f>
        <v>0</v>
      </c>
      <c r="E89" s="1">
        <f>IF(Suma!$B88=$A$1,Suma!P88,NA())</f>
        <v>0</v>
      </c>
      <c r="F89" s="10" t="e">
        <f t="shared" si="2"/>
        <v>#N/A</v>
      </c>
      <c r="G89" s="1">
        <f>IF(Suma!$B88=$A$1,Suma!W88,NA())</f>
        <v>0</v>
      </c>
      <c r="H89" s="10" t="e">
        <f t="shared" si="3"/>
        <v>#N/A</v>
      </c>
      <c r="I89" s="1">
        <f>IF(Suma!$B88=$A$1,Suma!AD88,NA())</f>
        <v>0</v>
      </c>
      <c r="J89" s="1">
        <f>IF(Suma!$B88=$A$1,Suma!AK88,NA())</f>
        <v>0</v>
      </c>
      <c r="K89" s="10">
        <f>IF(Suma!$B88=$A$1,Suma!AS88,NA())</f>
        <v>0</v>
      </c>
      <c r="L89" s="1">
        <f>IF(Suma!$B88=$A$1,Suma!G88,NA())</f>
        <v>0</v>
      </c>
      <c r="M89" s="1">
        <f>IF(Suma!$B88=$A$1,Suma!H88,NA())</f>
        <v>0</v>
      </c>
      <c r="N89" s="1">
        <f>IF(Suma!$B88=$A$1,Suma!AT88,NA())</f>
        <v>1900</v>
      </c>
      <c r="O89" s="1" t="str">
        <f>IF(Suma!$B88=$A$1,Suma!AU88,NA())</f>
        <v>enero</v>
      </c>
      <c r="P89" s="1">
        <f>IF(Suma!$B88=$A$1,Suma!AV88,NA())</f>
        <v>0</v>
      </c>
      <c r="Q89" s="1">
        <f>IF(Suma!$B88=$A$1,Suma!AW88,NA())</f>
        <v>0</v>
      </c>
      <c r="R89" s="10">
        <f>IF(Suma!$B88=$A$1,Suma!AX88,NA())</f>
        <v>0</v>
      </c>
      <c r="S89" s="10">
        <f>IF(Suma!$B88=$A$1,Suma!AY88,NA())</f>
        <v>0</v>
      </c>
      <c r="T89" s="10">
        <f>IF(Suma!$B88=$A$1,Suma!AZ88,NA())</f>
        <v>0</v>
      </c>
      <c r="U89" s="10">
        <f>IF(Suma!$B88=$A$1,Suma!J88,NA())</f>
        <v>0</v>
      </c>
      <c r="V89" s="10">
        <f>IF(Suma!$B88=$A$1,Suma!K88,NA())</f>
        <v>0</v>
      </c>
      <c r="W89" s="10">
        <f>IF(Suma!$B88=$A$1,Suma!L88,NA())</f>
        <v>0</v>
      </c>
      <c r="X89" s="10">
        <f>IF(Suma!$B88=$A$1,Suma!M88,NA())</f>
        <v>0</v>
      </c>
      <c r="Y89" s="10">
        <f>IF(Suma!$B88=$A$1,Suma!N88,NA())</f>
        <v>0</v>
      </c>
      <c r="Z89" s="10">
        <f>IF(Suma!$B88=$A$1,Suma!O88,NA())</f>
        <v>0</v>
      </c>
      <c r="AA89" s="10">
        <f>IF(Suma!$B88=$A$1,Suma!BC88,NA())</f>
        <v>0</v>
      </c>
      <c r="AB89" s="10">
        <f>IF(Suma!$B88=$A$1,Suma!BD88,NA())</f>
        <v>0</v>
      </c>
    </row>
    <row r="90" spans="1:28" x14ac:dyDescent="0.3">
      <c r="A90" s="1">
        <f>IF(Suma!$B89=$A$1,Suma!C89,NA())</f>
        <v>0</v>
      </c>
      <c r="B90" s="1">
        <f>IF(Suma!$B89=$A$1,Suma!D89,NA())</f>
        <v>0</v>
      </c>
      <c r="C90" s="2">
        <f>IF(Suma!$B89=$A$1,Suma!E89,NA())</f>
        <v>0</v>
      </c>
      <c r="D90" s="2">
        <f>IF(Suma!$B89=$A$1,Suma!F89,NA())</f>
        <v>0</v>
      </c>
      <c r="E90" s="1">
        <f>IF(Suma!$B89=$A$1,Suma!P89,NA())</f>
        <v>0</v>
      </c>
      <c r="F90" s="10" t="e">
        <f t="shared" si="2"/>
        <v>#N/A</v>
      </c>
      <c r="G90" s="1">
        <f>IF(Suma!$B89=$A$1,Suma!W89,NA())</f>
        <v>0</v>
      </c>
      <c r="H90" s="10" t="e">
        <f t="shared" si="3"/>
        <v>#N/A</v>
      </c>
      <c r="I90" s="1">
        <f>IF(Suma!$B89=$A$1,Suma!AD89,NA())</f>
        <v>0</v>
      </c>
      <c r="J90" s="1">
        <f>IF(Suma!$B89=$A$1,Suma!AK89,NA())</f>
        <v>0</v>
      </c>
      <c r="K90" s="10">
        <f>IF(Suma!$B89=$A$1,Suma!AS89,NA())</f>
        <v>0</v>
      </c>
      <c r="L90" s="1">
        <f>IF(Suma!$B89=$A$1,Suma!G89,NA())</f>
        <v>0</v>
      </c>
      <c r="M90" s="1">
        <f>IF(Suma!$B89=$A$1,Suma!H89,NA())</f>
        <v>0</v>
      </c>
      <c r="N90" s="1">
        <f>IF(Suma!$B89=$A$1,Suma!AT89,NA())</f>
        <v>1900</v>
      </c>
      <c r="O90" s="1" t="str">
        <f>IF(Suma!$B89=$A$1,Suma!AU89,NA())</f>
        <v>enero</v>
      </c>
      <c r="P90" s="1">
        <f>IF(Suma!$B89=$A$1,Suma!AV89,NA())</f>
        <v>0</v>
      </c>
      <c r="Q90" s="1">
        <f>IF(Suma!$B89=$A$1,Suma!AW89,NA())</f>
        <v>0</v>
      </c>
      <c r="R90" s="10">
        <f>IF(Suma!$B89=$A$1,Suma!AX89,NA())</f>
        <v>0</v>
      </c>
      <c r="S90" s="10">
        <f>IF(Suma!$B89=$A$1,Suma!AY89,NA())</f>
        <v>0</v>
      </c>
      <c r="T90" s="10">
        <f>IF(Suma!$B89=$A$1,Suma!AZ89,NA())</f>
        <v>0</v>
      </c>
      <c r="U90" s="10">
        <f>IF(Suma!$B89=$A$1,Suma!J89,NA())</f>
        <v>0</v>
      </c>
      <c r="V90" s="10">
        <f>IF(Suma!$B89=$A$1,Suma!K89,NA())</f>
        <v>0</v>
      </c>
      <c r="W90" s="10">
        <f>IF(Suma!$B89=$A$1,Suma!L89,NA())</f>
        <v>0</v>
      </c>
      <c r="X90" s="10">
        <f>IF(Suma!$B89=$A$1,Suma!M89,NA())</f>
        <v>0</v>
      </c>
      <c r="Y90" s="10">
        <f>IF(Suma!$B89=$A$1,Suma!N89,NA())</f>
        <v>0</v>
      </c>
      <c r="Z90" s="10">
        <f>IF(Suma!$B89=$A$1,Suma!O89,NA())</f>
        <v>0</v>
      </c>
      <c r="AA90" s="10">
        <f>IF(Suma!$B89=$A$1,Suma!BC89,NA())</f>
        <v>0</v>
      </c>
      <c r="AB90" s="10">
        <f>IF(Suma!$B89=$A$1,Suma!BD89,NA())</f>
        <v>0</v>
      </c>
    </row>
    <row r="91" spans="1:28" x14ac:dyDescent="0.3">
      <c r="A91" s="1">
        <f>IF(Suma!$B90=$A$1,Suma!C90,NA())</f>
        <v>0</v>
      </c>
      <c r="B91" s="1">
        <f>IF(Suma!$B90=$A$1,Suma!D90,NA())</f>
        <v>0</v>
      </c>
      <c r="C91" s="2">
        <f>IF(Suma!$B90=$A$1,Suma!E90,NA())</f>
        <v>0</v>
      </c>
      <c r="D91" s="2">
        <f>IF(Suma!$B90=$A$1,Suma!F90,NA())</f>
        <v>0</v>
      </c>
      <c r="E91" s="1">
        <f>IF(Suma!$B90=$A$1,Suma!P90,NA())</f>
        <v>0</v>
      </c>
      <c r="F91" s="10" t="e">
        <f t="shared" si="2"/>
        <v>#N/A</v>
      </c>
      <c r="G91" s="1">
        <f>IF(Suma!$B90=$A$1,Suma!W90,NA())</f>
        <v>0</v>
      </c>
      <c r="H91" s="10" t="e">
        <f t="shared" si="3"/>
        <v>#N/A</v>
      </c>
      <c r="I91" s="1">
        <f>IF(Suma!$B90=$A$1,Suma!AD90,NA())</f>
        <v>0</v>
      </c>
      <c r="J91" s="1">
        <f>IF(Suma!$B90=$A$1,Suma!AK90,NA())</f>
        <v>0</v>
      </c>
      <c r="K91" s="10">
        <f>IF(Suma!$B90=$A$1,Suma!AS90,NA())</f>
        <v>0</v>
      </c>
      <c r="L91" s="1">
        <f>IF(Suma!$B90=$A$1,Suma!G90,NA())</f>
        <v>0</v>
      </c>
      <c r="M91" s="1">
        <f>IF(Suma!$B90=$A$1,Suma!H90,NA())</f>
        <v>0</v>
      </c>
      <c r="N91" s="1">
        <f>IF(Suma!$B90=$A$1,Suma!AT90,NA())</f>
        <v>1900</v>
      </c>
      <c r="O91" s="1" t="str">
        <f>IF(Suma!$B90=$A$1,Suma!AU90,NA())</f>
        <v>enero</v>
      </c>
      <c r="P91" s="1">
        <f>IF(Suma!$B90=$A$1,Suma!AV90,NA())</f>
        <v>0</v>
      </c>
      <c r="Q91" s="1">
        <f>IF(Suma!$B90=$A$1,Suma!AW90,NA())</f>
        <v>0</v>
      </c>
      <c r="R91" s="10">
        <f>IF(Suma!$B90=$A$1,Suma!AX90,NA())</f>
        <v>0</v>
      </c>
      <c r="S91" s="10">
        <f>IF(Suma!$B90=$A$1,Suma!AY90,NA())</f>
        <v>0</v>
      </c>
      <c r="T91" s="10">
        <f>IF(Suma!$B90=$A$1,Suma!AZ90,NA())</f>
        <v>0</v>
      </c>
      <c r="U91" s="10">
        <f>IF(Suma!$B90=$A$1,Suma!J90,NA())</f>
        <v>0</v>
      </c>
      <c r="V91" s="10">
        <f>IF(Suma!$B90=$A$1,Suma!K90,NA())</f>
        <v>0</v>
      </c>
      <c r="W91" s="10">
        <f>IF(Suma!$B90=$A$1,Suma!L90,NA())</f>
        <v>0</v>
      </c>
      <c r="X91" s="10">
        <f>IF(Suma!$B90=$A$1,Suma!M90,NA())</f>
        <v>0</v>
      </c>
      <c r="Y91" s="10">
        <f>IF(Suma!$B90=$A$1,Suma!N90,NA())</f>
        <v>0</v>
      </c>
      <c r="Z91" s="10">
        <f>IF(Suma!$B90=$A$1,Suma!O90,NA())</f>
        <v>0</v>
      </c>
      <c r="AA91" s="10">
        <f>IF(Suma!$B90=$A$1,Suma!BC90,NA())</f>
        <v>0</v>
      </c>
      <c r="AB91" s="10">
        <f>IF(Suma!$B90=$A$1,Suma!BD90,NA())</f>
        <v>0</v>
      </c>
    </row>
    <row r="92" spans="1:28" x14ac:dyDescent="0.3">
      <c r="A92" s="1">
        <f>IF(Suma!$B91=$A$1,Suma!C91,NA())</f>
        <v>0</v>
      </c>
      <c r="B92" s="1">
        <f>IF(Suma!$B91=$A$1,Suma!D91,NA())</f>
        <v>0</v>
      </c>
      <c r="C92" s="2">
        <f>IF(Suma!$B91=$A$1,Suma!E91,NA())</f>
        <v>0</v>
      </c>
      <c r="D92" s="2">
        <f>IF(Suma!$B91=$A$1,Suma!F91,NA())</f>
        <v>0</v>
      </c>
      <c r="E92" s="1">
        <f>IF(Suma!$B91=$A$1,Suma!P91,NA())</f>
        <v>0</v>
      </c>
      <c r="F92" s="10" t="e">
        <f t="shared" si="2"/>
        <v>#N/A</v>
      </c>
      <c r="G92" s="1">
        <f>IF(Suma!$B91=$A$1,Suma!W91,NA())</f>
        <v>0</v>
      </c>
      <c r="H92" s="10" t="e">
        <f t="shared" si="3"/>
        <v>#N/A</v>
      </c>
      <c r="I92" s="1">
        <f>IF(Suma!$B91=$A$1,Suma!AD91,NA())</f>
        <v>0</v>
      </c>
      <c r="J92" s="1">
        <f>IF(Suma!$B91=$A$1,Suma!AK91,NA())</f>
        <v>0</v>
      </c>
      <c r="K92" s="10">
        <f>IF(Suma!$B91=$A$1,Suma!AS91,NA())</f>
        <v>0</v>
      </c>
      <c r="L92" s="1">
        <f>IF(Suma!$B91=$A$1,Suma!G91,NA())</f>
        <v>0</v>
      </c>
      <c r="M92" s="1">
        <f>IF(Suma!$B91=$A$1,Suma!H91,NA())</f>
        <v>0</v>
      </c>
      <c r="N92" s="1">
        <f>IF(Suma!$B91=$A$1,Suma!AT91,NA())</f>
        <v>1900</v>
      </c>
      <c r="O92" s="1" t="str">
        <f>IF(Suma!$B91=$A$1,Suma!AU91,NA())</f>
        <v>enero</v>
      </c>
      <c r="P92" s="1">
        <f>IF(Suma!$B91=$A$1,Suma!AV91,NA())</f>
        <v>0</v>
      </c>
      <c r="Q92" s="1">
        <f>IF(Suma!$B91=$A$1,Suma!AW91,NA())</f>
        <v>0</v>
      </c>
      <c r="R92" s="10">
        <f>IF(Suma!$B91=$A$1,Suma!AX91,NA())</f>
        <v>0</v>
      </c>
      <c r="S92" s="10">
        <f>IF(Suma!$B91=$A$1,Suma!AY91,NA())</f>
        <v>0</v>
      </c>
      <c r="T92" s="10">
        <f>IF(Suma!$B91=$A$1,Suma!AZ91,NA())</f>
        <v>0</v>
      </c>
      <c r="U92" s="10">
        <f>IF(Suma!$B91=$A$1,Suma!J91,NA())</f>
        <v>0</v>
      </c>
      <c r="V92" s="10">
        <f>IF(Suma!$B91=$A$1,Suma!K91,NA())</f>
        <v>0</v>
      </c>
      <c r="W92" s="10">
        <f>IF(Suma!$B91=$A$1,Suma!L91,NA())</f>
        <v>0</v>
      </c>
      <c r="X92" s="10">
        <f>IF(Suma!$B91=$A$1,Suma!M91,NA())</f>
        <v>0</v>
      </c>
      <c r="Y92" s="10">
        <f>IF(Suma!$B91=$A$1,Suma!N91,NA())</f>
        <v>0</v>
      </c>
      <c r="Z92" s="10">
        <f>IF(Suma!$B91=$A$1,Suma!O91,NA())</f>
        <v>0</v>
      </c>
      <c r="AA92" s="10">
        <f>IF(Suma!$B91=$A$1,Suma!BC91,NA())</f>
        <v>0</v>
      </c>
      <c r="AB92" s="10">
        <f>IF(Suma!$B91=$A$1,Suma!BD91,NA())</f>
        <v>0</v>
      </c>
    </row>
    <row r="93" spans="1:28" x14ac:dyDescent="0.3">
      <c r="A93" s="1">
        <f>IF(Suma!$B92=$A$1,Suma!C92,NA())</f>
        <v>0</v>
      </c>
      <c r="B93" s="1">
        <f>IF(Suma!$B92=$A$1,Suma!D92,NA())</f>
        <v>0</v>
      </c>
      <c r="C93" s="2">
        <f>IF(Suma!$B92=$A$1,Suma!E92,NA())</f>
        <v>0</v>
      </c>
      <c r="D93" s="2">
        <f>IF(Suma!$B92=$A$1,Suma!F92,NA())</f>
        <v>0</v>
      </c>
      <c r="E93" s="1">
        <f>IF(Suma!$B92=$A$1,Suma!P92,NA())</f>
        <v>0</v>
      </c>
      <c r="F93" s="10" t="e">
        <f t="shared" si="2"/>
        <v>#N/A</v>
      </c>
      <c r="G93" s="1">
        <f>IF(Suma!$B92=$A$1,Suma!W92,NA())</f>
        <v>0</v>
      </c>
      <c r="H93" s="10" t="e">
        <f t="shared" si="3"/>
        <v>#N/A</v>
      </c>
      <c r="I93" s="1">
        <f>IF(Suma!$B92=$A$1,Suma!AD92,NA())</f>
        <v>0</v>
      </c>
      <c r="J93" s="1">
        <f>IF(Suma!$B92=$A$1,Suma!AK92,NA())</f>
        <v>0</v>
      </c>
      <c r="K93" s="10">
        <f>IF(Suma!$B92=$A$1,Suma!AS92,NA())</f>
        <v>0</v>
      </c>
      <c r="L93" s="1">
        <f>IF(Suma!$B92=$A$1,Suma!G92,NA())</f>
        <v>0</v>
      </c>
      <c r="M93" s="1">
        <f>IF(Suma!$B92=$A$1,Suma!H92,NA())</f>
        <v>0</v>
      </c>
      <c r="N93" s="1">
        <f>IF(Suma!$B92=$A$1,Suma!AT92,NA())</f>
        <v>1900</v>
      </c>
      <c r="O93" s="1" t="str">
        <f>IF(Suma!$B92=$A$1,Suma!AU92,NA())</f>
        <v>enero</v>
      </c>
      <c r="P93" s="1">
        <f>IF(Suma!$B92=$A$1,Suma!AV92,NA())</f>
        <v>0</v>
      </c>
      <c r="Q93" s="1">
        <f>IF(Suma!$B92=$A$1,Suma!AW92,NA())</f>
        <v>0</v>
      </c>
      <c r="R93" s="10">
        <f>IF(Suma!$B92=$A$1,Suma!AX92,NA())</f>
        <v>0</v>
      </c>
      <c r="S93" s="10">
        <f>IF(Suma!$B92=$A$1,Suma!AY92,NA())</f>
        <v>0</v>
      </c>
      <c r="T93" s="10">
        <f>IF(Suma!$B92=$A$1,Suma!AZ92,NA())</f>
        <v>0</v>
      </c>
      <c r="U93" s="10">
        <f>IF(Suma!$B92=$A$1,Suma!J92,NA())</f>
        <v>0</v>
      </c>
      <c r="V93" s="10">
        <f>IF(Suma!$B92=$A$1,Suma!K92,NA())</f>
        <v>0</v>
      </c>
      <c r="W93" s="10">
        <f>IF(Suma!$B92=$A$1,Suma!L92,NA())</f>
        <v>0</v>
      </c>
      <c r="X93" s="10">
        <f>IF(Suma!$B92=$A$1,Suma!M92,NA())</f>
        <v>0</v>
      </c>
      <c r="Y93" s="10">
        <f>IF(Suma!$B92=$A$1,Suma!N92,NA())</f>
        <v>0</v>
      </c>
      <c r="Z93" s="10">
        <f>IF(Suma!$B92=$A$1,Suma!O92,NA())</f>
        <v>0</v>
      </c>
      <c r="AA93" s="10">
        <f>IF(Suma!$B92=$A$1,Suma!BC92,NA())</f>
        <v>0</v>
      </c>
      <c r="AB93" s="10">
        <f>IF(Suma!$B92=$A$1,Suma!BD92,NA())</f>
        <v>0</v>
      </c>
    </row>
    <row r="94" spans="1:28" x14ac:dyDescent="0.3">
      <c r="A94" s="1">
        <f>IF(Suma!$B93=$A$1,Suma!C93,NA())</f>
        <v>0</v>
      </c>
      <c r="B94" s="1">
        <f>IF(Suma!$B93=$A$1,Suma!D93,NA())</f>
        <v>0</v>
      </c>
      <c r="C94" s="2">
        <f>IF(Suma!$B93=$A$1,Suma!E93,NA())</f>
        <v>0</v>
      </c>
      <c r="D94" s="2">
        <f>IF(Suma!$B93=$A$1,Suma!F93,NA())</f>
        <v>0</v>
      </c>
      <c r="E94" s="1">
        <f>IF(Suma!$B93=$A$1,Suma!P93,NA())</f>
        <v>0</v>
      </c>
      <c r="F94" s="10" t="e">
        <f t="shared" si="2"/>
        <v>#N/A</v>
      </c>
      <c r="G94" s="1">
        <f>IF(Suma!$B93=$A$1,Suma!W93,NA())</f>
        <v>0</v>
      </c>
      <c r="H94" s="10" t="e">
        <f t="shared" si="3"/>
        <v>#N/A</v>
      </c>
      <c r="I94" s="1">
        <f>IF(Suma!$B93=$A$1,Suma!AD93,NA())</f>
        <v>0</v>
      </c>
      <c r="J94" s="1">
        <f>IF(Suma!$B93=$A$1,Suma!AK93,NA())</f>
        <v>0</v>
      </c>
      <c r="K94" s="10">
        <f>IF(Suma!$B93=$A$1,Suma!AS93,NA())</f>
        <v>0</v>
      </c>
      <c r="L94" s="1">
        <f>IF(Suma!$B93=$A$1,Suma!G93,NA())</f>
        <v>0</v>
      </c>
      <c r="M94" s="1">
        <f>IF(Suma!$B93=$A$1,Suma!H93,NA())</f>
        <v>0</v>
      </c>
      <c r="N94" s="1">
        <f>IF(Suma!$B93=$A$1,Suma!AT93,NA())</f>
        <v>1900</v>
      </c>
      <c r="O94" s="1" t="str">
        <f>IF(Suma!$B93=$A$1,Suma!AU93,NA())</f>
        <v>enero</v>
      </c>
      <c r="P94" s="1">
        <f>IF(Suma!$B93=$A$1,Suma!AV93,NA())</f>
        <v>0</v>
      </c>
      <c r="Q94" s="1">
        <f>IF(Suma!$B93=$A$1,Suma!AW93,NA())</f>
        <v>0</v>
      </c>
      <c r="R94" s="10">
        <f>IF(Suma!$B93=$A$1,Suma!AX93,NA())</f>
        <v>0</v>
      </c>
      <c r="S94" s="10">
        <f>IF(Suma!$B93=$A$1,Suma!AY93,NA())</f>
        <v>0</v>
      </c>
      <c r="T94" s="10">
        <f>IF(Suma!$B93=$A$1,Suma!AZ93,NA())</f>
        <v>0</v>
      </c>
      <c r="U94" s="10">
        <f>IF(Suma!$B93=$A$1,Suma!J93,NA())</f>
        <v>0</v>
      </c>
      <c r="V94" s="10">
        <f>IF(Suma!$B93=$A$1,Suma!K93,NA())</f>
        <v>0</v>
      </c>
      <c r="W94" s="10">
        <f>IF(Suma!$B93=$A$1,Suma!L93,NA())</f>
        <v>0</v>
      </c>
      <c r="X94" s="10">
        <f>IF(Suma!$B93=$A$1,Suma!M93,NA())</f>
        <v>0</v>
      </c>
      <c r="Y94" s="10">
        <f>IF(Suma!$B93=$A$1,Suma!N93,NA())</f>
        <v>0</v>
      </c>
      <c r="Z94" s="10">
        <f>IF(Suma!$B93=$A$1,Suma!O93,NA())</f>
        <v>0</v>
      </c>
      <c r="AA94" s="10">
        <f>IF(Suma!$B93=$A$1,Suma!BC93,NA())</f>
        <v>0</v>
      </c>
      <c r="AB94" s="10">
        <f>IF(Suma!$B93=$A$1,Suma!BD93,NA())</f>
        <v>0</v>
      </c>
    </row>
    <row r="95" spans="1:28" x14ac:dyDescent="0.3">
      <c r="A95" s="1">
        <f>IF(Suma!$B94=$A$1,Suma!C94,NA())</f>
        <v>0</v>
      </c>
      <c r="B95" s="1">
        <f>IF(Suma!$B94=$A$1,Suma!D94,NA())</f>
        <v>0</v>
      </c>
      <c r="C95" s="2">
        <f>IF(Suma!$B94=$A$1,Suma!E94,NA())</f>
        <v>0</v>
      </c>
      <c r="D95" s="2">
        <f>IF(Suma!$B94=$A$1,Suma!F94,NA())</f>
        <v>0</v>
      </c>
      <c r="E95" s="1">
        <f>IF(Suma!$B94=$A$1,Suma!P94,NA())</f>
        <v>0</v>
      </c>
      <c r="F95" s="10" t="e">
        <f t="shared" si="2"/>
        <v>#N/A</v>
      </c>
      <c r="G95" s="1">
        <f>IF(Suma!$B94=$A$1,Suma!W94,NA())</f>
        <v>0</v>
      </c>
      <c r="H95" s="10" t="e">
        <f t="shared" si="3"/>
        <v>#N/A</v>
      </c>
      <c r="I95" s="1">
        <f>IF(Suma!$B94=$A$1,Suma!AD94,NA())</f>
        <v>0</v>
      </c>
      <c r="J95" s="1">
        <f>IF(Suma!$B94=$A$1,Suma!AK94,NA())</f>
        <v>0</v>
      </c>
      <c r="K95" s="10">
        <f>IF(Suma!$B94=$A$1,Suma!AS94,NA())</f>
        <v>0</v>
      </c>
      <c r="L95" s="1">
        <f>IF(Suma!$B94=$A$1,Suma!G94,NA())</f>
        <v>0</v>
      </c>
      <c r="M95" s="1">
        <f>IF(Suma!$B94=$A$1,Suma!H94,NA())</f>
        <v>0</v>
      </c>
      <c r="N95" s="1">
        <f>IF(Suma!$B94=$A$1,Suma!AT94,NA())</f>
        <v>1900</v>
      </c>
      <c r="O95" s="1" t="str">
        <f>IF(Suma!$B94=$A$1,Suma!AU94,NA())</f>
        <v>enero</v>
      </c>
      <c r="P95" s="1">
        <f>IF(Suma!$B94=$A$1,Suma!AV94,NA())</f>
        <v>0</v>
      </c>
      <c r="Q95" s="1">
        <f>IF(Suma!$B94=$A$1,Suma!AW94,NA())</f>
        <v>0</v>
      </c>
      <c r="R95" s="10">
        <f>IF(Suma!$B94=$A$1,Suma!AX94,NA())</f>
        <v>0</v>
      </c>
      <c r="S95" s="10">
        <f>IF(Suma!$B94=$A$1,Suma!AY94,NA())</f>
        <v>0</v>
      </c>
      <c r="T95" s="10">
        <f>IF(Suma!$B94=$A$1,Suma!AZ94,NA())</f>
        <v>0</v>
      </c>
      <c r="U95" s="10">
        <f>IF(Suma!$B94=$A$1,Suma!J94,NA())</f>
        <v>0</v>
      </c>
      <c r="V95" s="10">
        <f>IF(Suma!$B94=$A$1,Suma!K94,NA())</f>
        <v>0</v>
      </c>
      <c r="W95" s="10">
        <f>IF(Suma!$B94=$A$1,Suma!L94,NA())</f>
        <v>0</v>
      </c>
      <c r="X95" s="10">
        <f>IF(Suma!$B94=$A$1,Suma!M94,NA())</f>
        <v>0</v>
      </c>
      <c r="Y95" s="10">
        <f>IF(Suma!$B94=$A$1,Suma!N94,NA())</f>
        <v>0</v>
      </c>
      <c r="Z95" s="10">
        <f>IF(Suma!$B94=$A$1,Suma!O94,NA())</f>
        <v>0</v>
      </c>
      <c r="AA95" s="10">
        <f>IF(Suma!$B94=$A$1,Suma!BC94,NA())</f>
        <v>0</v>
      </c>
      <c r="AB95" s="10">
        <f>IF(Suma!$B94=$A$1,Suma!BD94,NA())</f>
        <v>0</v>
      </c>
    </row>
    <row r="96" spans="1:28" x14ac:dyDescent="0.3">
      <c r="A96" s="1">
        <f>IF(Suma!$B95=$A$1,Suma!C95,NA())</f>
        <v>0</v>
      </c>
      <c r="B96" s="1">
        <f>IF(Suma!$B95=$A$1,Suma!D95,NA())</f>
        <v>0</v>
      </c>
      <c r="C96" s="2">
        <f>IF(Suma!$B95=$A$1,Suma!E95,NA())</f>
        <v>0</v>
      </c>
      <c r="D96" s="2">
        <f>IF(Suma!$B95=$A$1,Suma!F95,NA())</f>
        <v>0</v>
      </c>
      <c r="E96" s="1">
        <f>IF(Suma!$B95=$A$1,Suma!P95,NA())</f>
        <v>0</v>
      </c>
      <c r="F96" s="10" t="e">
        <f t="shared" si="2"/>
        <v>#N/A</v>
      </c>
      <c r="G96" s="1">
        <f>IF(Suma!$B95=$A$1,Suma!W95,NA())</f>
        <v>0</v>
      </c>
      <c r="H96" s="10" t="e">
        <f t="shared" si="3"/>
        <v>#N/A</v>
      </c>
      <c r="I96" s="1">
        <f>IF(Suma!$B95=$A$1,Suma!AD95,NA())</f>
        <v>0</v>
      </c>
      <c r="J96" s="1">
        <f>IF(Suma!$B95=$A$1,Suma!AK95,NA())</f>
        <v>0</v>
      </c>
      <c r="K96" s="10">
        <f>IF(Suma!$B95=$A$1,Suma!AS95,NA())</f>
        <v>0</v>
      </c>
      <c r="L96" s="1">
        <f>IF(Suma!$B95=$A$1,Suma!G95,NA())</f>
        <v>0</v>
      </c>
      <c r="M96" s="1">
        <f>IF(Suma!$B95=$A$1,Suma!H95,NA())</f>
        <v>0</v>
      </c>
      <c r="N96" s="1">
        <f>IF(Suma!$B95=$A$1,Suma!AT95,NA())</f>
        <v>1900</v>
      </c>
      <c r="O96" s="1" t="str">
        <f>IF(Suma!$B95=$A$1,Suma!AU95,NA())</f>
        <v>enero</v>
      </c>
      <c r="P96" s="1">
        <f>IF(Suma!$B95=$A$1,Suma!AV95,NA())</f>
        <v>0</v>
      </c>
      <c r="Q96" s="1">
        <f>IF(Suma!$B95=$A$1,Suma!AW95,NA())</f>
        <v>0</v>
      </c>
      <c r="R96" s="10">
        <f>IF(Suma!$B95=$A$1,Suma!AX95,NA())</f>
        <v>0</v>
      </c>
      <c r="S96" s="10">
        <f>IF(Suma!$B95=$A$1,Suma!AY95,NA())</f>
        <v>0</v>
      </c>
      <c r="T96" s="10">
        <f>IF(Suma!$B95=$A$1,Suma!AZ95,NA())</f>
        <v>0</v>
      </c>
      <c r="U96" s="10">
        <f>IF(Suma!$B95=$A$1,Suma!J95,NA())</f>
        <v>0</v>
      </c>
      <c r="V96" s="10">
        <f>IF(Suma!$B95=$A$1,Suma!K95,NA())</f>
        <v>0</v>
      </c>
      <c r="W96" s="10">
        <f>IF(Suma!$B95=$A$1,Suma!L95,NA())</f>
        <v>0</v>
      </c>
      <c r="X96" s="10">
        <f>IF(Suma!$B95=$A$1,Suma!M95,NA())</f>
        <v>0</v>
      </c>
      <c r="Y96" s="10">
        <f>IF(Suma!$B95=$A$1,Suma!N95,NA())</f>
        <v>0</v>
      </c>
      <c r="Z96" s="10">
        <f>IF(Suma!$B95=$A$1,Suma!O95,NA())</f>
        <v>0</v>
      </c>
      <c r="AA96" s="10">
        <f>IF(Suma!$B95=$A$1,Suma!BC95,NA())</f>
        <v>0</v>
      </c>
      <c r="AB96" s="10">
        <f>IF(Suma!$B95=$A$1,Suma!BD95,NA())</f>
        <v>0</v>
      </c>
    </row>
    <row r="97" spans="1:28" x14ac:dyDescent="0.3">
      <c r="A97" s="1">
        <f>IF(Suma!$B96=$A$1,Suma!C96,NA())</f>
        <v>0</v>
      </c>
      <c r="B97" s="1">
        <f>IF(Suma!$B96=$A$1,Suma!D96,NA())</f>
        <v>0</v>
      </c>
      <c r="C97" s="2">
        <f>IF(Suma!$B96=$A$1,Suma!E96,NA())</f>
        <v>0</v>
      </c>
      <c r="D97" s="2">
        <f>IF(Suma!$B96=$A$1,Suma!F96,NA())</f>
        <v>0</v>
      </c>
      <c r="E97" s="1">
        <f>IF(Suma!$B96=$A$1,Suma!P96,NA())</f>
        <v>0</v>
      </c>
      <c r="F97" s="10" t="e">
        <f t="shared" si="2"/>
        <v>#N/A</v>
      </c>
      <c r="G97" s="1">
        <f>IF(Suma!$B96=$A$1,Suma!W96,NA())</f>
        <v>0</v>
      </c>
      <c r="H97" s="10" t="e">
        <f t="shared" si="3"/>
        <v>#N/A</v>
      </c>
      <c r="I97" s="1">
        <f>IF(Suma!$B96=$A$1,Suma!AD96,NA())</f>
        <v>0</v>
      </c>
      <c r="J97" s="1">
        <f>IF(Suma!$B96=$A$1,Suma!AK96,NA())</f>
        <v>0</v>
      </c>
      <c r="K97" s="10">
        <f>IF(Suma!$B96=$A$1,Suma!AS96,NA())</f>
        <v>0</v>
      </c>
      <c r="L97" s="1">
        <f>IF(Suma!$B96=$A$1,Suma!G96,NA())</f>
        <v>0</v>
      </c>
      <c r="M97" s="1">
        <f>IF(Suma!$B96=$A$1,Suma!H96,NA())</f>
        <v>0</v>
      </c>
      <c r="N97" s="1">
        <f>IF(Suma!$B96=$A$1,Suma!AT96,NA())</f>
        <v>1900</v>
      </c>
      <c r="O97" s="1" t="str">
        <f>IF(Suma!$B96=$A$1,Suma!AU96,NA())</f>
        <v>enero</v>
      </c>
      <c r="P97" s="1">
        <f>IF(Suma!$B96=$A$1,Suma!AV96,NA())</f>
        <v>0</v>
      </c>
      <c r="Q97" s="1">
        <f>IF(Suma!$B96=$A$1,Suma!AW96,NA())</f>
        <v>0</v>
      </c>
      <c r="R97" s="10">
        <f>IF(Suma!$B96=$A$1,Suma!AX96,NA())</f>
        <v>0</v>
      </c>
      <c r="S97" s="10">
        <f>IF(Suma!$B96=$A$1,Suma!AY96,NA())</f>
        <v>0</v>
      </c>
      <c r="T97" s="10">
        <f>IF(Suma!$B96=$A$1,Suma!AZ96,NA())</f>
        <v>0</v>
      </c>
      <c r="U97" s="10">
        <f>IF(Suma!$B96=$A$1,Suma!J96,NA())</f>
        <v>0</v>
      </c>
      <c r="V97" s="10">
        <f>IF(Suma!$B96=$A$1,Suma!K96,NA())</f>
        <v>0</v>
      </c>
      <c r="W97" s="10">
        <f>IF(Suma!$B96=$A$1,Suma!L96,NA())</f>
        <v>0</v>
      </c>
      <c r="X97" s="10">
        <f>IF(Suma!$B96=$A$1,Suma!M96,NA())</f>
        <v>0</v>
      </c>
      <c r="Y97" s="10">
        <f>IF(Suma!$B96=$A$1,Suma!N96,NA())</f>
        <v>0</v>
      </c>
      <c r="Z97" s="10">
        <f>IF(Suma!$B96=$A$1,Suma!O96,NA())</f>
        <v>0</v>
      </c>
      <c r="AA97" s="10">
        <f>IF(Suma!$B96=$A$1,Suma!BC96,NA())</f>
        <v>0</v>
      </c>
      <c r="AB97" s="10">
        <f>IF(Suma!$B96=$A$1,Suma!BD96,NA())</f>
        <v>0</v>
      </c>
    </row>
    <row r="98" spans="1:28" x14ac:dyDescent="0.3">
      <c r="A98" s="1">
        <f>IF(Suma!$B97=$A$1,Suma!C97,NA())</f>
        <v>0</v>
      </c>
      <c r="B98" s="1">
        <f>IF(Suma!$B97=$A$1,Suma!D97,NA())</f>
        <v>0</v>
      </c>
      <c r="C98" s="2">
        <f>IF(Suma!$B97=$A$1,Suma!E97,NA())</f>
        <v>0</v>
      </c>
      <c r="D98" s="2">
        <f>IF(Suma!$B97=$A$1,Suma!F97,NA())</f>
        <v>0</v>
      </c>
      <c r="E98" s="1">
        <f>IF(Suma!$B97=$A$1,Suma!P97,NA())</f>
        <v>0</v>
      </c>
      <c r="F98" s="10" t="e">
        <f t="shared" si="2"/>
        <v>#N/A</v>
      </c>
      <c r="G98" s="1">
        <f>IF(Suma!$B97=$A$1,Suma!W97,NA())</f>
        <v>0</v>
      </c>
      <c r="H98" s="10" t="e">
        <f t="shared" si="3"/>
        <v>#N/A</v>
      </c>
      <c r="I98" s="1">
        <f>IF(Suma!$B97=$A$1,Suma!AD97,NA())</f>
        <v>0</v>
      </c>
      <c r="J98" s="1">
        <f>IF(Suma!$B97=$A$1,Suma!AK97,NA())</f>
        <v>0</v>
      </c>
      <c r="K98" s="10">
        <f>IF(Suma!$B97=$A$1,Suma!AS97,NA())</f>
        <v>0</v>
      </c>
      <c r="L98" s="1">
        <f>IF(Suma!$B97=$A$1,Suma!G97,NA())</f>
        <v>0</v>
      </c>
      <c r="M98" s="1">
        <f>IF(Suma!$B97=$A$1,Suma!H97,NA())</f>
        <v>0</v>
      </c>
      <c r="N98" s="1">
        <f>IF(Suma!$B97=$A$1,Suma!AT97,NA())</f>
        <v>1900</v>
      </c>
      <c r="O98" s="1" t="str">
        <f>IF(Suma!$B97=$A$1,Suma!AU97,NA())</f>
        <v>enero</v>
      </c>
      <c r="P98" s="1">
        <f>IF(Suma!$B97=$A$1,Suma!AV97,NA())</f>
        <v>0</v>
      </c>
      <c r="Q98" s="1">
        <f>IF(Suma!$B97=$A$1,Suma!AW97,NA())</f>
        <v>0</v>
      </c>
      <c r="R98" s="10">
        <f>IF(Suma!$B97=$A$1,Suma!AX97,NA())</f>
        <v>0</v>
      </c>
      <c r="S98" s="10">
        <f>IF(Suma!$B97=$A$1,Suma!AY97,NA())</f>
        <v>0</v>
      </c>
      <c r="T98" s="10">
        <f>IF(Suma!$B97=$A$1,Suma!AZ97,NA())</f>
        <v>0</v>
      </c>
      <c r="U98" s="10">
        <f>IF(Suma!$B97=$A$1,Suma!J97,NA())</f>
        <v>0</v>
      </c>
      <c r="V98" s="10">
        <f>IF(Suma!$B97=$A$1,Suma!K97,NA())</f>
        <v>0</v>
      </c>
      <c r="W98" s="10">
        <f>IF(Suma!$B97=$A$1,Suma!L97,NA())</f>
        <v>0</v>
      </c>
      <c r="X98" s="10">
        <f>IF(Suma!$B97=$A$1,Suma!M97,NA())</f>
        <v>0</v>
      </c>
      <c r="Y98" s="10">
        <f>IF(Suma!$B97=$A$1,Suma!N97,NA())</f>
        <v>0</v>
      </c>
      <c r="Z98" s="10">
        <f>IF(Suma!$B97=$A$1,Suma!O97,NA())</f>
        <v>0</v>
      </c>
      <c r="AA98" s="10">
        <f>IF(Suma!$B97=$A$1,Suma!BC97,NA())</f>
        <v>0</v>
      </c>
      <c r="AB98" s="10">
        <f>IF(Suma!$B97=$A$1,Suma!BD97,NA())</f>
        <v>0</v>
      </c>
    </row>
    <row r="99" spans="1:28" x14ac:dyDescent="0.3">
      <c r="A99" s="1">
        <f>IF(Suma!$B98=$A$1,Suma!C98,NA())</f>
        <v>0</v>
      </c>
      <c r="B99" s="1">
        <f>IF(Suma!$B98=$A$1,Suma!D98,NA())</f>
        <v>0</v>
      </c>
      <c r="C99" s="2">
        <f>IF(Suma!$B98=$A$1,Suma!E98,NA())</f>
        <v>0</v>
      </c>
      <c r="D99" s="2">
        <f>IF(Suma!$B98=$A$1,Suma!F98,NA())</f>
        <v>0</v>
      </c>
      <c r="E99" s="1">
        <f>IF(Suma!$B98=$A$1,Suma!P98,NA())</f>
        <v>0</v>
      </c>
      <c r="F99" s="10" t="e">
        <f t="shared" si="2"/>
        <v>#N/A</v>
      </c>
      <c r="G99" s="1">
        <f>IF(Suma!$B98=$A$1,Suma!W98,NA())</f>
        <v>0</v>
      </c>
      <c r="H99" s="10" t="e">
        <f t="shared" si="3"/>
        <v>#N/A</v>
      </c>
      <c r="I99" s="1">
        <f>IF(Suma!$B98=$A$1,Suma!AD98,NA())</f>
        <v>0</v>
      </c>
      <c r="J99" s="1">
        <f>IF(Suma!$B98=$A$1,Suma!AK98,NA())</f>
        <v>0</v>
      </c>
      <c r="K99" s="10">
        <f>IF(Suma!$B98=$A$1,Suma!AS98,NA())</f>
        <v>0</v>
      </c>
      <c r="L99" s="1">
        <f>IF(Suma!$B98=$A$1,Suma!G98,NA())</f>
        <v>0</v>
      </c>
      <c r="M99" s="1">
        <f>IF(Suma!$B98=$A$1,Suma!H98,NA())</f>
        <v>0</v>
      </c>
      <c r="N99" s="1">
        <f>IF(Suma!$B98=$A$1,Suma!AT98,NA())</f>
        <v>1900</v>
      </c>
      <c r="O99" s="1" t="str">
        <f>IF(Suma!$B98=$A$1,Suma!AU98,NA())</f>
        <v>enero</v>
      </c>
      <c r="P99" s="1">
        <f>IF(Suma!$B98=$A$1,Suma!AV98,NA())</f>
        <v>0</v>
      </c>
      <c r="Q99" s="1">
        <f>IF(Suma!$B98=$A$1,Suma!AW98,NA())</f>
        <v>0</v>
      </c>
      <c r="R99" s="10">
        <f>IF(Suma!$B98=$A$1,Suma!AX98,NA())</f>
        <v>0</v>
      </c>
      <c r="S99" s="10">
        <f>IF(Suma!$B98=$A$1,Suma!AY98,NA())</f>
        <v>0</v>
      </c>
      <c r="T99" s="10">
        <f>IF(Suma!$B98=$A$1,Suma!AZ98,NA())</f>
        <v>0</v>
      </c>
      <c r="U99" s="10">
        <f>IF(Suma!$B98=$A$1,Suma!J98,NA())</f>
        <v>0</v>
      </c>
      <c r="V99" s="10">
        <f>IF(Suma!$B98=$A$1,Suma!K98,NA())</f>
        <v>0</v>
      </c>
      <c r="W99" s="10">
        <f>IF(Suma!$B98=$A$1,Suma!L98,NA())</f>
        <v>0</v>
      </c>
      <c r="X99" s="10">
        <f>IF(Suma!$B98=$A$1,Suma!M98,NA())</f>
        <v>0</v>
      </c>
      <c r="Y99" s="10">
        <f>IF(Suma!$B98=$A$1,Suma!N98,NA())</f>
        <v>0</v>
      </c>
      <c r="Z99" s="10">
        <f>IF(Suma!$B98=$A$1,Suma!O98,NA())</f>
        <v>0</v>
      </c>
      <c r="AA99" s="10">
        <f>IF(Suma!$B98=$A$1,Suma!BC98,NA())</f>
        <v>0</v>
      </c>
      <c r="AB99" s="10">
        <f>IF(Suma!$B98=$A$1,Suma!BD98,NA())</f>
        <v>0</v>
      </c>
    </row>
    <row r="100" spans="1:28" x14ac:dyDescent="0.3">
      <c r="A100" s="1">
        <f>IF(Suma!$B99=$A$1,Suma!C99,NA())</f>
        <v>0</v>
      </c>
      <c r="B100" s="1">
        <f>IF(Suma!$B99=$A$1,Suma!D99,NA())</f>
        <v>0</v>
      </c>
      <c r="C100" s="2">
        <f>IF(Suma!$B99=$A$1,Suma!E99,NA())</f>
        <v>0</v>
      </c>
      <c r="D100" s="2">
        <f>IF(Suma!$B99=$A$1,Suma!F99,NA())</f>
        <v>0</v>
      </c>
      <c r="E100" s="1">
        <f>IF(Suma!$B99=$A$1,Suma!P99,NA())</f>
        <v>0</v>
      </c>
      <c r="F100" s="10" t="e">
        <f t="shared" si="2"/>
        <v>#N/A</v>
      </c>
      <c r="G100" s="1">
        <f>IF(Suma!$B99=$A$1,Suma!W99,NA())</f>
        <v>0</v>
      </c>
      <c r="H100" s="10" t="e">
        <f t="shared" si="3"/>
        <v>#N/A</v>
      </c>
      <c r="I100" s="1">
        <f>IF(Suma!$B99=$A$1,Suma!AD99,NA())</f>
        <v>0</v>
      </c>
      <c r="J100" s="1">
        <f>IF(Suma!$B99=$A$1,Suma!AK99,NA())</f>
        <v>0</v>
      </c>
      <c r="K100" s="10">
        <f>IF(Suma!$B99=$A$1,Suma!AS99,NA())</f>
        <v>0</v>
      </c>
      <c r="L100" s="1">
        <f>IF(Suma!$B99=$A$1,Suma!G99,NA())</f>
        <v>0</v>
      </c>
      <c r="M100" s="1">
        <f>IF(Suma!$B99=$A$1,Suma!H99,NA())</f>
        <v>0</v>
      </c>
      <c r="N100" s="1">
        <f>IF(Suma!$B99=$A$1,Suma!AT99,NA())</f>
        <v>1900</v>
      </c>
      <c r="O100" s="1" t="str">
        <f>IF(Suma!$B99=$A$1,Suma!AU99,NA())</f>
        <v>enero</v>
      </c>
      <c r="P100" s="1">
        <f>IF(Suma!$B99=$A$1,Suma!AV99,NA())</f>
        <v>0</v>
      </c>
      <c r="Q100" s="1">
        <f>IF(Suma!$B99=$A$1,Suma!AW99,NA())</f>
        <v>0</v>
      </c>
      <c r="R100" s="10">
        <f>IF(Suma!$B99=$A$1,Suma!AX99,NA())</f>
        <v>0</v>
      </c>
      <c r="S100" s="10">
        <f>IF(Suma!$B99=$A$1,Suma!AY99,NA())</f>
        <v>0</v>
      </c>
      <c r="T100" s="10">
        <f>IF(Suma!$B99=$A$1,Suma!AZ99,NA())</f>
        <v>0</v>
      </c>
      <c r="U100" s="10">
        <f>IF(Suma!$B99=$A$1,Suma!J99,NA())</f>
        <v>0</v>
      </c>
      <c r="V100" s="10">
        <f>IF(Suma!$B99=$A$1,Suma!K99,NA())</f>
        <v>0</v>
      </c>
      <c r="W100" s="10">
        <f>IF(Suma!$B99=$A$1,Suma!L99,NA())</f>
        <v>0</v>
      </c>
      <c r="X100" s="10">
        <f>IF(Suma!$B99=$A$1,Suma!M99,NA())</f>
        <v>0</v>
      </c>
      <c r="Y100" s="10">
        <f>IF(Suma!$B99=$A$1,Suma!N99,NA())</f>
        <v>0</v>
      </c>
      <c r="Z100" s="10">
        <f>IF(Suma!$B99=$A$1,Suma!O99,NA())</f>
        <v>0</v>
      </c>
      <c r="AA100" s="10">
        <f>IF(Suma!$B99=$A$1,Suma!BC99,NA())</f>
        <v>0</v>
      </c>
      <c r="AB100" s="10">
        <f>IF(Suma!$B99=$A$1,Suma!BD99,NA())</f>
        <v>0</v>
      </c>
    </row>
    <row r="101" spans="1:28" x14ac:dyDescent="0.3">
      <c r="A101" s="1">
        <f>IF(Suma!$B100=$A$1,Suma!C100,NA())</f>
        <v>0</v>
      </c>
      <c r="B101" s="1">
        <f>IF(Suma!$B100=$A$1,Suma!D100,NA())</f>
        <v>0</v>
      </c>
      <c r="C101" s="2">
        <f>IF(Suma!$B100=$A$1,Suma!E100,NA())</f>
        <v>0</v>
      </c>
      <c r="D101" s="2">
        <f>IF(Suma!$B100=$A$1,Suma!F100,NA())</f>
        <v>0</v>
      </c>
      <c r="E101" s="1">
        <f>IF(Suma!$B100=$A$1,Suma!P100,NA())</f>
        <v>0</v>
      </c>
      <c r="F101" s="10" t="e">
        <f t="shared" si="2"/>
        <v>#N/A</v>
      </c>
      <c r="G101" s="1">
        <f>IF(Suma!$B100=$A$1,Suma!W100,NA())</f>
        <v>0</v>
      </c>
      <c r="H101" s="10" t="e">
        <f t="shared" si="3"/>
        <v>#N/A</v>
      </c>
      <c r="I101" s="1">
        <f>IF(Suma!$B100=$A$1,Suma!AD100,NA())</f>
        <v>0</v>
      </c>
      <c r="J101" s="1">
        <f>IF(Suma!$B100=$A$1,Suma!AK100,NA())</f>
        <v>0</v>
      </c>
      <c r="K101" s="10">
        <f>IF(Suma!$B100=$A$1,Suma!AS100,NA())</f>
        <v>0</v>
      </c>
      <c r="L101" s="1">
        <f>IF(Suma!$B100=$A$1,Suma!G100,NA())</f>
        <v>0</v>
      </c>
      <c r="M101" s="1">
        <f>IF(Suma!$B100=$A$1,Suma!H100,NA())</f>
        <v>0</v>
      </c>
      <c r="N101" s="1">
        <f>IF(Suma!$B100=$A$1,Suma!AT100,NA())</f>
        <v>1900</v>
      </c>
      <c r="O101" s="1" t="str">
        <f>IF(Suma!$B100=$A$1,Suma!AU100,NA())</f>
        <v>enero</v>
      </c>
      <c r="P101" s="1">
        <f>IF(Suma!$B100=$A$1,Suma!AV100,NA())</f>
        <v>0</v>
      </c>
      <c r="Q101" s="1">
        <f>IF(Suma!$B100=$A$1,Suma!AW100,NA())</f>
        <v>0</v>
      </c>
      <c r="R101" s="10">
        <f>IF(Suma!$B100=$A$1,Suma!AX100,NA())</f>
        <v>0</v>
      </c>
      <c r="S101" s="10">
        <f>IF(Suma!$B100=$A$1,Suma!AY100,NA())</f>
        <v>0</v>
      </c>
      <c r="T101" s="10">
        <f>IF(Suma!$B100=$A$1,Suma!AZ100,NA())</f>
        <v>0</v>
      </c>
      <c r="U101" s="10">
        <f>IF(Suma!$B100=$A$1,Suma!J100,NA())</f>
        <v>0</v>
      </c>
      <c r="V101" s="10">
        <f>IF(Suma!$B100=$A$1,Suma!K100,NA())</f>
        <v>0</v>
      </c>
      <c r="W101" s="10">
        <f>IF(Suma!$B100=$A$1,Suma!L100,NA())</f>
        <v>0</v>
      </c>
      <c r="X101" s="10">
        <f>IF(Suma!$B100=$A$1,Suma!M100,NA())</f>
        <v>0</v>
      </c>
      <c r="Y101" s="10">
        <f>IF(Suma!$B100=$A$1,Suma!N100,NA())</f>
        <v>0</v>
      </c>
      <c r="Z101" s="10">
        <f>IF(Suma!$B100=$A$1,Suma!O100,NA())</f>
        <v>0</v>
      </c>
      <c r="AA101" s="10">
        <f>IF(Suma!$B100=$A$1,Suma!BC100,NA())</f>
        <v>0</v>
      </c>
      <c r="AB101" s="10">
        <f>IF(Suma!$B100=$A$1,Suma!BD100,NA())</f>
        <v>0</v>
      </c>
    </row>
    <row r="102" spans="1:28" x14ac:dyDescent="0.3">
      <c r="A102" s="1">
        <f>IF(Suma!$B101=$A$1,Suma!C101,NA())</f>
        <v>0</v>
      </c>
      <c r="B102" s="1">
        <f>IF(Suma!$B101=$A$1,Suma!D101,NA())</f>
        <v>0</v>
      </c>
      <c r="C102" s="2">
        <f>IF(Suma!$B101=$A$1,Suma!E101,NA())</f>
        <v>0</v>
      </c>
      <c r="D102" s="2">
        <f>IF(Suma!$B101=$A$1,Suma!F101,NA())</f>
        <v>0</v>
      </c>
      <c r="E102" s="1">
        <f>IF(Suma!$B101=$A$1,Suma!P101,NA())</f>
        <v>0</v>
      </c>
      <c r="F102" s="10" t="e">
        <f t="shared" si="2"/>
        <v>#N/A</v>
      </c>
      <c r="G102" s="1">
        <f>IF(Suma!$B101=$A$1,Suma!W101,NA())</f>
        <v>0</v>
      </c>
      <c r="H102" s="10" t="e">
        <f t="shared" si="3"/>
        <v>#N/A</v>
      </c>
      <c r="I102" s="1">
        <f>IF(Suma!$B101=$A$1,Suma!AD101,NA())</f>
        <v>0</v>
      </c>
      <c r="J102" s="1">
        <f>IF(Suma!$B101=$A$1,Suma!AK101,NA())</f>
        <v>0</v>
      </c>
      <c r="K102" s="10">
        <f>IF(Suma!$B101=$A$1,Suma!AS101,NA())</f>
        <v>0</v>
      </c>
      <c r="L102" s="1">
        <f>IF(Suma!$B101=$A$1,Suma!G101,NA())</f>
        <v>0</v>
      </c>
      <c r="M102" s="1">
        <f>IF(Suma!$B101=$A$1,Suma!H101,NA())</f>
        <v>0</v>
      </c>
      <c r="N102" s="1">
        <f>IF(Suma!$B101=$A$1,Suma!AT101,NA())</f>
        <v>1900</v>
      </c>
      <c r="O102" s="1" t="str">
        <f>IF(Suma!$B101=$A$1,Suma!AU101,NA())</f>
        <v>enero</v>
      </c>
      <c r="P102" s="1">
        <f>IF(Suma!$B101=$A$1,Suma!AV101,NA())</f>
        <v>0</v>
      </c>
      <c r="Q102" s="1">
        <f>IF(Suma!$B101=$A$1,Suma!AW101,NA())</f>
        <v>0</v>
      </c>
      <c r="R102" s="10">
        <f>IF(Suma!$B101=$A$1,Suma!AX101,NA())</f>
        <v>0</v>
      </c>
      <c r="S102" s="10">
        <f>IF(Suma!$B101=$A$1,Suma!AY101,NA())</f>
        <v>0</v>
      </c>
      <c r="T102" s="10">
        <f>IF(Suma!$B101=$A$1,Suma!AZ101,NA())</f>
        <v>0</v>
      </c>
      <c r="U102" s="10">
        <f>IF(Suma!$B101=$A$1,Suma!J101,NA())</f>
        <v>0</v>
      </c>
      <c r="V102" s="10">
        <f>IF(Suma!$B101=$A$1,Suma!K101,NA())</f>
        <v>0</v>
      </c>
      <c r="W102" s="10">
        <f>IF(Suma!$B101=$A$1,Suma!L101,NA())</f>
        <v>0</v>
      </c>
      <c r="X102" s="10">
        <f>IF(Suma!$B101=$A$1,Suma!M101,NA())</f>
        <v>0</v>
      </c>
      <c r="Y102" s="10">
        <f>IF(Suma!$B101=$A$1,Suma!N101,NA())</f>
        <v>0</v>
      </c>
      <c r="Z102" s="10">
        <f>IF(Suma!$B101=$A$1,Suma!O101,NA())</f>
        <v>0</v>
      </c>
      <c r="AA102" s="10">
        <f>IF(Suma!$B101=$A$1,Suma!BC101,NA())</f>
        <v>0</v>
      </c>
      <c r="AB102" s="10">
        <f>IF(Suma!$B101=$A$1,Suma!BD101,NA())</f>
        <v>0</v>
      </c>
    </row>
    <row r="103" spans="1:28" x14ac:dyDescent="0.3">
      <c r="A103" s="1">
        <f>IF(Suma!$B102=$A$1,Suma!C102,NA())</f>
        <v>0</v>
      </c>
      <c r="B103" s="1">
        <f>IF(Suma!$B102=$A$1,Suma!D102,NA())</f>
        <v>0</v>
      </c>
      <c r="C103" s="2">
        <f>IF(Suma!$B102=$A$1,Suma!E102,NA())</f>
        <v>0</v>
      </c>
      <c r="D103" s="2">
        <f>IF(Suma!$B102=$A$1,Suma!F102,NA())</f>
        <v>0</v>
      </c>
      <c r="E103" s="1">
        <f>IF(Suma!$B102=$A$1,Suma!P102,NA())</f>
        <v>0</v>
      </c>
      <c r="F103" s="10" t="e">
        <f t="shared" si="2"/>
        <v>#N/A</v>
      </c>
      <c r="G103" s="1">
        <f>IF(Suma!$B102=$A$1,Suma!W102,NA())</f>
        <v>0</v>
      </c>
      <c r="H103" s="10" t="e">
        <f t="shared" si="3"/>
        <v>#N/A</v>
      </c>
      <c r="I103" s="1">
        <f>IF(Suma!$B102=$A$1,Suma!AD102,NA())</f>
        <v>0</v>
      </c>
      <c r="J103" s="1">
        <f>IF(Suma!$B102=$A$1,Suma!AK102,NA())</f>
        <v>0</v>
      </c>
      <c r="K103" s="10">
        <f>IF(Suma!$B102=$A$1,Suma!AS102,NA())</f>
        <v>0</v>
      </c>
      <c r="L103" s="1">
        <f>IF(Suma!$B102=$A$1,Suma!G102,NA())</f>
        <v>0</v>
      </c>
      <c r="M103" s="1">
        <f>IF(Suma!$B102=$A$1,Suma!H102,NA())</f>
        <v>0</v>
      </c>
      <c r="N103" s="1">
        <f>IF(Suma!$B102=$A$1,Suma!AT102,NA())</f>
        <v>1900</v>
      </c>
      <c r="O103" s="1" t="str">
        <f>IF(Suma!$B102=$A$1,Suma!AU102,NA())</f>
        <v>enero</v>
      </c>
      <c r="P103" s="1">
        <f>IF(Suma!$B102=$A$1,Suma!AV102,NA())</f>
        <v>0</v>
      </c>
      <c r="Q103" s="1">
        <f>IF(Suma!$B102=$A$1,Suma!AW102,NA())</f>
        <v>0</v>
      </c>
      <c r="R103" s="10">
        <f>IF(Suma!$B102=$A$1,Suma!AX102,NA())</f>
        <v>0</v>
      </c>
      <c r="S103" s="10">
        <f>IF(Suma!$B102=$A$1,Suma!AY102,NA())</f>
        <v>0</v>
      </c>
      <c r="T103" s="10">
        <f>IF(Suma!$B102=$A$1,Suma!AZ102,NA())</f>
        <v>0</v>
      </c>
      <c r="U103" s="10">
        <f>IF(Suma!$B102=$A$1,Suma!J102,NA())</f>
        <v>0</v>
      </c>
      <c r="V103" s="10">
        <f>IF(Suma!$B102=$A$1,Suma!K102,NA())</f>
        <v>0</v>
      </c>
      <c r="W103" s="10">
        <f>IF(Suma!$B102=$A$1,Suma!L102,NA())</f>
        <v>0</v>
      </c>
      <c r="X103" s="10">
        <f>IF(Suma!$B102=$A$1,Suma!M102,NA())</f>
        <v>0</v>
      </c>
      <c r="Y103" s="10">
        <f>IF(Suma!$B102=$A$1,Suma!N102,NA())</f>
        <v>0</v>
      </c>
      <c r="Z103" s="10">
        <f>IF(Suma!$B102=$A$1,Suma!O102,NA())</f>
        <v>0</v>
      </c>
      <c r="AA103" s="10">
        <f>IF(Suma!$B102=$A$1,Suma!BC102,NA())</f>
        <v>0</v>
      </c>
      <c r="AB103" s="10">
        <f>IF(Suma!$B102=$A$1,Suma!BD102,NA())</f>
        <v>0</v>
      </c>
    </row>
    <row r="104" spans="1:28" x14ac:dyDescent="0.3">
      <c r="A104" s="1">
        <f>IF(Suma!$B103=$A$1,Suma!C103,NA())</f>
        <v>0</v>
      </c>
      <c r="B104" s="1">
        <f>IF(Suma!$B103=$A$1,Suma!D103,NA())</f>
        <v>0</v>
      </c>
      <c r="C104" s="2">
        <f>IF(Suma!$B103=$A$1,Suma!E103,NA())</f>
        <v>0</v>
      </c>
      <c r="D104" s="2">
        <f>IF(Suma!$B103=$A$1,Suma!F103,NA())</f>
        <v>0</v>
      </c>
      <c r="E104" s="1">
        <f>IF(Suma!$B103=$A$1,Suma!P103,NA())</f>
        <v>0</v>
      </c>
      <c r="F104" s="10" t="e">
        <f t="shared" si="2"/>
        <v>#N/A</v>
      </c>
      <c r="G104" s="1">
        <f>IF(Suma!$B103=$A$1,Suma!W103,NA())</f>
        <v>0</v>
      </c>
      <c r="H104" s="10" t="e">
        <f t="shared" si="3"/>
        <v>#N/A</v>
      </c>
      <c r="I104" s="1">
        <f>IF(Suma!$B103=$A$1,Suma!AD103,NA())</f>
        <v>0</v>
      </c>
      <c r="J104" s="1">
        <f>IF(Suma!$B103=$A$1,Suma!AK103,NA())</f>
        <v>0</v>
      </c>
      <c r="K104" s="10">
        <f>IF(Suma!$B103=$A$1,Suma!AS103,NA())</f>
        <v>0</v>
      </c>
      <c r="L104" s="1">
        <f>IF(Suma!$B103=$A$1,Suma!G103,NA())</f>
        <v>0</v>
      </c>
      <c r="M104" s="1">
        <f>IF(Suma!$B103=$A$1,Suma!H103,NA())</f>
        <v>0</v>
      </c>
      <c r="N104" s="1">
        <f>IF(Suma!$B103=$A$1,Suma!AT103,NA())</f>
        <v>1900</v>
      </c>
      <c r="O104" s="1" t="str">
        <f>IF(Suma!$B103=$A$1,Suma!AU103,NA())</f>
        <v>enero</v>
      </c>
      <c r="P104" s="1">
        <f>IF(Suma!$B103=$A$1,Suma!AV103,NA())</f>
        <v>0</v>
      </c>
      <c r="Q104" s="1">
        <f>IF(Suma!$B103=$A$1,Suma!AW103,NA())</f>
        <v>0</v>
      </c>
      <c r="R104" s="10">
        <f>IF(Suma!$B103=$A$1,Suma!AX103,NA())</f>
        <v>0</v>
      </c>
      <c r="S104" s="10">
        <f>IF(Suma!$B103=$A$1,Suma!AY103,NA())</f>
        <v>0</v>
      </c>
      <c r="T104" s="10">
        <f>IF(Suma!$B103=$A$1,Suma!AZ103,NA())</f>
        <v>0</v>
      </c>
      <c r="U104" s="10">
        <f>IF(Suma!$B103=$A$1,Suma!J103,NA())</f>
        <v>0</v>
      </c>
      <c r="V104" s="10">
        <f>IF(Suma!$B103=$A$1,Suma!K103,NA())</f>
        <v>0</v>
      </c>
      <c r="W104" s="10">
        <f>IF(Suma!$B103=$A$1,Suma!L103,NA())</f>
        <v>0</v>
      </c>
      <c r="X104" s="10">
        <f>IF(Suma!$B103=$A$1,Suma!M103,NA())</f>
        <v>0</v>
      </c>
      <c r="Y104" s="10">
        <f>IF(Suma!$B103=$A$1,Suma!N103,NA())</f>
        <v>0</v>
      </c>
      <c r="Z104" s="10">
        <f>IF(Suma!$B103=$A$1,Suma!O103,NA())</f>
        <v>0</v>
      </c>
      <c r="AA104" s="10">
        <f>IF(Suma!$B103=$A$1,Suma!BC103,NA())</f>
        <v>0</v>
      </c>
      <c r="AB104" s="10">
        <f>IF(Suma!$B103=$A$1,Suma!BD103,NA())</f>
        <v>0</v>
      </c>
    </row>
    <row r="105" spans="1:28" x14ac:dyDescent="0.3">
      <c r="A105" s="1">
        <f>IF(Suma!$B104=$A$1,Suma!C104,NA())</f>
        <v>0</v>
      </c>
      <c r="B105" s="1">
        <f>IF(Suma!$B104=$A$1,Suma!D104,NA())</f>
        <v>0</v>
      </c>
      <c r="C105" s="2">
        <f>IF(Suma!$B104=$A$1,Suma!E104,NA())</f>
        <v>0</v>
      </c>
      <c r="D105" s="2">
        <f>IF(Suma!$B104=$A$1,Suma!F104,NA())</f>
        <v>0</v>
      </c>
      <c r="E105" s="1">
        <f>IF(Suma!$B104=$A$1,Suma!P104,NA())</f>
        <v>0</v>
      </c>
      <c r="F105" s="10" t="e">
        <f t="shared" si="2"/>
        <v>#N/A</v>
      </c>
      <c r="G105" s="1">
        <f>IF(Suma!$B104=$A$1,Suma!W104,NA())</f>
        <v>0</v>
      </c>
      <c r="H105" s="10" t="e">
        <f t="shared" si="3"/>
        <v>#N/A</v>
      </c>
      <c r="I105" s="1">
        <f>IF(Suma!$B104=$A$1,Suma!AD104,NA())</f>
        <v>0</v>
      </c>
      <c r="J105" s="1">
        <f>IF(Suma!$B104=$A$1,Suma!AK104,NA())</f>
        <v>0</v>
      </c>
      <c r="K105" s="10">
        <f>IF(Suma!$B104=$A$1,Suma!AS104,NA())</f>
        <v>0</v>
      </c>
      <c r="L105" s="1">
        <f>IF(Suma!$B104=$A$1,Suma!G104,NA())</f>
        <v>0</v>
      </c>
      <c r="M105" s="1">
        <f>IF(Suma!$B104=$A$1,Suma!H104,NA())</f>
        <v>0</v>
      </c>
      <c r="N105" s="1">
        <f>IF(Suma!$B104=$A$1,Suma!AT104,NA())</f>
        <v>1900</v>
      </c>
      <c r="O105" s="1" t="str">
        <f>IF(Suma!$B104=$A$1,Suma!AU104,NA())</f>
        <v>enero</v>
      </c>
      <c r="P105" s="1">
        <f>IF(Suma!$B104=$A$1,Suma!AV104,NA())</f>
        <v>0</v>
      </c>
      <c r="Q105" s="1">
        <f>IF(Suma!$B104=$A$1,Suma!AW104,NA())</f>
        <v>0</v>
      </c>
      <c r="R105" s="10">
        <f>IF(Suma!$B104=$A$1,Suma!AX104,NA())</f>
        <v>0</v>
      </c>
      <c r="S105" s="10">
        <f>IF(Suma!$B104=$A$1,Suma!AY104,NA())</f>
        <v>0</v>
      </c>
      <c r="T105" s="10">
        <f>IF(Suma!$B104=$A$1,Suma!AZ104,NA())</f>
        <v>0</v>
      </c>
      <c r="U105" s="10">
        <f>IF(Suma!$B104=$A$1,Suma!J104,NA())</f>
        <v>0</v>
      </c>
      <c r="V105" s="10">
        <f>IF(Suma!$B104=$A$1,Suma!K104,NA())</f>
        <v>0</v>
      </c>
      <c r="W105" s="10">
        <f>IF(Suma!$B104=$A$1,Suma!L104,NA())</f>
        <v>0</v>
      </c>
      <c r="X105" s="10">
        <f>IF(Suma!$B104=$A$1,Suma!M104,NA())</f>
        <v>0</v>
      </c>
      <c r="Y105" s="10">
        <f>IF(Suma!$B104=$A$1,Suma!N104,NA())</f>
        <v>0</v>
      </c>
      <c r="Z105" s="10">
        <f>IF(Suma!$B104=$A$1,Suma!O104,NA())</f>
        <v>0</v>
      </c>
      <c r="AA105" s="10">
        <f>IF(Suma!$B104=$A$1,Suma!BC104,NA())</f>
        <v>0</v>
      </c>
      <c r="AB105" s="10">
        <f>IF(Suma!$B104=$A$1,Suma!BD104,NA())</f>
        <v>0</v>
      </c>
    </row>
    <row r="106" spans="1:28" x14ac:dyDescent="0.3">
      <c r="A106" s="1">
        <f>IF(Suma!$B105=$A$1,Suma!C105,NA())</f>
        <v>0</v>
      </c>
      <c r="B106" s="1">
        <f>IF(Suma!$B105=$A$1,Suma!D105,NA())</f>
        <v>0</v>
      </c>
      <c r="C106" s="2">
        <f>IF(Suma!$B105=$A$1,Suma!E105,NA())</f>
        <v>0</v>
      </c>
      <c r="D106" s="2">
        <f>IF(Suma!$B105=$A$1,Suma!F105,NA())</f>
        <v>0</v>
      </c>
      <c r="E106" s="1">
        <f>IF(Suma!$B105=$A$1,Suma!P105,NA())</f>
        <v>0</v>
      </c>
      <c r="F106" s="10" t="e">
        <f t="shared" si="2"/>
        <v>#N/A</v>
      </c>
      <c r="G106" s="1">
        <f>IF(Suma!$B105=$A$1,Suma!W105,NA())</f>
        <v>0</v>
      </c>
      <c r="H106" s="10" t="e">
        <f t="shared" si="3"/>
        <v>#N/A</v>
      </c>
      <c r="I106" s="1">
        <f>IF(Suma!$B105=$A$1,Suma!AD105,NA())</f>
        <v>0</v>
      </c>
      <c r="J106" s="1">
        <f>IF(Suma!$B105=$A$1,Suma!AK105,NA())</f>
        <v>0</v>
      </c>
      <c r="K106" s="10">
        <f>IF(Suma!$B105=$A$1,Suma!AS105,NA())</f>
        <v>0</v>
      </c>
      <c r="L106" s="1">
        <f>IF(Suma!$B105=$A$1,Suma!G105,NA())</f>
        <v>0</v>
      </c>
      <c r="M106" s="1">
        <f>IF(Suma!$B105=$A$1,Suma!H105,NA())</f>
        <v>0</v>
      </c>
      <c r="N106" s="1">
        <f>IF(Suma!$B105=$A$1,Suma!AT105,NA())</f>
        <v>1900</v>
      </c>
      <c r="O106" s="1" t="str">
        <f>IF(Suma!$B105=$A$1,Suma!AU105,NA())</f>
        <v>enero</v>
      </c>
      <c r="P106" s="1">
        <f>IF(Suma!$B105=$A$1,Suma!AV105,NA())</f>
        <v>0</v>
      </c>
      <c r="Q106" s="1">
        <f>IF(Suma!$B105=$A$1,Suma!AW105,NA())</f>
        <v>0</v>
      </c>
      <c r="R106" s="10">
        <f>IF(Suma!$B105=$A$1,Suma!AX105,NA())</f>
        <v>0</v>
      </c>
      <c r="S106" s="10">
        <f>IF(Suma!$B105=$A$1,Suma!AY105,NA())</f>
        <v>0</v>
      </c>
      <c r="T106" s="10">
        <f>IF(Suma!$B105=$A$1,Suma!AZ105,NA())</f>
        <v>0</v>
      </c>
      <c r="U106" s="10">
        <f>IF(Suma!$B105=$A$1,Suma!J105,NA())</f>
        <v>0</v>
      </c>
      <c r="V106" s="10">
        <f>IF(Suma!$B105=$A$1,Suma!K105,NA())</f>
        <v>0</v>
      </c>
      <c r="W106" s="10">
        <f>IF(Suma!$B105=$A$1,Suma!L105,NA())</f>
        <v>0</v>
      </c>
      <c r="X106" s="10">
        <f>IF(Suma!$B105=$A$1,Suma!M105,NA())</f>
        <v>0</v>
      </c>
      <c r="Y106" s="10">
        <f>IF(Suma!$B105=$A$1,Suma!N105,NA())</f>
        <v>0</v>
      </c>
      <c r="Z106" s="10">
        <f>IF(Suma!$B105=$A$1,Suma!O105,NA())</f>
        <v>0</v>
      </c>
      <c r="AA106" s="10">
        <f>IF(Suma!$B105=$A$1,Suma!BC105,NA())</f>
        <v>0</v>
      </c>
      <c r="AB106" s="10">
        <f>IF(Suma!$B105=$A$1,Suma!BD105,NA())</f>
        <v>0</v>
      </c>
    </row>
    <row r="107" spans="1:28" x14ac:dyDescent="0.3">
      <c r="A107" s="1">
        <f>IF(Suma!$B106=$A$1,Suma!C106,NA())</f>
        <v>0</v>
      </c>
      <c r="B107" s="1">
        <f>IF(Suma!$B106=$A$1,Suma!D106,NA())</f>
        <v>0</v>
      </c>
      <c r="C107" s="2">
        <f>IF(Suma!$B106=$A$1,Suma!E106,NA())</f>
        <v>0</v>
      </c>
      <c r="D107" s="2">
        <f>IF(Suma!$B106=$A$1,Suma!F106,NA())</f>
        <v>0</v>
      </c>
      <c r="E107" s="1">
        <f>IF(Suma!$B106=$A$1,Suma!P106,NA())</f>
        <v>0</v>
      </c>
      <c r="F107" s="10" t="e">
        <f t="shared" si="2"/>
        <v>#N/A</v>
      </c>
      <c r="G107" s="1">
        <f>IF(Suma!$B106=$A$1,Suma!W106,NA())</f>
        <v>0</v>
      </c>
      <c r="H107" s="10" t="e">
        <f t="shared" si="3"/>
        <v>#N/A</v>
      </c>
      <c r="I107" s="1">
        <f>IF(Suma!$B106=$A$1,Suma!AD106,NA())</f>
        <v>0</v>
      </c>
      <c r="J107" s="1">
        <f>IF(Suma!$B106=$A$1,Suma!AK106,NA())</f>
        <v>0</v>
      </c>
      <c r="K107" s="10">
        <f>IF(Suma!$B106=$A$1,Suma!AS106,NA())</f>
        <v>0</v>
      </c>
      <c r="L107" s="1">
        <f>IF(Suma!$B106=$A$1,Suma!G106,NA())</f>
        <v>0</v>
      </c>
      <c r="M107" s="1">
        <f>IF(Suma!$B106=$A$1,Suma!H106,NA())</f>
        <v>0</v>
      </c>
      <c r="N107" s="1">
        <f>IF(Suma!$B106=$A$1,Suma!AT106,NA())</f>
        <v>1900</v>
      </c>
      <c r="O107" s="1" t="str">
        <f>IF(Suma!$B106=$A$1,Suma!AU106,NA())</f>
        <v>enero</v>
      </c>
      <c r="P107" s="1">
        <f>IF(Suma!$B106=$A$1,Suma!AV106,NA())</f>
        <v>0</v>
      </c>
      <c r="Q107" s="1">
        <f>IF(Suma!$B106=$A$1,Suma!AW106,NA())</f>
        <v>0</v>
      </c>
      <c r="R107" s="10">
        <f>IF(Suma!$B106=$A$1,Suma!AX106,NA())</f>
        <v>0</v>
      </c>
      <c r="S107" s="10">
        <f>IF(Suma!$B106=$A$1,Suma!AY106,NA())</f>
        <v>0</v>
      </c>
      <c r="T107" s="10">
        <f>IF(Suma!$B106=$A$1,Suma!AZ106,NA())</f>
        <v>0</v>
      </c>
      <c r="U107" s="10">
        <f>IF(Suma!$B106=$A$1,Suma!J106,NA())</f>
        <v>0</v>
      </c>
      <c r="V107" s="10">
        <f>IF(Suma!$B106=$A$1,Suma!K106,NA())</f>
        <v>0</v>
      </c>
      <c r="W107" s="10">
        <f>IF(Suma!$B106=$A$1,Suma!L106,NA())</f>
        <v>0</v>
      </c>
      <c r="X107" s="10">
        <f>IF(Suma!$B106=$A$1,Suma!M106,NA())</f>
        <v>0</v>
      </c>
      <c r="Y107" s="10">
        <f>IF(Suma!$B106=$A$1,Suma!N106,NA())</f>
        <v>0</v>
      </c>
      <c r="Z107" s="10">
        <f>IF(Suma!$B106=$A$1,Suma!O106,NA())</f>
        <v>0</v>
      </c>
      <c r="AA107" s="10">
        <f>IF(Suma!$B106=$A$1,Suma!BC106,NA())</f>
        <v>0</v>
      </c>
      <c r="AB107" s="10">
        <f>IF(Suma!$B106=$A$1,Suma!BD106,NA())</f>
        <v>0</v>
      </c>
    </row>
    <row r="108" spans="1:28" x14ac:dyDescent="0.3">
      <c r="A108" s="1">
        <f>IF(Suma!$B107=$A$1,Suma!C107,NA())</f>
        <v>0</v>
      </c>
      <c r="B108" s="1">
        <f>IF(Suma!$B107=$A$1,Suma!D107,NA())</f>
        <v>0</v>
      </c>
      <c r="C108" s="2">
        <f>IF(Suma!$B107=$A$1,Suma!E107,NA())</f>
        <v>0</v>
      </c>
      <c r="D108" s="2">
        <f>IF(Suma!$B107=$A$1,Suma!F107,NA())</f>
        <v>0</v>
      </c>
      <c r="E108" s="1">
        <f>IF(Suma!$B107=$A$1,Suma!P107,NA())</f>
        <v>0</v>
      </c>
      <c r="F108" s="10" t="e">
        <f t="shared" si="2"/>
        <v>#N/A</v>
      </c>
      <c r="G108" s="1">
        <f>IF(Suma!$B107=$A$1,Suma!W107,NA())</f>
        <v>0</v>
      </c>
      <c r="H108" s="10" t="e">
        <f t="shared" si="3"/>
        <v>#N/A</v>
      </c>
      <c r="I108" s="1">
        <f>IF(Suma!$B107=$A$1,Suma!AD107,NA())</f>
        <v>0</v>
      </c>
      <c r="J108" s="1">
        <f>IF(Suma!$B107=$A$1,Suma!AK107,NA())</f>
        <v>0</v>
      </c>
      <c r="K108" s="10">
        <f>IF(Suma!$B107=$A$1,Suma!AS107,NA())</f>
        <v>0</v>
      </c>
      <c r="L108" s="1">
        <f>IF(Suma!$B107=$A$1,Suma!G107,NA())</f>
        <v>0</v>
      </c>
      <c r="M108" s="1">
        <f>IF(Suma!$B107=$A$1,Suma!H107,NA())</f>
        <v>0</v>
      </c>
      <c r="N108" s="1">
        <f>IF(Suma!$B107=$A$1,Suma!AT107,NA())</f>
        <v>1900</v>
      </c>
      <c r="O108" s="1" t="str">
        <f>IF(Suma!$B107=$A$1,Suma!AU107,NA())</f>
        <v>enero</v>
      </c>
      <c r="P108" s="1">
        <f>IF(Suma!$B107=$A$1,Suma!AV107,NA())</f>
        <v>0</v>
      </c>
      <c r="Q108" s="1">
        <f>IF(Suma!$B107=$A$1,Suma!AW107,NA())</f>
        <v>0</v>
      </c>
      <c r="R108" s="10">
        <f>IF(Suma!$B107=$A$1,Suma!AX107,NA())</f>
        <v>0</v>
      </c>
      <c r="S108" s="10">
        <f>IF(Suma!$B107=$A$1,Suma!AY107,NA())</f>
        <v>0</v>
      </c>
      <c r="T108" s="10">
        <f>IF(Suma!$B107=$A$1,Suma!AZ107,NA())</f>
        <v>0</v>
      </c>
      <c r="U108" s="10">
        <f>IF(Suma!$B107=$A$1,Suma!J107,NA())</f>
        <v>0</v>
      </c>
      <c r="V108" s="10">
        <f>IF(Suma!$B107=$A$1,Suma!K107,NA())</f>
        <v>0</v>
      </c>
      <c r="W108" s="10">
        <f>IF(Suma!$B107=$A$1,Suma!L107,NA())</f>
        <v>0</v>
      </c>
      <c r="X108" s="10">
        <f>IF(Suma!$B107=$A$1,Suma!M107,NA())</f>
        <v>0</v>
      </c>
      <c r="Y108" s="10">
        <f>IF(Suma!$B107=$A$1,Suma!N107,NA())</f>
        <v>0</v>
      </c>
      <c r="Z108" s="10">
        <f>IF(Suma!$B107=$A$1,Suma!O107,NA())</f>
        <v>0</v>
      </c>
      <c r="AA108" s="10">
        <f>IF(Suma!$B107=$A$1,Suma!BC107,NA())</f>
        <v>0</v>
      </c>
      <c r="AB108" s="10">
        <f>IF(Suma!$B107=$A$1,Suma!BD107,NA())</f>
        <v>0</v>
      </c>
    </row>
    <row r="109" spans="1:28" x14ac:dyDescent="0.3">
      <c r="A109" s="1">
        <f>IF(Suma!$B108=$A$1,Suma!C108,NA())</f>
        <v>0</v>
      </c>
      <c r="B109" s="1">
        <f>IF(Suma!$B108=$A$1,Suma!D108,NA())</f>
        <v>0</v>
      </c>
      <c r="C109" s="2">
        <f>IF(Suma!$B108=$A$1,Suma!E108,NA())</f>
        <v>0</v>
      </c>
      <c r="D109" s="2">
        <f>IF(Suma!$B108=$A$1,Suma!F108,NA())</f>
        <v>0</v>
      </c>
      <c r="E109" s="1">
        <f>IF(Suma!$B108=$A$1,Suma!P108,NA())</f>
        <v>0</v>
      </c>
      <c r="F109" s="10" t="e">
        <f t="shared" si="2"/>
        <v>#N/A</v>
      </c>
      <c r="G109" s="1">
        <f>IF(Suma!$B108=$A$1,Suma!W108,NA())</f>
        <v>0</v>
      </c>
      <c r="H109" s="10" t="e">
        <f t="shared" si="3"/>
        <v>#N/A</v>
      </c>
      <c r="I109" s="1">
        <f>IF(Suma!$B108=$A$1,Suma!AD108,NA())</f>
        <v>0</v>
      </c>
      <c r="J109" s="1">
        <f>IF(Suma!$B108=$A$1,Suma!AK108,NA())</f>
        <v>0</v>
      </c>
      <c r="K109" s="10">
        <f>IF(Suma!$B108=$A$1,Suma!AS108,NA())</f>
        <v>0</v>
      </c>
      <c r="L109" s="1">
        <f>IF(Suma!$B108=$A$1,Suma!G108,NA())</f>
        <v>0</v>
      </c>
      <c r="M109" s="1">
        <f>IF(Suma!$B108=$A$1,Suma!H108,NA())</f>
        <v>0</v>
      </c>
      <c r="N109" s="1">
        <f>IF(Suma!$B108=$A$1,Suma!AT108,NA())</f>
        <v>1900</v>
      </c>
      <c r="O109" s="1" t="str">
        <f>IF(Suma!$B108=$A$1,Suma!AU108,NA())</f>
        <v>enero</v>
      </c>
      <c r="P109" s="1">
        <f>IF(Suma!$B108=$A$1,Suma!AV108,NA())</f>
        <v>0</v>
      </c>
      <c r="Q109" s="1">
        <f>IF(Suma!$B108=$A$1,Suma!AW108,NA())</f>
        <v>0</v>
      </c>
      <c r="R109" s="10">
        <f>IF(Suma!$B108=$A$1,Suma!AX108,NA())</f>
        <v>0</v>
      </c>
      <c r="S109" s="10">
        <f>IF(Suma!$B108=$A$1,Suma!AY108,NA())</f>
        <v>0</v>
      </c>
      <c r="T109" s="10">
        <f>IF(Suma!$B108=$A$1,Suma!AZ108,NA())</f>
        <v>0</v>
      </c>
      <c r="U109" s="10">
        <f>IF(Suma!$B108=$A$1,Suma!J108,NA())</f>
        <v>0</v>
      </c>
      <c r="V109" s="10">
        <f>IF(Suma!$B108=$A$1,Suma!K108,NA())</f>
        <v>0</v>
      </c>
      <c r="W109" s="10">
        <f>IF(Suma!$B108=$A$1,Suma!L108,NA())</f>
        <v>0</v>
      </c>
      <c r="X109" s="10">
        <f>IF(Suma!$B108=$A$1,Suma!M108,NA())</f>
        <v>0</v>
      </c>
      <c r="Y109" s="10">
        <f>IF(Suma!$B108=$A$1,Suma!N108,NA())</f>
        <v>0</v>
      </c>
      <c r="Z109" s="10">
        <f>IF(Suma!$B108=$A$1,Suma!O108,NA())</f>
        <v>0</v>
      </c>
      <c r="AA109" s="10">
        <f>IF(Suma!$B108=$A$1,Suma!BC108,NA())</f>
        <v>0</v>
      </c>
      <c r="AB109" s="10">
        <f>IF(Suma!$B108=$A$1,Suma!BD108,NA())</f>
        <v>0</v>
      </c>
    </row>
    <row r="110" spans="1:28" x14ac:dyDescent="0.3">
      <c r="A110" s="1">
        <f>IF(Suma!$B109=$A$1,Suma!C109,NA())</f>
        <v>0</v>
      </c>
      <c r="B110" s="1">
        <f>IF(Suma!$B109=$A$1,Suma!D109,NA())</f>
        <v>0</v>
      </c>
      <c r="C110" s="2">
        <f>IF(Suma!$B109=$A$1,Suma!E109,NA())</f>
        <v>0</v>
      </c>
      <c r="D110" s="2">
        <f>IF(Suma!$B109=$A$1,Suma!F109,NA())</f>
        <v>0</v>
      </c>
      <c r="E110" s="1">
        <f>IF(Suma!$B109=$A$1,Suma!P109,NA())</f>
        <v>0</v>
      </c>
      <c r="F110" s="10" t="e">
        <f t="shared" si="2"/>
        <v>#N/A</v>
      </c>
      <c r="G110" s="1">
        <f>IF(Suma!$B109=$A$1,Suma!W109,NA())</f>
        <v>0</v>
      </c>
      <c r="H110" s="10" t="e">
        <f t="shared" si="3"/>
        <v>#N/A</v>
      </c>
      <c r="I110" s="1">
        <f>IF(Suma!$B109=$A$1,Suma!AD109,NA())</f>
        <v>0</v>
      </c>
      <c r="J110" s="1">
        <f>IF(Suma!$B109=$A$1,Suma!AK109,NA())</f>
        <v>0</v>
      </c>
      <c r="K110" s="10">
        <f>IF(Suma!$B109=$A$1,Suma!AS109,NA())</f>
        <v>0</v>
      </c>
      <c r="L110" s="1">
        <f>IF(Suma!$B109=$A$1,Suma!G109,NA())</f>
        <v>0</v>
      </c>
      <c r="M110" s="1">
        <f>IF(Suma!$B109=$A$1,Suma!H109,NA())</f>
        <v>0</v>
      </c>
      <c r="N110" s="1">
        <f>IF(Suma!$B109=$A$1,Suma!AT109,NA())</f>
        <v>1900</v>
      </c>
      <c r="O110" s="1" t="str">
        <f>IF(Suma!$B109=$A$1,Suma!AU109,NA())</f>
        <v>enero</v>
      </c>
      <c r="P110" s="1">
        <f>IF(Suma!$B109=$A$1,Suma!AV109,NA())</f>
        <v>0</v>
      </c>
      <c r="Q110" s="1">
        <f>IF(Suma!$B109=$A$1,Suma!AW109,NA())</f>
        <v>0</v>
      </c>
      <c r="R110" s="10">
        <f>IF(Suma!$B109=$A$1,Suma!AX109,NA())</f>
        <v>0</v>
      </c>
      <c r="S110" s="10">
        <f>IF(Suma!$B109=$A$1,Suma!AY109,NA())</f>
        <v>0</v>
      </c>
      <c r="T110" s="10">
        <f>IF(Suma!$B109=$A$1,Suma!AZ109,NA())</f>
        <v>0</v>
      </c>
      <c r="U110" s="10">
        <f>IF(Suma!$B109=$A$1,Suma!J109,NA())</f>
        <v>0</v>
      </c>
      <c r="V110" s="10">
        <f>IF(Suma!$B109=$A$1,Suma!K109,NA())</f>
        <v>0</v>
      </c>
      <c r="W110" s="10">
        <f>IF(Suma!$B109=$A$1,Suma!L109,NA())</f>
        <v>0</v>
      </c>
      <c r="X110" s="10">
        <f>IF(Suma!$B109=$A$1,Suma!M109,NA())</f>
        <v>0</v>
      </c>
      <c r="Y110" s="10">
        <f>IF(Suma!$B109=$A$1,Suma!N109,NA())</f>
        <v>0</v>
      </c>
      <c r="Z110" s="10">
        <f>IF(Suma!$B109=$A$1,Suma!O109,NA())</f>
        <v>0</v>
      </c>
      <c r="AA110" s="10">
        <f>IF(Suma!$B109=$A$1,Suma!BC109,NA())</f>
        <v>0</v>
      </c>
      <c r="AB110" s="10">
        <f>IF(Suma!$B109=$A$1,Suma!BD109,NA())</f>
        <v>0</v>
      </c>
    </row>
    <row r="111" spans="1:28" x14ac:dyDescent="0.3">
      <c r="A111" s="1">
        <f>IF(Suma!$B110=$A$1,Suma!C110,NA())</f>
        <v>0</v>
      </c>
      <c r="B111" s="1">
        <f>IF(Suma!$B110=$A$1,Suma!D110,NA())</f>
        <v>0</v>
      </c>
      <c r="C111" s="2">
        <f>IF(Suma!$B110=$A$1,Suma!E110,NA())</f>
        <v>0</v>
      </c>
      <c r="D111" s="2">
        <f>IF(Suma!$B110=$A$1,Suma!F110,NA())</f>
        <v>0</v>
      </c>
      <c r="E111" s="1">
        <f>IF(Suma!$B110=$A$1,Suma!P110,NA())</f>
        <v>0</v>
      </c>
      <c r="F111" s="10" t="e">
        <f t="shared" si="2"/>
        <v>#N/A</v>
      </c>
      <c r="G111" s="1">
        <f>IF(Suma!$B110=$A$1,Suma!W110,NA())</f>
        <v>0</v>
      </c>
      <c r="H111" s="10" t="e">
        <f t="shared" si="3"/>
        <v>#N/A</v>
      </c>
      <c r="I111" s="1">
        <f>IF(Suma!$B110=$A$1,Suma!AD110,NA())</f>
        <v>0</v>
      </c>
      <c r="J111" s="1">
        <f>IF(Suma!$B110=$A$1,Suma!AK110,NA())</f>
        <v>0</v>
      </c>
      <c r="K111" s="10">
        <f>IF(Suma!$B110=$A$1,Suma!AS110,NA())</f>
        <v>0</v>
      </c>
      <c r="L111" s="1">
        <f>IF(Suma!$B110=$A$1,Suma!G110,NA())</f>
        <v>0</v>
      </c>
      <c r="M111" s="1">
        <f>IF(Suma!$B110=$A$1,Suma!H110,NA())</f>
        <v>0</v>
      </c>
      <c r="N111" s="1">
        <f>IF(Suma!$B110=$A$1,Suma!AT110,NA())</f>
        <v>1900</v>
      </c>
      <c r="O111" s="1" t="str">
        <f>IF(Suma!$B110=$A$1,Suma!AU110,NA())</f>
        <v>enero</v>
      </c>
      <c r="P111" s="1">
        <f>IF(Suma!$B110=$A$1,Suma!AV110,NA())</f>
        <v>0</v>
      </c>
      <c r="Q111" s="1">
        <f>IF(Suma!$B110=$A$1,Suma!AW110,NA())</f>
        <v>0</v>
      </c>
      <c r="R111" s="10">
        <f>IF(Suma!$B110=$A$1,Suma!AX110,NA())</f>
        <v>0</v>
      </c>
      <c r="S111" s="10">
        <f>IF(Suma!$B110=$A$1,Suma!AY110,NA())</f>
        <v>0</v>
      </c>
      <c r="T111" s="10">
        <f>IF(Suma!$B110=$A$1,Suma!AZ110,NA())</f>
        <v>0</v>
      </c>
      <c r="U111" s="10">
        <f>IF(Suma!$B110=$A$1,Suma!J110,NA())</f>
        <v>0</v>
      </c>
      <c r="V111" s="10">
        <f>IF(Suma!$B110=$A$1,Suma!K110,NA())</f>
        <v>0</v>
      </c>
      <c r="W111" s="10">
        <f>IF(Suma!$B110=$A$1,Suma!L110,NA())</f>
        <v>0</v>
      </c>
      <c r="X111" s="10">
        <f>IF(Suma!$B110=$A$1,Suma!M110,NA())</f>
        <v>0</v>
      </c>
      <c r="Y111" s="10">
        <f>IF(Suma!$B110=$A$1,Suma!N110,NA())</f>
        <v>0</v>
      </c>
      <c r="Z111" s="10">
        <f>IF(Suma!$B110=$A$1,Suma!O110,NA())</f>
        <v>0</v>
      </c>
      <c r="AA111" s="10">
        <f>IF(Suma!$B110=$A$1,Suma!BC110,NA())</f>
        <v>0</v>
      </c>
      <c r="AB111" s="10">
        <f>IF(Suma!$B110=$A$1,Suma!BD110,NA())</f>
        <v>0</v>
      </c>
    </row>
    <row r="112" spans="1:28" x14ac:dyDescent="0.3">
      <c r="A112" s="1">
        <f>IF(Suma!$B111=$A$1,Suma!C111,NA())</f>
        <v>0</v>
      </c>
      <c r="B112" s="1">
        <f>IF(Suma!$B111=$A$1,Suma!D111,NA())</f>
        <v>0</v>
      </c>
      <c r="C112" s="2">
        <f>IF(Suma!$B111=$A$1,Suma!E111,NA())</f>
        <v>0</v>
      </c>
      <c r="D112" s="2">
        <f>IF(Suma!$B111=$A$1,Suma!F111,NA())</f>
        <v>0</v>
      </c>
      <c r="E112" s="1">
        <f>IF(Suma!$B111=$A$1,Suma!P111,NA())</f>
        <v>0</v>
      </c>
      <c r="F112" s="10" t="e">
        <f t="shared" si="2"/>
        <v>#N/A</v>
      </c>
      <c r="G112" s="1">
        <f>IF(Suma!$B111=$A$1,Suma!W111,NA())</f>
        <v>0</v>
      </c>
      <c r="H112" s="10" t="e">
        <f t="shared" si="3"/>
        <v>#N/A</v>
      </c>
      <c r="I112" s="1">
        <f>IF(Suma!$B111=$A$1,Suma!AD111,NA())</f>
        <v>0</v>
      </c>
      <c r="J112" s="1">
        <f>IF(Suma!$B111=$A$1,Suma!AK111,NA())</f>
        <v>0</v>
      </c>
      <c r="K112" s="10">
        <f>IF(Suma!$B111=$A$1,Suma!AS111,NA())</f>
        <v>0</v>
      </c>
      <c r="L112" s="1">
        <f>IF(Suma!$B111=$A$1,Suma!G111,NA())</f>
        <v>0</v>
      </c>
      <c r="M112" s="1">
        <f>IF(Suma!$B111=$A$1,Suma!H111,NA())</f>
        <v>0</v>
      </c>
      <c r="N112" s="1">
        <f>IF(Suma!$B111=$A$1,Suma!AT111,NA())</f>
        <v>1900</v>
      </c>
      <c r="O112" s="1" t="str">
        <f>IF(Suma!$B111=$A$1,Suma!AU111,NA())</f>
        <v>enero</v>
      </c>
      <c r="P112" s="1">
        <f>IF(Suma!$B111=$A$1,Suma!AV111,NA())</f>
        <v>0</v>
      </c>
      <c r="Q112" s="1">
        <f>IF(Suma!$B111=$A$1,Suma!AW111,NA())</f>
        <v>0</v>
      </c>
      <c r="R112" s="10">
        <f>IF(Suma!$B111=$A$1,Suma!AX111,NA())</f>
        <v>0</v>
      </c>
      <c r="S112" s="10">
        <f>IF(Suma!$B111=$A$1,Suma!AY111,NA())</f>
        <v>0</v>
      </c>
      <c r="T112" s="10">
        <f>IF(Suma!$B111=$A$1,Suma!AZ111,NA())</f>
        <v>0</v>
      </c>
      <c r="U112" s="10">
        <f>IF(Suma!$B111=$A$1,Suma!J111,NA())</f>
        <v>0</v>
      </c>
      <c r="V112" s="10">
        <f>IF(Suma!$B111=$A$1,Suma!K111,NA())</f>
        <v>0</v>
      </c>
      <c r="W112" s="10">
        <f>IF(Suma!$B111=$A$1,Suma!L111,NA())</f>
        <v>0</v>
      </c>
      <c r="X112" s="10">
        <f>IF(Suma!$B111=$A$1,Suma!M111,NA())</f>
        <v>0</v>
      </c>
      <c r="Y112" s="10">
        <f>IF(Suma!$B111=$A$1,Suma!N111,NA())</f>
        <v>0</v>
      </c>
      <c r="Z112" s="10">
        <f>IF(Suma!$B111=$A$1,Suma!O111,NA())</f>
        <v>0</v>
      </c>
      <c r="AA112" s="10">
        <f>IF(Suma!$B111=$A$1,Suma!BC111,NA())</f>
        <v>0</v>
      </c>
      <c r="AB112" s="10">
        <f>IF(Suma!$B111=$A$1,Suma!BD111,NA())</f>
        <v>0</v>
      </c>
    </row>
    <row r="113" spans="1:28" x14ac:dyDescent="0.3">
      <c r="A113" s="1">
        <f>IF(Suma!$B112=$A$1,Suma!C112,NA())</f>
        <v>0</v>
      </c>
      <c r="B113" s="1">
        <f>IF(Suma!$B112=$A$1,Suma!D112,NA())</f>
        <v>0</v>
      </c>
      <c r="C113" s="2">
        <f>IF(Suma!$B112=$A$1,Suma!E112,NA())</f>
        <v>0</v>
      </c>
      <c r="D113" s="2">
        <f>IF(Suma!$B112=$A$1,Suma!F112,NA())</f>
        <v>0</v>
      </c>
      <c r="E113" s="1">
        <f>IF(Suma!$B112=$A$1,Suma!P112,NA())</f>
        <v>0</v>
      </c>
      <c r="F113" s="10" t="e">
        <f t="shared" si="2"/>
        <v>#N/A</v>
      </c>
      <c r="G113" s="1">
        <f>IF(Suma!$B112=$A$1,Suma!W112,NA())</f>
        <v>0</v>
      </c>
      <c r="H113" s="10" t="e">
        <f t="shared" si="3"/>
        <v>#N/A</v>
      </c>
      <c r="I113" s="1">
        <f>IF(Suma!$B112=$A$1,Suma!AD112,NA())</f>
        <v>0</v>
      </c>
      <c r="J113" s="1">
        <f>IF(Suma!$B112=$A$1,Suma!AK112,NA())</f>
        <v>0</v>
      </c>
      <c r="K113" s="10">
        <f>IF(Suma!$B112=$A$1,Suma!AS112,NA())</f>
        <v>0</v>
      </c>
      <c r="L113" s="1">
        <f>IF(Suma!$B112=$A$1,Suma!G112,NA())</f>
        <v>0</v>
      </c>
      <c r="M113" s="1">
        <f>IF(Suma!$B112=$A$1,Suma!H112,NA())</f>
        <v>0</v>
      </c>
      <c r="N113" s="1">
        <f>IF(Suma!$B112=$A$1,Suma!AT112,NA())</f>
        <v>1900</v>
      </c>
      <c r="O113" s="1" t="str">
        <f>IF(Suma!$B112=$A$1,Suma!AU112,NA())</f>
        <v>enero</v>
      </c>
      <c r="P113" s="1">
        <f>IF(Suma!$B112=$A$1,Suma!AV112,NA())</f>
        <v>0</v>
      </c>
      <c r="Q113" s="1">
        <f>IF(Suma!$B112=$A$1,Suma!AW112,NA())</f>
        <v>0</v>
      </c>
      <c r="R113" s="10">
        <f>IF(Suma!$B112=$A$1,Suma!AX112,NA())</f>
        <v>0</v>
      </c>
      <c r="S113" s="10">
        <f>IF(Suma!$B112=$A$1,Suma!AY112,NA())</f>
        <v>0</v>
      </c>
      <c r="T113" s="10">
        <f>IF(Suma!$B112=$A$1,Suma!AZ112,NA())</f>
        <v>0</v>
      </c>
      <c r="U113" s="10">
        <f>IF(Suma!$B112=$A$1,Suma!J112,NA())</f>
        <v>0</v>
      </c>
      <c r="V113" s="10">
        <f>IF(Suma!$B112=$A$1,Suma!K112,NA())</f>
        <v>0</v>
      </c>
      <c r="W113" s="10">
        <f>IF(Suma!$B112=$A$1,Suma!L112,NA())</f>
        <v>0</v>
      </c>
      <c r="X113" s="10">
        <f>IF(Suma!$B112=$A$1,Suma!M112,NA())</f>
        <v>0</v>
      </c>
      <c r="Y113" s="10">
        <f>IF(Suma!$B112=$A$1,Suma!N112,NA())</f>
        <v>0</v>
      </c>
      <c r="Z113" s="10">
        <f>IF(Suma!$B112=$A$1,Suma!O112,NA())</f>
        <v>0</v>
      </c>
      <c r="AA113" s="10">
        <f>IF(Suma!$B112=$A$1,Suma!BC112,NA())</f>
        <v>0</v>
      </c>
      <c r="AB113" s="10">
        <f>IF(Suma!$B112=$A$1,Suma!BD112,NA())</f>
        <v>0</v>
      </c>
    </row>
    <row r="114" spans="1:28" x14ac:dyDescent="0.3">
      <c r="A114" s="1">
        <f>IF(Suma!$B113=$A$1,Suma!C113,NA())</f>
        <v>0</v>
      </c>
      <c r="B114" s="1">
        <f>IF(Suma!$B113=$A$1,Suma!D113,NA())</f>
        <v>0</v>
      </c>
      <c r="C114" s="2">
        <f>IF(Suma!$B113=$A$1,Suma!E113,NA())</f>
        <v>0</v>
      </c>
      <c r="D114" s="2">
        <f>IF(Suma!$B113=$A$1,Suma!F113,NA())</f>
        <v>0</v>
      </c>
      <c r="E114" s="1">
        <f>IF(Suma!$B113=$A$1,Suma!P113,NA())</f>
        <v>0</v>
      </c>
      <c r="F114" s="10" t="e">
        <f t="shared" si="2"/>
        <v>#N/A</v>
      </c>
      <c r="G114" s="1">
        <f>IF(Suma!$B113=$A$1,Suma!W113,NA())</f>
        <v>0</v>
      </c>
      <c r="H114" s="10" t="e">
        <f t="shared" si="3"/>
        <v>#N/A</v>
      </c>
      <c r="I114" s="1">
        <f>IF(Suma!$B113=$A$1,Suma!AD113,NA())</f>
        <v>0</v>
      </c>
      <c r="J114" s="1">
        <f>IF(Suma!$B113=$A$1,Suma!AK113,NA())</f>
        <v>0</v>
      </c>
      <c r="K114" s="10">
        <f>IF(Suma!$B113=$A$1,Suma!AS113,NA())</f>
        <v>0</v>
      </c>
      <c r="L114" s="1">
        <f>IF(Suma!$B113=$A$1,Suma!G113,NA())</f>
        <v>0</v>
      </c>
      <c r="M114" s="1">
        <f>IF(Suma!$B113=$A$1,Suma!H113,NA())</f>
        <v>0</v>
      </c>
      <c r="N114" s="1">
        <f>IF(Suma!$B113=$A$1,Suma!AT113,NA())</f>
        <v>1900</v>
      </c>
      <c r="O114" s="1" t="str">
        <f>IF(Suma!$B113=$A$1,Suma!AU113,NA())</f>
        <v>enero</v>
      </c>
      <c r="P114" s="1">
        <f>IF(Suma!$B113=$A$1,Suma!AV113,NA())</f>
        <v>0</v>
      </c>
      <c r="Q114" s="1">
        <f>IF(Suma!$B113=$A$1,Suma!AW113,NA())</f>
        <v>0</v>
      </c>
      <c r="R114" s="10">
        <f>IF(Suma!$B113=$A$1,Suma!AX113,NA())</f>
        <v>0</v>
      </c>
      <c r="S114" s="10">
        <f>IF(Suma!$B113=$A$1,Suma!AY113,NA())</f>
        <v>0</v>
      </c>
      <c r="T114" s="10">
        <f>IF(Suma!$B113=$A$1,Suma!AZ113,NA())</f>
        <v>0</v>
      </c>
      <c r="U114" s="10">
        <f>IF(Suma!$B113=$A$1,Suma!J113,NA())</f>
        <v>0</v>
      </c>
      <c r="V114" s="10">
        <f>IF(Suma!$B113=$A$1,Suma!K113,NA())</f>
        <v>0</v>
      </c>
      <c r="W114" s="10">
        <f>IF(Suma!$B113=$A$1,Suma!L113,NA())</f>
        <v>0</v>
      </c>
      <c r="X114" s="10">
        <f>IF(Suma!$B113=$A$1,Suma!M113,NA())</f>
        <v>0</v>
      </c>
      <c r="Y114" s="10">
        <f>IF(Suma!$B113=$A$1,Suma!N113,NA())</f>
        <v>0</v>
      </c>
      <c r="Z114" s="10">
        <f>IF(Suma!$B113=$A$1,Suma!O113,NA())</f>
        <v>0</v>
      </c>
      <c r="AA114" s="10">
        <f>IF(Suma!$B113=$A$1,Suma!BC113,NA())</f>
        <v>0</v>
      </c>
      <c r="AB114" s="10">
        <f>IF(Suma!$B113=$A$1,Suma!BD113,NA())</f>
        <v>0</v>
      </c>
    </row>
    <row r="115" spans="1:28" x14ac:dyDescent="0.3">
      <c r="A115" s="1">
        <f>IF(Suma!$B114=$A$1,Suma!C114,NA())</f>
        <v>0</v>
      </c>
      <c r="B115" s="1">
        <f>IF(Suma!$B114=$A$1,Suma!D114,NA())</f>
        <v>0</v>
      </c>
      <c r="C115" s="2">
        <f>IF(Suma!$B114=$A$1,Suma!E114,NA())</f>
        <v>0</v>
      </c>
      <c r="D115" s="2">
        <f>IF(Suma!$B114=$A$1,Suma!F114,NA())</f>
        <v>0</v>
      </c>
      <c r="E115" s="1">
        <f>IF(Suma!$B114=$A$1,Suma!P114,NA())</f>
        <v>0</v>
      </c>
      <c r="F115" s="10" t="e">
        <f t="shared" si="2"/>
        <v>#N/A</v>
      </c>
      <c r="G115" s="1">
        <f>IF(Suma!$B114=$A$1,Suma!W114,NA())</f>
        <v>0</v>
      </c>
      <c r="H115" s="10" t="e">
        <f t="shared" si="3"/>
        <v>#N/A</v>
      </c>
      <c r="I115" s="1">
        <f>IF(Suma!$B114=$A$1,Suma!AD114,NA())</f>
        <v>0</v>
      </c>
      <c r="J115" s="1">
        <f>IF(Suma!$B114=$A$1,Suma!AK114,NA())</f>
        <v>0</v>
      </c>
      <c r="K115" s="10">
        <f>IF(Suma!$B114=$A$1,Suma!AS114,NA())</f>
        <v>0</v>
      </c>
      <c r="L115" s="1">
        <f>IF(Suma!$B114=$A$1,Suma!G114,NA())</f>
        <v>0</v>
      </c>
      <c r="M115" s="1">
        <f>IF(Suma!$B114=$A$1,Suma!H114,NA())</f>
        <v>0</v>
      </c>
      <c r="N115" s="1">
        <f>IF(Suma!$B114=$A$1,Suma!AT114,NA())</f>
        <v>1900</v>
      </c>
      <c r="O115" s="1" t="str">
        <f>IF(Suma!$B114=$A$1,Suma!AU114,NA())</f>
        <v>enero</v>
      </c>
      <c r="P115" s="1">
        <f>IF(Suma!$B114=$A$1,Suma!AV114,NA())</f>
        <v>0</v>
      </c>
      <c r="Q115" s="1">
        <f>IF(Suma!$B114=$A$1,Suma!AW114,NA())</f>
        <v>0</v>
      </c>
      <c r="R115" s="10">
        <f>IF(Suma!$B114=$A$1,Suma!AX114,NA())</f>
        <v>0</v>
      </c>
      <c r="S115" s="10">
        <f>IF(Suma!$B114=$A$1,Suma!AY114,NA())</f>
        <v>0</v>
      </c>
      <c r="T115" s="10">
        <f>IF(Suma!$B114=$A$1,Suma!AZ114,NA())</f>
        <v>0</v>
      </c>
      <c r="U115" s="10">
        <f>IF(Suma!$B114=$A$1,Suma!J114,NA())</f>
        <v>0</v>
      </c>
      <c r="V115" s="10">
        <f>IF(Suma!$B114=$A$1,Suma!K114,NA())</f>
        <v>0</v>
      </c>
      <c r="W115" s="10">
        <f>IF(Suma!$B114=$A$1,Suma!L114,NA())</f>
        <v>0</v>
      </c>
      <c r="X115" s="10">
        <f>IF(Suma!$B114=$A$1,Suma!M114,NA())</f>
        <v>0</v>
      </c>
      <c r="Y115" s="10">
        <f>IF(Suma!$B114=$A$1,Suma!N114,NA())</f>
        <v>0</v>
      </c>
      <c r="Z115" s="10">
        <f>IF(Suma!$B114=$A$1,Suma!O114,NA())</f>
        <v>0</v>
      </c>
      <c r="AA115" s="10">
        <f>IF(Suma!$B114=$A$1,Suma!BC114,NA())</f>
        <v>0</v>
      </c>
      <c r="AB115" s="10">
        <f>IF(Suma!$B114=$A$1,Suma!BD114,NA())</f>
        <v>0</v>
      </c>
    </row>
    <row r="116" spans="1:28" x14ac:dyDescent="0.3">
      <c r="A116" s="1">
        <f>IF(Suma!$B115=$A$1,Suma!C115,NA())</f>
        <v>0</v>
      </c>
      <c r="B116" s="1">
        <f>IF(Suma!$B115=$A$1,Suma!D115,NA())</f>
        <v>0</v>
      </c>
      <c r="C116" s="2">
        <f>IF(Suma!$B115=$A$1,Suma!E115,NA())</f>
        <v>0</v>
      </c>
      <c r="D116" s="2">
        <f>IF(Suma!$B115=$A$1,Suma!F115,NA())</f>
        <v>0</v>
      </c>
      <c r="E116" s="1">
        <f>IF(Suma!$B115=$A$1,Suma!P115,NA())</f>
        <v>0</v>
      </c>
      <c r="F116" s="10" t="e">
        <f t="shared" si="2"/>
        <v>#N/A</v>
      </c>
      <c r="G116" s="1">
        <f>IF(Suma!$B115=$A$1,Suma!W115,NA())</f>
        <v>0</v>
      </c>
      <c r="H116" s="10" t="e">
        <f t="shared" si="3"/>
        <v>#N/A</v>
      </c>
      <c r="I116" s="1">
        <f>IF(Suma!$B115=$A$1,Suma!AD115,NA())</f>
        <v>0</v>
      </c>
      <c r="J116" s="1">
        <f>IF(Suma!$B115=$A$1,Suma!AK115,NA())</f>
        <v>0</v>
      </c>
      <c r="K116" s="10">
        <f>IF(Suma!$B115=$A$1,Suma!AS115,NA())</f>
        <v>0</v>
      </c>
      <c r="L116" s="1">
        <f>IF(Suma!$B115=$A$1,Suma!G115,NA())</f>
        <v>0</v>
      </c>
      <c r="M116" s="1">
        <f>IF(Suma!$B115=$A$1,Suma!H115,NA())</f>
        <v>0</v>
      </c>
      <c r="N116" s="1">
        <f>IF(Suma!$B115=$A$1,Suma!AT115,NA())</f>
        <v>1900</v>
      </c>
      <c r="O116" s="1" t="str">
        <f>IF(Suma!$B115=$A$1,Suma!AU115,NA())</f>
        <v>enero</v>
      </c>
      <c r="P116" s="1">
        <f>IF(Suma!$B115=$A$1,Suma!AV115,NA())</f>
        <v>0</v>
      </c>
      <c r="Q116" s="1">
        <f>IF(Suma!$B115=$A$1,Suma!AW115,NA())</f>
        <v>0</v>
      </c>
      <c r="R116" s="10">
        <f>IF(Suma!$B115=$A$1,Suma!AX115,NA())</f>
        <v>0</v>
      </c>
      <c r="S116" s="10">
        <f>IF(Suma!$B115=$A$1,Suma!AY115,NA())</f>
        <v>0</v>
      </c>
      <c r="T116" s="10">
        <f>IF(Suma!$B115=$A$1,Suma!AZ115,NA())</f>
        <v>0</v>
      </c>
      <c r="U116" s="10">
        <f>IF(Suma!$B115=$A$1,Suma!J115,NA())</f>
        <v>0</v>
      </c>
      <c r="V116" s="10">
        <f>IF(Suma!$B115=$A$1,Suma!K115,NA())</f>
        <v>0</v>
      </c>
      <c r="W116" s="10">
        <f>IF(Suma!$B115=$A$1,Suma!L115,NA())</f>
        <v>0</v>
      </c>
      <c r="X116" s="10">
        <f>IF(Suma!$B115=$A$1,Suma!M115,NA())</f>
        <v>0</v>
      </c>
      <c r="Y116" s="10">
        <f>IF(Suma!$B115=$A$1,Suma!N115,NA())</f>
        <v>0</v>
      </c>
      <c r="Z116" s="10">
        <f>IF(Suma!$B115=$A$1,Suma!O115,NA())</f>
        <v>0</v>
      </c>
      <c r="AA116" s="10">
        <f>IF(Suma!$B115=$A$1,Suma!BC115,NA())</f>
        <v>0</v>
      </c>
      <c r="AB116" s="10">
        <f>IF(Suma!$B115=$A$1,Suma!BD115,NA())</f>
        <v>0</v>
      </c>
    </row>
    <row r="117" spans="1:28" x14ac:dyDescent="0.3">
      <c r="A117" s="1">
        <f>IF(Suma!$B116=$A$1,Suma!C116,NA())</f>
        <v>0</v>
      </c>
      <c r="B117" s="1">
        <f>IF(Suma!$B116=$A$1,Suma!D116,NA())</f>
        <v>0</v>
      </c>
      <c r="C117" s="2">
        <f>IF(Suma!$B116=$A$1,Suma!E116,NA())</f>
        <v>0</v>
      </c>
      <c r="D117" s="2">
        <f>IF(Suma!$B116=$A$1,Suma!F116,NA())</f>
        <v>0</v>
      </c>
      <c r="E117" s="1">
        <f>IF(Suma!$B116=$A$1,Suma!P116,NA())</f>
        <v>0</v>
      </c>
      <c r="F117" s="10" t="e">
        <f t="shared" si="2"/>
        <v>#N/A</v>
      </c>
      <c r="G117" s="1">
        <f>IF(Suma!$B116=$A$1,Suma!W116,NA())</f>
        <v>0</v>
      </c>
      <c r="H117" s="10" t="e">
        <f t="shared" si="3"/>
        <v>#N/A</v>
      </c>
      <c r="I117" s="1">
        <f>IF(Suma!$B116=$A$1,Suma!AD116,NA())</f>
        <v>0</v>
      </c>
      <c r="J117" s="1">
        <f>IF(Suma!$B116=$A$1,Suma!AK116,NA())</f>
        <v>0</v>
      </c>
      <c r="K117" s="10">
        <f>IF(Suma!$B116=$A$1,Suma!AS116,NA())</f>
        <v>0</v>
      </c>
      <c r="L117" s="1">
        <f>IF(Suma!$B116=$A$1,Suma!G116,NA())</f>
        <v>0</v>
      </c>
      <c r="M117" s="1">
        <f>IF(Suma!$B116=$A$1,Suma!H116,NA())</f>
        <v>0</v>
      </c>
      <c r="N117" s="1">
        <f>IF(Suma!$B116=$A$1,Suma!AT116,NA())</f>
        <v>1900</v>
      </c>
      <c r="O117" s="1" t="str">
        <f>IF(Suma!$B116=$A$1,Suma!AU116,NA())</f>
        <v>enero</v>
      </c>
      <c r="P117" s="1">
        <f>IF(Suma!$B116=$A$1,Suma!AV116,NA())</f>
        <v>0</v>
      </c>
      <c r="Q117" s="1">
        <f>IF(Suma!$B116=$A$1,Suma!AW116,NA())</f>
        <v>0</v>
      </c>
      <c r="R117" s="10">
        <f>IF(Suma!$B116=$A$1,Suma!AX116,NA())</f>
        <v>0</v>
      </c>
      <c r="S117" s="10">
        <f>IF(Suma!$B116=$A$1,Suma!AY116,NA())</f>
        <v>0</v>
      </c>
      <c r="T117" s="10">
        <f>IF(Suma!$B116=$A$1,Suma!AZ116,NA())</f>
        <v>0</v>
      </c>
      <c r="U117" s="10">
        <f>IF(Suma!$B116=$A$1,Suma!J116,NA())</f>
        <v>0</v>
      </c>
      <c r="V117" s="10">
        <f>IF(Suma!$B116=$A$1,Suma!K116,NA())</f>
        <v>0</v>
      </c>
      <c r="W117" s="10">
        <f>IF(Suma!$B116=$A$1,Suma!L116,NA())</f>
        <v>0</v>
      </c>
      <c r="X117" s="10">
        <f>IF(Suma!$B116=$A$1,Suma!M116,NA())</f>
        <v>0</v>
      </c>
      <c r="Y117" s="10">
        <f>IF(Suma!$B116=$A$1,Suma!N116,NA())</f>
        <v>0</v>
      </c>
      <c r="Z117" s="10">
        <f>IF(Suma!$B116=$A$1,Suma!O116,NA())</f>
        <v>0</v>
      </c>
      <c r="AA117" s="10">
        <f>IF(Suma!$B116=$A$1,Suma!BC116,NA())</f>
        <v>0</v>
      </c>
      <c r="AB117" s="10">
        <f>IF(Suma!$B116=$A$1,Suma!BD116,NA())</f>
        <v>0</v>
      </c>
    </row>
    <row r="118" spans="1:28" x14ac:dyDescent="0.3">
      <c r="A118" s="1">
        <f>IF(Suma!$B117=$A$1,Suma!C117,NA())</f>
        <v>0</v>
      </c>
      <c r="B118" s="1">
        <f>IF(Suma!$B117=$A$1,Suma!D117,NA())</f>
        <v>0</v>
      </c>
      <c r="C118" s="2">
        <f>IF(Suma!$B117=$A$1,Suma!E117,NA())</f>
        <v>0</v>
      </c>
      <c r="D118" s="2">
        <f>IF(Suma!$B117=$A$1,Suma!F117,NA())</f>
        <v>0</v>
      </c>
      <c r="E118" s="1">
        <f>IF(Suma!$B117=$A$1,Suma!P117,NA())</f>
        <v>0</v>
      </c>
      <c r="F118" s="10" t="e">
        <f t="shared" si="2"/>
        <v>#N/A</v>
      </c>
      <c r="G118" s="1">
        <f>IF(Suma!$B117=$A$1,Suma!W117,NA())</f>
        <v>0</v>
      </c>
      <c r="H118" s="10" t="e">
        <f t="shared" si="3"/>
        <v>#N/A</v>
      </c>
      <c r="I118" s="1">
        <f>IF(Suma!$B117=$A$1,Suma!AD117,NA())</f>
        <v>0</v>
      </c>
      <c r="J118" s="1">
        <f>IF(Suma!$B117=$A$1,Suma!AK117,NA())</f>
        <v>0</v>
      </c>
      <c r="K118" s="10">
        <f>IF(Suma!$B117=$A$1,Suma!AS117,NA())</f>
        <v>0</v>
      </c>
      <c r="L118" s="1">
        <f>IF(Suma!$B117=$A$1,Suma!G117,NA())</f>
        <v>0</v>
      </c>
      <c r="M118" s="1">
        <f>IF(Suma!$B117=$A$1,Suma!H117,NA())</f>
        <v>0</v>
      </c>
      <c r="N118" s="1">
        <f>IF(Suma!$B117=$A$1,Suma!AT117,NA())</f>
        <v>1900</v>
      </c>
      <c r="O118" s="1" t="str">
        <f>IF(Suma!$B117=$A$1,Suma!AU117,NA())</f>
        <v>enero</v>
      </c>
      <c r="P118" s="1">
        <f>IF(Suma!$B117=$A$1,Suma!AV117,NA())</f>
        <v>0</v>
      </c>
      <c r="Q118" s="1">
        <f>IF(Suma!$B117=$A$1,Suma!AW117,NA())</f>
        <v>0</v>
      </c>
      <c r="R118" s="10">
        <f>IF(Suma!$B117=$A$1,Suma!AX117,NA())</f>
        <v>0</v>
      </c>
      <c r="S118" s="10">
        <f>IF(Suma!$B117=$A$1,Suma!AY117,NA())</f>
        <v>0</v>
      </c>
      <c r="T118" s="10">
        <f>IF(Suma!$B117=$A$1,Suma!AZ117,NA())</f>
        <v>0</v>
      </c>
      <c r="U118" s="10">
        <f>IF(Suma!$B117=$A$1,Suma!J117,NA())</f>
        <v>0</v>
      </c>
      <c r="V118" s="10">
        <f>IF(Suma!$B117=$A$1,Suma!K117,NA())</f>
        <v>0</v>
      </c>
      <c r="W118" s="10">
        <f>IF(Suma!$B117=$A$1,Suma!L117,NA())</f>
        <v>0</v>
      </c>
      <c r="X118" s="10">
        <f>IF(Suma!$B117=$A$1,Suma!M117,NA())</f>
        <v>0</v>
      </c>
      <c r="Y118" s="10">
        <f>IF(Suma!$B117=$A$1,Suma!N117,NA())</f>
        <v>0</v>
      </c>
      <c r="Z118" s="10">
        <f>IF(Suma!$B117=$A$1,Suma!O117,NA())</f>
        <v>0</v>
      </c>
      <c r="AA118" s="10">
        <f>IF(Suma!$B117=$A$1,Suma!BC117,NA())</f>
        <v>0</v>
      </c>
      <c r="AB118" s="10">
        <f>IF(Suma!$B117=$A$1,Suma!BD117,NA())</f>
        <v>0</v>
      </c>
    </row>
    <row r="119" spans="1:28" x14ac:dyDescent="0.3">
      <c r="A119" s="1">
        <f>IF(Suma!$B118=$A$1,Suma!C118,NA())</f>
        <v>0</v>
      </c>
      <c r="B119" s="1">
        <f>IF(Suma!$B118=$A$1,Suma!D118,NA())</f>
        <v>0</v>
      </c>
      <c r="C119" s="2">
        <f>IF(Suma!$B118=$A$1,Suma!E118,NA())</f>
        <v>0</v>
      </c>
      <c r="D119" s="2">
        <f>IF(Suma!$B118=$A$1,Suma!F118,NA())</f>
        <v>0</v>
      </c>
      <c r="E119" s="1">
        <f>IF(Suma!$B118=$A$1,Suma!P118,NA())</f>
        <v>0</v>
      </c>
      <c r="F119" s="10" t="e">
        <f t="shared" si="2"/>
        <v>#N/A</v>
      </c>
      <c r="G119" s="1">
        <f>IF(Suma!$B118=$A$1,Suma!W118,NA())</f>
        <v>0</v>
      </c>
      <c r="H119" s="10" t="e">
        <f t="shared" si="3"/>
        <v>#N/A</v>
      </c>
      <c r="I119" s="1">
        <f>IF(Suma!$B118=$A$1,Suma!AD118,NA())</f>
        <v>0</v>
      </c>
      <c r="J119" s="1">
        <f>IF(Suma!$B118=$A$1,Suma!AK118,NA())</f>
        <v>0</v>
      </c>
      <c r="K119" s="10">
        <f>IF(Suma!$B118=$A$1,Suma!AS118,NA())</f>
        <v>0</v>
      </c>
      <c r="L119" s="1">
        <f>IF(Suma!$B118=$A$1,Suma!G118,NA())</f>
        <v>0</v>
      </c>
      <c r="M119" s="1">
        <f>IF(Suma!$B118=$A$1,Suma!H118,NA())</f>
        <v>0</v>
      </c>
      <c r="N119" s="1">
        <f>IF(Suma!$B118=$A$1,Suma!AT118,NA())</f>
        <v>1900</v>
      </c>
      <c r="O119" s="1" t="str">
        <f>IF(Suma!$B118=$A$1,Suma!AU118,NA())</f>
        <v>enero</v>
      </c>
      <c r="P119" s="1">
        <f>IF(Suma!$B118=$A$1,Suma!AV118,NA())</f>
        <v>0</v>
      </c>
      <c r="Q119" s="1">
        <f>IF(Suma!$B118=$A$1,Suma!AW118,NA())</f>
        <v>0</v>
      </c>
      <c r="R119" s="10">
        <f>IF(Suma!$B118=$A$1,Suma!AX118,NA())</f>
        <v>0</v>
      </c>
      <c r="S119" s="10">
        <f>IF(Suma!$B118=$A$1,Suma!AY118,NA())</f>
        <v>0</v>
      </c>
      <c r="T119" s="10">
        <f>IF(Suma!$B118=$A$1,Suma!AZ118,NA())</f>
        <v>0</v>
      </c>
      <c r="U119" s="10">
        <f>IF(Suma!$B118=$A$1,Suma!J118,NA())</f>
        <v>0</v>
      </c>
      <c r="V119" s="10">
        <f>IF(Suma!$B118=$A$1,Suma!K118,NA())</f>
        <v>0</v>
      </c>
      <c r="W119" s="10">
        <f>IF(Suma!$B118=$A$1,Suma!L118,NA())</f>
        <v>0</v>
      </c>
      <c r="X119" s="10">
        <f>IF(Suma!$B118=$A$1,Suma!M118,NA())</f>
        <v>0</v>
      </c>
      <c r="Y119" s="10">
        <f>IF(Suma!$B118=$A$1,Suma!N118,NA())</f>
        <v>0</v>
      </c>
      <c r="Z119" s="10">
        <f>IF(Suma!$B118=$A$1,Suma!O118,NA())</f>
        <v>0</v>
      </c>
      <c r="AA119" s="10">
        <f>IF(Suma!$B118=$A$1,Suma!BC118,NA())</f>
        <v>0</v>
      </c>
      <c r="AB119" s="10">
        <f>IF(Suma!$B118=$A$1,Suma!BD118,NA())</f>
        <v>0</v>
      </c>
    </row>
    <row r="120" spans="1:28" x14ac:dyDescent="0.3">
      <c r="A120" s="1">
        <f>IF(Suma!$B119=$A$1,Suma!C119,NA())</f>
        <v>0</v>
      </c>
      <c r="B120" s="1">
        <f>IF(Suma!$B119=$A$1,Suma!D119,NA())</f>
        <v>0</v>
      </c>
      <c r="C120" s="2">
        <f>IF(Suma!$B119=$A$1,Suma!E119,NA())</f>
        <v>0</v>
      </c>
      <c r="D120" s="2">
        <f>IF(Suma!$B119=$A$1,Suma!F119,NA())</f>
        <v>0</v>
      </c>
      <c r="E120" s="1">
        <f>IF(Suma!$B119=$A$1,Suma!P119,NA())</f>
        <v>0</v>
      </c>
      <c r="F120" s="10" t="e">
        <f t="shared" si="2"/>
        <v>#N/A</v>
      </c>
      <c r="G120" s="1">
        <f>IF(Suma!$B119=$A$1,Suma!W119,NA())</f>
        <v>0</v>
      </c>
      <c r="H120" s="10" t="e">
        <f t="shared" si="3"/>
        <v>#N/A</v>
      </c>
      <c r="I120" s="1">
        <f>IF(Suma!$B119=$A$1,Suma!AD119,NA())</f>
        <v>0</v>
      </c>
      <c r="J120" s="1">
        <f>IF(Suma!$B119=$A$1,Suma!AK119,NA())</f>
        <v>0</v>
      </c>
      <c r="K120" s="10">
        <f>IF(Suma!$B119=$A$1,Suma!AS119,NA())</f>
        <v>0</v>
      </c>
      <c r="L120" s="1">
        <f>IF(Suma!$B119=$A$1,Suma!G119,NA())</f>
        <v>0</v>
      </c>
      <c r="M120" s="1">
        <f>IF(Suma!$B119=$A$1,Suma!H119,NA())</f>
        <v>0</v>
      </c>
      <c r="N120" s="1">
        <f>IF(Suma!$B119=$A$1,Suma!AT119,NA())</f>
        <v>1900</v>
      </c>
      <c r="O120" s="1" t="str">
        <f>IF(Suma!$B119=$A$1,Suma!AU119,NA())</f>
        <v>enero</v>
      </c>
      <c r="P120" s="1">
        <f>IF(Suma!$B119=$A$1,Suma!AV119,NA())</f>
        <v>0</v>
      </c>
      <c r="Q120" s="1">
        <f>IF(Suma!$B119=$A$1,Suma!AW119,NA())</f>
        <v>0</v>
      </c>
      <c r="R120" s="10">
        <f>IF(Suma!$B119=$A$1,Suma!AX119,NA())</f>
        <v>0</v>
      </c>
      <c r="S120" s="10">
        <f>IF(Suma!$B119=$A$1,Suma!AY119,NA())</f>
        <v>0</v>
      </c>
      <c r="T120" s="10">
        <f>IF(Suma!$B119=$A$1,Suma!AZ119,NA())</f>
        <v>0</v>
      </c>
      <c r="U120" s="10">
        <f>IF(Suma!$B119=$A$1,Suma!J119,NA())</f>
        <v>0</v>
      </c>
      <c r="V120" s="10">
        <f>IF(Suma!$B119=$A$1,Suma!K119,NA())</f>
        <v>0</v>
      </c>
      <c r="W120" s="10">
        <f>IF(Suma!$B119=$A$1,Suma!L119,NA())</f>
        <v>0</v>
      </c>
      <c r="X120" s="10">
        <f>IF(Suma!$B119=$A$1,Suma!M119,NA())</f>
        <v>0</v>
      </c>
      <c r="Y120" s="10">
        <f>IF(Suma!$B119=$A$1,Suma!N119,NA())</f>
        <v>0</v>
      </c>
      <c r="Z120" s="10">
        <f>IF(Suma!$B119=$A$1,Suma!O119,NA())</f>
        <v>0</v>
      </c>
      <c r="AA120" s="10">
        <f>IF(Suma!$B119=$A$1,Suma!BC119,NA())</f>
        <v>0</v>
      </c>
      <c r="AB120" s="10">
        <f>IF(Suma!$B119=$A$1,Suma!BD119,NA())</f>
        <v>0</v>
      </c>
    </row>
    <row r="121" spans="1:28" x14ac:dyDescent="0.3">
      <c r="A121" s="1">
        <f>IF(Suma!$B120=$A$1,Suma!C120,NA())</f>
        <v>0</v>
      </c>
      <c r="B121" s="1">
        <f>IF(Suma!$B120=$A$1,Suma!D120,NA())</f>
        <v>0</v>
      </c>
      <c r="C121" s="2">
        <f>IF(Suma!$B120=$A$1,Suma!E120,NA())</f>
        <v>0</v>
      </c>
      <c r="D121" s="2">
        <f>IF(Suma!$B120=$A$1,Suma!F120,NA())</f>
        <v>0</v>
      </c>
      <c r="E121" s="1">
        <f>IF(Suma!$B120=$A$1,Suma!P120,NA())</f>
        <v>0</v>
      </c>
      <c r="F121" s="10" t="e">
        <f t="shared" si="2"/>
        <v>#N/A</v>
      </c>
      <c r="G121" s="1">
        <f>IF(Suma!$B120=$A$1,Suma!W120,NA())</f>
        <v>0</v>
      </c>
      <c r="H121" s="10" t="e">
        <f t="shared" si="3"/>
        <v>#N/A</v>
      </c>
      <c r="I121" s="1">
        <f>IF(Suma!$B120=$A$1,Suma!AD120,NA())</f>
        <v>0</v>
      </c>
      <c r="J121" s="1">
        <f>IF(Suma!$B120=$A$1,Suma!AK120,NA())</f>
        <v>0</v>
      </c>
      <c r="K121" s="10">
        <f>IF(Suma!$B120=$A$1,Suma!AS120,NA())</f>
        <v>0</v>
      </c>
      <c r="L121" s="1">
        <f>IF(Suma!$B120=$A$1,Suma!G120,NA())</f>
        <v>0</v>
      </c>
      <c r="M121" s="1">
        <f>IF(Suma!$B120=$A$1,Suma!H120,NA())</f>
        <v>0</v>
      </c>
      <c r="N121" s="1">
        <f>IF(Suma!$B120=$A$1,Suma!AT120,NA())</f>
        <v>1900</v>
      </c>
      <c r="O121" s="1" t="str">
        <f>IF(Suma!$B120=$A$1,Suma!AU120,NA())</f>
        <v>enero</v>
      </c>
      <c r="P121" s="1">
        <f>IF(Suma!$B120=$A$1,Suma!AV120,NA())</f>
        <v>0</v>
      </c>
      <c r="Q121" s="1">
        <f>IF(Suma!$B120=$A$1,Suma!AW120,NA())</f>
        <v>0</v>
      </c>
      <c r="R121" s="10">
        <f>IF(Suma!$B120=$A$1,Suma!AX120,NA())</f>
        <v>0</v>
      </c>
      <c r="S121" s="10">
        <f>IF(Suma!$B120=$A$1,Suma!AY120,NA())</f>
        <v>0</v>
      </c>
      <c r="T121" s="10">
        <f>IF(Suma!$B120=$A$1,Suma!AZ120,NA())</f>
        <v>0</v>
      </c>
      <c r="U121" s="10">
        <f>IF(Suma!$B120=$A$1,Suma!J120,NA())</f>
        <v>0</v>
      </c>
      <c r="V121" s="10">
        <f>IF(Suma!$B120=$A$1,Suma!K120,NA())</f>
        <v>0</v>
      </c>
      <c r="W121" s="10">
        <f>IF(Suma!$B120=$A$1,Suma!L120,NA())</f>
        <v>0</v>
      </c>
      <c r="X121" s="10">
        <f>IF(Suma!$B120=$A$1,Suma!M120,NA())</f>
        <v>0</v>
      </c>
      <c r="Y121" s="10">
        <f>IF(Suma!$B120=$A$1,Suma!N120,NA())</f>
        <v>0</v>
      </c>
      <c r="Z121" s="10">
        <f>IF(Suma!$B120=$A$1,Suma!O120,NA())</f>
        <v>0</v>
      </c>
      <c r="AA121" s="10">
        <f>IF(Suma!$B120=$A$1,Suma!BC120,NA())</f>
        <v>0</v>
      </c>
      <c r="AB121" s="10">
        <f>IF(Suma!$B120=$A$1,Suma!BD120,NA())</f>
        <v>0</v>
      </c>
    </row>
    <row r="122" spans="1:28" x14ac:dyDescent="0.3">
      <c r="A122" s="1">
        <f>IF(Suma!$B121=$A$1,Suma!C121,NA())</f>
        <v>0</v>
      </c>
      <c r="B122" s="1">
        <f>IF(Suma!$B121=$A$1,Suma!D121,NA())</f>
        <v>0</v>
      </c>
      <c r="C122" s="2">
        <f>IF(Suma!$B121=$A$1,Suma!E121,NA())</f>
        <v>0</v>
      </c>
      <c r="D122" s="2">
        <f>IF(Suma!$B121=$A$1,Suma!F121,NA())</f>
        <v>0</v>
      </c>
      <c r="E122" s="1">
        <f>IF(Suma!$B121=$A$1,Suma!P121,NA())</f>
        <v>0</v>
      </c>
      <c r="F122" s="10" t="e">
        <f t="shared" si="2"/>
        <v>#N/A</v>
      </c>
      <c r="G122" s="1">
        <f>IF(Suma!$B121=$A$1,Suma!W121,NA())</f>
        <v>0</v>
      </c>
      <c r="H122" s="10" t="e">
        <f t="shared" si="3"/>
        <v>#N/A</v>
      </c>
      <c r="I122" s="1">
        <f>IF(Suma!$B121=$A$1,Suma!AD121,NA())</f>
        <v>0</v>
      </c>
      <c r="J122" s="1">
        <f>IF(Suma!$B121=$A$1,Suma!AK121,NA())</f>
        <v>0</v>
      </c>
      <c r="K122" s="10">
        <f>IF(Suma!$B121=$A$1,Suma!AS121,NA())</f>
        <v>0</v>
      </c>
      <c r="L122" s="1">
        <f>IF(Suma!$B121=$A$1,Suma!G121,NA())</f>
        <v>0</v>
      </c>
      <c r="M122" s="1">
        <f>IF(Suma!$B121=$A$1,Suma!H121,NA())</f>
        <v>0</v>
      </c>
      <c r="N122" s="1">
        <f>IF(Suma!$B121=$A$1,Suma!AT121,NA())</f>
        <v>1900</v>
      </c>
      <c r="O122" s="1" t="str">
        <f>IF(Suma!$B121=$A$1,Suma!AU121,NA())</f>
        <v>enero</v>
      </c>
      <c r="P122" s="1">
        <f>IF(Suma!$B121=$A$1,Suma!AV121,NA())</f>
        <v>0</v>
      </c>
      <c r="Q122" s="1">
        <f>IF(Suma!$B121=$A$1,Suma!AW121,NA())</f>
        <v>0</v>
      </c>
      <c r="R122" s="10">
        <f>IF(Suma!$B121=$A$1,Suma!AX121,NA())</f>
        <v>0</v>
      </c>
      <c r="S122" s="10">
        <f>IF(Suma!$B121=$A$1,Suma!AY121,NA())</f>
        <v>0</v>
      </c>
      <c r="T122" s="10">
        <f>IF(Suma!$B121=$A$1,Suma!AZ121,NA())</f>
        <v>0</v>
      </c>
      <c r="U122" s="10">
        <f>IF(Suma!$B121=$A$1,Suma!J121,NA())</f>
        <v>0</v>
      </c>
      <c r="V122" s="10">
        <f>IF(Suma!$B121=$A$1,Suma!K121,NA())</f>
        <v>0</v>
      </c>
      <c r="W122" s="10">
        <f>IF(Suma!$B121=$A$1,Suma!L121,NA())</f>
        <v>0</v>
      </c>
      <c r="X122" s="10">
        <f>IF(Suma!$B121=$A$1,Suma!M121,NA())</f>
        <v>0</v>
      </c>
      <c r="Y122" s="10">
        <f>IF(Suma!$B121=$A$1,Suma!N121,NA())</f>
        <v>0</v>
      </c>
      <c r="Z122" s="10">
        <f>IF(Suma!$B121=$A$1,Suma!O121,NA())</f>
        <v>0</v>
      </c>
      <c r="AA122" s="10">
        <f>IF(Suma!$B121=$A$1,Suma!BC121,NA())</f>
        <v>0</v>
      </c>
      <c r="AB122" s="10">
        <f>IF(Suma!$B121=$A$1,Suma!BD121,NA())</f>
        <v>0</v>
      </c>
    </row>
    <row r="123" spans="1:28" x14ac:dyDescent="0.3">
      <c r="A123" s="1">
        <f>IF(Suma!$B122=$A$1,Suma!C122,NA())</f>
        <v>0</v>
      </c>
      <c r="B123" s="1">
        <f>IF(Suma!$B122=$A$1,Suma!D122,NA())</f>
        <v>0</v>
      </c>
      <c r="C123" s="2">
        <f>IF(Suma!$B122=$A$1,Suma!E122,NA())</f>
        <v>0</v>
      </c>
      <c r="D123" s="2">
        <f>IF(Suma!$B122=$A$1,Suma!F122,NA())</f>
        <v>0</v>
      </c>
      <c r="E123" s="1">
        <f>IF(Suma!$B122=$A$1,Suma!P122,NA())</f>
        <v>0</v>
      </c>
      <c r="F123" s="10" t="e">
        <f t="shared" si="2"/>
        <v>#N/A</v>
      </c>
      <c r="G123" s="1">
        <f>IF(Suma!$B122=$A$1,Suma!W122,NA())</f>
        <v>0</v>
      </c>
      <c r="H123" s="10" t="e">
        <f t="shared" si="3"/>
        <v>#N/A</v>
      </c>
      <c r="I123" s="1">
        <f>IF(Suma!$B122=$A$1,Suma!AD122,NA())</f>
        <v>0</v>
      </c>
      <c r="J123" s="1">
        <f>IF(Suma!$B122=$A$1,Suma!AK122,NA())</f>
        <v>0</v>
      </c>
      <c r="K123" s="10">
        <f>IF(Suma!$B122=$A$1,Suma!AS122,NA())</f>
        <v>0</v>
      </c>
      <c r="L123" s="1">
        <f>IF(Suma!$B122=$A$1,Suma!G122,NA())</f>
        <v>0</v>
      </c>
      <c r="M123" s="1">
        <f>IF(Suma!$B122=$A$1,Suma!H122,NA())</f>
        <v>0</v>
      </c>
      <c r="N123" s="1">
        <f>IF(Suma!$B122=$A$1,Suma!AT122,NA())</f>
        <v>1900</v>
      </c>
      <c r="O123" s="1" t="str">
        <f>IF(Suma!$B122=$A$1,Suma!AU122,NA())</f>
        <v>enero</v>
      </c>
      <c r="P123" s="1">
        <f>IF(Suma!$B122=$A$1,Suma!AV122,NA())</f>
        <v>0</v>
      </c>
      <c r="Q123" s="1">
        <f>IF(Suma!$B122=$A$1,Suma!AW122,NA())</f>
        <v>0</v>
      </c>
      <c r="R123" s="10">
        <f>IF(Suma!$B122=$A$1,Suma!AX122,NA())</f>
        <v>0</v>
      </c>
      <c r="S123" s="10">
        <f>IF(Suma!$B122=$A$1,Suma!AY122,NA())</f>
        <v>0</v>
      </c>
      <c r="T123" s="10">
        <f>IF(Suma!$B122=$A$1,Suma!AZ122,NA())</f>
        <v>0</v>
      </c>
      <c r="U123" s="10">
        <f>IF(Suma!$B122=$A$1,Suma!J122,NA())</f>
        <v>0</v>
      </c>
      <c r="V123" s="10">
        <f>IF(Suma!$B122=$A$1,Suma!K122,NA())</f>
        <v>0</v>
      </c>
      <c r="W123" s="10">
        <f>IF(Suma!$B122=$A$1,Suma!L122,NA())</f>
        <v>0</v>
      </c>
      <c r="X123" s="10">
        <f>IF(Suma!$B122=$A$1,Suma!M122,NA())</f>
        <v>0</v>
      </c>
      <c r="Y123" s="10">
        <f>IF(Suma!$B122=$A$1,Suma!N122,NA())</f>
        <v>0</v>
      </c>
      <c r="Z123" s="10">
        <f>IF(Suma!$B122=$A$1,Suma!O122,NA())</f>
        <v>0</v>
      </c>
      <c r="AA123" s="10">
        <f>IF(Suma!$B122=$A$1,Suma!BC122,NA())</f>
        <v>0</v>
      </c>
      <c r="AB123" s="10">
        <f>IF(Suma!$B122=$A$1,Suma!BD122,NA())</f>
        <v>0</v>
      </c>
    </row>
    <row r="124" spans="1:28" x14ac:dyDescent="0.3">
      <c r="A124" s="1">
        <f>IF(Suma!$B123=$A$1,Suma!C123,NA())</f>
        <v>0</v>
      </c>
      <c r="B124" s="1">
        <f>IF(Suma!$B123=$A$1,Suma!D123,NA())</f>
        <v>0</v>
      </c>
      <c r="C124" s="2">
        <f>IF(Suma!$B123=$A$1,Suma!E123,NA())</f>
        <v>0</v>
      </c>
      <c r="D124" s="2">
        <f>IF(Suma!$B123=$A$1,Suma!F123,NA())</f>
        <v>0</v>
      </c>
      <c r="E124" s="1">
        <f>IF(Suma!$B123=$A$1,Suma!P123,NA())</f>
        <v>0</v>
      </c>
      <c r="F124" s="10" t="e">
        <f t="shared" si="2"/>
        <v>#N/A</v>
      </c>
      <c r="G124" s="1">
        <f>IF(Suma!$B123=$A$1,Suma!W123,NA())</f>
        <v>0</v>
      </c>
      <c r="H124" s="10" t="e">
        <f t="shared" si="3"/>
        <v>#N/A</v>
      </c>
      <c r="I124" s="1">
        <f>IF(Suma!$B123=$A$1,Suma!AD123,NA())</f>
        <v>0</v>
      </c>
      <c r="J124" s="1">
        <f>IF(Suma!$B123=$A$1,Suma!AK123,NA())</f>
        <v>0</v>
      </c>
      <c r="K124" s="10">
        <f>IF(Suma!$B123=$A$1,Suma!AS123,NA())</f>
        <v>0</v>
      </c>
      <c r="L124" s="1">
        <f>IF(Suma!$B123=$A$1,Suma!G123,NA())</f>
        <v>0</v>
      </c>
      <c r="M124" s="1">
        <f>IF(Suma!$B123=$A$1,Suma!H123,NA())</f>
        <v>0</v>
      </c>
      <c r="N124" s="1">
        <f>IF(Suma!$B123=$A$1,Suma!AT123,NA())</f>
        <v>1900</v>
      </c>
      <c r="O124" s="1" t="str">
        <f>IF(Suma!$B123=$A$1,Suma!AU123,NA())</f>
        <v>enero</v>
      </c>
      <c r="P124" s="1">
        <f>IF(Suma!$B123=$A$1,Suma!AV123,NA())</f>
        <v>0</v>
      </c>
      <c r="Q124" s="1">
        <f>IF(Suma!$B123=$A$1,Suma!AW123,NA())</f>
        <v>0</v>
      </c>
      <c r="R124" s="10">
        <f>IF(Suma!$B123=$A$1,Suma!AX123,NA())</f>
        <v>0</v>
      </c>
      <c r="S124" s="10">
        <f>IF(Suma!$B123=$A$1,Suma!AY123,NA())</f>
        <v>0</v>
      </c>
      <c r="T124" s="10">
        <f>IF(Suma!$B123=$A$1,Suma!AZ123,NA())</f>
        <v>0</v>
      </c>
      <c r="U124" s="10">
        <f>IF(Suma!$B123=$A$1,Suma!J123,NA())</f>
        <v>0</v>
      </c>
      <c r="V124" s="10">
        <f>IF(Suma!$B123=$A$1,Suma!K123,NA())</f>
        <v>0</v>
      </c>
      <c r="W124" s="10">
        <f>IF(Suma!$B123=$A$1,Suma!L123,NA())</f>
        <v>0</v>
      </c>
      <c r="X124" s="10">
        <f>IF(Suma!$B123=$A$1,Suma!M123,NA())</f>
        <v>0</v>
      </c>
      <c r="Y124" s="10">
        <f>IF(Suma!$B123=$A$1,Suma!N123,NA())</f>
        <v>0</v>
      </c>
      <c r="Z124" s="10">
        <f>IF(Suma!$B123=$A$1,Suma!O123,NA())</f>
        <v>0</v>
      </c>
      <c r="AA124" s="10">
        <f>IF(Suma!$B123=$A$1,Suma!BC123,NA())</f>
        <v>0</v>
      </c>
      <c r="AB124" s="10">
        <f>IF(Suma!$B123=$A$1,Suma!BD123,NA())</f>
        <v>0</v>
      </c>
    </row>
    <row r="125" spans="1:28" x14ac:dyDescent="0.3">
      <c r="A125" s="1">
        <f>IF(Suma!$B124=$A$1,Suma!C124,NA())</f>
        <v>0</v>
      </c>
      <c r="B125" s="1">
        <f>IF(Suma!$B124=$A$1,Suma!D124,NA())</f>
        <v>0</v>
      </c>
      <c r="C125" s="2">
        <f>IF(Suma!$B124=$A$1,Suma!E124,NA())</f>
        <v>0</v>
      </c>
      <c r="D125" s="2">
        <f>IF(Suma!$B124=$A$1,Suma!F124,NA())</f>
        <v>0</v>
      </c>
      <c r="E125" s="1">
        <f>IF(Suma!$B124=$A$1,Suma!P124,NA())</f>
        <v>0</v>
      </c>
      <c r="F125" s="10" t="e">
        <f t="shared" si="2"/>
        <v>#N/A</v>
      </c>
      <c r="G125" s="1">
        <f>IF(Suma!$B124=$A$1,Suma!W124,NA())</f>
        <v>0</v>
      </c>
      <c r="H125" s="10" t="e">
        <f t="shared" si="3"/>
        <v>#N/A</v>
      </c>
      <c r="I125" s="1">
        <f>IF(Suma!$B124=$A$1,Suma!AD124,NA())</f>
        <v>0</v>
      </c>
      <c r="J125" s="1">
        <f>IF(Suma!$B124=$A$1,Suma!AK124,NA())</f>
        <v>0</v>
      </c>
      <c r="K125" s="10">
        <f>IF(Suma!$B124=$A$1,Suma!AS124,NA())</f>
        <v>0</v>
      </c>
      <c r="L125" s="1">
        <f>IF(Suma!$B124=$A$1,Suma!G124,NA())</f>
        <v>0</v>
      </c>
      <c r="M125" s="1">
        <f>IF(Suma!$B124=$A$1,Suma!H124,NA())</f>
        <v>0</v>
      </c>
      <c r="N125" s="1">
        <f>IF(Suma!$B124=$A$1,Suma!AT124,NA())</f>
        <v>1900</v>
      </c>
      <c r="O125" s="1" t="str">
        <f>IF(Suma!$B124=$A$1,Suma!AU124,NA())</f>
        <v>enero</v>
      </c>
      <c r="P125" s="1">
        <f>IF(Suma!$B124=$A$1,Suma!AV124,NA())</f>
        <v>0</v>
      </c>
      <c r="Q125" s="1">
        <f>IF(Suma!$B124=$A$1,Suma!AW124,NA())</f>
        <v>0</v>
      </c>
      <c r="R125" s="10">
        <f>IF(Suma!$B124=$A$1,Suma!AX124,NA())</f>
        <v>0</v>
      </c>
      <c r="S125" s="10">
        <f>IF(Suma!$B124=$A$1,Suma!AY124,NA())</f>
        <v>0</v>
      </c>
      <c r="T125" s="10">
        <f>IF(Suma!$B124=$A$1,Suma!AZ124,NA())</f>
        <v>0</v>
      </c>
      <c r="U125" s="10">
        <f>IF(Suma!$B124=$A$1,Suma!J124,NA())</f>
        <v>0</v>
      </c>
      <c r="V125" s="10">
        <f>IF(Suma!$B124=$A$1,Suma!K124,NA())</f>
        <v>0</v>
      </c>
      <c r="W125" s="10">
        <f>IF(Suma!$B124=$A$1,Suma!L124,NA())</f>
        <v>0</v>
      </c>
      <c r="X125" s="10">
        <f>IF(Suma!$B124=$A$1,Suma!M124,NA())</f>
        <v>0</v>
      </c>
      <c r="Y125" s="10">
        <f>IF(Suma!$B124=$A$1,Suma!N124,NA())</f>
        <v>0</v>
      </c>
      <c r="Z125" s="10">
        <f>IF(Suma!$B124=$A$1,Suma!O124,NA())</f>
        <v>0</v>
      </c>
      <c r="AA125" s="10">
        <f>IF(Suma!$B124=$A$1,Suma!BC124,NA())</f>
        <v>0</v>
      </c>
      <c r="AB125" s="10">
        <f>IF(Suma!$B124=$A$1,Suma!BD124,NA())</f>
        <v>0</v>
      </c>
    </row>
    <row r="126" spans="1:28" x14ac:dyDescent="0.3">
      <c r="A126" s="1">
        <f>IF(Suma!$B125=$A$1,Suma!C125,NA())</f>
        <v>0</v>
      </c>
      <c r="B126" s="1">
        <f>IF(Suma!$B125=$A$1,Suma!D125,NA())</f>
        <v>0</v>
      </c>
      <c r="C126" s="2">
        <f>IF(Suma!$B125=$A$1,Suma!E125,NA())</f>
        <v>0</v>
      </c>
      <c r="D126" s="2">
        <f>IF(Suma!$B125=$A$1,Suma!F125,NA())</f>
        <v>0</v>
      </c>
      <c r="E126" s="1">
        <f>IF(Suma!$B125=$A$1,Suma!P125,NA())</f>
        <v>0</v>
      </c>
      <c r="F126" s="10" t="e">
        <f t="shared" si="2"/>
        <v>#N/A</v>
      </c>
      <c r="G126" s="1">
        <f>IF(Suma!$B125=$A$1,Suma!W125,NA())</f>
        <v>0</v>
      </c>
      <c r="H126" s="10" t="e">
        <f t="shared" si="3"/>
        <v>#N/A</v>
      </c>
      <c r="I126" s="1">
        <f>IF(Suma!$B125=$A$1,Suma!AD125,NA())</f>
        <v>0</v>
      </c>
      <c r="J126" s="1">
        <f>IF(Suma!$B125=$A$1,Suma!AK125,NA())</f>
        <v>0</v>
      </c>
      <c r="K126" s="10">
        <f>IF(Suma!$B125=$A$1,Suma!AS125,NA())</f>
        <v>0</v>
      </c>
      <c r="L126" s="1">
        <f>IF(Suma!$B125=$A$1,Suma!G125,NA())</f>
        <v>0</v>
      </c>
      <c r="M126" s="1">
        <f>IF(Suma!$B125=$A$1,Suma!H125,NA())</f>
        <v>0</v>
      </c>
      <c r="N126" s="1">
        <f>IF(Suma!$B125=$A$1,Suma!AT125,NA())</f>
        <v>1900</v>
      </c>
      <c r="O126" s="1" t="str">
        <f>IF(Suma!$B125=$A$1,Suma!AU125,NA())</f>
        <v>enero</v>
      </c>
      <c r="P126" s="1">
        <f>IF(Suma!$B125=$A$1,Suma!AV125,NA())</f>
        <v>0</v>
      </c>
      <c r="Q126" s="1">
        <f>IF(Suma!$B125=$A$1,Suma!AW125,NA())</f>
        <v>0</v>
      </c>
      <c r="R126" s="10">
        <f>IF(Suma!$B125=$A$1,Suma!AX125,NA())</f>
        <v>0</v>
      </c>
      <c r="S126" s="10">
        <f>IF(Suma!$B125=$A$1,Suma!AY125,NA())</f>
        <v>0</v>
      </c>
      <c r="T126" s="10">
        <f>IF(Suma!$B125=$A$1,Suma!AZ125,NA())</f>
        <v>0</v>
      </c>
      <c r="U126" s="10">
        <f>IF(Suma!$B125=$A$1,Suma!J125,NA())</f>
        <v>0</v>
      </c>
      <c r="V126" s="10">
        <f>IF(Suma!$B125=$A$1,Suma!K125,NA())</f>
        <v>0</v>
      </c>
      <c r="W126" s="10">
        <f>IF(Suma!$B125=$A$1,Suma!L125,NA())</f>
        <v>0</v>
      </c>
      <c r="X126" s="10">
        <f>IF(Suma!$B125=$A$1,Suma!M125,NA())</f>
        <v>0</v>
      </c>
      <c r="Y126" s="10">
        <f>IF(Suma!$B125=$A$1,Suma!N125,NA())</f>
        <v>0</v>
      </c>
      <c r="Z126" s="10">
        <f>IF(Suma!$B125=$A$1,Suma!O125,NA())</f>
        <v>0</v>
      </c>
      <c r="AA126" s="10">
        <f>IF(Suma!$B125=$A$1,Suma!BC125,NA())</f>
        <v>0</v>
      </c>
      <c r="AB126" s="10">
        <f>IF(Suma!$B125=$A$1,Suma!BD125,NA())</f>
        <v>0</v>
      </c>
    </row>
    <row r="127" spans="1:28" x14ac:dyDescent="0.3">
      <c r="A127" s="1">
        <f>IF(Suma!$B126=$A$1,Suma!C126,NA())</f>
        <v>0</v>
      </c>
      <c r="B127" s="1">
        <f>IF(Suma!$B126=$A$1,Suma!D126,NA())</f>
        <v>0</v>
      </c>
      <c r="C127" s="2">
        <f>IF(Suma!$B126=$A$1,Suma!E126,NA())</f>
        <v>0</v>
      </c>
      <c r="D127" s="2">
        <f>IF(Suma!$B126=$A$1,Suma!F126,NA())</f>
        <v>0</v>
      </c>
      <c r="E127" s="1">
        <f>IF(Suma!$B126=$A$1,Suma!P126,NA())</f>
        <v>0</v>
      </c>
      <c r="F127" s="10" t="e">
        <f t="shared" si="2"/>
        <v>#N/A</v>
      </c>
      <c r="G127" s="1">
        <f>IF(Suma!$B126=$A$1,Suma!W126,NA())</f>
        <v>0</v>
      </c>
      <c r="H127" s="10" t="e">
        <f t="shared" si="3"/>
        <v>#N/A</v>
      </c>
      <c r="I127" s="1">
        <f>IF(Suma!$B126=$A$1,Suma!AD126,NA())</f>
        <v>0</v>
      </c>
      <c r="J127" s="1">
        <f>IF(Suma!$B126=$A$1,Suma!AK126,NA())</f>
        <v>0</v>
      </c>
      <c r="K127" s="10">
        <f>IF(Suma!$B126=$A$1,Suma!AS126,NA())</f>
        <v>0</v>
      </c>
      <c r="L127" s="1">
        <f>IF(Suma!$B126=$A$1,Suma!G126,NA())</f>
        <v>0</v>
      </c>
      <c r="M127" s="1">
        <f>IF(Suma!$B126=$A$1,Suma!H126,NA())</f>
        <v>0</v>
      </c>
      <c r="N127" s="1">
        <f>IF(Suma!$B126=$A$1,Suma!AT126,NA())</f>
        <v>1900</v>
      </c>
      <c r="O127" s="1" t="str">
        <f>IF(Suma!$B126=$A$1,Suma!AU126,NA())</f>
        <v>enero</v>
      </c>
      <c r="P127" s="1">
        <f>IF(Suma!$B126=$A$1,Suma!AV126,NA())</f>
        <v>0</v>
      </c>
      <c r="Q127" s="1">
        <f>IF(Suma!$B126=$A$1,Suma!AW126,NA())</f>
        <v>0</v>
      </c>
      <c r="R127" s="10">
        <f>IF(Suma!$B126=$A$1,Suma!AX126,NA())</f>
        <v>0</v>
      </c>
      <c r="S127" s="10">
        <f>IF(Suma!$B126=$A$1,Suma!AY126,NA())</f>
        <v>0</v>
      </c>
      <c r="T127" s="10">
        <f>IF(Suma!$B126=$A$1,Suma!AZ126,NA())</f>
        <v>0</v>
      </c>
      <c r="U127" s="10">
        <f>IF(Suma!$B126=$A$1,Suma!J126,NA())</f>
        <v>0</v>
      </c>
      <c r="V127" s="10">
        <f>IF(Suma!$B126=$A$1,Suma!K126,NA())</f>
        <v>0</v>
      </c>
      <c r="W127" s="10">
        <f>IF(Suma!$B126=$A$1,Suma!L126,NA())</f>
        <v>0</v>
      </c>
      <c r="X127" s="10">
        <f>IF(Suma!$B126=$A$1,Suma!M126,NA())</f>
        <v>0</v>
      </c>
      <c r="Y127" s="10">
        <f>IF(Suma!$B126=$A$1,Suma!N126,NA())</f>
        <v>0</v>
      </c>
      <c r="Z127" s="10">
        <f>IF(Suma!$B126=$A$1,Suma!O126,NA())</f>
        <v>0</v>
      </c>
      <c r="AA127" s="10">
        <f>IF(Suma!$B126=$A$1,Suma!BC126,NA())</f>
        <v>0</v>
      </c>
      <c r="AB127" s="10">
        <f>IF(Suma!$B126=$A$1,Suma!BD126,NA())</f>
        <v>0</v>
      </c>
    </row>
    <row r="128" spans="1:28" x14ac:dyDescent="0.3">
      <c r="A128" s="1">
        <f>IF(Suma!$B127=$A$1,Suma!C127,NA())</f>
        <v>0</v>
      </c>
      <c r="B128" s="1">
        <f>IF(Suma!$B127=$A$1,Suma!D127,NA())</f>
        <v>0</v>
      </c>
      <c r="C128" s="2">
        <f>IF(Suma!$B127=$A$1,Suma!E127,NA())</f>
        <v>0</v>
      </c>
      <c r="D128" s="2">
        <f>IF(Suma!$B127=$A$1,Suma!F127,NA())</f>
        <v>0</v>
      </c>
      <c r="E128" s="1">
        <f>IF(Suma!$B127=$A$1,Suma!P127,NA())</f>
        <v>0</v>
      </c>
      <c r="F128" s="10" t="e">
        <f t="shared" si="2"/>
        <v>#N/A</v>
      </c>
      <c r="G128" s="1">
        <f>IF(Suma!$B127=$A$1,Suma!W127,NA())</f>
        <v>0</v>
      </c>
      <c r="H128" s="10" t="e">
        <f t="shared" si="3"/>
        <v>#N/A</v>
      </c>
      <c r="I128" s="1">
        <f>IF(Suma!$B127=$A$1,Suma!AD127,NA())</f>
        <v>0</v>
      </c>
      <c r="J128" s="1">
        <f>IF(Suma!$B127=$A$1,Suma!AK127,NA())</f>
        <v>0</v>
      </c>
      <c r="K128" s="10">
        <f>IF(Suma!$B127=$A$1,Suma!AS127,NA())</f>
        <v>0</v>
      </c>
      <c r="L128" s="1">
        <f>IF(Suma!$B127=$A$1,Suma!G127,NA())</f>
        <v>0</v>
      </c>
      <c r="M128" s="1">
        <f>IF(Suma!$B127=$A$1,Suma!H127,NA())</f>
        <v>0</v>
      </c>
      <c r="N128" s="1">
        <f>IF(Suma!$B127=$A$1,Suma!AT127,NA())</f>
        <v>1900</v>
      </c>
      <c r="O128" s="1" t="str">
        <f>IF(Suma!$B127=$A$1,Suma!AU127,NA())</f>
        <v>enero</v>
      </c>
      <c r="P128" s="1">
        <f>IF(Suma!$B127=$A$1,Suma!AV127,NA())</f>
        <v>0</v>
      </c>
      <c r="Q128" s="1">
        <f>IF(Suma!$B127=$A$1,Suma!AW127,NA())</f>
        <v>0</v>
      </c>
      <c r="R128" s="10">
        <f>IF(Suma!$B127=$A$1,Suma!AX127,NA())</f>
        <v>0</v>
      </c>
      <c r="S128" s="10">
        <f>IF(Suma!$B127=$A$1,Suma!AY127,NA())</f>
        <v>0</v>
      </c>
      <c r="T128" s="10">
        <f>IF(Suma!$B127=$A$1,Suma!AZ127,NA())</f>
        <v>0</v>
      </c>
      <c r="U128" s="10">
        <f>IF(Suma!$B127=$A$1,Suma!J127,NA())</f>
        <v>0</v>
      </c>
      <c r="V128" s="10">
        <f>IF(Suma!$B127=$A$1,Suma!K127,NA())</f>
        <v>0</v>
      </c>
      <c r="W128" s="10">
        <f>IF(Suma!$B127=$A$1,Suma!L127,NA())</f>
        <v>0</v>
      </c>
      <c r="X128" s="10">
        <f>IF(Suma!$B127=$A$1,Suma!M127,NA())</f>
        <v>0</v>
      </c>
      <c r="Y128" s="10">
        <f>IF(Suma!$B127=$A$1,Suma!N127,NA())</f>
        <v>0</v>
      </c>
      <c r="Z128" s="10">
        <f>IF(Suma!$B127=$A$1,Suma!O127,NA())</f>
        <v>0</v>
      </c>
      <c r="AA128" s="10">
        <f>IF(Suma!$B127=$A$1,Suma!BC127,NA())</f>
        <v>0</v>
      </c>
      <c r="AB128" s="10">
        <f>IF(Suma!$B127=$A$1,Suma!BD127,NA())</f>
        <v>0</v>
      </c>
    </row>
    <row r="129" spans="1:28" x14ac:dyDescent="0.3">
      <c r="A129" s="1">
        <f>IF(Suma!$B128=$A$1,Suma!C128,NA())</f>
        <v>0</v>
      </c>
      <c r="B129" s="1">
        <f>IF(Suma!$B128=$A$1,Suma!D128,NA())</f>
        <v>0</v>
      </c>
      <c r="C129" s="2">
        <f>IF(Suma!$B128=$A$1,Suma!E128,NA())</f>
        <v>0</v>
      </c>
      <c r="D129" s="2">
        <f>IF(Suma!$B128=$A$1,Suma!F128,NA())</f>
        <v>0</v>
      </c>
      <c r="E129" s="1">
        <f>IF(Suma!$B128=$A$1,Suma!P128,NA())</f>
        <v>0</v>
      </c>
      <c r="F129" s="10" t="e">
        <f t="shared" si="2"/>
        <v>#N/A</v>
      </c>
      <c r="G129" s="1">
        <f>IF(Suma!$B128=$A$1,Suma!W128,NA())</f>
        <v>0</v>
      </c>
      <c r="H129" s="10" t="e">
        <f t="shared" si="3"/>
        <v>#N/A</v>
      </c>
      <c r="I129" s="1">
        <f>IF(Suma!$B128=$A$1,Suma!AD128,NA())</f>
        <v>0</v>
      </c>
      <c r="J129" s="1">
        <f>IF(Suma!$B128=$A$1,Suma!AK128,NA())</f>
        <v>0</v>
      </c>
      <c r="K129" s="10">
        <f>IF(Suma!$B128=$A$1,Suma!AS128,NA())</f>
        <v>0</v>
      </c>
      <c r="L129" s="1">
        <f>IF(Suma!$B128=$A$1,Suma!G128,NA())</f>
        <v>0</v>
      </c>
      <c r="M129" s="1">
        <f>IF(Suma!$B128=$A$1,Suma!H128,NA())</f>
        <v>0</v>
      </c>
      <c r="N129" s="1">
        <f>IF(Suma!$B128=$A$1,Suma!AT128,NA())</f>
        <v>1900</v>
      </c>
      <c r="O129" s="1" t="str">
        <f>IF(Suma!$B128=$A$1,Suma!AU128,NA())</f>
        <v>enero</v>
      </c>
      <c r="P129" s="1">
        <f>IF(Suma!$B128=$A$1,Suma!AV128,NA())</f>
        <v>0</v>
      </c>
      <c r="Q129" s="1">
        <f>IF(Suma!$B128=$A$1,Suma!AW128,NA())</f>
        <v>0</v>
      </c>
      <c r="R129" s="10">
        <f>IF(Suma!$B128=$A$1,Suma!AX128,NA())</f>
        <v>0</v>
      </c>
      <c r="S129" s="10">
        <f>IF(Suma!$B128=$A$1,Suma!AY128,NA())</f>
        <v>0</v>
      </c>
      <c r="T129" s="10">
        <f>IF(Suma!$B128=$A$1,Suma!AZ128,NA())</f>
        <v>0</v>
      </c>
      <c r="U129" s="10">
        <f>IF(Suma!$B128=$A$1,Suma!J128,NA())</f>
        <v>0</v>
      </c>
      <c r="V129" s="10">
        <f>IF(Suma!$B128=$A$1,Suma!K128,NA())</f>
        <v>0</v>
      </c>
      <c r="W129" s="10">
        <f>IF(Suma!$B128=$A$1,Suma!L128,NA())</f>
        <v>0</v>
      </c>
      <c r="X129" s="10">
        <f>IF(Suma!$B128=$A$1,Suma!M128,NA())</f>
        <v>0</v>
      </c>
      <c r="Y129" s="10">
        <f>IF(Suma!$B128=$A$1,Suma!N128,NA())</f>
        <v>0</v>
      </c>
      <c r="Z129" s="10">
        <f>IF(Suma!$B128=$A$1,Suma!O128,NA())</f>
        <v>0</v>
      </c>
      <c r="AA129" s="10">
        <f>IF(Suma!$B128=$A$1,Suma!BC128,NA())</f>
        <v>0</v>
      </c>
      <c r="AB129" s="10">
        <f>IF(Suma!$B128=$A$1,Suma!BD128,NA())</f>
        <v>0</v>
      </c>
    </row>
    <row r="130" spans="1:28" x14ac:dyDescent="0.3">
      <c r="A130" s="1">
        <f>IF(Suma!$B129=$A$1,Suma!C129,NA())</f>
        <v>0</v>
      </c>
      <c r="B130" s="1">
        <f>IF(Suma!$B129=$A$1,Suma!D129,NA())</f>
        <v>0</v>
      </c>
      <c r="C130" s="2">
        <f>IF(Suma!$B129=$A$1,Suma!E129,NA())</f>
        <v>0</v>
      </c>
      <c r="D130" s="2">
        <f>IF(Suma!$B129=$A$1,Suma!F129,NA())</f>
        <v>0</v>
      </c>
      <c r="E130" s="1">
        <f>IF(Suma!$B129=$A$1,Suma!P129,NA())</f>
        <v>0</v>
      </c>
      <c r="F130" s="10" t="e">
        <f t="shared" si="2"/>
        <v>#N/A</v>
      </c>
      <c r="G130" s="1">
        <f>IF(Suma!$B129=$A$1,Suma!W129,NA())</f>
        <v>0</v>
      </c>
      <c r="H130" s="10" t="e">
        <f t="shared" si="3"/>
        <v>#N/A</v>
      </c>
      <c r="I130" s="1">
        <f>IF(Suma!$B129=$A$1,Suma!AD129,NA())</f>
        <v>0</v>
      </c>
      <c r="J130" s="1">
        <f>IF(Suma!$B129=$A$1,Suma!AK129,NA())</f>
        <v>0</v>
      </c>
      <c r="K130" s="10">
        <f>IF(Suma!$B129=$A$1,Suma!AS129,NA())</f>
        <v>0</v>
      </c>
      <c r="L130" s="1">
        <f>IF(Suma!$B129=$A$1,Suma!G129,NA())</f>
        <v>0</v>
      </c>
      <c r="M130" s="1">
        <f>IF(Suma!$B129=$A$1,Suma!H129,NA())</f>
        <v>0</v>
      </c>
      <c r="N130" s="1">
        <f>IF(Suma!$B129=$A$1,Suma!AT129,NA())</f>
        <v>1900</v>
      </c>
      <c r="O130" s="1" t="str">
        <f>IF(Suma!$B129=$A$1,Suma!AU129,NA())</f>
        <v>enero</v>
      </c>
      <c r="P130" s="1">
        <f>IF(Suma!$B129=$A$1,Suma!AV129,NA())</f>
        <v>0</v>
      </c>
      <c r="Q130" s="1">
        <f>IF(Suma!$B129=$A$1,Suma!AW129,NA())</f>
        <v>0</v>
      </c>
      <c r="R130" s="10">
        <f>IF(Suma!$B129=$A$1,Suma!AX129,NA())</f>
        <v>0</v>
      </c>
      <c r="S130" s="10">
        <f>IF(Suma!$B129=$A$1,Suma!AY129,NA())</f>
        <v>0</v>
      </c>
      <c r="T130" s="10">
        <f>IF(Suma!$B129=$A$1,Suma!AZ129,NA())</f>
        <v>0</v>
      </c>
      <c r="U130" s="10">
        <f>IF(Suma!$B129=$A$1,Suma!J129,NA())</f>
        <v>0</v>
      </c>
      <c r="V130" s="10">
        <f>IF(Suma!$B129=$A$1,Suma!K129,NA())</f>
        <v>0</v>
      </c>
      <c r="W130" s="10">
        <f>IF(Suma!$B129=$A$1,Suma!L129,NA())</f>
        <v>0</v>
      </c>
      <c r="X130" s="10">
        <f>IF(Suma!$B129=$A$1,Suma!M129,NA())</f>
        <v>0</v>
      </c>
      <c r="Y130" s="10">
        <f>IF(Suma!$B129=$A$1,Suma!N129,NA())</f>
        <v>0</v>
      </c>
      <c r="Z130" s="10">
        <f>IF(Suma!$B129=$A$1,Suma!O129,NA())</f>
        <v>0</v>
      </c>
      <c r="AA130" s="10">
        <f>IF(Suma!$B129=$A$1,Suma!BC129,NA())</f>
        <v>0</v>
      </c>
      <c r="AB130" s="10">
        <f>IF(Suma!$B129=$A$1,Suma!BD129,NA())</f>
        <v>0</v>
      </c>
    </row>
    <row r="131" spans="1:28" x14ac:dyDescent="0.3">
      <c r="A131" s="1">
        <f>IF(Suma!$B130=$A$1,Suma!C130,NA())</f>
        <v>0</v>
      </c>
      <c r="B131" s="1">
        <f>IF(Suma!$B130=$A$1,Suma!D130,NA())</f>
        <v>0</v>
      </c>
      <c r="C131" s="2">
        <f>IF(Suma!$B130=$A$1,Suma!E130,NA())</f>
        <v>0</v>
      </c>
      <c r="D131" s="2">
        <f>IF(Suma!$B130=$A$1,Suma!F130,NA())</f>
        <v>0</v>
      </c>
      <c r="E131" s="1">
        <f>IF(Suma!$B130=$A$1,Suma!P130,NA())</f>
        <v>0</v>
      </c>
      <c r="F131" s="10" t="e">
        <f t="shared" si="2"/>
        <v>#N/A</v>
      </c>
      <c r="G131" s="1">
        <f>IF(Suma!$B130=$A$1,Suma!W130,NA())</f>
        <v>0</v>
      </c>
      <c r="H131" s="10" t="e">
        <f t="shared" si="3"/>
        <v>#N/A</v>
      </c>
      <c r="I131" s="1">
        <f>IF(Suma!$B130=$A$1,Suma!AD130,NA())</f>
        <v>0</v>
      </c>
      <c r="J131" s="1">
        <f>IF(Suma!$B130=$A$1,Suma!AK130,NA())</f>
        <v>0</v>
      </c>
      <c r="K131" s="10">
        <f>IF(Suma!$B130=$A$1,Suma!AS130,NA())</f>
        <v>0</v>
      </c>
      <c r="L131" s="1">
        <f>IF(Suma!$B130=$A$1,Suma!G130,NA())</f>
        <v>0</v>
      </c>
      <c r="M131" s="1">
        <f>IF(Suma!$B130=$A$1,Suma!H130,NA())</f>
        <v>0</v>
      </c>
      <c r="N131" s="1">
        <f>IF(Suma!$B130=$A$1,Suma!AT130,NA())</f>
        <v>1900</v>
      </c>
      <c r="O131" s="1" t="str">
        <f>IF(Suma!$B130=$A$1,Suma!AU130,NA())</f>
        <v>enero</v>
      </c>
      <c r="P131" s="1">
        <f>IF(Suma!$B130=$A$1,Suma!AV130,NA())</f>
        <v>0</v>
      </c>
      <c r="Q131" s="1">
        <f>IF(Suma!$B130=$A$1,Suma!AW130,NA())</f>
        <v>0</v>
      </c>
      <c r="R131" s="10">
        <f>IF(Suma!$B130=$A$1,Suma!AX130,NA())</f>
        <v>0</v>
      </c>
      <c r="S131" s="10">
        <f>IF(Suma!$B130=$A$1,Suma!AY130,NA())</f>
        <v>0</v>
      </c>
      <c r="T131" s="10">
        <f>IF(Suma!$B130=$A$1,Suma!AZ130,NA())</f>
        <v>0</v>
      </c>
      <c r="U131" s="10">
        <f>IF(Suma!$B130=$A$1,Suma!J130,NA())</f>
        <v>0</v>
      </c>
      <c r="V131" s="10">
        <f>IF(Suma!$B130=$A$1,Suma!K130,NA())</f>
        <v>0</v>
      </c>
      <c r="W131" s="10">
        <f>IF(Suma!$B130=$A$1,Suma!L130,NA())</f>
        <v>0</v>
      </c>
      <c r="X131" s="10">
        <f>IF(Suma!$B130=$A$1,Suma!M130,NA())</f>
        <v>0</v>
      </c>
      <c r="Y131" s="10">
        <f>IF(Suma!$B130=$A$1,Suma!N130,NA())</f>
        <v>0</v>
      </c>
      <c r="Z131" s="10">
        <f>IF(Suma!$B130=$A$1,Suma!O130,NA())</f>
        <v>0</v>
      </c>
      <c r="AA131" s="10">
        <f>IF(Suma!$B130=$A$1,Suma!BC130,NA())</f>
        <v>0</v>
      </c>
      <c r="AB131" s="10">
        <f>IF(Suma!$B130=$A$1,Suma!BD130,NA())</f>
        <v>0</v>
      </c>
    </row>
    <row r="132" spans="1:28" x14ac:dyDescent="0.3">
      <c r="A132" s="1">
        <f>IF(Suma!$B131=$A$1,Suma!C131,NA())</f>
        <v>0</v>
      </c>
      <c r="B132" s="1">
        <f>IF(Suma!$B131=$A$1,Suma!D131,NA())</f>
        <v>0</v>
      </c>
      <c r="C132" s="2">
        <f>IF(Suma!$B131=$A$1,Suma!E131,NA())</f>
        <v>0</v>
      </c>
      <c r="D132" s="2">
        <f>IF(Suma!$B131=$A$1,Suma!F131,NA())</f>
        <v>0</v>
      </c>
      <c r="E132" s="1">
        <f>IF(Suma!$B131=$A$1,Suma!P131,NA())</f>
        <v>0</v>
      </c>
      <c r="F132" s="10" t="e">
        <f t="shared" ref="F132:F195" si="4">IFERROR(E132/($D132-$C132),NA())</f>
        <v>#N/A</v>
      </c>
      <c r="G132" s="1">
        <f>IF(Suma!$B131=$A$1,Suma!W131,NA())</f>
        <v>0</v>
      </c>
      <c r="H132" s="10" t="e">
        <f t="shared" ref="H132:H195" si="5">IFERROR(G132/($D132-$C132),NA())</f>
        <v>#N/A</v>
      </c>
      <c r="I132" s="1">
        <f>IF(Suma!$B131=$A$1,Suma!AD131,NA())</f>
        <v>0</v>
      </c>
      <c r="J132" s="1">
        <f>IF(Suma!$B131=$A$1,Suma!AK131,NA())</f>
        <v>0</v>
      </c>
      <c r="K132" s="10">
        <f>IF(Suma!$B131=$A$1,Suma!AS131,NA())</f>
        <v>0</v>
      </c>
      <c r="L132" s="1">
        <f>IF(Suma!$B131=$A$1,Suma!G131,NA())</f>
        <v>0</v>
      </c>
      <c r="M132" s="1">
        <f>IF(Suma!$B131=$A$1,Suma!H131,NA())</f>
        <v>0</v>
      </c>
      <c r="N132" s="1">
        <f>IF(Suma!$B131=$A$1,Suma!AT131,NA())</f>
        <v>1900</v>
      </c>
      <c r="O132" s="1" t="str">
        <f>IF(Suma!$B131=$A$1,Suma!AU131,NA())</f>
        <v>enero</v>
      </c>
      <c r="P132" s="1">
        <f>IF(Suma!$B131=$A$1,Suma!AV131,NA())</f>
        <v>0</v>
      </c>
      <c r="Q132" s="1">
        <f>IF(Suma!$B131=$A$1,Suma!AW131,NA())</f>
        <v>0</v>
      </c>
      <c r="R132" s="10">
        <f>IF(Suma!$B131=$A$1,Suma!AX131,NA())</f>
        <v>0</v>
      </c>
      <c r="S132" s="10">
        <f>IF(Suma!$B131=$A$1,Suma!AY131,NA())</f>
        <v>0</v>
      </c>
      <c r="T132" s="10">
        <f>IF(Suma!$B131=$A$1,Suma!AZ131,NA())</f>
        <v>0</v>
      </c>
      <c r="U132" s="10">
        <f>IF(Suma!$B131=$A$1,Suma!J131,NA())</f>
        <v>0</v>
      </c>
      <c r="V132" s="10">
        <f>IF(Suma!$B131=$A$1,Suma!K131,NA())</f>
        <v>0</v>
      </c>
      <c r="W132" s="10">
        <f>IF(Suma!$B131=$A$1,Suma!L131,NA())</f>
        <v>0</v>
      </c>
      <c r="X132" s="10">
        <f>IF(Suma!$B131=$A$1,Suma!M131,NA())</f>
        <v>0</v>
      </c>
      <c r="Y132" s="10">
        <f>IF(Suma!$B131=$A$1,Suma!N131,NA())</f>
        <v>0</v>
      </c>
      <c r="Z132" s="10">
        <f>IF(Suma!$B131=$A$1,Suma!O131,NA())</f>
        <v>0</v>
      </c>
      <c r="AA132" s="10">
        <f>IF(Suma!$B131=$A$1,Suma!BC131,NA())</f>
        <v>0</v>
      </c>
      <c r="AB132" s="10">
        <f>IF(Suma!$B131=$A$1,Suma!BD131,NA())</f>
        <v>0</v>
      </c>
    </row>
    <row r="133" spans="1:28" x14ac:dyDescent="0.3">
      <c r="A133" s="1">
        <f>IF(Suma!$B132=$A$1,Suma!C132,NA())</f>
        <v>0</v>
      </c>
      <c r="B133" s="1">
        <f>IF(Suma!$B132=$A$1,Suma!D132,NA())</f>
        <v>0</v>
      </c>
      <c r="C133" s="2">
        <f>IF(Suma!$B132=$A$1,Suma!E132,NA())</f>
        <v>0</v>
      </c>
      <c r="D133" s="2">
        <f>IF(Suma!$B132=$A$1,Suma!F132,NA())</f>
        <v>0</v>
      </c>
      <c r="E133" s="1">
        <f>IF(Suma!$B132=$A$1,Suma!P132,NA())</f>
        <v>0</v>
      </c>
      <c r="F133" s="10" t="e">
        <f t="shared" si="4"/>
        <v>#N/A</v>
      </c>
      <c r="G133" s="1">
        <f>IF(Suma!$B132=$A$1,Suma!W132,NA())</f>
        <v>0</v>
      </c>
      <c r="H133" s="10" t="e">
        <f t="shared" si="5"/>
        <v>#N/A</v>
      </c>
      <c r="I133" s="1">
        <f>IF(Suma!$B132=$A$1,Suma!AD132,NA())</f>
        <v>0</v>
      </c>
      <c r="J133" s="1">
        <f>IF(Suma!$B132=$A$1,Suma!AK132,NA())</f>
        <v>0</v>
      </c>
      <c r="K133" s="10">
        <f>IF(Suma!$B132=$A$1,Suma!AS132,NA())</f>
        <v>0</v>
      </c>
      <c r="L133" s="1">
        <f>IF(Suma!$B132=$A$1,Suma!G132,NA())</f>
        <v>0</v>
      </c>
      <c r="M133" s="1">
        <f>IF(Suma!$B132=$A$1,Suma!H132,NA())</f>
        <v>0</v>
      </c>
      <c r="N133" s="1">
        <f>IF(Suma!$B132=$A$1,Suma!AT132,NA())</f>
        <v>1900</v>
      </c>
      <c r="O133" s="1" t="str">
        <f>IF(Suma!$B132=$A$1,Suma!AU132,NA())</f>
        <v>enero</v>
      </c>
      <c r="P133" s="1">
        <f>IF(Suma!$B132=$A$1,Suma!AV132,NA())</f>
        <v>0</v>
      </c>
      <c r="Q133" s="1">
        <f>IF(Suma!$B132=$A$1,Suma!AW132,NA())</f>
        <v>0</v>
      </c>
      <c r="R133" s="10">
        <f>IF(Suma!$B132=$A$1,Suma!AX132,NA())</f>
        <v>0</v>
      </c>
      <c r="S133" s="10">
        <f>IF(Suma!$B132=$A$1,Suma!AY132,NA())</f>
        <v>0</v>
      </c>
      <c r="T133" s="10">
        <f>IF(Suma!$B132=$A$1,Suma!AZ132,NA())</f>
        <v>0</v>
      </c>
      <c r="U133" s="10">
        <f>IF(Suma!$B132=$A$1,Suma!J132,NA())</f>
        <v>0</v>
      </c>
      <c r="V133" s="10">
        <f>IF(Suma!$B132=$A$1,Suma!K132,NA())</f>
        <v>0</v>
      </c>
      <c r="W133" s="10">
        <f>IF(Suma!$B132=$A$1,Suma!L132,NA())</f>
        <v>0</v>
      </c>
      <c r="X133" s="10">
        <f>IF(Suma!$B132=$A$1,Suma!M132,NA())</f>
        <v>0</v>
      </c>
      <c r="Y133" s="10">
        <f>IF(Suma!$B132=$A$1,Suma!N132,NA())</f>
        <v>0</v>
      </c>
      <c r="Z133" s="10">
        <f>IF(Suma!$B132=$A$1,Suma!O132,NA())</f>
        <v>0</v>
      </c>
      <c r="AA133" s="10">
        <f>IF(Suma!$B132=$A$1,Suma!BC132,NA())</f>
        <v>0</v>
      </c>
      <c r="AB133" s="10">
        <f>IF(Suma!$B132=$A$1,Suma!BD132,NA())</f>
        <v>0</v>
      </c>
    </row>
    <row r="134" spans="1:28" x14ac:dyDescent="0.3">
      <c r="A134" s="1">
        <f>IF(Suma!$B133=$A$1,Suma!C133,NA())</f>
        <v>0</v>
      </c>
      <c r="B134" s="1">
        <f>IF(Suma!$B133=$A$1,Suma!D133,NA())</f>
        <v>0</v>
      </c>
      <c r="C134" s="2">
        <f>IF(Suma!$B133=$A$1,Suma!E133,NA())</f>
        <v>0</v>
      </c>
      <c r="D134" s="2">
        <f>IF(Suma!$B133=$A$1,Suma!F133,NA())</f>
        <v>0</v>
      </c>
      <c r="E134" s="1">
        <f>IF(Suma!$B133=$A$1,Suma!P133,NA())</f>
        <v>0</v>
      </c>
      <c r="F134" s="10" t="e">
        <f t="shared" si="4"/>
        <v>#N/A</v>
      </c>
      <c r="G134" s="1">
        <f>IF(Suma!$B133=$A$1,Suma!W133,NA())</f>
        <v>0</v>
      </c>
      <c r="H134" s="10" t="e">
        <f t="shared" si="5"/>
        <v>#N/A</v>
      </c>
      <c r="I134" s="1">
        <f>IF(Suma!$B133=$A$1,Suma!AD133,NA())</f>
        <v>0</v>
      </c>
      <c r="J134" s="1">
        <f>IF(Suma!$B133=$A$1,Suma!AK133,NA())</f>
        <v>0</v>
      </c>
      <c r="K134" s="10">
        <f>IF(Suma!$B133=$A$1,Suma!AS133,NA())</f>
        <v>0</v>
      </c>
      <c r="L134" s="1">
        <f>IF(Suma!$B133=$A$1,Suma!G133,NA())</f>
        <v>0</v>
      </c>
      <c r="M134" s="1">
        <f>IF(Suma!$B133=$A$1,Suma!H133,NA())</f>
        <v>0</v>
      </c>
      <c r="N134" s="1">
        <f>IF(Suma!$B133=$A$1,Suma!AT133,NA())</f>
        <v>1900</v>
      </c>
      <c r="O134" s="1" t="str">
        <f>IF(Suma!$B133=$A$1,Suma!AU133,NA())</f>
        <v>enero</v>
      </c>
      <c r="P134" s="1">
        <f>IF(Suma!$B133=$A$1,Suma!AV133,NA())</f>
        <v>0</v>
      </c>
      <c r="Q134" s="1">
        <f>IF(Suma!$B133=$A$1,Suma!AW133,NA())</f>
        <v>0</v>
      </c>
      <c r="R134" s="10">
        <f>IF(Suma!$B133=$A$1,Suma!AX133,NA())</f>
        <v>0</v>
      </c>
      <c r="S134" s="10">
        <f>IF(Suma!$B133=$A$1,Suma!AY133,NA())</f>
        <v>0</v>
      </c>
      <c r="T134" s="10">
        <f>IF(Suma!$B133=$A$1,Suma!AZ133,NA())</f>
        <v>0</v>
      </c>
      <c r="U134" s="10">
        <f>IF(Suma!$B133=$A$1,Suma!J133,NA())</f>
        <v>0</v>
      </c>
      <c r="V134" s="10">
        <f>IF(Suma!$B133=$A$1,Suma!K133,NA())</f>
        <v>0</v>
      </c>
      <c r="W134" s="10">
        <f>IF(Suma!$B133=$A$1,Suma!L133,NA())</f>
        <v>0</v>
      </c>
      <c r="X134" s="10">
        <f>IF(Suma!$B133=$A$1,Suma!M133,NA())</f>
        <v>0</v>
      </c>
      <c r="Y134" s="10">
        <f>IF(Suma!$B133=$A$1,Suma!N133,NA())</f>
        <v>0</v>
      </c>
      <c r="Z134" s="10">
        <f>IF(Suma!$B133=$A$1,Suma!O133,NA())</f>
        <v>0</v>
      </c>
      <c r="AA134" s="10">
        <f>IF(Suma!$B133=$A$1,Suma!BC133,NA())</f>
        <v>0</v>
      </c>
      <c r="AB134" s="10">
        <f>IF(Suma!$B133=$A$1,Suma!BD133,NA())</f>
        <v>0</v>
      </c>
    </row>
    <row r="135" spans="1:28" x14ac:dyDescent="0.3">
      <c r="A135" s="1">
        <f>IF(Suma!$B134=$A$1,Suma!C134,NA())</f>
        <v>0</v>
      </c>
      <c r="B135" s="1">
        <f>IF(Suma!$B134=$A$1,Suma!D134,NA())</f>
        <v>0</v>
      </c>
      <c r="C135" s="2">
        <f>IF(Suma!$B134=$A$1,Suma!E134,NA())</f>
        <v>0</v>
      </c>
      <c r="D135" s="2">
        <f>IF(Suma!$B134=$A$1,Suma!F134,NA())</f>
        <v>0</v>
      </c>
      <c r="E135" s="1">
        <f>IF(Suma!$B134=$A$1,Suma!P134,NA())</f>
        <v>0</v>
      </c>
      <c r="F135" s="10" t="e">
        <f t="shared" si="4"/>
        <v>#N/A</v>
      </c>
      <c r="G135" s="1">
        <f>IF(Suma!$B134=$A$1,Suma!W134,NA())</f>
        <v>0</v>
      </c>
      <c r="H135" s="10" t="e">
        <f t="shared" si="5"/>
        <v>#N/A</v>
      </c>
      <c r="I135" s="1">
        <f>IF(Suma!$B134=$A$1,Suma!AD134,NA())</f>
        <v>0</v>
      </c>
      <c r="J135" s="1">
        <f>IF(Suma!$B134=$A$1,Suma!AK134,NA())</f>
        <v>0</v>
      </c>
      <c r="K135" s="10">
        <f>IF(Suma!$B134=$A$1,Suma!AS134,NA())</f>
        <v>0</v>
      </c>
      <c r="L135" s="1">
        <f>IF(Suma!$B134=$A$1,Suma!G134,NA())</f>
        <v>0</v>
      </c>
      <c r="M135" s="1">
        <f>IF(Suma!$B134=$A$1,Suma!H134,NA())</f>
        <v>0</v>
      </c>
      <c r="N135" s="1">
        <f>IF(Suma!$B134=$A$1,Suma!AT134,NA())</f>
        <v>1900</v>
      </c>
      <c r="O135" s="1" t="str">
        <f>IF(Suma!$B134=$A$1,Suma!AU134,NA())</f>
        <v>enero</v>
      </c>
      <c r="P135" s="1">
        <f>IF(Suma!$B134=$A$1,Suma!AV134,NA())</f>
        <v>0</v>
      </c>
      <c r="Q135" s="1">
        <f>IF(Suma!$B134=$A$1,Suma!AW134,NA())</f>
        <v>0</v>
      </c>
      <c r="R135" s="10">
        <f>IF(Suma!$B134=$A$1,Suma!AX134,NA())</f>
        <v>0</v>
      </c>
      <c r="S135" s="10">
        <f>IF(Suma!$B134=$A$1,Suma!AY134,NA())</f>
        <v>0</v>
      </c>
      <c r="T135" s="10">
        <f>IF(Suma!$B134=$A$1,Suma!AZ134,NA())</f>
        <v>0</v>
      </c>
      <c r="U135" s="10">
        <f>IF(Suma!$B134=$A$1,Suma!J134,NA())</f>
        <v>0</v>
      </c>
      <c r="V135" s="10">
        <f>IF(Suma!$B134=$A$1,Suma!K134,NA())</f>
        <v>0</v>
      </c>
      <c r="W135" s="10">
        <f>IF(Suma!$B134=$A$1,Suma!L134,NA())</f>
        <v>0</v>
      </c>
      <c r="X135" s="10">
        <f>IF(Suma!$B134=$A$1,Suma!M134,NA())</f>
        <v>0</v>
      </c>
      <c r="Y135" s="10">
        <f>IF(Suma!$B134=$A$1,Suma!N134,NA())</f>
        <v>0</v>
      </c>
      <c r="Z135" s="10">
        <f>IF(Suma!$B134=$A$1,Suma!O134,NA())</f>
        <v>0</v>
      </c>
      <c r="AA135" s="10">
        <f>IF(Suma!$B134=$A$1,Suma!BC134,NA())</f>
        <v>0</v>
      </c>
      <c r="AB135" s="10">
        <f>IF(Suma!$B134=$A$1,Suma!BD134,NA())</f>
        <v>0</v>
      </c>
    </row>
    <row r="136" spans="1:28" x14ac:dyDescent="0.3">
      <c r="A136" s="1">
        <f>IF(Suma!$B135=$A$1,Suma!C135,NA())</f>
        <v>0</v>
      </c>
      <c r="B136" s="1">
        <f>IF(Suma!$B135=$A$1,Suma!D135,NA())</f>
        <v>0</v>
      </c>
      <c r="C136" s="2">
        <f>IF(Suma!$B135=$A$1,Suma!E135,NA())</f>
        <v>0</v>
      </c>
      <c r="D136" s="2">
        <f>IF(Suma!$B135=$A$1,Suma!F135,NA())</f>
        <v>0</v>
      </c>
      <c r="E136" s="1">
        <f>IF(Suma!$B135=$A$1,Suma!P135,NA())</f>
        <v>0</v>
      </c>
      <c r="F136" s="10" t="e">
        <f t="shared" si="4"/>
        <v>#N/A</v>
      </c>
      <c r="G136" s="1">
        <f>IF(Suma!$B135=$A$1,Suma!W135,NA())</f>
        <v>0</v>
      </c>
      <c r="H136" s="10" t="e">
        <f t="shared" si="5"/>
        <v>#N/A</v>
      </c>
      <c r="I136" s="1">
        <f>IF(Suma!$B135=$A$1,Suma!AD135,NA())</f>
        <v>0</v>
      </c>
      <c r="J136" s="1">
        <f>IF(Suma!$B135=$A$1,Suma!AK135,NA())</f>
        <v>0</v>
      </c>
      <c r="K136" s="10">
        <f>IF(Suma!$B135=$A$1,Suma!AS135,NA())</f>
        <v>0</v>
      </c>
      <c r="L136" s="1">
        <f>IF(Suma!$B135=$A$1,Suma!G135,NA())</f>
        <v>0</v>
      </c>
      <c r="M136" s="1">
        <f>IF(Suma!$B135=$A$1,Suma!H135,NA())</f>
        <v>0</v>
      </c>
      <c r="N136" s="1">
        <f>IF(Suma!$B135=$A$1,Suma!AT135,NA())</f>
        <v>1900</v>
      </c>
      <c r="O136" s="1" t="str">
        <f>IF(Suma!$B135=$A$1,Suma!AU135,NA())</f>
        <v>enero</v>
      </c>
      <c r="P136" s="1">
        <f>IF(Suma!$B135=$A$1,Suma!AV135,NA())</f>
        <v>0</v>
      </c>
      <c r="Q136" s="1">
        <f>IF(Suma!$B135=$A$1,Suma!AW135,NA())</f>
        <v>0</v>
      </c>
      <c r="R136" s="10">
        <f>IF(Suma!$B135=$A$1,Suma!AX135,NA())</f>
        <v>0</v>
      </c>
      <c r="S136" s="10">
        <f>IF(Suma!$B135=$A$1,Suma!AY135,NA())</f>
        <v>0</v>
      </c>
      <c r="T136" s="10">
        <f>IF(Suma!$B135=$A$1,Suma!AZ135,NA())</f>
        <v>0</v>
      </c>
      <c r="U136" s="10">
        <f>IF(Suma!$B135=$A$1,Suma!J135,NA())</f>
        <v>0</v>
      </c>
      <c r="V136" s="10">
        <f>IF(Suma!$B135=$A$1,Suma!K135,NA())</f>
        <v>0</v>
      </c>
      <c r="W136" s="10">
        <f>IF(Suma!$B135=$A$1,Suma!L135,NA())</f>
        <v>0</v>
      </c>
      <c r="X136" s="10">
        <f>IF(Suma!$B135=$A$1,Suma!M135,NA())</f>
        <v>0</v>
      </c>
      <c r="Y136" s="10">
        <f>IF(Suma!$B135=$A$1,Suma!N135,NA())</f>
        <v>0</v>
      </c>
      <c r="Z136" s="10">
        <f>IF(Suma!$B135=$A$1,Suma!O135,NA())</f>
        <v>0</v>
      </c>
      <c r="AA136" s="10">
        <f>IF(Suma!$B135=$A$1,Suma!BC135,NA())</f>
        <v>0</v>
      </c>
      <c r="AB136" s="10">
        <f>IF(Suma!$B135=$A$1,Suma!BD135,NA())</f>
        <v>0</v>
      </c>
    </row>
    <row r="137" spans="1:28" x14ac:dyDescent="0.3">
      <c r="A137" s="1">
        <f>IF(Suma!$B136=$A$1,Suma!C136,NA())</f>
        <v>0</v>
      </c>
      <c r="B137" s="1">
        <f>IF(Suma!$B136=$A$1,Suma!D136,NA())</f>
        <v>0</v>
      </c>
      <c r="C137" s="2">
        <f>IF(Suma!$B136=$A$1,Suma!E136,NA())</f>
        <v>0</v>
      </c>
      <c r="D137" s="2">
        <f>IF(Suma!$B136=$A$1,Suma!F136,NA())</f>
        <v>0</v>
      </c>
      <c r="E137" s="1">
        <f>IF(Suma!$B136=$A$1,Suma!P136,NA())</f>
        <v>0</v>
      </c>
      <c r="F137" s="10" t="e">
        <f t="shared" si="4"/>
        <v>#N/A</v>
      </c>
      <c r="G137" s="1">
        <f>IF(Suma!$B136=$A$1,Suma!W136,NA())</f>
        <v>0</v>
      </c>
      <c r="H137" s="10" t="e">
        <f t="shared" si="5"/>
        <v>#N/A</v>
      </c>
      <c r="I137" s="1">
        <f>IF(Suma!$B136=$A$1,Suma!AD136,NA())</f>
        <v>0</v>
      </c>
      <c r="J137" s="1">
        <f>IF(Suma!$B136=$A$1,Suma!AK136,NA())</f>
        <v>0</v>
      </c>
      <c r="K137" s="10">
        <f>IF(Suma!$B136=$A$1,Suma!AS136,NA())</f>
        <v>0</v>
      </c>
      <c r="L137" s="1">
        <f>IF(Suma!$B136=$A$1,Suma!G136,NA())</f>
        <v>0</v>
      </c>
      <c r="M137" s="1">
        <f>IF(Suma!$B136=$A$1,Suma!H136,NA())</f>
        <v>0</v>
      </c>
      <c r="N137" s="1">
        <f>IF(Suma!$B136=$A$1,Suma!AT136,NA())</f>
        <v>1900</v>
      </c>
      <c r="O137" s="1" t="str">
        <f>IF(Suma!$B136=$A$1,Suma!AU136,NA())</f>
        <v>enero</v>
      </c>
      <c r="P137" s="1">
        <f>IF(Suma!$B136=$A$1,Suma!AV136,NA())</f>
        <v>0</v>
      </c>
      <c r="Q137" s="1">
        <f>IF(Suma!$B136=$A$1,Suma!AW136,NA())</f>
        <v>0</v>
      </c>
      <c r="R137" s="10">
        <f>IF(Suma!$B136=$A$1,Suma!AX136,NA())</f>
        <v>0</v>
      </c>
      <c r="S137" s="10">
        <f>IF(Suma!$B136=$A$1,Suma!AY136,NA())</f>
        <v>0</v>
      </c>
      <c r="T137" s="10">
        <f>IF(Suma!$B136=$A$1,Suma!AZ136,NA())</f>
        <v>0</v>
      </c>
      <c r="U137" s="10">
        <f>IF(Suma!$B136=$A$1,Suma!J136,NA())</f>
        <v>0</v>
      </c>
      <c r="V137" s="10">
        <f>IF(Suma!$B136=$A$1,Suma!K136,NA())</f>
        <v>0</v>
      </c>
      <c r="W137" s="10">
        <f>IF(Suma!$B136=$A$1,Suma!L136,NA())</f>
        <v>0</v>
      </c>
      <c r="X137" s="10">
        <f>IF(Suma!$B136=$A$1,Suma!M136,NA())</f>
        <v>0</v>
      </c>
      <c r="Y137" s="10">
        <f>IF(Suma!$B136=$A$1,Suma!N136,NA())</f>
        <v>0</v>
      </c>
      <c r="Z137" s="10">
        <f>IF(Suma!$B136=$A$1,Suma!O136,NA())</f>
        <v>0</v>
      </c>
      <c r="AA137" s="10">
        <f>IF(Suma!$B136=$A$1,Suma!BC136,NA())</f>
        <v>0</v>
      </c>
      <c r="AB137" s="10">
        <f>IF(Suma!$B136=$A$1,Suma!BD136,NA())</f>
        <v>0</v>
      </c>
    </row>
    <row r="138" spans="1:28" x14ac:dyDescent="0.3">
      <c r="A138" s="1">
        <f>IF(Suma!$B137=$A$1,Suma!C137,NA())</f>
        <v>0</v>
      </c>
      <c r="B138" s="1">
        <f>IF(Suma!$B137=$A$1,Suma!D137,NA())</f>
        <v>0</v>
      </c>
      <c r="C138" s="2">
        <f>IF(Suma!$B137=$A$1,Suma!E137,NA())</f>
        <v>0</v>
      </c>
      <c r="D138" s="2">
        <f>IF(Suma!$B137=$A$1,Suma!F137,NA())</f>
        <v>0</v>
      </c>
      <c r="E138" s="1">
        <f>IF(Suma!$B137=$A$1,Suma!P137,NA())</f>
        <v>0</v>
      </c>
      <c r="F138" s="10" t="e">
        <f t="shared" si="4"/>
        <v>#N/A</v>
      </c>
      <c r="G138" s="1">
        <f>IF(Suma!$B137=$A$1,Suma!W137,NA())</f>
        <v>0</v>
      </c>
      <c r="H138" s="10" t="e">
        <f t="shared" si="5"/>
        <v>#N/A</v>
      </c>
      <c r="I138" s="1">
        <f>IF(Suma!$B137=$A$1,Suma!AD137,NA())</f>
        <v>0</v>
      </c>
      <c r="J138" s="1">
        <f>IF(Suma!$B137=$A$1,Suma!AK137,NA())</f>
        <v>0</v>
      </c>
      <c r="K138" s="10">
        <f>IF(Suma!$B137=$A$1,Suma!AS137,NA())</f>
        <v>0</v>
      </c>
      <c r="L138" s="1">
        <f>IF(Suma!$B137=$A$1,Suma!G137,NA())</f>
        <v>0</v>
      </c>
      <c r="M138" s="1">
        <f>IF(Suma!$B137=$A$1,Suma!H137,NA())</f>
        <v>0</v>
      </c>
      <c r="N138" s="1">
        <f>IF(Suma!$B137=$A$1,Suma!AT137,NA())</f>
        <v>1900</v>
      </c>
      <c r="O138" s="1" t="str">
        <f>IF(Suma!$B137=$A$1,Suma!AU137,NA())</f>
        <v>enero</v>
      </c>
      <c r="P138" s="1">
        <f>IF(Suma!$B137=$A$1,Suma!AV137,NA())</f>
        <v>0</v>
      </c>
      <c r="Q138" s="1">
        <f>IF(Suma!$B137=$A$1,Suma!AW137,NA())</f>
        <v>0</v>
      </c>
      <c r="R138" s="10">
        <f>IF(Suma!$B137=$A$1,Suma!AX137,NA())</f>
        <v>0</v>
      </c>
      <c r="S138" s="10">
        <f>IF(Suma!$B137=$A$1,Suma!AY137,NA())</f>
        <v>0</v>
      </c>
      <c r="T138" s="10">
        <f>IF(Suma!$B137=$A$1,Suma!AZ137,NA())</f>
        <v>0</v>
      </c>
      <c r="U138" s="10">
        <f>IF(Suma!$B137=$A$1,Suma!J137,NA())</f>
        <v>0</v>
      </c>
      <c r="V138" s="10">
        <f>IF(Suma!$B137=$A$1,Suma!K137,NA())</f>
        <v>0</v>
      </c>
      <c r="W138" s="10">
        <f>IF(Suma!$B137=$A$1,Suma!L137,NA())</f>
        <v>0</v>
      </c>
      <c r="X138" s="10">
        <f>IF(Suma!$B137=$A$1,Suma!M137,NA())</f>
        <v>0</v>
      </c>
      <c r="Y138" s="10">
        <f>IF(Suma!$B137=$A$1,Suma!N137,NA())</f>
        <v>0</v>
      </c>
      <c r="Z138" s="10">
        <f>IF(Suma!$B137=$A$1,Suma!O137,NA())</f>
        <v>0</v>
      </c>
      <c r="AA138" s="10">
        <f>IF(Suma!$B137=$A$1,Suma!BC137,NA())</f>
        <v>0</v>
      </c>
      <c r="AB138" s="10">
        <f>IF(Suma!$B137=$A$1,Suma!BD137,NA())</f>
        <v>0</v>
      </c>
    </row>
    <row r="139" spans="1:28" x14ac:dyDescent="0.3">
      <c r="A139" s="1">
        <f>IF(Suma!$B138=$A$1,Suma!C138,NA())</f>
        <v>0</v>
      </c>
      <c r="B139" s="1">
        <f>IF(Suma!$B138=$A$1,Suma!D138,NA())</f>
        <v>0</v>
      </c>
      <c r="C139" s="2">
        <f>IF(Suma!$B138=$A$1,Suma!E138,NA())</f>
        <v>0</v>
      </c>
      <c r="D139" s="2">
        <f>IF(Suma!$B138=$A$1,Suma!F138,NA())</f>
        <v>0</v>
      </c>
      <c r="E139" s="1">
        <f>IF(Suma!$B138=$A$1,Suma!P138,NA())</f>
        <v>0</v>
      </c>
      <c r="F139" s="10" t="e">
        <f t="shared" si="4"/>
        <v>#N/A</v>
      </c>
      <c r="G139" s="1">
        <f>IF(Suma!$B138=$A$1,Suma!W138,NA())</f>
        <v>0</v>
      </c>
      <c r="H139" s="10" t="e">
        <f t="shared" si="5"/>
        <v>#N/A</v>
      </c>
      <c r="I139" s="1">
        <f>IF(Suma!$B138=$A$1,Suma!AD138,NA())</f>
        <v>0</v>
      </c>
      <c r="J139" s="1">
        <f>IF(Suma!$B138=$A$1,Suma!AK138,NA())</f>
        <v>0</v>
      </c>
      <c r="K139" s="10">
        <f>IF(Suma!$B138=$A$1,Suma!AS138,NA())</f>
        <v>0</v>
      </c>
      <c r="L139" s="1">
        <f>IF(Suma!$B138=$A$1,Suma!G138,NA())</f>
        <v>0</v>
      </c>
      <c r="M139" s="1">
        <f>IF(Suma!$B138=$A$1,Suma!H138,NA())</f>
        <v>0</v>
      </c>
      <c r="N139" s="1">
        <f>IF(Suma!$B138=$A$1,Suma!AT138,NA())</f>
        <v>1900</v>
      </c>
      <c r="O139" s="1" t="str">
        <f>IF(Suma!$B138=$A$1,Suma!AU138,NA())</f>
        <v>enero</v>
      </c>
      <c r="P139" s="1">
        <f>IF(Suma!$B138=$A$1,Suma!AV138,NA())</f>
        <v>0</v>
      </c>
      <c r="Q139" s="1">
        <f>IF(Suma!$B138=$A$1,Suma!AW138,NA())</f>
        <v>0</v>
      </c>
      <c r="R139" s="10">
        <f>IF(Suma!$B138=$A$1,Suma!AX138,NA())</f>
        <v>0</v>
      </c>
      <c r="S139" s="10">
        <f>IF(Suma!$B138=$A$1,Suma!AY138,NA())</f>
        <v>0</v>
      </c>
      <c r="T139" s="10">
        <f>IF(Suma!$B138=$A$1,Suma!AZ138,NA())</f>
        <v>0</v>
      </c>
      <c r="U139" s="10">
        <f>IF(Suma!$B138=$A$1,Suma!J138,NA())</f>
        <v>0</v>
      </c>
      <c r="V139" s="10">
        <f>IF(Suma!$B138=$A$1,Suma!K138,NA())</f>
        <v>0</v>
      </c>
      <c r="W139" s="10">
        <f>IF(Suma!$B138=$A$1,Suma!L138,NA())</f>
        <v>0</v>
      </c>
      <c r="X139" s="10">
        <f>IF(Suma!$B138=$A$1,Suma!M138,NA())</f>
        <v>0</v>
      </c>
      <c r="Y139" s="10">
        <f>IF(Suma!$B138=$A$1,Suma!N138,NA())</f>
        <v>0</v>
      </c>
      <c r="Z139" s="10">
        <f>IF(Suma!$B138=$A$1,Suma!O138,NA())</f>
        <v>0</v>
      </c>
      <c r="AA139" s="10">
        <f>IF(Suma!$B138=$A$1,Suma!BC138,NA())</f>
        <v>0</v>
      </c>
      <c r="AB139" s="10">
        <f>IF(Suma!$B138=$A$1,Suma!BD138,NA())</f>
        <v>0</v>
      </c>
    </row>
    <row r="140" spans="1:28" x14ac:dyDescent="0.3">
      <c r="A140" s="1">
        <f>IF(Suma!$B139=$A$1,Suma!C139,NA())</f>
        <v>0</v>
      </c>
      <c r="B140" s="1">
        <f>IF(Suma!$B139=$A$1,Suma!D139,NA())</f>
        <v>0</v>
      </c>
      <c r="C140" s="2">
        <f>IF(Suma!$B139=$A$1,Suma!E139,NA())</f>
        <v>0</v>
      </c>
      <c r="D140" s="2">
        <f>IF(Suma!$B139=$A$1,Suma!F139,NA())</f>
        <v>0</v>
      </c>
      <c r="E140" s="1">
        <f>IF(Suma!$B139=$A$1,Suma!P139,NA())</f>
        <v>0</v>
      </c>
      <c r="F140" s="10" t="e">
        <f t="shared" si="4"/>
        <v>#N/A</v>
      </c>
      <c r="G140" s="1">
        <f>IF(Suma!$B139=$A$1,Suma!W139,NA())</f>
        <v>0</v>
      </c>
      <c r="H140" s="10" t="e">
        <f t="shared" si="5"/>
        <v>#N/A</v>
      </c>
      <c r="I140" s="1">
        <f>IF(Suma!$B139=$A$1,Suma!AD139,NA())</f>
        <v>0</v>
      </c>
      <c r="J140" s="1">
        <f>IF(Suma!$B139=$A$1,Suma!AK139,NA())</f>
        <v>0</v>
      </c>
      <c r="K140" s="10">
        <f>IF(Suma!$B139=$A$1,Suma!AS139,NA())</f>
        <v>0</v>
      </c>
      <c r="L140" s="1">
        <f>IF(Suma!$B139=$A$1,Suma!G139,NA())</f>
        <v>0</v>
      </c>
      <c r="M140" s="1">
        <f>IF(Suma!$B139=$A$1,Suma!H139,NA())</f>
        <v>0</v>
      </c>
      <c r="N140" s="1">
        <f>IF(Suma!$B139=$A$1,Suma!AT139,NA())</f>
        <v>1900</v>
      </c>
      <c r="O140" s="1" t="str">
        <f>IF(Suma!$B139=$A$1,Suma!AU139,NA())</f>
        <v>enero</v>
      </c>
      <c r="P140" s="1">
        <f>IF(Suma!$B139=$A$1,Suma!AV139,NA())</f>
        <v>0</v>
      </c>
      <c r="Q140" s="1">
        <f>IF(Suma!$B139=$A$1,Suma!AW139,NA())</f>
        <v>0</v>
      </c>
      <c r="R140" s="10">
        <f>IF(Suma!$B139=$A$1,Suma!AX139,NA())</f>
        <v>0</v>
      </c>
      <c r="S140" s="10">
        <f>IF(Suma!$B139=$A$1,Suma!AY139,NA())</f>
        <v>0</v>
      </c>
      <c r="T140" s="10">
        <f>IF(Suma!$B139=$A$1,Suma!AZ139,NA())</f>
        <v>0</v>
      </c>
      <c r="U140" s="10">
        <f>IF(Suma!$B139=$A$1,Suma!J139,NA())</f>
        <v>0</v>
      </c>
      <c r="V140" s="10">
        <f>IF(Suma!$B139=$A$1,Suma!K139,NA())</f>
        <v>0</v>
      </c>
      <c r="W140" s="10">
        <f>IF(Suma!$B139=$A$1,Suma!L139,NA())</f>
        <v>0</v>
      </c>
      <c r="X140" s="10">
        <f>IF(Suma!$B139=$A$1,Suma!M139,NA())</f>
        <v>0</v>
      </c>
      <c r="Y140" s="10">
        <f>IF(Suma!$B139=$A$1,Suma!N139,NA())</f>
        <v>0</v>
      </c>
      <c r="Z140" s="10">
        <f>IF(Suma!$B139=$A$1,Suma!O139,NA())</f>
        <v>0</v>
      </c>
      <c r="AA140" s="10">
        <f>IF(Suma!$B139=$A$1,Suma!BC139,NA())</f>
        <v>0</v>
      </c>
      <c r="AB140" s="10">
        <f>IF(Suma!$B139=$A$1,Suma!BD139,NA())</f>
        <v>0</v>
      </c>
    </row>
    <row r="141" spans="1:28" x14ac:dyDescent="0.3">
      <c r="A141" s="1">
        <f>IF(Suma!$B140=$A$1,Suma!C140,NA())</f>
        <v>0</v>
      </c>
      <c r="B141" s="1">
        <f>IF(Suma!$B140=$A$1,Suma!D140,NA())</f>
        <v>0</v>
      </c>
      <c r="C141" s="2">
        <f>IF(Suma!$B140=$A$1,Suma!E140,NA())</f>
        <v>0</v>
      </c>
      <c r="D141" s="2">
        <f>IF(Suma!$B140=$A$1,Suma!F140,NA())</f>
        <v>0</v>
      </c>
      <c r="E141" s="1">
        <f>IF(Suma!$B140=$A$1,Suma!P140,NA())</f>
        <v>0</v>
      </c>
      <c r="F141" s="10" t="e">
        <f t="shared" si="4"/>
        <v>#N/A</v>
      </c>
      <c r="G141" s="1">
        <f>IF(Suma!$B140=$A$1,Suma!W140,NA())</f>
        <v>0</v>
      </c>
      <c r="H141" s="10" t="e">
        <f t="shared" si="5"/>
        <v>#N/A</v>
      </c>
      <c r="I141" s="1">
        <f>IF(Suma!$B140=$A$1,Suma!AD140,NA())</f>
        <v>0</v>
      </c>
      <c r="J141" s="1">
        <f>IF(Suma!$B140=$A$1,Suma!AK140,NA())</f>
        <v>0</v>
      </c>
      <c r="K141" s="10">
        <f>IF(Suma!$B140=$A$1,Suma!AS140,NA())</f>
        <v>0</v>
      </c>
      <c r="L141" s="1">
        <f>IF(Suma!$B140=$A$1,Suma!G140,NA())</f>
        <v>0</v>
      </c>
      <c r="M141" s="1">
        <f>IF(Suma!$B140=$A$1,Suma!H140,NA())</f>
        <v>0</v>
      </c>
      <c r="N141" s="1">
        <f>IF(Suma!$B140=$A$1,Suma!AT140,NA())</f>
        <v>1900</v>
      </c>
      <c r="O141" s="1" t="str">
        <f>IF(Suma!$B140=$A$1,Suma!AU140,NA())</f>
        <v>enero</v>
      </c>
      <c r="P141" s="1">
        <f>IF(Suma!$B140=$A$1,Suma!AV140,NA())</f>
        <v>0</v>
      </c>
      <c r="Q141" s="1">
        <f>IF(Suma!$B140=$A$1,Suma!AW140,NA())</f>
        <v>0</v>
      </c>
      <c r="R141" s="10">
        <f>IF(Suma!$B140=$A$1,Suma!AX140,NA())</f>
        <v>0</v>
      </c>
      <c r="S141" s="10">
        <f>IF(Suma!$B140=$A$1,Suma!AY140,NA())</f>
        <v>0</v>
      </c>
      <c r="T141" s="10">
        <f>IF(Suma!$B140=$A$1,Suma!AZ140,NA())</f>
        <v>0</v>
      </c>
      <c r="U141" s="10">
        <f>IF(Suma!$B140=$A$1,Suma!J140,NA())</f>
        <v>0</v>
      </c>
      <c r="V141" s="10">
        <f>IF(Suma!$B140=$A$1,Suma!K140,NA())</f>
        <v>0</v>
      </c>
      <c r="W141" s="10">
        <f>IF(Suma!$B140=$A$1,Suma!L140,NA())</f>
        <v>0</v>
      </c>
      <c r="X141" s="10">
        <f>IF(Suma!$B140=$A$1,Suma!M140,NA())</f>
        <v>0</v>
      </c>
      <c r="Y141" s="10">
        <f>IF(Suma!$B140=$A$1,Suma!N140,NA())</f>
        <v>0</v>
      </c>
      <c r="Z141" s="10">
        <f>IF(Suma!$B140=$A$1,Suma!O140,NA())</f>
        <v>0</v>
      </c>
      <c r="AA141" s="10">
        <f>IF(Suma!$B140=$A$1,Suma!BC140,NA())</f>
        <v>0</v>
      </c>
      <c r="AB141" s="10">
        <f>IF(Suma!$B140=$A$1,Suma!BD140,NA())</f>
        <v>0</v>
      </c>
    </row>
    <row r="142" spans="1:28" x14ac:dyDescent="0.3">
      <c r="A142" s="1">
        <f>IF(Suma!$B141=$A$1,Suma!C141,NA())</f>
        <v>0</v>
      </c>
      <c r="B142" s="1">
        <f>IF(Suma!$B141=$A$1,Suma!D141,NA())</f>
        <v>0</v>
      </c>
      <c r="C142" s="2">
        <f>IF(Suma!$B141=$A$1,Suma!E141,NA())</f>
        <v>0</v>
      </c>
      <c r="D142" s="2">
        <f>IF(Suma!$B141=$A$1,Suma!F141,NA())</f>
        <v>0</v>
      </c>
      <c r="E142" s="1">
        <f>IF(Suma!$B141=$A$1,Suma!P141,NA())</f>
        <v>0</v>
      </c>
      <c r="F142" s="10" t="e">
        <f t="shared" si="4"/>
        <v>#N/A</v>
      </c>
      <c r="G142" s="1">
        <f>IF(Suma!$B141=$A$1,Suma!W141,NA())</f>
        <v>0</v>
      </c>
      <c r="H142" s="10" t="e">
        <f t="shared" si="5"/>
        <v>#N/A</v>
      </c>
      <c r="I142" s="1">
        <f>IF(Suma!$B141=$A$1,Suma!AD141,NA())</f>
        <v>0</v>
      </c>
      <c r="J142" s="1">
        <f>IF(Suma!$B141=$A$1,Suma!AK141,NA())</f>
        <v>0</v>
      </c>
      <c r="K142" s="10">
        <f>IF(Suma!$B141=$A$1,Suma!AS141,NA())</f>
        <v>0</v>
      </c>
      <c r="L142" s="1">
        <f>IF(Suma!$B141=$A$1,Suma!G141,NA())</f>
        <v>0</v>
      </c>
      <c r="M142" s="1">
        <f>IF(Suma!$B141=$A$1,Suma!H141,NA())</f>
        <v>0</v>
      </c>
      <c r="N142" s="1">
        <f>IF(Suma!$B141=$A$1,Suma!AT141,NA())</f>
        <v>1900</v>
      </c>
      <c r="O142" s="1" t="str">
        <f>IF(Suma!$B141=$A$1,Suma!AU141,NA())</f>
        <v>enero</v>
      </c>
      <c r="P142" s="1">
        <f>IF(Suma!$B141=$A$1,Suma!AV141,NA())</f>
        <v>0</v>
      </c>
      <c r="Q142" s="1">
        <f>IF(Suma!$B141=$A$1,Suma!AW141,NA())</f>
        <v>0</v>
      </c>
      <c r="R142" s="10">
        <f>IF(Suma!$B141=$A$1,Suma!AX141,NA())</f>
        <v>0</v>
      </c>
      <c r="S142" s="10">
        <f>IF(Suma!$B141=$A$1,Suma!AY141,NA())</f>
        <v>0</v>
      </c>
      <c r="T142" s="10">
        <f>IF(Suma!$B141=$A$1,Suma!AZ141,NA())</f>
        <v>0</v>
      </c>
      <c r="U142" s="10">
        <f>IF(Suma!$B141=$A$1,Suma!J141,NA())</f>
        <v>0</v>
      </c>
      <c r="V142" s="10">
        <f>IF(Suma!$B141=$A$1,Suma!K141,NA())</f>
        <v>0</v>
      </c>
      <c r="W142" s="10">
        <f>IF(Suma!$B141=$A$1,Suma!L141,NA())</f>
        <v>0</v>
      </c>
      <c r="X142" s="10">
        <f>IF(Suma!$B141=$A$1,Suma!M141,NA())</f>
        <v>0</v>
      </c>
      <c r="Y142" s="10">
        <f>IF(Suma!$B141=$A$1,Suma!N141,NA())</f>
        <v>0</v>
      </c>
      <c r="Z142" s="10">
        <f>IF(Suma!$B141=$A$1,Suma!O141,NA())</f>
        <v>0</v>
      </c>
      <c r="AA142" s="10">
        <f>IF(Suma!$B141=$A$1,Suma!BC141,NA())</f>
        <v>0</v>
      </c>
      <c r="AB142" s="10">
        <f>IF(Suma!$B141=$A$1,Suma!BD141,NA())</f>
        <v>0</v>
      </c>
    </row>
    <row r="143" spans="1:28" x14ac:dyDescent="0.3">
      <c r="A143" s="1">
        <f>IF(Suma!$B142=$A$1,Suma!C142,NA())</f>
        <v>0</v>
      </c>
      <c r="B143" s="1">
        <f>IF(Suma!$B142=$A$1,Suma!D142,NA())</f>
        <v>0</v>
      </c>
      <c r="C143" s="2">
        <f>IF(Suma!$B142=$A$1,Suma!E142,NA())</f>
        <v>0</v>
      </c>
      <c r="D143" s="2">
        <f>IF(Suma!$B142=$A$1,Suma!F142,NA())</f>
        <v>0</v>
      </c>
      <c r="E143" s="1">
        <f>IF(Suma!$B142=$A$1,Suma!P142,NA())</f>
        <v>0</v>
      </c>
      <c r="F143" s="10" t="e">
        <f t="shared" si="4"/>
        <v>#N/A</v>
      </c>
      <c r="G143" s="1">
        <f>IF(Suma!$B142=$A$1,Suma!W142,NA())</f>
        <v>0</v>
      </c>
      <c r="H143" s="10" t="e">
        <f t="shared" si="5"/>
        <v>#N/A</v>
      </c>
      <c r="I143" s="1">
        <f>IF(Suma!$B142=$A$1,Suma!AD142,NA())</f>
        <v>0</v>
      </c>
      <c r="J143" s="1">
        <f>IF(Suma!$B142=$A$1,Suma!AK142,NA())</f>
        <v>0</v>
      </c>
      <c r="K143" s="10">
        <f>IF(Suma!$B142=$A$1,Suma!AS142,NA())</f>
        <v>0</v>
      </c>
      <c r="L143" s="1">
        <f>IF(Suma!$B142=$A$1,Suma!G142,NA())</f>
        <v>0</v>
      </c>
      <c r="M143" s="1">
        <f>IF(Suma!$B142=$A$1,Suma!H142,NA())</f>
        <v>0</v>
      </c>
      <c r="N143" s="1">
        <f>IF(Suma!$B142=$A$1,Suma!AT142,NA())</f>
        <v>1900</v>
      </c>
      <c r="O143" s="1" t="str">
        <f>IF(Suma!$B142=$A$1,Suma!AU142,NA())</f>
        <v>enero</v>
      </c>
      <c r="P143" s="1">
        <f>IF(Suma!$B142=$A$1,Suma!AV142,NA())</f>
        <v>0</v>
      </c>
      <c r="Q143" s="1">
        <f>IF(Suma!$B142=$A$1,Suma!AW142,NA())</f>
        <v>0</v>
      </c>
      <c r="R143" s="10">
        <f>IF(Suma!$B142=$A$1,Suma!AX142,NA())</f>
        <v>0</v>
      </c>
      <c r="S143" s="10">
        <f>IF(Suma!$B142=$A$1,Suma!AY142,NA())</f>
        <v>0</v>
      </c>
      <c r="T143" s="10">
        <f>IF(Suma!$B142=$A$1,Suma!AZ142,NA())</f>
        <v>0</v>
      </c>
      <c r="U143" s="10">
        <f>IF(Suma!$B142=$A$1,Suma!J142,NA())</f>
        <v>0</v>
      </c>
      <c r="V143" s="10">
        <f>IF(Suma!$B142=$A$1,Suma!K142,NA())</f>
        <v>0</v>
      </c>
      <c r="W143" s="10">
        <f>IF(Suma!$B142=$A$1,Suma!L142,NA())</f>
        <v>0</v>
      </c>
      <c r="X143" s="10">
        <f>IF(Suma!$B142=$A$1,Suma!M142,NA())</f>
        <v>0</v>
      </c>
      <c r="Y143" s="10">
        <f>IF(Suma!$B142=$A$1,Suma!N142,NA())</f>
        <v>0</v>
      </c>
      <c r="Z143" s="10">
        <f>IF(Suma!$B142=$A$1,Suma!O142,NA())</f>
        <v>0</v>
      </c>
      <c r="AA143" s="10">
        <f>IF(Suma!$B142=$A$1,Suma!BC142,NA())</f>
        <v>0</v>
      </c>
      <c r="AB143" s="10">
        <f>IF(Suma!$B142=$A$1,Suma!BD142,NA())</f>
        <v>0</v>
      </c>
    </row>
    <row r="144" spans="1:28" x14ac:dyDescent="0.3">
      <c r="A144" s="1">
        <f>IF(Suma!$B143=$A$1,Suma!C143,NA())</f>
        <v>0</v>
      </c>
      <c r="B144" s="1">
        <f>IF(Suma!$B143=$A$1,Suma!D143,NA())</f>
        <v>0</v>
      </c>
      <c r="C144" s="2">
        <f>IF(Suma!$B143=$A$1,Suma!E143,NA())</f>
        <v>0</v>
      </c>
      <c r="D144" s="2">
        <f>IF(Suma!$B143=$A$1,Suma!F143,NA())</f>
        <v>0</v>
      </c>
      <c r="E144" s="1">
        <f>IF(Suma!$B143=$A$1,Suma!P143,NA())</f>
        <v>0</v>
      </c>
      <c r="F144" s="10" t="e">
        <f t="shared" si="4"/>
        <v>#N/A</v>
      </c>
      <c r="G144" s="1">
        <f>IF(Suma!$B143=$A$1,Suma!W143,NA())</f>
        <v>0</v>
      </c>
      <c r="H144" s="10" t="e">
        <f t="shared" si="5"/>
        <v>#N/A</v>
      </c>
      <c r="I144" s="1">
        <f>IF(Suma!$B143=$A$1,Suma!AD143,NA())</f>
        <v>0</v>
      </c>
      <c r="J144" s="1">
        <f>IF(Suma!$B143=$A$1,Suma!AK143,NA())</f>
        <v>0</v>
      </c>
      <c r="K144" s="10">
        <f>IF(Suma!$B143=$A$1,Suma!AS143,NA())</f>
        <v>0</v>
      </c>
      <c r="L144" s="1">
        <f>IF(Suma!$B143=$A$1,Suma!G143,NA())</f>
        <v>0</v>
      </c>
      <c r="M144" s="1">
        <f>IF(Suma!$B143=$A$1,Suma!H143,NA())</f>
        <v>0</v>
      </c>
      <c r="N144" s="1">
        <f>IF(Suma!$B143=$A$1,Suma!AT143,NA())</f>
        <v>1900</v>
      </c>
      <c r="O144" s="1" t="str">
        <f>IF(Suma!$B143=$A$1,Suma!AU143,NA())</f>
        <v>enero</v>
      </c>
      <c r="P144" s="1">
        <f>IF(Suma!$B143=$A$1,Suma!AV143,NA())</f>
        <v>0</v>
      </c>
      <c r="Q144" s="1">
        <f>IF(Suma!$B143=$A$1,Suma!AW143,NA())</f>
        <v>0</v>
      </c>
      <c r="R144" s="10">
        <f>IF(Suma!$B143=$A$1,Suma!AX143,NA())</f>
        <v>0</v>
      </c>
      <c r="S144" s="10">
        <f>IF(Suma!$B143=$A$1,Suma!AY143,NA())</f>
        <v>0</v>
      </c>
      <c r="T144" s="10">
        <f>IF(Suma!$B143=$A$1,Suma!AZ143,NA())</f>
        <v>0</v>
      </c>
      <c r="U144" s="10">
        <f>IF(Suma!$B143=$A$1,Suma!J143,NA())</f>
        <v>0</v>
      </c>
      <c r="V144" s="10">
        <f>IF(Suma!$B143=$A$1,Suma!K143,NA())</f>
        <v>0</v>
      </c>
      <c r="W144" s="10">
        <f>IF(Suma!$B143=$A$1,Suma!L143,NA())</f>
        <v>0</v>
      </c>
      <c r="X144" s="10">
        <f>IF(Suma!$B143=$A$1,Suma!M143,NA())</f>
        <v>0</v>
      </c>
      <c r="Y144" s="10">
        <f>IF(Suma!$B143=$A$1,Suma!N143,NA())</f>
        <v>0</v>
      </c>
      <c r="Z144" s="10">
        <f>IF(Suma!$B143=$A$1,Suma!O143,NA())</f>
        <v>0</v>
      </c>
      <c r="AA144" s="10">
        <f>IF(Suma!$B143=$A$1,Suma!BC143,NA())</f>
        <v>0</v>
      </c>
      <c r="AB144" s="10">
        <f>IF(Suma!$B143=$A$1,Suma!BD143,NA())</f>
        <v>0</v>
      </c>
    </row>
    <row r="145" spans="1:28" x14ac:dyDescent="0.3">
      <c r="A145" s="1">
        <f>IF(Suma!$B144=$A$1,Suma!C144,NA())</f>
        <v>0</v>
      </c>
      <c r="B145" s="1">
        <f>IF(Suma!$B144=$A$1,Suma!D144,NA())</f>
        <v>0</v>
      </c>
      <c r="C145" s="2">
        <f>IF(Suma!$B144=$A$1,Suma!E144,NA())</f>
        <v>0</v>
      </c>
      <c r="D145" s="2">
        <f>IF(Suma!$B144=$A$1,Suma!F144,NA())</f>
        <v>0</v>
      </c>
      <c r="E145" s="1">
        <f>IF(Suma!$B144=$A$1,Suma!P144,NA())</f>
        <v>0</v>
      </c>
      <c r="F145" s="10" t="e">
        <f t="shared" si="4"/>
        <v>#N/A</v>
      </c>
      <c r="G145" s="1">
        <f>IF(Suma!$B144=$A$1,Suma!W144,NA())</f>
        <v>0</v>
      </c>
      <c r="H145" s="10" t="e">
        <f t="shared" si="5"/>
        <v>#N/A</v>
      </c>
      <c r="I145" s="1">
        <f>IF(Suma!$B144=$A$1,Suma!AD144,NA())</f>
        <v>0</v>
      </c>
      <c r="J145" s="1">
        <f>IF(Suma!$B144=$A$1,Suma!AK144,NA())</f>
        <v>0</v>
      </c>
      <c r="K145" s="10">
        <f>IF(Suma!$B144=$A$1,Suma!AS144,NA())</f>
        <v>0</v>
      </c>
      <c r="L145" s="1">
        <f>IF(Suma!$B144=$A$1,Suma!G144,NA())</f>
        <v>0</v>
      </c>
      <c r="M145" s="1">
        <f>IF(Suma!$B144=$A$1,Suma!H144,NA())</f>
        <v>0</v>
      </c>
      <c r="N145" s="1">
        <f>IF(Suma!$B144=$A$1,Suma!AT144,NA())</f>
        <v>1900</v>
      </c>
      <c r="O145" s="1" t="str">
        <f>IF(Suma!$B144=$A$1,Suma!AU144,NA())</f>
        <v>enero</v>
      </c>
      <c r="P145" s="1">
        <f>IF(Suma!$B144=$A$1,Suma!AV144,NA())</f>
        <v>0</v>
      </c>
      <c r="Q145" s="1">
        <f>IF(Suma!$B144=$A$1,Suma!AW144,NA())</f>
        <v>0</v>
      </c>
      <c r="R145" s="10">
        <f>IF(Suma!$B144=$A$1,Suma!AX144,NA())</f>
        <v>0</v>
      </c>
      <c r="S145" s="10">
        <f>IF(Suma!$B144=$A$1,Suma!AY144,NA())</f>
        <v>0</v>
      </c>
      <c r="T145" s="10">
        <f>IF(Suma!$B144=$A$1,Suma!AZ144,NA())</f>
        <v>0</v>
      </c>
      <c r="U145" s="10">
        <f>IF(Suma!$B144=$A$1,Suma!J144,NA())</f>
        <v>0</v>
      </c>
      <c r="V145" s="10">
        <f>IF(Suma!$B144=$A$1,Suma!K144,NA())</f>
        <v>0</v>
      </c>
      <c r="W145" s="10">
        <f>IF(Suma!$B144=$A$1,Suma!L144,NA())</f>
        <v>0</v>
      </c>
      <c r="X145" s="10">
        <f>IF(Suma!$B144=$A$1,Suma!M144,NA())</f>
        <v>0</v>
      </c>
      <c r="Y145" s="10">
        <f>IF(Suma!$B144=$A$1,Suma!N144,NA())</f>
        <v>0</v>
      </c>
      <c r="Z145" s="10">
        <f>IF(Suma!$B144=$A$1,Suma!O144,NA())</f>
        <v>0</v>
      </c>
      <c r="AA145" s="10">
        <f>IF(Suma!$B144=$A$1,Suma!BC144,NA())</f>
        <v>0</v>
      </c>
      <c r="AB145" s="10">
        <f>IF(Suma!$B144=$A$1,Suma!BD144,NA())</f>
        <v>0</v>
      </c>
    </row>
    <row r="146" spans="1:28" x14ac:dyDescent="0.3">
      <c r="A146" s="1">
        <f>IF(Suma!$B145=$A$1,Suma!C145,NA())</f>
        <v>0</v>
      </c>
      <c r="B146" s="1">
        <f>IF(Suma!$B145=$A$1,Suma!D145,NA())</f>
        <v>0</v>
      </c>
      <c r="C146" s="2">
        <f>IF(Suma!$B145=$A$1,Suma!E145,NA())</f>
        <v>0</v>
      </c>
      <c r="D146" s="2">
        <f>IF(Suma!$B145=$A$1,Suma!F145,NA())</f>
        <v>0</v>
      </c>
      <c r="E146" s="1">
        <f>IF(Suma!$B145=$A$1,Suma!P145,NA())</f>
        <v>0</v>
      </c>
      <c r="F146" s="10" t="e">
        <f t="shared" si="4"/>
        <v>#N/A</v>
      </c>
      <c r="G146" s="1">
        <f>IF(Suma!$B145=$A$1,Suma!W145,NA())</f>
        <v>0</v>
      </c>
      <c r="H146" s="10" t="e">
        <f t="shared" si="5"/>
        <v>#N/A</v>
      </c>
      <c r="I146" s="1">
        <f>IF(Suma!$B145=$A$1,Suma!AD145,NA())</f>
        <v>0</v>
      </c>
      <c r="J146" s="1">
        <f>IF(Suma!$B145=$A$1,Suma!AK145,NA())</f>
        <v>0</v>
      </c>
      <c r="K146" s="10">
        <f>IF(Suma!$B145=$A$1,Suma!AS145,NA())</f>
        <v>0</v>
      </c>
      <c r="L146" s="1">
        <f>IF(Suma!$B145=$A$1,Suma!G145,NA())</f>
        <v>0</v>
      </c>
      <c r="M146" s="1">
        <f>IF(Suma!$B145=$A$1,Suma!H145,NA())</f>
        <v>0</v>
      </c>
      <c r="N146" s="1">
        <f>IF(Suma!$B145=$A$1,Suma!AT145,NA())</f>
        <v>1900</v>
      </c>
      <c r="O146" s="1" t="str">
        <f>IF(Suma!$B145=$A$1,Suma!AU145,NA())</f>
        <v>enero</v>
      </c>
      <c r="P146" s="1">
        <f>IF(Suma!$B145=$A$1,Suma!AV145,NA())</f>
        <v>0</v>
      </c>
      <c r="Q146" s="1">
        <f>IF(Suma!$B145=$A$1,Suma!AW145,NA())</f>
        <v>0</v>
      </c>
      <c r="R146" s="10">
        <f>IF(Suma!$B145=$A$1,Suma!AX145,NA())</f>
        <v>0</v>
      </c>
      <c r="S146" s="10">
        <f>IF(Suma!$B145=$A$1,Suma!AY145,NA())</f>
        <v>0</v>
      </c>
      <c r="T146" s="10">
        <f>IF(Suma!$B145=$A$1,Suma!AZ145,NA())</f>
        <v>0</v>
      </c>
      <c r="U146" s="10">
        <f>IF(Suma!$B145=$A$1,Suma!J145,NA())</f>
        <v>0</v>
      </c>
      <c r="V146" s="10">
        <f>IF(Suma!$B145=$A$1,Suma!K145,NA())</f>
        <v>0</v>
      </c>
      <c r="W146" s="10">
        <f>IF(Suma!$B145=$A$1,Suma!L145,NA())</f>
        <v>0</v>
      </c>
      <c r="X146" s="10">
        <f>IF(Suma!$B145=$A$1,Suma!M145,NA())</f>
        <v>0</v>
      </c>
      <c r="Y146" s="10">
        <f>IF(Suma!$B145=$A$1,Suma!N145,NA())</f>
        <v>0</v>
      </c>
      <c r="Z146" s="10">
        <f>IF(Suma!$B145=$A$1,Suma!O145,NA())</f>
        <v>0</v>
      </c>
      <c r="AA146" s="10">
        <f>IF(Suma!$B145=$A$1,Suma!BC145,NA())</f>
        <v>0</v>
      </c>
      <c r="AB146" s="10">
        <f>IF(Suma!$B145=$A$1,Suma!BD145,NA())</f>
        <v>0</v>
      </c>
    </row>
    <row r="147" spans="1:28" x14ac:dyDescent="0.3">
      <c r="A147" s="1">
        <f>IF(Suma!$B146=$A$1,Suma!C146,NA())</f>
        <v>0</v>
      </c>
      <c r="B147" s="1">
        <f>IF(Suma!$B146=$A$1,Suma!D146,NA())</f>
        <v>0</v>
      </c>
      <c r="C147" s="2">
        <f>IF(Suma!$B146=$A$1,Suma!E146,NA())</f>
        <v>0</v>
      </c>
      <c r="D147" s="2">
        <f>IF(Suma!$B146=$A$1,Suma!F146,NA())</f>
        <v>0</v>
      </c>
      <c r="E147" s="1">
        <f>IF(Suma!$B146=$A$1,Suma!P146,NA())</f>
        <v>0</v>
      </c>
      <c r="F147" s="10" t="e">
        <f t="shared" si="4"/>
        <v>#N/A</v>
      </c>
      <c r="G147" s="1">
        <f>IF(Suma!$B146=$A$1,Suma!W146,NA())</f>
        <v>0</v>
      </c>
      <c r="H147" s="10" t="e">
        <f t="shared" si="5"/>
        <v>#N/A</v>
      </c>
      <c r="I147" s="1">
        <f>IF(Suma!$B146=$A$1,Suma!AD146,NA())</f>
        <v>0</v>
      </c>
      <c r="J147" s="1">
        <f>IF(Suma!$B146=$A$1,Suma!AK146,NA())</f>
        <v>0</v>
      </c>
      <c r="K147" s="10">
        <f>IF(Suma!$B146=$A$1,Suma!AS146,NA())</f>
        <v>0</v>
      </c>
      <c r="L147" s="1">
        <f>IF(Suma!$B146=$A$1,Suma!G146,NA())</f>
        <v>0</v>
      </c>
      <c r="M147" s="1">
        <f>IF(Suma!$B146=$A$1,Suma!H146,NA())</f>
        <v>0</v>
      </c>
      <c r="N147" s="1">
        <f>IF(Suma!$B146=$A$1,Suma!AT146,NA())</f>
        <v>1900</v>
      </c>
      <c r="O147" s="1" t="str">
        <f>IF(Suma!$B146=$A$1,Suma!AU146,NA())</f>
        <v>enero</v>
      </c>
      <c r="P147" s="1">
        <f>IF(Suma!$B146=$A$1,Suma!AV146,NA())</f>
        <v>0</v>
      </c>
      <c r="Q147" s="1">
        <f>IF(Suma!$B146=$A$1,Suma!AW146,NA())</f>
        <v>0</v>
      </c>
      <c r="R147" s="10">
        <f>IF(Suma!$B146=$A$1,Suma!AX146,NA())</f>
        <v>0</v>
      </c>
      <c r="S147" s="10">
        <f>IF(Suma!$B146=$A$1,Suma!AY146,NA())</f>
        <v>0</v>
      </c>
      <c r="T147" s="10">
        <f>IF(Suma!$B146=$A$1,Suma!AZ146,NA())</f>
        <v>0</v>
      </c>
      <c r="U147" s="10">
        <f>IF(Suma!$B146=$A$1,Suma!J146,NA())</f>
        <v>0</v>
      </c>
      <c r="V147" s="10">
        <f>IF(Suma!$B146=$A$1,Suma!K146,NA())</f>
        <v>0</v>
      </c>
      <c r="W147" s="10">
        <f>IF(Suma!$B146=$A$1,Suma!L146,NA())</f>
        <v>0</v>
      </c>
      <c r="X147" s="10">
        <f>IF(Suma!$B146=$A$1,Suma!M146,NA())</f>
        <v>0</v>
      </c>
      <c r="Y147" s="10">
        <f>IF(Suma!$B146=$A$1,Suma!N146,NA())</f>
        <v>0</v>
      </c>
      <c r="Z147" s="10">
        <f>IF(Suma!$B146=$A$1,Suma!O146,NA())</f>
        <v>0</v>
      </c>
      <c r="AA147" s="10">
        <f>IF(Suma!$B146=$A$1,Suma!BC146,NA())</f>
        <v>0</v>
      </c>
      <c r="AB147" s="10">
        <f>IF(Suma!$B146=$A$1,Suma!BD146,NA())</f>
        <v>0</v>
      </c>
    </row>
    <row r="148" spans="1:28" x14ac:dyDescent="0.3">
      <c r="A148" s="1">
        <f>IF(Suma!$B147=$A$1,Suma!C147,NA())</f>
        <v>0</v>
      </c>
      <c r="B148" s="1">
        <f>IF(Suma!$B147=$A$1,Suma!D147,NA())</f>
        <v>0</v>
      </c>
      <c r="C148" s="2">
        <f>IF(Suma!$B147=$A$1,Suma!E147,NA())</f>
        <v>0</v>
      </c>
      <c r="D148" s="2">
        <f>IF(Suma!$B147=$A$1,Suma!F147,NA())</f>
        <v>0</v>
      </c>
      <c r="E148" s="1">
        <f>IF(Suma!$B147=$A$1,Suma!P147,NA())</f>
        <v>0</v>
      </c>
      <c r="F148" s="10" t="e">
        <f t="shared" si="4"/>
        <v>#N/A</v>
      </c>
      <c r="G148" s="1">
        <f>IF(Suma!$B147=$A$1,Suma!W147,NA())</f>
        <v>0</v>
      </c>
      <c r="H148" s="10" t="e">
        <f t="shared" si="5"/>
        <v>#N/A</v>
      </c>
      <c r="I148" s="1">
        <f>IF(Suma!$B147=$A$1,Suma!AD147,NA())</f>
        <v>0</v>
      </c>
      <c r="J148" s="1">
        <f>IF(Suma!$B147=$A$1,Suma!AK147,NA())</f>
        <v>0</v>
      </c>
      <c r="K148" s="10">
        <f>IF(Suma!$B147=$A$1,Suma!AS147,NA())</f>
        <v>0</v>
      </c>
      <c r="L148" s="1">
        <f>IF(Suma!$B147=$A$1,Suma!G147,NA())</f>
        <v>0</v>
      </c>
      <c r="M148" s="1">
        <f>IF(Suma!$B147=$A$1,Suma!H147,NA())</f>
        <v>0</v>
      </c>
      <c r="N148" s="1">
        <f>IF(Suma!$B147=$A$1,Suma!AT147,NA())</f>
        <v>1900</v>
      </c>
      <c r="O148" s="1" t="str">
        <f>IF(Suma!$B147=$A$1,Suma!AU147,NA())</f>
        <v>enero</v>
      </c>
      <c r="P148" s="1">
        <f>IF(Suma!$B147=$A$1,Suma!AV147,NA())</f>
        <v>0</v>
      </c>
      <c r="Q148" s="1">
        <f>IF(Suma!$B147=$A$1,Suma!AW147,NA())</f>
        <v>0</v>
      </c>
      <c r="R148" s="10">
        <f>IF(Suma!$B147=$A$1,Suma!AX147,NA())</f>
        <v>0</v>
      </c>
      <c r="S148" s="10">
        <f>IF(Suma!$B147=$A$1,Suma!AY147,NA())</f>
        <v>0</v>
      </c>
      <c r="T148" s="10">
        <f>IF(Suma!$B147=$A$1,Suma!AZ147,NA())</f>
        <v>0</v>
      </c>
      <c r="U148" s="10">
        <f>IF(Suma!$B147=$A$1,Suma!J147,NA())</f>
        <v>0</v>
      </c>
      <c r="V148" s="10">
        <f>IF(Suma!$B147=$A$1,Suma!K147,NA())</f>
        <v>0</v>
      </c>
      <c r="W148" s="10">
        <f>IF(Suma!$B147=$A$1,Suma!L147,NA())</f>
        <v>0</v>
      </c>
      <c r="X148" s="10">
        <f>IF(Suma!$B147=$A$1,Suma!M147,NA())</f>
        <v>0</v>
      </c>
      <c r="Y148" s="10">
        <f>IF(Suma!$B147=$A$1,Suma!N147,NA())</f>
        <v>0</v>
      </c>
      <c r="Z148" s="10">
        <f>IF(Suma!$B147=$A$1,Suma!O147,NA())</f>
        <v>0</v>
      </c>
      <c r="AA148" s="10">
        <f>IF(Suma!$B147=$A$1,Suma!BC147,NA())</f>
        <v>0</v>
      </c>
      <c r="AB148" s="10">
        <f>IF(Suma!$B147=$A$1,Suma!BD147,NA())</f>
        <v>0</v>
      </c>
    </row>
    <row r="149" spans="1:28" x14ac:dyDescent="0.3">
      <c r="A149" s="1">
        <f>IF(Suma!$B148=$A$1,Suma!C148,NA())</f>
        <v>0</v>
      </c>
      <c r="B149" s="1">
        <f>IF(Suma!$B148=$A$1,Suma!D148,NA())</f>
        <v>0</v>
      </c>
      <c r="C149" s="2">
        <f>IF(Suma!$B148=$A$1,Suma!E148,NA())</f>
        <v>0</v>
      </c>
      <c r="D149" s="2">
        <f>IF(Suma!$B148=$A$1,Suma!F148,NA())</f>
        <v>0</v>
      </c>
      <c r="E149" s="1">
        <f>IF(Suma!$B148=$A$1,Suma!P148,NA())</f>
        <v>0</v>
      </c>
      <c r="F149" s="10" t="e">
        <f t="shared" si="4"/>
        <v>#N/A</v>
      </c>
      <c r="G149" s="1">
        <f>IF(Suma!$B148=$A$1,Suma!W148,NA())</f>
        <v>0</v>
      </c>
      <c r="H149" s="10" t="e">
        <f t="shared" si="5"/>
        <v>#N/A</v>
      </c>
      <c r="I149" s="1">
        <f>IF(Suma!$B148=$A$1,Suma!AD148,NA())</f>
        <v>0</v>
      </c>
      <c r="J149" s="1">
        <f>IF(Suma!$B148=$A$1,Suma!AK148,NA())</f>
        <v>0</v>
      </c>
      <c r="K149" s="10">
        <f>IF(Suma!$B148=$A$1,Suma!AS148,NA())</f>
        <v>0</v>
      </c>
      <c r="L149" s="1">
        <f>IF(Suma!$B148=$A$1,Suma!G148,NA())</f>
        <v>0</v>
      </c>
      <c r="M149" s="1">
        <f>IF(Suma!$B148=$A$1,Suma!H148,NA())</f>
        <v>0</v>
      </c>
      <c r="N149" s="1">
        <f>IF(Suma!$B148=$A$1,Suma!AT148,NA())</f>
        <v>1900</v>
      </c>
      <c r="O149" s="1" t="str">
        <f>IF(Suma!$B148=$A$1,Suma!AU148,NA())</f>
        <v>enero</v>
      </c>
      <c r="P149" s="1">
        <f>IF(Suma!$B148=$A$1,Suma!AV148,NA())</f>
        <v>0</v>
      </c>
      <c r="Q149" s="1">
        <f>IF(Suma!$B148=$A$1,Suma!AW148,NA())</f>
        <v>0</v>
      </c>
      <c r="R149" s="10">
        <f>IF(Suma!$B148=$A$1,Suma!AX148,NA())</f>
        <v>0</v>
      </c>
      <c r="S149" s="10">
        <f>IF(Suma!$B148=$A$1,Suma!AY148,NA())</f>
        <v>0</v>
      </c>
      <c r="T149" s="10">
        <f>IF(Suma!$B148=$A$1,Suma!AZ148,NA())</f>
        <v>0</v>
      </c>
      <c r="U149" s="10">
        <f>IF(Suma!$B148=$A$1,Suma!J148,NA())</f>
        <v>0</v>
      </c>
      <c r="V149" s="10">
        <f>IF(Suma!$B148=$A$1,Suma!K148,NA())</f>
        <v>0</v>
      </c>
      <c r="W149" s="10">
        <f>IF(Suma!$B148=$A$1,Suma!L148,NA())</f>
        <v>0</v>
      </c>
      <c r="X149" s="10">
        <f>IF(Suma!$B148=$A$1,Suma!M148,NA())</f>
        <v>0</v>
      </c>
      <c r="Y149" s="10">
        <f>IF(Suma!$B148=$A$1,Suma!N148,NA())</f>
        <v>0</v>
      </c>
      <c r="Z149" s="10">
        <f>IF(Suma!$B148=$A$1,Suma!O148,NA())</f>
        <v>0</v>
      </c>
      <c r="AA149" s="10">
        <f>IF(Suma!$B148=$A$1,Suma!BC148,NA())</f>
        <v>0</v>
      </c>
      <c r="AB149" s="10">
        <f>IF(Suma!$B148=$A$1,Suma!BD148,NA())</f>
        <v>0</v>
      </c>
    </row>
    <row r="150" spans="1:28" x14ac:dyDescent="0.3">
      <c r="A150" s="1">
        <f>IF(Suma!$B149=$A$1,Suma!C149,NA())</f>
        <v>0</v>
      </c>
      <c r="B150" s="1">
        <f>IF(Suma!$B149=$A$1,Suma!D149,NA())</f>
        <v>0</v>
      </c>
      <c r="C150" s="2">
        <f>IF(Suma!$B149=$A$1,Suma!E149,NA())</f>
        <v>0</v>
      </c>
      <c r="D150" s="2">
        <f>IF(Suma!$B149=$A$1,Suma!F149,NA())</f>
        <v>0</v>
      </c>
      <c r="E150" s="1">
        <f>IF(Suma!$B149=$A$1,Suma!P149,NA())</f>
        <v>0</v>
      </c>
      <c r="F150" s="10" t="e">
        <f t="shared" si="4"/>
        <v>#N/A</v>
      </c>
      <c r="G150" s="1">
        <f>IF(Suma!$B149=$A$1,Suma!W149,NA())</f>
        <v>0</v>
      </c>
      <c r="H150" s="10" t="e">
        <f t="shared" si="5"/>
        <v>#N/A</v>
      </c>
      <c r="I150" s="1">
        <f>IF(Suma!$B149=$A$1,Suma!AD149,NA())</f>
        <v>0</v>
      </c>
      <c r="J150" s="1">
        <f>IF(Suma!$B149=$A$1,Suma!AK149,NA())</f>
        <v>0</v>
      </c>
      <c r="K150" s="10">
        <f>IF(Suma!$B149=$A$1,Suma!AS149,NA())</f>
        <v>0</v>
      </c>
      <c r="L150" s="1">
        <f>IF(Suma!$B149=$A$1,Suma!G149,NA())</f>
        <v>0</v>
      </c>
      <c r="M150" s="1">
        <f>IF(Suma!$B149=$A$1,Suma!H149,NA())</f>
        <v>0</v>
      </c>
      <c r="N150" s="1">
        <f>IF(Suma!$B149=$A$1,Suma!AT149,NA())</f>
        <v>1900</v>
      </c>
      <c r="O150" s="1" t="str">
        <f>IF(Suma!$B149=$A$1,Suma!AU149,NA())</f>
        <v>enero</v>
      </c>
      <c r="P150" s="1">
        <f>IF(Suma!$B149=$A$1,Suma!AV149,NA())</f>
        <v>0</v>
      </c>
      <c r="Q150" s="1">
        <f>IF(Suma!$B149=$A$1,Suma!AW149,NA())</f>
        <v>0</v>
      </c>
      <c r="R150" s="10">
        <f>IF(Suma!$B149=$A$1,Suma!AX149,NA())</f>
        <v>0</v>
      </c>
      <c r="S150" s="10">
        <f>IF(Suma!$B149=$A$1,Suma!AY149,NA())</f>
        <v>0</v>
      </c>
      <c r="T150" s="10">
        <f>IF(Suma!$B149=$A$1,Suma!AZ149,NA())</f>
        <v>0</v>
      </c>
      <c r="U150" s="10">
        <f>IF(Suma!$B149=$A$1,Suma!J149,NA())</f>
        <v>0</v>
      </c>
      <c r="V150" s="10">
        <f>IF(Suma!$B149=$A$1,Suma!K149,NA())</f>
        <v>0</v>
      </c>
      <c r="W150" s="10">
        <f>IF(Suma!$B149=$A$1,Suma!L149,NA())</f>
        <v>0</v>
      </c>
      <c r="X150" s="10">
        <f>IF(Suma!$B149=$A$1,Suma!M149,NA())</f>
        <v>0</v>
      </c>
      <c r="Y150" s="10">
        <f>IF(Suma!$B149=$A$1,Suma!N149,NA())</f>
        <v>0</v>
      </c>
      <c r="Z150" s="10">
        <f>IF(Suma!$B149=$A$1,Suma!O149,NA())</f>
        <v>0</v>
      </c>
      <c r="AA150" s="10">
        <f>IF(Suma!$B149=$A$1,Suma!BC149,NA())</f>
        <v>0</v>
      </c>
      <c r="AB150" s="10">
        <f>IF(Suma!$B149=$A$1,Suma!BD149,NA())</f>
        <v>0</v>
      </c>
    </row>
    <row r="151" spans="1:28" x14ac:dyDescent="0.3">
      <c r="A151" s="1">
        <f>IF(Suma!$B150=$A$1,Suma!C150,NA())</f>
        <v>0</v>
      </c>
      <c r="B151" s="1">
        <f>IF(Suma!$B150=$A$1,Suma!D150,NA())</f>
        <v>0</v>
      </c>
      <c r="C151" s="2">
        <f>IF(Suma!$B150=$A$1,Suma!E150,NA())</f>
        <v>0</v>
      </c>
      <c r="D151" s="2">
        <f>IF(Suma!$B150=$A$1,Suma!F150,NA())</f>
        <v>0</v>
      </c>
      <c r="E151" s="1">
        <f>IF(Suma!$B150=$A$1,Suma!P150,NA())</f>
        <v>0</v>
      </c>
      <c r="F151" s="10" t="e">
        <f t="shared" si="4"/>
        <v>#N/A</v>
      </c>
      <c r="G151" s="1">
        <f>IF(Suma!$B150=$A$1,Suma!W150,NA())</f>
        <v>0</v>
      </c>
      <c r="H151" s="10" t="e">
        <f t="shared" si="5"/>
        <v>#N/A</v>
      </c>
      <c r="I151" s="1">
        <f>IF(Suma!$B150=$A$1,Suma!AD150,NA())</f>
        <v>0</v>
      </c>
      <c r="J151" s="1">
        <f>IF(Suma!$B150=$A$1,Suma!AK150,NA())</f>
        <v>0</v>
      </c>
      <c r="K151" s="10">
        <f>IF(Suma!$B150=$A$1,Suma!AS150,NA())</f>
        <v>0</v>
      </c>
      <c r="L151" s="1">
        <f>IF(Suma!$B150=$A$1,Suma!G150,NA())</f>
        <v>0</v>
      </c>
      <c r="M151" s="1">
        <f>IF(Suma!$B150=$A$1,Suma!H150,NA())</f>
        <v>0</v>
      </c>
      <c r="N151" s="1">
        <f>IF(Suma!$B150=$A$1,Suma!AT150,NA())</f>
        <v>1900</v>
      </c>
      <c r="O151" s="1" t="str">
        <f>IF(Suma!$B150=$A$1,Suma!AU150,NA())</f>
        <v>enero</v>
      </c>
      <c r="P151" s="1">
        <f>IF(Suma!$B150=$A$1,Suma!AV150,NA())</f>
        <v>0</v>
      </c>
      <c r="Q151" s="1">
        <f>IF(Suma!$B150=$A$1,Suma!AW150,NA())</f>
        <v>0</v>
      </c>
      <c r="R151" s="10">
        <f>IF(Suma!$B150=$A$1,Suma!AX150,NA())</f>
        <v>0</v>
      </c>
      <c r="S151" s="10">
        <f>IF(Suma!$B150=$A$1,Suma!AY150,NA())</f>
        <v>0</v>
      </c>
      <c r="T151" s="10">
        <f>IF(Suma!$B150=$A$1,Suma!AZ150,NA())</f>
        <v>0</v>
      </c>
      <c r="U151" s="10">
        <f>IF(Suma!$B150=$A$1,Suma!J150,NA())</f>
        <v>0</v>
      </c>
      <c r="V151" s="10">
        <f>IF(Suma!$B150=$A$1,Suma!K150,NA())</f>
        <v>0</v>
      </c>
      <c r="W151" s="10">
        <f>IF(Suma!$B150=$A$1,Suma!L150,NA())</f>
        <v>0</v>
      </c>
      <c r="X151" s="10">
        <f>IF(Suma!$B150=$A$1,Suma!M150,NA())</f>
        <v>0</v>
      </c>
      <c r="Y151" s="10">
        <f>IF(Suma!$B150=$A$1,Suma!N150,NA())</f>
        <v>0</v>
      </c>
      <c r="Z151" s="10">
        <f>IF(Suma!$B150=$A$1,Suma!O150,NA())</f>
        <v>0</v>
      </c>
      <c r="AA151" s="10">
        <f>IF(Suma!$B150=$A$1,Suma!BC150,NA())</f>
        <v>0</v>
      </c>
      <c r="AB151" s="10">
        <f>IF(Suma!$B150=$A$1,Suma!BD150,NA())</f>
        <v>0</v>
      </c>
    </row>
    <row r="152" spans="1:28" x14ac:dyDescent="0.3">
      <c r="A152" s="1">
        <f>IF(Suma!$B151=$A$1,Suma!C151,NA())</f>
        <v>0</v>
      </c>
      <c r="B152" s="1">
        <f>IF(Suma!$B151=$A$1,Suma!D151,NA())</f>
        <v>0</v>
      </c>
      <c r="C152" s="2">
        <f>IF(Suma!$B151=$A$1,Suma!E151,NA())</f>
        <v>0</v>
      </c>
      <c r="D152" s="2">
        <f>IF(Suma!$B151=$A$1,Suma!F151,NA())</f>
        <v>0</v>
      </c>
      <c r="E152" s="1">
        <f>IF(Suma!$B151=$A$1,Suma!P151,NA())</f>
        <v>0</v>
      </c>
      <c r="F152" s="10" t="e">
        <f t="shared" si="4"/>
        <v>#N/A</v>
      </c>
      <c r="G152" s="1">
        <f>IF(Suma!$B151=$A$1,Suma!W151,NA())</f>
        <v>0</v>
      </c>
      <c r="H152" s="10" t="e">
        <f t="shared" si="5"/>
        <v>#N/A</v>
      </c>
      <c r="I152" s="1">
        <f>IF(Suma!$B151=$A$1,Suma!AD151,NA())</f>
        <v>0</v>
      </c>
      <c r="J152" s="1">
        <f>IF(Suma!$B151=$A$1,Suma!AK151,NA())</f>
        <v>0</v>
      </c>
      <c r="K152" s="10">
        <f>IF(Suma!$B151=$A$1,Suma!AS151,NA())</f>
        <v>0</v>
      </c>
      <c r="L152" s="1">
        <f>IF(Suma!$B151=$A$1,Suma!G151,NA())</f>
        <v>0</v>
      </c>
      <c r="M152" s="1">
        <f>IF(Suma!$B151=$A$1,Suma!H151,NA())</f>
        <v>0</v>
      </c>
      <c r="N152" s="1">
        <f>IF(Suma!$B151=$A$1,Suma!AT151,NA())</f>
        <v>1900</v>
      </c>
      <c r="O152" s="1" t="str">
        <f>IF(Suma!$B151=$A$1,Suma!AU151,NA())</f>
        <v>enero</v>
      </c>
      <c r="P152" s="1">
        <f>IF(Suma!$B151=$A$1,Suma!AV151,NA())</f>
        <v>0</v>
      </c>
      <c r="Q152" s="1">
        <f>IF(Suma!$B151=$A$1,Suma!AW151,NA())</f>
        <v>0</v>
      </c>
      <c r="R152" s="10">
        <f>IF(Suma!$B151=$A$1,Suma!AX151,NA())</f>
        <v>0</v>
      </c>
      <c r="S152" s="10">
        <f>IF(Suma!$B151=$A$1,Suma!AY151,NA())</f>
        <v>0</v>
      </c>
      <c r="T152" s="10">
        <f>IF(Suma!$B151=$A$1,Suma!AZ151,NA())</f>
        <v>0</v>
      </c>
      <c r="U152" s="10">
        <f>IF(Suma!$B151=$A$1,Suma!J151,NA())</f>
        <v>0</v>
      </c>
      <c r="V152" s="10">
        <f>IF(Suma!$B151=$A$1,Suma!K151,NA())</f>
        <v>0</v>
      </c>
      <c r="W152" s="10">
        <f>IF(Suma!$B151=$A$1,Suma!L151,NA())</f>
        <v>0</v>
      </c>
      <c r="X152" s="10">
        <f>IF(Suma!$B151=$A$1,Suma!M151,NA())</f>
        <v>0</v>
      </c>
      <c r="Y152" s="10">
        <f>IF(Suma!$B151=$A$1,Suma!N151,NA())</f>
        <v>0</v>
      </c>
      <c r="Z152" s="10">
        <f>IF(Suma!$B151=$A$1,Suma!O151,NA())</f>
        <v>0</v>
      </c>
      <c r="AA152" s="10">
        <f>IF(Suma!$B151=$A$1,Suma!BC151,NA())</f>
        <v>0</v>
      </c>
      <c r="AB152" s="10">
        <f>IF(Suma!$B151=$A$1,Suma!BD151,NA())</f>
        <v>0</v>
      </c>
    </row>
    <row r="153" spans="1:28" x14ac:dyDescent="0.3">
      <c r="A153" s="1">
        <f>IF(Suma!$B152=$A$1,Suma!C152,NA())</f>
        <v>0</v>
      </c>
      <c r="B153" s="1">
        <f>IF(Suma!$B152=$A$1,Suma!D152,NA())</f>
        <v>0</v>
      </c>
      <c r="C153" s="2">
        <f>IF(Suma!$B152=$A$1,Suma!E152,NA())</f>
        <v>0</v>
      </c>
      <c r="D153" s="2">
        <f>IF(Suma!$B152=$A$1,Suma!F152,NA())</f>
        <v>0</v>
      </c>
      <c r="E153" s="1">
        <f>IF(Suma!$B152=$A$1,Suma!P152,NA())</f>
        <v>0</v>
      </c>
      <c r="F153" s="10" t="e">
        <f t="shared" si="4"/>
        <v>#N/A</v>
      </c>
      <c r="G153" s="1">
        <f>IF(Suma!$B152=$A$1,Suma!W152,NA())</f>
        <v>0</v>
      </c>
      <c r="H153" s="10" t="e">
        <f t="shared" si="5"/>
        <v>#N/A</v>
      </c>
      <c r="I153" s="1">
        <f>IF(Suma!$B152=$A$1,Suma!AD152,NA())</f>
        <v>0</v>
      </c>
      <c r="J153" s="1">
        <f>IF(Suma!$B152=$A$1,Suma!AK152,NA())</f>
        <v>0</v>
      </c>
      <c r="K153" s="10">
        <f>IF(Suma!$B152=$A$1,Suma!AS152,NA())</f>
        <v>0</v>
      </c>
      <c r="L153" s="1">
        <f>IF(Suma!$B152=$A$1,Suma!G152,NA())</f>
        <v>0</v>
      </c>
      <c r="M153" s="1">
        <f>IF(Suma!$B152=$A$1,Suma!H152,NA())</f>
        <v>0</v>
      </c>
      <c r="N153" s="1">
        <f>IF(Suma!$B152=$A$1,Suma!AT152,NA())</f>
        <v>1900</v>
      </c>
      <c r="O153" s="1" t="str">
        <f>IF(Suma!$B152=$A$1,Suma!AU152,NA())</f>
        <v>enero</v>
      </c>
      <c r="P153" s="1">
        <f>IF(Suma!$B152=$A$1,Suma!AV152,NA())</f>
        <v>0</v>
      </c>
      <c r="Q153" s="1">
        <f>IF(Suma!$B152=$A$1,Suma!AW152,NA())</f>
        <v>0</v>
      </c>
      <c r="R153" s="10">
        <f>IF(Suma!$B152=$A$1,Suma!AX152,NA())</f>
        <v>0</v>
      </c>
      <c r="S153" s="10">
        <f>IF(Suma!$B152=$A$1,Suma!AY152,NA())</f>
        <v>0</v>
      </c>
      <c r="T153" s="10">
        <f>IF(Suma!$B152=$A$1,Suma!AZ152,NA())</f>
        <v>0</v>
      </c>
      <c r="U153" s="10">
        <f>IF(Suma!$B152=$A$1,Suma!J152,NA())</f>
        <v>0</v>
      </c>
      <c r="V153" s="10">
        <f>IF(Suma!$B152=$A$1,Suma!K152,NA())</f>
        <v>0</v>
      </c>
      <c r="W153" s="10">
        <f>IF(Suma!$B152=$A$1,Suma!L152,NA())</f>
        <v>0</v>
      </c>
      <c r="X153" s="10">
        <f>IF(Suma!$B152=$A$1,Suma!M152,NA())</f>
        <v>0</v>
      </c>
      <c r="Y153" s="10">
        <f>IF(Suma!$B152=$A$1,Suma!N152,NA())</f>
        <v>0</v>
      </c>
      <c r="Z153" s="10">
        <f>IF(Suma!$B152=$A$1,Suma!O152,NA())</f>
        <v>0</v>
      </c>
      <c r="AA153" s="10">
        <f>IF(Suma!$B152=$A$1,Suma!BC152,NA())</f>
        <v>0</v>
      </c>
      <c r="AB153" s="10">
        <f>IF(Suma!$B152=$A$1,Suma!BD152,NA())</f>
        <v>0</v>
      </c>
    </row>
    <row r="154" spans="1:28" x14ac:dyDescent="0.3">
      <c r="A154" s="1">
        <f>IF(Suma!$B153=$A$1,Suma!C153,NA())</f>
        <v>0</v>
      </c>
      <c r="B154" s="1">
        <f>IF(Suma!$B153=$A$1,Suma!D153,NA())</f>
        <v>0</v>
      </c>
      <c r="C154" s="2">
        <f>IF(Suma!$B153=$A$1,Suma!E153,NA())</f>
        <v>0</v>
      </c>
      <c r="D154" s="2">
        <f>IF(Suma!$B153=$A$1,Suma!F153,NA())</f>
        <v>0</v>
      </c>
      <c r="E154" s="1">
        <f>IF(Suma!$B153=$A$1,Suma!P153,NA())</f>
        <v>0</v>
      </c>
      <c r="F154" s="10" t="e">
        <f t="shared" si="4"/>
        <v>#N/A</v>
      </c>
      <c r="G154" s="1">
        <f>IF(Suma!$B153=$A$1,Suma!W153,NA())</f>
        <v>0</v>
      </c>
      <c r="H154" s="10" t="e">
        <f t="shared" si="5"/>
        <v>#N/A</v>
      </c>
      <c r="I154" s="1">
        <f>IF(Suma!$B153=$A$1,Suma!AD153,NA())</f>
        <v>0</v>
      </c>
      <c r="J154" s="1">
        <f>IF(Suma!$B153=$A$1,Suma!AK153,NA())</f>
        <v>0</v>
      </c>
      <c r="K154" s="10">
        <f>IF(Suma!$B153=$A$1,Suma!AS153,NA())</f>
        <v>0</v>
      </c>
      <c r="L154" s="1">
        <f>IF(Suma!$B153=$A$1,Suma!G153,NA())</f>
        <v>0</v>
      </c>
      <c r="M154" s="1">
        <f>IF(Suma!$B153=$A$1,Suma!H153,NA())</f>
        <v>0</v>
      </c>
      <c r="N154" s="1">
        <f>IF(Suma!$B153=$A$1,Suma!AT153,NA())</f>
        <v>1900</v>
      </c>
      <c r="O154" s="1" t="str">
        <f>IF(Suma!$B153=$A$1,Suma!AU153,NA())</f>
        <v>enero</v>
      </c>
      <c r="P154" s="1">
        <f>IF(Suma!$B153=$A$1,Suma!AV153,NA())</f>
        <v>0</v>
      </c>
      <c r="Q154" s="1">
        <f>IF(Suma!$B153=$A$1,Suma!AW153,NA())</f>
        <v>0</v>
      </c>
      <c r="R154" s="10">
        <f>IF(Suma!$B153=$A$1,Suma!AX153,NA())</f>
        <v>0</v>
      </c>
      <c r="S154" s="10">
        <f>IF(Suma!$B153=$A$1,Suma!AY153,NA())</f>
        <v>0</v>
      </c>
      <c r="T154" s="10">
        <f>IF(Suma!$B153=$A$1,Suma!AZ153,NA())</f>
        <v>0</v>
      </c>
      <c r="U154" s="10">
        <f>IF(Suma!$B153=$A$1,Suma!J153,NA())</f>
        <v>0</v>
      </c>
      <c r="V154" s="10">
        <f>IF(Suma!$B153=$A$1,Suma!K153,NA())</f>
        <v>0</v>
      </c>
      <c r="W154" s="10">
        <f>IF(Suma!$B153=$A$1,Suma!L153,NA())</f>
        <v>0</v>
      </c>
      <c r="X154" s="10">
        <f>IF(Suma!$B153=$A$1,Suma!M153,NA())</f>
        <v>0</v>
      </c>
      <c r="Y154" s="10">
        <f>IF(Suma!$B153=$A$1,Suma!N153,NA())</f>
        <v>0</v>
      </c>
      <c r="Z154" s="10">
        <f>IF(Suma!$B153=$A$1,Suma!O153,NA())</f>
        <v>0</v>
      </c>
      <c r="AA154" s="10">
        <f>IF(Suma!$B153=$A$1,Suma!BC153,NA())</f>
        <v>0</v>
      </c>
      <c r="AB154" s="10">
        <f>IF(Suma!$B153=$A$1,Suma!BD153,NA())</f>
        <v>0</v>
      </c>
    </row>
    <row r="155" spans="1:28" x14ac:dyDescent="0.3">
      <c r="A155" s="1">
        <f>IF(Suma!$B154=$A$1,Suma!C154,NA())</f>
        <v>0</v>
      </c>
      <c r="B155" s="1">
        <f>IF(Suma!$B154=$A$1,Suma!D154,NA())</f>
        <v>0</v>
      </c>
      <c r="C155" s="2">
        <f>IF(Suma!$B154=$A$1,Suma!E154,NA())</f>
        <v>0</v>
      </c>
      <c r="D155" s="2">
        <f>IF(Suma!$B154=$A$1,Suma!F154,NA())</f>
        <v>0</v>
      </c>
      <c r="E155" s="1">
        <f>IF(Suma!$B154=$A$1,Suma!P154,NA())</f>
        <v>0</v>
      </c>
      <c r="F155" s="10" t="e">
        <f t="shared" si="4"/>
        <v>#N/A</v>
      </c>
      <c r="G155" s="1">
        <f>IF(Suma!$B154=$A$1,Suma!W154,NA())</f>
        <v>0</v>
      </c>
      <c r="H155" s="10" t="e">
        <f t="shared" si="5"/>
        <v>#N/A</v>
      </c>
      <c r="I155" s="1">
        <f>IF(Suma!$B154=$A$1,Suma!AD154,NA())</f>
        <v>0</v>
      </c>
      <c r="J155" s="1">
        <f>IF(Suma!$B154=$A$1,Suma!AK154,NA())</f>
        <v>0</v>
      </c>
      <c r="K155" s="10">
        <f>IF(Suma!$B154=$A$1,Suma!AS154,NA())</f>
        <v>0</v>
      </c>
      <c r="L155" s="1">
        <f>IF(Suma!$B154=$A$1,Suma!G154,NA())</f>
        <v>0</v>
      </c>
      <c r="M155" s="1">
        <f>IF(Suma!$B154=$A$1,Suma!H154,NA())</f>
        <v>0</v>
      </c>
      <c r="N155" s="1">
        <f>IF(Suma!$B154=$A$1,Suma!AT154,NA())</f>
        <v>1900</v>
      </c>
      <c r="O155" s="1" t="str">
        <f>IF(Suma!$B154=$A$1,Suma!AU154,NA())</f>
        <v>enero</v>
      </c>
      <c r="P155" s="1">
        <f>IF(Suma!$B154=$A$1,Suma!AV154,NA())</f>
        <v>0</v>
      </c>
      <c r="Q155" s="1">
        <f>IF(Suma!$B154=$A$1,Suma!AW154,NA())</f>
        <v>0</v>
      </c>
      <c r="R155" s="10">
        <f>IF(Suma!$B154=$A$1,Suma!AX154,NA())</f>
        <v>0</v>
      </c>
      <c r="S155" s="10">
        <f>IF(Suma!$B154=$A$1,Suma!AY154,NA())</f>
        <v>0</v>
      </c>
      <c r="T155" s="10">
        <f>IF(Suma!$B154=$A$1,Suma!AZ154,NA())</f>
        <v>0</v>
      </c>
      <c r="U155" s="10">
        <f>IF(Suma!$B154=$A$1,Suma!J154,NA())</f>
        <v>0</v>
      </c>
      <c r="V155" s="10">
        <f>IF(Suma!$B154=$A$1,Suma!K154,NA())</f>
        <v>0</v>
      </c>
      <c r="W155" s="10">
        <f>IF(Suma!$B154=$A$1,Suma!L154,NA())</f>
        <v>0</v>
      </c>
      <c r="X155" s="10">
        <f>IF(Suma!$B154=$A$1,Suma!M154,NA())</f>
        <v>0</v>
      </c>
      <c r="Y155" s="10">
        <f>IF(Suma!$B154=$A$1,Suma!N154,NA())</f>
        <v>0</v>
      </c>
      <c r="Z155" s="10">
        <f>IF(Suma!$B154=$A$1,Suma!O154,NA())</f>
        <v>0</v>
      </c>
      <c r="AA155" s="10">
        <f>IF(Suma!$B154=$A$1,Suma!BC154,NA())</f>
        <v>0</v>
      </c>
      <c r="AB155" s="10">
        <f>IF(Suma!$B154=$A$1,Suma!BD154,NA())</f>
        <v>0</v>
      </c>
    </row>
    <row r="156" spans="1:28" x14ac:dyDescent="0.3">
      <c r="A156" s="1">
        <f>IF(Suma!$B155=$A$1,Suma!C155,NA())</f>
        <v>0</v>
      </c>
      <c r="B156" s="1">
        <f>IF(Suma!$B155=$A$1,Suma!D155,NA())</f>
        <v>0</v>
      </c>
      <c r="C156" s="2">
        <f>IF(Suma!$B155=$A$1,Suma!E155,NA())</f>
        <v>0</v>
      </c>
      <c r="D156" s="2">
        <f>IF(Suma!$B155=$A$1,Suma!F155,NA())</f>
        <v>0</v>
      </c>
      <c r="E156" s="1">
        <f>IF(Suma!$B155=$A$1,Suma!P155,NA())</f>
        <v>0</v>
      </c>
      <c r="F156" s="10" t="e">
        <f t="shared" si="4"/>
        <v>#N/A</v>
      </c>
      <c r="G156" s="1">
        <f>IF(Suma!$B155=$A$1,Suma!W155,NA())</f>
        <v>0</v>
      </c>
      <c r="H156" s="10" t="e">
        <f t="shared" si="5"/>
        <v>#N/A</v>
      </c>
      <c r="I156" s="1">
        <f>IF(Suma!$B155=$A$1,Suma!AD155,NA())</f>
        <v>0</v>
      </c>
      <c r="J156" s="1">
        <f>IF(Suma!$B155=$A$1,Suma!AK155,NA())</f>
        <v>0</v>
      </c>
      <c r="K156" s="10">
        <f>IF(Suma!$B155=$A$1,Suma!AS155,NA())</f>
        <v>0</v>
      </c>
      <c r="L156" s="1">
        <f>IF(Suma!$B155=$A$1,Suma!G155,NA())</f>
        <v>0</v>
      </c>
      <c r="M156" s="1">
        <f>IF(Suma!$B155=$A$1,Suma!H155,NA())</f>
        <v>0</v>
      </c>
      <c r="N156" s="1">
        <f>IF(Suma!$B155=$A$1,Suma!AT155,NA())</f>
        <v>1900</v>
      </c>
      <c r="O156" s="1" t="str">
        <f>IF(Suma!$B155=$A$1,Suma!AU155,NA())</f>
        <v>enero</v>
      </c>
      <c r="P156" s="1">
        <f>IF(Suma!$B155=$A$1,Suma!AV155,NA())</f>
        <v>0</v>
      </c>
      <c r="Q156" s="1">
        <f>IF(Suma!$B155=$A$1,Suma!AW155,NA())</f>
        <v>0</v>
      </c>
      <c r="R156" s="10">
        <f>IF(Suma!$B155=$A$1,Suma!AX155,NA())</f>
        <v>0</v>
      </c>
      <c r="S156" s="10">
        <f>IF(Suma!$B155=$A$1,Suma!AY155,NA())</f>
        <v>0</v>
      </c>
      <c r="T156" s="10">
        <f>IF(Suma!$B155=$A$1,Suma!AZ155,NA())</f>
        <v>0</v>
      </c>
      <c r="U156" s="10">
        <f>IF(Suma!$B155=$A$1,Suma!J155,NA())</f>
        <v>0</v>
      </c>
      <c r="V156" s="10">
        <f>IF(Suma!$B155=$A$1,Suma!K155,NA())</f>
        <v>0</v>
      </c>
      <c r="W156" s="10">
        <f>IF(Suma!$B155=$A$1,Suma!L155,NA())</f>
        <v>0</v>
      </c>
      <c r="X156" s="10">
        <f>IF(Suma!$B155=$A$1,Suma!M155,NA())</f>
        <v>0</v>
      </c>
      <c r="Y156" s="10">
        <f>IF(Suma!$B155=$A$1,Suma!N155,NA())</f>
        <v>0</v>
      </c>
      <c r="Z156" s="10">
        <f>IF(Suma!$B155=$A$1,Suma!O155,NA())</f>
        <v>0</v>
      </c>
      <c r="AA156" s="10">
        <f>IF(Suma!$B155=$A$1,Suma!BC155,NA())</f>
        <v>0</v>
      </c>
      <c r="AB156" s="10">
        <f>IF(Suma!$B155=$A$1,Suma!BD155,NA())</f>
        <v>0</v>
      </c>
    </row>
    <row r="157" spans="1:28" x14ac:dyDescent="0.3">
      <c r="A157" s="1">
        <f>IF(Suma!$B156=$A$1,Suma!C156,NA())</f>
        <v>0</v>
      </c>
      <c r="B157" s="1">
        <f>IF(Suma!$B156=$A$1,Suma!D156,NA())</f>
        <v>0</v>
      </c>
      <c r="C157" s="2">
        <f>IF(Suma!$B156=$A$1,Suma!E156,NA())</f>
        <v>0</v>
      </c>
      <c r="D157" s="2">
        <f>IF(Suma!$B156=$A$1,Suma!F156,NA())</f>
        <v>0</v>
      </c>
      <c r="E157" s="1">
        <f>IF(Suma!$B156=$A$1,Suma!P156,NA())</f>
        <v>0</v>
      </c>
      <c r="F157" s="10" t="e">
        <f t="shared" si="4"/>
        <v>#N/A</v>
      </c>
      <c r="G157" s="1">
        <f>IF(Suma!$B156=$A$1,Suma!W156,NA())</f>
        <v>0</v>
      </c>
      <c r="H157" s="10" t="e">
        <f t="shared" si="5"/>
        <v>#N/A</v>
      </c>
      <c r="I157" s="1">
        <f>IF(Suma!$B156=$A$1,Suma!AD156,NA())</f>
        <v>0</v>
      </c>
      <c r="J157" s="1">
        <f>IF(Suma!$B156=$A$1,Suma!AK156,NA())</f>
        <v>0</v>
      </c>
      <c r="K157" s="10">
        <f>IF(Suma!$B156=$A$1,Suma!AS156,NA())</f>
        <v>0</v>
      </c>
      <c r="L157" s="1">
        <f>IF(Suma!$B156=$A$1,Suma!G156,NA())</f>
        <v>0</v>
      </c>
      <c r="M157" s="1">
        <f>IF(Suma!$B156=$A$1,Suma!H156,NA())</f>
        <v>0</v>
      </c>
      <c r="N157" s="1">
        <f>IF(Suma!$B156=$A$1,Suma!AT156,NA())</f>
        <v>1900</v>
      </c>
      <c r="O157" s="1" t="str">
        <f>IF(Suma!$B156=$A$1,Suma!AU156,NA())</f>
        <v>enero</v>
      </c>
      <c r="P157" s="1">
        <f>IF(Suma!$B156=$A$1,Suma!AV156,NA())</f>
        <v>0</v>
      </c>
      <c r="Q157" s="1">
        <f>IF(Suma!$B156=$A$1,Suma!AW156,NA())</f>
        <v>0</v>
      </c>
      <c r="R157" s="10">
        <f>IF(Suma!$B156=$A$1,Suma!AX156,NA())</f>
        <v>0</v>
      </c>
      <c r="S157" s="10">
        <f>IF(Suma!$B156=$A$1,Suma!AY156,NA())</f>
        <v>0</v>
      </c>
      <c r="T157" s="10">
        <f>IF(Suma!$B156=$A$1,Suma!AZ156,NA())</f>
        <v>0</v>
      </c>
      <c r="U157" s="10">
        <f>IF(Suma!$B156=$A$1,Suma!J156,NA())</f>
        <v>0</v>
      </c>
      <c r="V157" s="10">
        <f>IF(Suma!$B156=$A$1,Suma!K156,NA())</f>
        <v>0</v>
      </c>
      <c r="W157" s="10">
        <f>IF(Suma!$B156=$A$1,Suma!L156,NA())</f>
        <v>0</v>
      </c>
      <c r="X157" s="10">
        <f>IF(Suma!$B156=$A$1,Suma!M156,NA())</f>
        <v>0</v>
      </c>
      <c r="Y157" s="10">
        <f>IF(Suma!$B156=$A$1,Suma!N156,NA())</f>
        <v>0</v>
      </c>
      <c r="Z157" s="10">
        <f>IF(Suma!$B156=$A$1,Suma!O156,NA())</f>
        <v>0</v>
      </c>
      <c r="AA157" s="10">
        <f>IF(Suma!$B156=$A$1,Suma!BC156,NA())</f>
        <v>0</v>
      </c>
      <c r="AB157" s="10">
        <f>IF(Suma!$B156=$A$1,Suma!BD156,NA())</f>
        <v>0</v>
      </c>
    </row>
    <row r="158" spans="1:28" x14ac:dyDescent="0.3">
      <c r="A158" s="1">
        <f>IF(Suma!$B157=$A$1,Suma!C157,NA())</f>
        <v>0</v>
      </c>
      <c r="B158" s="1">
        <f>IF(Suma!$B157=$A$1,Suma!D157,NA())</f>
        <v>0</v>
      </c>
      <c r="C158" s="2">
        <f>IF(Suma!$B157=$A$1,Suma!E157,NA())</f>
        <v>0</v>
      </c>
      <c r="D158" s="2">
        <f>IF(Suma!$B157=$A$1,Suma!F157,NA())</f>
        <v>0</v>
      </c>
      <c r="E158" s="1">
        <f>IF(Suma!$B157=$A$1,Suma!P157,NA())</f>
        <v>0</v>
      </c>
      <c r="F158" s="10" t="e">
        <f t="shared" si="4"/>
        <v>#N/A</v>
      </c>
      <c r="G158" s="1">
        <f>IF(Suma!$B157=$A$1,Suma!W157,NA())</f>
        <v>0</v>
      </c>
      <c r="H158" s="10" t="e">
        <f t="shared" si="5"/>
        <v>#N/A</v>
      </c>
      <c r="I158" s="1">
        <f>IF(Suma!$B157=$A$1,Suma!AD157,NA())</f>
        <v>0</v>
      </c>
      <c r="J158" s="1">
        <f>IF(Suma!$B157=$A$1,Suma!AK157,NA())</f>
        <v>0</v>
      </c>
      <c r="K158" s="10">
        <f>IF(Suma!$B157=$A$1,Suma!AS157,NA())</f>
        <v>0</v>
      </c>
      <c r="L158" s="1">
        <f>IF(Suma!$B157=$A$1,Suma!G157,NA())</f>
        <v>0</v>
      </c>
      <c r="M158" s="1">
        <f>IF(Suma!$B157=$A$1,Suma!H157,NA())</f>
        <v>0</v>
      </c>
      <c r="N158" s="1">
        <f>IF(Suma!$B157=$A$1,Suma!AT157,NA())</f>
        <v>1900</v>
      </c>
      <c r="O158" s="1" t="str">
        <f>IF(Suma!$B157=$A$1,Suma!AU157,NA())</f>
        <v>enero</v>
      </c>
      <c r="P158" s="1">
        <f>IF(Suma!$B157=$A$1,Suma!AV157,NA())</f>
        <v>0</v>
      </c>
      <c r="Q158" s="1">
        <f>IF(Suma!$B157=$A$1,Suma!AW157,NA())</f>
        <v>0</v>
      </c>
      <c r="R158" s="10">
        <f>IF(Suma!$B157=$A$1,Suma!AX157,NA())</f>
        <v>0</v>
      </c>
      <c r="S158" s="10">
        <f>IF(Suma!$B157=$A$1,Suma!AY157,NA())</f>
        <v>0</v>
      </c>
      <c r="T158" s="10">
        <f>IF(Suma!$B157=$A$1,Suma!AZ157,NA())</f>
        <v>0</v>
      </c>
      <c r="U158" s="10">
        <f>IF(Suma!$B157=$A$1,Suma!J157,NA())</f>
        <v>0</v>
      </c>
      <c r="V158" s="10">
        <f>IF(Suma!$B157=$A$1,Suma!K157,NA())</f>
        <v>0</v>
      </c>
      <c r="W158" s="10">
        <f>IF(Suma!$B157=$A$1,Suma!L157,NA())</f>
        <v>0</v>
      </c>
      <c r="X158" s="10">
        <f>IF(Suma!$B157=$A$1,Suma!M157,NA())</f>
        <v>0</v>
      </c>
      <c r="Y158" s="10">
        <f>IF(Suma!$B157=$A$1,Suma!N157,NA())</f>
        <v>0</v>
      </c>
      <c r="Z158" s="10">
        <f>IF(Suma!$B157=$A$1,Suma!O157,NA())</f>
        <v>0</v>
      </c>
      <c r="AA158" s="10">
        <f>IF(Suma!$B157=$A$1,Suma!BC157,NA())</f>
        <v>0</v>
      </c>
      <c r="AB158" s="10">
        <f>IF(Suma!$B157=$A$1,Suma!BD157,NA())</f>
        <v>0</v>
      </c>
    </row>
    <row r="159" spans="1:28" x14ac:dyDescent="0.3">
      <c r="A159" s="1">
        <f>IF(Suma!$B158=$A$1,Suma!C158,NA())</f>
        <v>0</v>
      </c>
      <c r="B159" s="1">
        <f>IF(Suma!$B158=$A$1,Suma!D158,NA())</f>
        <v>0</v>
      </c>
      <c r="C159" s="2">
        <f>IF(Suma!$B158=$A$1,Suma!E158,NA())</f>
        <v>0</v>
      </c>
      <c r="D159" s="2">
        <f>IF(Suma!$B158=$A$1,Suma!F158,NA())</f>
        <v>0</v>
      </c>
      <c r="E159" s="1">
        <f>IF(Suma!$B158=$A$1,Suma!P158,NA())</f>
        <v>0</v>
      </c>
      <c r="F159" s="10" t="e">
        <f t="shared" si="4"/>
        <v>#N/A</v>
      </c>
      <c r="G159" s="1">
        <f>IF(Suma!$B158=$A$1,Suma!W158,NA())</f>
        <v>0</v>
      </c>
      <c r="H159" s="10" t="e">
        <f t="shared" si="5"/>
        <v>#N/A</v>
      </c>
      <c r="I159" s="1">
        <f>IF(Suma!$B158=$A$1,Suma!AD158,NA())</f>
        <v>0</v>
      </c>
      <c r="J159" s="1">
        <f>IF(Suma!$B158=$A$1,Suma!AK158,NA())</f>
        <v>0</v>
      </c>
      <c r="K159" s="10">
        <f>IF(Suma!$B158=$A$1,Suma!AS158,NA())</f>
        <v>0</v>
      </c>
      <c r="L159" s="1">
        <f>IF(Suma!$B158=$A$1,Suma!G158,NA())</f>
        <v>0</v>
      </c>
      <c r="M159" s="1">
        <f>IF(Suma!$B158=$A$1,Suma!H158,NA())</f>
        <v>0</v>
      </c>
      <c r="N159" s="1">
        <f>IF(Suma!$B158=$A$1,Suma!AT158,NA())</f>
        <v>1900</v>
      </c>
      <c r="O159" s="1" t="str">
        <f>IF(Suma!$B158=$A$1,Suma!AU158,NA())</f>
        <v>enero</v>
      </c>
      <c r="P159" s="1">
        <f>IF(Suma!$B158=$A$1,Suma!AV158,NA())</f>
        <v>0</v>
      </c>
      <c r="Q159" s="1">
        <f>IF(Suma!$B158=$A$1,Suma!AW158,NA())</f>
        <v>0</v>
      </c>
      <c r="R159" s="10">
        <f>IF(Suma!$B158=$A$1,Suma!AX158,NA())</f>
        <v>0</v>
      </c>
      <c r="S159" s="10">
        <f>IF(Suma!$B158=$A$1,Suma!AY158,NA())</f>
        <v>0</v>
      </c>
      <c r="T159" s="10">
        <f>IF(Suma!$B158=$A$1,Suma!AZ158,NA())</f>
        <v>0</v>
      </c>
      <c r="U159" s="10">
        <f>IF(Suma!$B158=$A$1,Suma!J158,NA())</f>
        <v>0</v>
      </c>
      <c r="V159" s="10">
        <f>IF(Suma!$B158=$A$1,Suma!K158,NA())</f>
        <v>0</v>
      </c>
      <c r="W159" s="10">
        <f>IF(Suma!$B158=$A$1,Suma!L158,NA())</f>
        <v>0</v>
      </c>
      <c r="X159" s="10">
        <f>IF(Suma!$B158=$A$1,Suma!M158,NA())</f>
        <v>0</v>
      </c>
      <c r="Y159" s="10">
        <f>IF(Suma!$B158=$A$1,Suma!N158,NA())</f>
        <v>0</v>
      </c>
      <c r="Z159" s="10">
        <f>IF(Suma!$B158=$A$1,Suma!O158,NA())</f>
        <v>0</v>
      </c>
      <c r="AA159" s="10">
        <f>IF(Suma!$B158=$A$1,Suma!BC158,NA())</f>
        <v>0</v>
      </c>
      <c r="AB159" s="10">
        <f>IF(Suma!$B158=$A$1,Suma!BD158,NA())</f>
        <v>0</v>
      </c>
    </row>
    <row r="160" spans="1:28" x14ac:dyDescent="0.3">
      <c r="A160" s="1">
        <f>IF(Suma!$B159=$A$1,Suma!C159,NA())</f>
        <v>0</v>
      </c>
      <c r="B160" s="1">
        <f>IF(Suma!$B159=$A$1,Suma!D159,NA())</f>
        <v>0</v>
      </c>
      <c r="C160" s="2">
        <f>IF(Suma!$B159=$A$1,Suma!E159,NA())</f>
        <v>0</v>
      </c>
      <c r="D160" s="2">
        <f>IF(Suma!$B159=$A$1,Suma!F159,NA())</f>
        <v>0</v>
      </c>
      <c r="E160" s="1">
        <f>IF(Suma!$B159=$A$1,Suma!P159,NA())</f>
        <v>0</v>
      </c>
      <c r="F160" s="10" t="e">
        <f t="shared" si="4"/>
        <v>#N/A</v>
      </c>
      <c r="G160" s="1">
        <f>IF(Suma!$B159=$A$1,Suma!W159,NA())</f>
        <v>0</v>
      </c>
      <c r="H160" s="10" t="e">
        <f t="shared" si="5"/>
        <v>#N/A</v>
      </c>
      <c r="I160" s="1">
        <f>IF(Suma!$B159=$A$1,Suma!AD159,NA())</f>
        <v>0</v>
      </c>
      <c r="J160" s="1">
        <f>IF(Suma!$B159=$A$1,Suma!AK159,NA())</f>
        <v>0</v>
      </c>
      <c r="K160" s="10">
        <f>IF(Suma!$B159=$A$1,Suma!AS159,NA())</f>
        <v>0</v>
      </c>
      <c r="L160" s="1">
        <f>IF(Suma!$B159=$A$1,Suma!G159,NA())</f>
        <v>0</v>
      </c>
      <c r="M160" s="1">
        <f>IF(Suma!$B159=$A$1,Suma!H159,NA())</f>
        <v>0</v>
      </c>
      <c r="N160" s="1">
        <f>IF(Suma!$B159=$A$1,Suma!AT159,NA())</f>
        <v>1900</v>
      </c>
      <c r="O160" s="1" t="str">
        <f>IF(Suma!$B159=$A$1,Suma!AU159,NA())</f>
        <v>enero</v>
      </c>
      <c r="P160" s="1">
        <f>IF(Suma!$B159=$A$1,Suma!AV159,NA())</f>
        <v>0</v>
      </c>
      <c r="Q160" s="1">
        <f>IF(Suma!$B159=$A$1,Suma!AW159,NA())</f>
        <v>0</v>
      </c>
      <c r="R160" s="10">
        <f>IF(Suma!$B159=$A$1,Suma!AX159,NA())</f>
        <v>0</v>
      </c>
      <c r="S160" s="10">
        <f>IF(Suma!$B159=$A$1,Suma!AY159,NA())</f>
        <v>0</v>
      </c>
      <c r="T160" s="10">
        <f>IF(Suma!$B159=$A$1,Suma!AZ159,NA())</f>
        <v>0</v>
      </c>
      <c r="U160" s="10">
        <f>IF(Suma!$B159=$A$1,Suma!J159,NA())</f>
        <v>0</v>
      </c>
      <c r="V160" s="10">
        <f>IF(Suma!$B159=$A$1,Suma!K159,NA())</f>
        <v>0</v>
      </c>
      <c r="W160" s="10">
        <f>IF(Suma!$B159=$A$1,Suma!L159,NA())</f>
        <v>0</v>
      </c>
      <c r="X160" s="10">
        <f>IF(Suma!$B159=$A$1,Suma!M159,NA())</f>
        <v>0</v>
      </c>
      <c r="Y160" s="10">
        <f>IF(Suma!$B159=$A$1,Suma!N159,NA())</f>
        <v>0</v>
      </c>
      <c r="Z160" s="10">
        <f>IF(Suma!$B159=$A$1,Suma!O159,NA())</f>
        <v>0</v>
      </c>
      <c r="AA160" s="10">
        <f>IF(Suma!$B159=$A$1,Suma!BC159,NA())</f>
        <v>0</v>
      </c>
      <c r="AB160" s="10">
        <f>IF(Suma!$B159=$A$1,Suma!BD159,NA())</f>
        <v>0</v>
      </c>
    </row>
    <row r="161" spans="1:28" x14ac:dyDescent="0.3">
      <c r="A161" s="1">
        <f>IF(Suma!$B160=$A$1,Suma!C160,NA())</f>
        <v>0</v>
      </c>
      <c r="B161" s="1">
        <f>IF(Suma!$B160=$A$1,Suma!D160,NA())</f>
        <v>0</v>
      </c>
      <c r="C161" s="2">
        <f>IF(Suma!$B160=$A$1,Suma!E160,NA())</f>
        <v>0</v>
      </c>
      <c r="D161" s="2">
        <f>IF(Suma!$B160=$A$1,Suma!F160,NA())</f>
        <v>0</v>
      </c>
      <c r="E161" s="1">
        <f>IF(Suma!$B160=$A$1,Suma!P160,NA())</f>
        <v>0</v>
      </c>
      <c r="F161" s="10" t="e">
        <f t="shared" si="4"/>
        <v>#N/A</v>
      </c>
      <c r="G161" s="1">
        <f>IF(Suma!$B160=$A$1,Suma!W160,NA())</f>
        <v>0</v>
      </c>
      <c r="H161" s="10" t="e">
        <f t="shared" si="5"/>
        <v>#N/A</v>
      </c>
      <c r="I161" s="1">
        <f>IF(Suma!$B160=$A$1,Suma!AD160,NA())</f>
        <v>0</v>
      </c>
      <c r="J161" s="1">
        <f>IF(Suma!$B160=$A$1,Suma!AK160,NA())</f>
        <v>0</v>
      </c>
      <c r="K161" s="10">
        <f>IF(Suma!$B160=$A$1,Suma!AS160,NA())</f>
        <v>0</v>
      </c>
      <c r="L161" s="1">
        <f>IF(Suma!$B160=$A$1,Suma!G160,NA())</f>
        <v>0</v>
      </c>
      <c r="M161" s="1">
        <f>IF(Suma!$B160=$A$1,Suma!H160,NA())</f>
        <v>0</v>
      </c>
      <c r="N161" s="1">
        <f>IF(Suma!$B160=$A$1,Suma!AT160,NA())</f>
        <v>1900</v>
      </c>
      <c r="O161" s="1" t="str">
        <f>IF(Suma!$B160=$A$1,Suma!AU160,NA())</f>
        <v>enero</v>
      </c>
      <c r="P161" s="1">
        <f>IF(Suma!$B160=$A$1,Suma!AV160,NA())</f>
        <v>0</v>
      </c>
      <c r="Q161" s="1">
        <f>IF(Suma!$B160=$A$1,Suma!AW160,NA())</f>
        <v>0</v>
      </c>
      <c r="R161" s="10">
        <f>IF(Suma!$B160=$A$1,Suma!AX160,NA())</f>
        <v>0</v>
      </c>
      <c r="S161" s="10">
        <f>IF(Suma!$B160=$A$1,Suma!AY160,NA())</f>
        <v>0</v>
      </c>
      <c r="T161" s="10">
        <f>IF(Suma!$B160=$A$1,Suma!AZ160,NA())</f>
        <v>0</v>
      </c>
      <c r="U161" s="10">
        <f>IF(Suma!$B160=$A$1,Suma!J160,NA())</f>
        <v>0</v>
      </c>
      <c r="V161" s="10">
        <f>IF(Suma!$B160=$A$1,Suma!K160,NA())</f>
        <v>0</v>
      </c>
      <c r="W161" s="10">
        <f>IF(Suma!$B160=$A$1,Suma!L160,NA())</f>
        <v>0</v>
      </c>
      <c r="X161" s="10">
        <f>IF(Suma!$B160=$A$1,Suma!M160,NA())</f>
        <v>0</v>
      </c>
      <c r="Y161" s="10">
        <f>IF(Suma!$B160=$A$1,Suma!N160,NA())</f>
        <v>0</v>
      </c>
      <c r="Z161" s="10">
        <f>IF(Suma!$B160=$A$1,Suma!O160,NA())</f>
        <v>0</v>
      </c>
      <c r="AA161" s="10">
        <f>IF(Suma!$B160=$A$1,Suma!BC160,NA())</f>
        <v>0</v>
      </c>
      <c r="AB161" s="10">
        <f>IF(Suma!$B160=$A$1,Suma!BD160,NA())</f>
        <v>0</v>
      </c>
    </row>
    <row r="162" spans="1:28" x14ac:dyDescent="0.3">
      <c r="A162" s="1">
        <f>IF(Suma!$B161=$A$1,Suma!C161,NA())</f>
        <v>0</v>
      </c>
      <c r="B162" s="1">
        <f>IF(Suma!$B161=$A$1,Suma!D161,NA())</f>
        <v>0</v>
      </c>
      <c r="C162" s="2">
        <f>IF(Suma!$B161=$A$1,Suma!E161,NA())</f>
        <v>0</v>
      </c>
      <c r="D162" s="2">
        <f>IF(Suma!$B161=$A$1,Suma!F161,NA())</f>
        <v>0</v>
      </c>
      <c r="E162" s="1">
        <f>IF(Suma!$B161=$A$1,Suma!P161,NA())</f>
        <v>0</v>
      </c>
      <c r="F162" s="10" t="e">
        <f t="shared" si="4"/>
        <v>#N/A</v>
      </c>
      <c r="G162" s="1">
        <f>IF(Suma!$B161=$A$1,Suma!W161,NA())</f>
        <v>0</v>
      </c>
      <c r="H162" s="10" t="e">
        <f t="shared" si="5"/>
        <v>#N/A</v>
      </c>
      <c r="I162" s="1">
        <f>IF(Suma!$B161=$A$1,Suma!AD161,NA())</f>
        <v>0</v>
      </c>
      <c r="J162" s="1">
        <f>IF(Suma!$B161=$A$1,Suma!AK161,NA())</f>
        <v>0</v>
      </c>
      <c r="K162" s="10">
        <f>IF(Suma!$B161=$A$1,Suma!AS161,NA())</f>
        <v>0</v>
      </c>
      <c r="L162" s="1">
        <f>IF(Suma!$B161=$A$1,Suma!G161,NA())</f>
        <v>0</v>
      </c>
      <c r="M162" s="1">
        <f>IF(Suma!$B161=$A$1,Suma!H161,NA())</f>
        <v>0</v>
      </c>
      <c r="N162" s="1">
        <f>IF(Suma!$B161=$A$1,Suma!AT161,NA())</f>
        <v>1900</v>
      </c>
      <c r="O162" s="1" t="str">
        <f>IF(Suma!$B161=$A$1,Suma!AU161,NA())</f>
        <v>enero</v>
      </c>
      <c r="P162" s="1">
        <f>IF(Suma!$B161=$A$1,Suma!AV161,NA())</f>
        <v>0</v>
      </c>
      <c r="Q162" s="1">
        <f>IF(Suma!$B161=$A$1,Suma!AW161,NA())</f>
        <v>0</v>
      </c>
      <c r="R162" s="10">
        <f>IF(Suma!$B161=$A$1,Suma!AX161,NA())</f>
        <v>0</v>
      </c>
      <c r="S162" s="10">
        <f>IF(Suma!$B161=$A$1,Suma!AY161,NA())</f>
        <v>0</v>
      </c>
      <c r="T162" s="10">
        <f>IF(Suma!$B161=$A$1,Suma!AZ161,NA())</f>
        <v>0</v>
      </c>
      <c r="U162" s="10">
        <f>IF(Suma!$B161=$A$1,Suma!J161,NA())</f>
        <v>0</v>
      </c>
      <c r="V162" s="10">
        <f>IF(Suma!$B161=$A$1,Suma!K161,NA())</f>
        <v>0</v>
      </c>
      <c r="W162" s="10">
        <f>IF(Suma!$B161=$A$1,Suma!L161,NA())</f>
        <v>0</v>
      </c>
      <c r="X162" s="10">
        <f>IF(Suma!$B161=$A$1,Suma!M161,NA())</f>
        <v>0</v>
      </c>
      <c r="Y162" s="10">
        <f>IF(Suma!$B161=$A$1,Suma!N161,NA())</f>
        <v>0</v>
      </c>
      <c r="Z162" s="10">
        <f>IF(Suma!$B161=$A$1,Suma!O161,NA())</f>
        <v>0</v>
      </c>
      <c r="AA162" s="10">
        <f>IF(Suma!$B161=$A$1,Suma!BC161,NA())</f>
        <v>0</v>
      </c>
      <c r="AB162" s="10">
        <f>IF(Suma!$B161=$A$1,Suma!BD161,NA())</f>
        <v>0</v>
      </c>
    </row>
    <row r="163" spans="1:28" x14ac:dyDescent="0.3">
      <c r="A163" s="1">
        <f>IF(Suma!$B162=$A$1,Suma!C162,NA())</f>
        <v>0</v>
      </c>
      <c r="B163" s="1">
        <f>IF(Suma!$B162=$A$1,Suma!D162,NA())</f>
        <v>0</v>
      </c>
      <c r="C163" s="2">
        <f>IF(Suma!$B162=$A$1,Suma!E162,NA())</f>
        <v>0</v>
      </c>
      <c r="D163" s="2">
        <f>IF(Suma!$B162=$A$1,Suma!F162,NA())</f>
        <v>0</v>
      </c>
      <c r="E163" s="1">
        <f>IF(Suma!$B162=$A$1,Suma!P162,NA())</f>
        <v>0</v>
      </c>
      <c r="F163" s="10" t="e">
        <f t="shared" si="4"/>
        <v>#N/A</v>
      </c>
      <c r="G163" s="1">
        <f>IF(Suma!$B162=$A$1,Suma!W162,NA())</f>
        <v>0</v>
      </c>
      <c r="H163" s="10" t="e">
        <f t="shared" si="5"/>
        <v>#N/A</v>
      </c>
      <c r="I163" s="1">
        <f>IF(Suma!$B162=$A$1,Suma!AD162,NA())</f>
        <v>0</v>
      </c>
      <c r="J163" s="1">
        <f>IF(Suma!$B162=$A$1,Suma!AK162,NA())</f>
        <v>0</v>
      </c>
      <c r="K163" s="10">
        <f>IF(Suma!$B162=$A$1,Suma!AS162,NA())</f>
        <v>0</v>
      </c>
      <c r="L163" s="1">
        <f>IF(Suma!$B162=$A$1,Suma!G162,NA())</f>
        <v>0</v>
      </c>
      <c r="M163" s="1">
        <f>IF(Suma!$B162=$A$1,Suma!H162,NA())</f>
        <v>0</v>
      </c>
      <c r="N163" s="1">
        <f>IF(Suma!$B162=$A$1,Suma!AT162,NA())</f>
        <v>1900</v>
      </c>
      <c r="O163" s="1" t="str">
        <f>IF(Suma!$B162=$A$1,Suma!AU162,NA())</f>
        <v>enero</v>
      </c>
      <c r="P163" s="1">
        <f>IF(Suma!$B162=$A$1,Suma!AV162,NA())</f>
        <v>0</v>
      </c>
      <c r="Q163" s="1">
        <f>IF(Suma!$B162=$A$1,Suma!AW162,NA())</f>
        <v>0</v>
      </c>
      <c r="R163" s="10">
        <f>IF(Suma!$B162=$A$1,Suma!AX162,NA())</f>
        <v>0</v>
      </c>
      <c r="S163" s="10">
        <f>IF(Suma!$B162=$A$1,Suma!AY162,NA())</f>
        <v>0</v>
      </c>
      <c r="T163" s="10">
        <f>IF(Suma!$B162=$A$1,Suma!AZ162,NA())</f>
        <v>0</v>
      </c>
      <c r="U163" s="10">
        <f>IF(Suma!$B162=$A$1,Suma!J162,NA())</f>
        <v>0</v>
      </c>
      <c r="V163" s="10">
        <f>IF(Suma!$B162=$A$1,Suma!K162,NA())</f>
        <v>0</v>
      </c>
      <c r="W163" s="10">
        <f>IF(Suma!$B162=$A$1,Suma!L162,NA())</f>
        <v>0</v>
      </c>
      <c r="X163" s="10">
        <f>IF(Suma!$B162=$A$1,Suma!M162,NA())</f>
        <v>0</v>
      </c>
      <c r="Y163" s="10">
        <f>IF(Suma!$B162=$A$1,Suma!N162,NA())</f>
        <v>0</v>
      </c>
      <c r="Z163" s="10">
        <f>IF(Suma!$B162=$A$1,Suma!O162,NA())</f>
        <v>0</v>
      </c>
      <c r="AA163" s="10">
        <f>IF(Suma!$B162=$A$1,Suma!BC162,NA())</f>
        <v>0</v>
      </c>
      <c r="AB163" s="10">
        <f>IF(Suma!$B162=$A$1,Suma!BD162,NA())</f>
        <v>0</v>
      </c>
    </row>
    <row r="164" spans="1:28" x14ac:dyDescent="0.3">
      <c r="A164" s="1">
        <f>IF(Suma!$B163=$A$1,Suma!C163,NA())</f>
        <v>0</v>
      </c>
      <c r="B164" s="1">
        <f>IF(Suma!$B163=$A$1,Suma!D163,NA())</f>
        <v>0</v>
      </c>
      <c r="C164" s="2">
        <f>IF(Suma!$B163=$A$1,Suma!E163,NA())</f>
        <v>0</v>
      </c>
      <c r="D164" s="2">
        <f>IF(Suma!$B163=$A$1,Suma!F163,NA())</f>
        <v>0</v>
      </c>
      <c r="E164" s="1">
        <f>IF(Suma!$B163=$A$1,Suma!P163,NA())</f>
        <v>0</v>
      </c>
      <c r="F164" s="10" t="e">
        <f t="shared" si="4"/>
        <v>#N/A</v>
      </c>
      <c r="G164" s="1">
        <f>IF(Suma!$B163=$A$1,Suma!W163,NA())</f>
        <v>0</v>
      </c>
      <c r="H164" s="10" t="e">
        <f t="shared" si="5"/>
        <v>#N/A</v>
      </c>
      <c r="I164" s="1">
        <f>IF(Suma!$B163=$A$1,Suma!AD163,NA())</f>
        <v>0</v>
      </c>
      <c r="J164" s="1">
        <f>IF(Suma!$B163=$A$1,Suma!AK163,NA())</f>
        <v>0</v>
      </c>
      <c r="K164" s="10">
        <f>IF(Suma!$B163=$A$1,Suma!AS163,NA())</f>
        <v>0</v>
      </c>
      <c r="L164" s="1">
        <f>IF(Suma!$B163=$A$1,Suma!G163,NA())</f>
        <v>0</v>
      </c>
      <c r="M164" s="1">
        <f>IF(Suma!$B163=$A$1,Suma!H163,NA())</f>
        <v>0</v>
      </c>
      <c r="N164" s="1">
        <f>IF(Suma!$B163=$A$1,Suma!AT163,NA())</f>
        <v>1900</v>
      </c>
      <c r="O164" s="1" t="str">
        <f>IF(Suma!$B163=$A$1,Suma!AU163,NA())</f>
        <v>enero</v>
      </c>
      <c r="P164" s="1">
        <f>IF(Suma!$B163=$A$1,Suma!AV163,NA())</f>
        <v>0</v>
      </c>
      <c r="Q164" s="1">
        <f>IF(Suma!$B163=$A$1,Suma!AW163,NA())</f>
        <v>0</v>
      </c>
      <c r="R164" s="10">
        <f>IF(Suma!$B163=$A$1,Suma!AX163,NA())</f>
        <v>0</v>
      </c>
      <c r="S164" s="10">
        <f>IF(Suma!$B163=$A$1,Suma!AY163,NA())</f>
        <v>0</v>
      </c>
      <c r="T164" s="10">
        <f>IF(Suma!$B163=$A$1,Suma!AZ163,NA())</f>
        <v>0</v>
      </c>
      <c r="U164" s="10">
        <f>IF(Suma!$B163=$A$1,Suma!J163,NA())</f>
        <v>0</v>
      </c>
      <c r="V164" s="10">
        <f>IF(Suma!$B163=$A$1,Suma!K163,NA())</f>
        <v>0</v>
      </c>
      <c r="W164" s="10">
        <f>IF(Suma!$B163=$A$1,Suma!L163,NA())</f>
        <v>0</v>
      </c>
      <c r="X164" s="10">
        <f>IF(Suma!$B163=$A$1,Suma!M163,NA())</f>
        <v>0</v>
      </c>
      <c r="Y164" s="10">
        <f>IF(Suma!$B163=$A$1,Suma!N163,NA())</f>
        <v>0</v>
      </c>
      <c r="Z164" s="10">
        <f>IF(Suma!$B163=$A$1,Suma!O163,NA())</f>
        <v>0</v>
      </c>
      <c r="AA164" s="10">
        <f>IF(Suma!$B163=$A$1,Suma!BC163,NA())</f>
        <v>0</v>
      </c>
      <c r="AB164" s="10">
        <f>IF(Suma!$B163=$A$1,Suma!BD163,NA())</f>
        <v>0</v>
      </c>
    </row>
    <row r="165" spans="1:28" x14ac:dyDescent="0.3">
      <c r="A165" s="1">
        <f>IF(Suma!$B164=$A$1,Suma!C164,NA())</f>
        <v>0</v>
      </c>
      <c r="B165" s="1">
        <f>IF(Suma!$B164=$A$1,Suma!D164,NA())</f>
        <v>0</v>
      </c>
      <c r="C165" s="2">
        <f>IF(Suma!$B164=$A$1,Suma!E164,NA())</f>
        <v>0</v>
      </c>
      <c r="D165" s="2">
        <f>IF(Suma!$B164=$A$1,Suma!F164,NA())</f>
        <v>0</v>
      </c>
      <c r="E165" s="1">
        <f>IF(Suma!$B164=$A$1,Suma!P164,NA())</f>
        <v>0</v>
      </c>
      <c r="F165" s="10" t="e">
        <f t="shared" si="4"/>
        <v>#N/A</v>
      </c>
      <c r="G165" s="1">
        <f>IF(Suma!$B164=$A$1,Suma!W164,NA())</f>
        <v>0</v>
      </c>
      <c r="H165" s="10" t="e">
        <f t="shared" si="5"/>
        <v>#N/A</v>
      </c>
      <c r="I165" s="1">
        <f>IF(Suma!$B164=$A$1,Suma!AD164,NA())</f>
        <v>0</v>
      </c>
      <c r="J165" s="1">
        <f>IF(Suma!$B164=$A$1,Suma!AK164,NA())</f>
        <v>0</v>
      </c>
      <c r="K165" s="10">
        <f>IF(Suma!$B164=$A$1,Suma!AS164,NA())</f>
        <v>0</v>
      </c>
      <c r="L165" s="1">
        <f>IF(Suma!$B164=$A$1,Suma!G164,NA())</f>
        <v>0</v>
      </c>
      <c r="M165" s="1">
        <f>IF(Suma!$B164=$A$1,Suma!H164,NA())</f>
        <v>0</v>
      </c>
      <c r="N165" s="1">
        <f>IF(Suma!$B164=$A$1,Suma!AT164,NA())</f>
        <v>1900</v>
      </c>
      <c r="O165" s="1" t="str">
        <f>IF(Suma!$B164=$A$1,Suma!AU164,NA())</f>
        <v>enero</v>
      </c>
      <c r="P165" s="1">
        <f>IF(Suma!$B164=$A$1,Suma!AV164,NA())</f>
        <v>0</v>
      </c>
      <c r="Q165" s="1">
        <f>IF(Suma!$B164=$A$1,Suma!AW164,NA())</f>
        <v>0</v>
      </c>
      <c r="R165" s="10">
        <f>IF(Suma!$B164=$A$1,Suma!AX164,NA())</f>
        <v>0</v>
      </c>
      <c r="S165" s="10">
        <f>IF(Suma!$B164=$A$1,Suma!AY164,NA())</f>
        <v>0</v>
      </c>
      <c r="T165" s="10">
        <f>IF(Suma!$B164=$A$1,Suma!AZ164,NA())</f>
        <v>0</v>
      </c>
      <c r="U165" s="10">
        <f>IF(Suma!$B164=$A$1,Suma!J164,NA())</f>
        <v>0</v>
      </c>
      <c r="V165" s="10">
        <f>IF(Suma!$B164=$A$1,Suma!K164,NA())</f>
        <v>0</v>
      </c>
      <c r="W165" s="10">
        <f>IF(Suma!$B164=$A$1,Suma!L164,NA())</f>
        <v>0</v>
      </c>
      <c r="X165" s="10">
        <f>IF(Suma!$B164=$A$1,Suma!M164,NA())</f>
        <v>0</v>
      </c>
      <c r="Y165" s="10">
        <f>IF(Suma!$B164=$A$1,Suma!N164,NA())</f>
        <v>0</v>
      </c>
      <c r="Z165" s="10">
        <f>IF(Suma!$B164=$A$1,Suma!O164,NA())</f>
        <v>0</v>
      </c>
      <c r="AA165" s="10">
        <f>IF(Suma!$B164=$A$1,Suma!BC164,NA())</f>
        <v>0</v>
      </c>
      <c r="AB165" s="10">
        <f>IF(Suma!$B164=$A$1,Suma!BD164,NA())</f>
        <v>0</v>
      </c>
    </row>
    <row r="166" spans="1:28" x14ac:dyDescent="0.3">
      <c r="A166" s="1">
        <f>IF(Suma!$B165=$A$1,Suma!C165,NA())</f>
        <v>0</v>
      </c>
      <c r="B166" s="1">
        <f>IF(Suma!$B165=$A$1,Suma!D165,NA())</f>
        <v>0</v>
      </c>
      <c r="C166" s="2">
        <f>IF(Suma!$B165=$A$1,Suma!E165,NA())</f>
        <v>0</v>
      </c>
      <c r="D166" s="2">
        <f>IF(Suma!$B165=$A$1,Suma!F165,NA())</f>
        <v>0</v>
      </c>
      <c r="E166" s="1">
        <f>IF(Suma!$B165=$A$1,Suma!P165,NA())</f>
        <v>0</v>
      </c>
      <c r="F166" s="10" t="e">
        <f t="shared" si="4"/>
        <v>#N/A</v>
      </c>
      <c r="G166" s="1">
        <f>IF(Suma!$B165=$A$1,Suma!W165,NA())</f>
        <v>0</v>
      </c>
      <c r="H166" s="10" t="e">
        <f t="shared" si="5"/>
        <v>#N/A</v>
      </c>
      <c r="I166" s="1">
        <f>IF(Suma!$B165=$A$1,Suma!AD165,NA())</f>
        <v>0</v>
      </c>
      <c r="J166" s="1">
        <f>IF(Suma!$B165=$A$1,Suma!AK165,NA())</f>
        <v>0</v>
      </c>
      <c r="K166" s="10">
        <f>IF(Suma!$B165=$A$1,Suma!AS165,NA())</f>
        <v>0</v>
      </c>
      <c r="L166" s="1">
        <f>IF(Suma!$B165=$A$1,Suma!G165,NA())</f>
        <v>0</v>
      </c>
      <c r="M166" s="1">
        <f>IF(Suma!$B165=$A$1,Suma!H165,NA())</f>
        <v>0</v>
      </c>
      <c r="N166" s="1">
        <f>IF(Suma!$B165=$A$1,Suma!AT165,NA())</f>
        <v>1900</v>
      </c>
      <c r="O166" s="1" t="str">
        <f>IF(Suma!$B165=$A$1,Suma!AU165,NA())</f>
        <v>enero</v>
      </c>
      <c r="P166" s="1">
        <f>IF(Suma!$B165=$A$1,Suma!AV165,NA())</f>
        <v>0</v>
      </c>
      <c r="Q166" s="1">
        <f>IF(Suma!$B165=$A$1,Suma!AW165,NA())</f>
        <v>0</v>
      </c>
      <c r="R166" s="10">
        <f>IF(Suma!$B165=$A$1,Suma!AX165,NA())</f>
        <v>0</v>
      </c>
      <c r="S166" s="10">
        <f>IF(Suma!$B165=$A$1,Suma!AY165,NA())</f>
        <v>0</v>
      </c>
      <c r="T166" s="10">
        <f>IF(Suma!$B165=$A$1,Suma!AZ165,NA())</f>
        <v>0</v>
      </c>
      <c r="U166" s="10">
        <f>IF(Suma!$B165=$A$1,Suma!J165,NA())</f>
        <v>0</v>
      </c>
      <c r="V166" s="10">
        <f>IF(Suma!$B165=$A$1,Suma!K165,NA())</f>
        <v>0</v>
      </c>
      <c r="W166" s="10">
        <f>IF(Suma!$B165=$A$1,Suma!L165,NA())</f>
        <v>0</v>
      </c>
      <c r="X166" s="10">
        <f>IF(Suma!$B165=$A$1,Suma!M165,NA())</f>
        <v>0</v>
      </c>
      <c r="Y166" s="10">
        <f>IF(Suma!$B165=$A$1,Suma!N165,NA())</f>
        <v>0</v>
      </c>
      <c r="Z166" s="10">
        <f>IF(Suma!$B165=$A$1,Suma!O165,NA())</f>
        <v>0</v>
      </c>
      <c r="AA166" s="10">
        <f>IF(Suma!$B165=$A$1,Suma!BC165,NA())</f>
        <v>0</v>
      </c>
      <c r="AB166" s="10">
        <f>IF(Suma!$B165=$A$1,Suma!BD165,NA())</f>
        <v>0</v>
      </c>
    </row>
    <row r="167" spans="1:28" x14ac:dyDescent="0.3">
      <c r="A167" s="1">
        <f>IF(Suma!$B166=$A$1,Suma!C166,NA())</f>
        <v>0</v>
      </c>
      <c r="B167" s="1">
        <f>IF(Suma!$B166=$A$1,Suma!D166,NA())</f>
        <v>0</v>
      </c>
      <c r="C167" s="2">
        <f>IF(Suma!$B166=$A$1,Suma!E166,NA())</f>
        <v>0</v>
      </c>
      <c r="D167" s="2">
        <f>IF(Suma!$B166=$A$1,Suma!F166,NA())</f>
        <v>0</v>
      </c>
      <c r="E167" s="1">
        <f>IF(Suma!$B166=$A$1,Suma!P166,NA())</f>
        <v>0</v>
      </c>
      <c r="F167" s="10" t="e">
        <f t="shared" si="4"/>
        <v>#N/A</v>
      </c>
      <c r="G167" s="1">
        <f>IF(Suma!$B166=$A$1,Suma!W166,NA())</f>
        <v>0</v>
      </c>
      <c r="H167" s="10" t="e">
        <f t="shared" si="5"/>
        <v>#N/A</v>
      </c>
      <c r="I167" s="1">
        <f>IF(Suma!$B166=$A$1,Suma!AD166,NA())</f>
        <v>0</v>
      </c>
      <c r="J167" s="1">
        <f>IF(Suma!$B166=$A$1,Suma!AK166,NA())</f>
        <v>0</v>
      </c>
      <c r="K167" s="10">
        <f>IF(Suma!$B166=$A$1,Suma!AS166,NA())</f>
        <v>0</v>
      </c>
      <c r="L167" s="1">
        <f>IF(Suma!$B166=$A$1,Suma!G166,NA())</f>
        <v>0</v>
      </c>
      <c r="M167" s="1">
        <f>IF(Suma!$B166=$A$1,Suma!H166,NA())</f>
        <v>0</v>
      </c>
      <c r="N167" s="1">
        <f>IF(Suma!$B166=$A$1,Suma!AT166,NA())</f>
        <v>1900</v>
      </c>
      <c r="O167" s="1" t="str">
        <f>IF(Suma!$B166=$A$1,Suma!AU166,NA())</f>
        <v>enero</v>
      </c>
      <c r="P167" s="1">
        <f>IF(Suma!$B166=$A$1,Suma!AV166,NA())</f>
        <v>0</v>
      </c>
      <c r="Q167" s="1">
        <f>IF(Suma!$B166=$A$1,Suma!AW166,NA())</f>
        <v>0</v>
      </c>
      <c r="R167" s="10">
        <f>IF(Suma!$B166=$A$1,Suma!AX166,NA())</f>
        <v>0</v>
      </c>
      <c r="S167" s="10">
        <f>IF(Suma!$B166=$A$1,Suma!AY166,NA())</f>
        <v>0</v>
      </c>
      <c r="T167" s="10">
        <f>IF(Suma!$B166=$A$1,Suma!AZ166,NA())</f>
        <v>0</v>
      </c>
      <c r="U167" s="10">
        <f>IF(Suma!$B166=$A$1,Suma!J166,NA())</f>
        <v>0</v>
      </c>
      <c r="V167" s="10">
        <f>IF(Suma!$B166=$A$1,Suma!K166,NA())</f>
        <v>0</v>
      </c>
      <c r="W167" s="10">
        <f>IF(Suma!$B166=$A$1,Suma!L166,NA())</f>
        <v>0</v>
      </c>
      <c r="X167" s="10">
        <f>IF(Suma!$B166=$A$1,Suma!M166,NA())</f>
        <v>0</v>
      </c>
      <c r="Y167" s="10">
        <f>IF(Suma!$B166=$A$1,Suma!N166,NA())</f>
        <v>0</v>
      </c>
      <c r="Z167" s="10">
        <f>IF(Suma!$B166=$A$1,Suma!O166,NA())</f>
        <v>0</v>
      </c>
      <c r="AA167" s="10">
        <f>IF(Suma!$B166=$A$1,Suma!BC166,NA())</f>
        <v>0</v>
      </c>
      <c r="AB167" s="10">
        <f>IF(Suma!$B166=$A$1,Suma!BD166,NA())</f>
        <v>0</v>
      </c>
    </row>
    <row r="168" spans="1:28" x14ac:dyDescent="0.3">
      <c r="A168" s="1">
        <f>IF(Suma!$B167=$A$1,Suma!C167,NA())</f>
        <v>0</v>
      </c>
      <c r="B168" s="1">
        <f>IF(Suma!$B167=$A$1,Suma!D167,NA())</f>
        <v>0</v>
      </c>
      <c r="C168" s="2">
        <f>IF(Suma!$B167=$A$1,Suma!E167,NA())</f>
        <v>0</v>
      </c>
      <c r="D168" s="2">
        <f>IF(Suma!$B167=$A$1,Suma!F167,NA())</f>
        <v>0</v>
      </c>
      <c r="E168" s="1">
        <f>IF(Suma!$B167=$A$1,Suma!P167,NA())</f>
        <v>0</v>
      </c>
      <c r="F168" s="10" t="e">
        <f t="shared" si="4"/>
        <v>#N/A</v>
      </c>
      <c r="G168" s="1">
        <f>IF(Suma!$B167=$A$1,Suma!W167,NA())</f>
        <v>0</v>
      </c>
      <c r="H168" s="10" t="e">
        <f t="shared" si="5"/>
        <v>#N/A</v>
      </c>
      <c r="I168" s="1">
        <f>IF(Suma!$B167=$A$1,Suma!AD167,NA())</f>
        <v>0</v>
      </c>
      <c r="J168" s="1">
        <f>IF(Suma!$B167=$A$1,Suma!AK167,NA())</f>
        <v>0</v>
      </c>
      <c r="K168" s="10">
        <f>IF(Suma!$B167=$A$1,Suma!AS167,NA())</f>
        <v>0</v>
      </c>
      <c r="L168" s="1">
        <f>IF(Suma!$B167=$A$1,Suma!G167,NA())</f>
        <v>0</v>
      </c>
      <c r="M168" s="1">
        <f>IF(Suma!$B167=$A$1,Suma!H167,NA())</f>
        <v>0</v>
      </c>
      <c r="N168" s="1">
        <f>IF(Suma!$B167=$A$1,Suma!AT167,NA())</f>
        <v>1900</v>
      </c>
      <c r="O168" s="1" t="str">
        <f>IF(Suma!$B167=$A$1,Suma!AU167,NA())</f>
        <v>enero</v>
      </c>
      <c r="P168" s="1">
        <f>IF(Suma!$B167=$A$1,Suma!AV167,NA())</f>
        <v>0</v>
      </c>
      <c r="Q168" s="1">
        <f>IF(Suma!$B167=$A$1,Suma!AW167,NA())</f>
        <v>0</v>
      </c>
      <c r="R168" s="10">
        <f>IF(Suma!$B167=$A$1,Suma!AX167,NA())</f>
        <v>0</v>
      </c>
      <c r="S168" s="10">
        <f>IF(Suma!$B167=$A$1,Suma!AY167,NA())</f>
        <v>0</v>
      </c>
      <c r="T168" s="10">
        <f>IF(Suma!$B167=$A$1,Suma!AZ167,NA())</f>
        <v>0</v>
      </c>
      <c r="U168" s="10">
        <f>IF(Suma!$B167=$A$1,Suma!J167,NA())</f>
        <v>0</v>
      </c>
      <c r="V168" s="10">
        <f>IF(Suma!$B167=$A$1,Suma!K167,NA())</f>
        <v>0</v>
      </c>
      <c r="W168" s="10">
        <f>IF(Suma!$B167=$A$1,Suma!L167,NA())</f>
        <v>0</v>
      </c>
      <c r="X168" s="10">
        <f>IF(Suma!$B167=$A$1,Suma!M167,NA())</f>
        <v>0</v>
      </c>
      <c r="Y168" s="10">
        <f>IF(Suma!$B167=$A$1,Suma!N167,NA())</f>
        <v>0</v>
      </c>
      <c r="Z168" s="10">
        <f>IF(Suma!$B167=$A$1,Suma!O167,NA())</f>
        <v>0</v>
      </c>
      <c r="AA168" s="10">
        <f>IF(Suma!$B167=$A$1,Suma!BC167,NA())</f>
        <v>0</v>
      </c>
      <c r="AB168" s="10">
        <f>IF(Suma!$B167=$A$1,Suma!BD167,NA())</f>
        <v>0</v>
      </c>
    </row>
    <row r="169" spans="1:28" x14ac:dyDescent="0.3">
      <c r="A169" s="1">
        <f>IF(Suma!$B168=$A$1,Suma!C168,NA())</f>
        <v>0</v>
      </c>
      <c r="B169" s="1">
        <f>IF(Suma!$B168=$A$1,Suma!D168,NA())</f>
        <v>0</v>
      </c>
      <c r="C169" s="2">
        <f>IF(Suma!$B168=$A$1,Suma!E168,NA())</f>
        <v>0</v>
      </c>
      <c r="D169" s="2">
        <f>IF(Suma!$B168=$A$1,Suma!F168,NA())</f>
        <v>0</v>
      </c>
      <c r="E169" s="1">
        <f>IF(Suma!$B168=$A$1,Suma!P168,NA())</f>
        <v>0</v>
      </c>
      <c r="F169" s="10" t="e">
        <f t="shared" si="4"/>
        <v>#N/A</v>
      </c>
      <c r="G169" s="1">
        <f>IF(Suma!$B168=$A$1,Suma!W168,NA())</f>
        <v>0</v>
      </c>
      <c r="H169" s="10" t="e">
        <f t="shared" si="5"/>
        <v>#N/A</v>
      </c>
      <c r="I169" s="1">
        <f>IF(Suma!$B168=$A$1,Suma!AD168,NA())</f>
        <v>0</v>
      </c>
      <c r="J169" s="1">
        <f>IF(Suma!$B168=$A$1,Suma!AK168,NA())</f>
        <v>0</v>
      </c>
      <c r="K169" s="10">
        <f>IF(Suma!$B168=$A$1,Suma!AS168,NA())</f>
        <v>0</v>
      </c>
      <c r="L169" s="1">
        <f>IF(Suma!$B168=$A$1,Suma!G168,NA())</f>
        <v>0</v>
      </c>
      <c r="M169" s="1">
        <f>IF(Suma!$B168=$A$1,Suma!H168,NA())</f>
        <v>0</v>
      </c>
      <c r="N169" s="1">
        <f>IF(Suma!$B168=$A$1,Suma!AT168,NA())</f>
        <v>1900</v>
      </c>
      <c r="O169" s="1" t="str">
        <f>IF(Suma!$B168=$A$1,Suma!AU168,NA())</f>
        <v>enero</v>
      </c>
      <c r="P169" s="1">
        <f>IF(Suma!$B168=$A$1,Suma!AV168,NA())</f>
        <v>0</v>
      </c>
      <c r="Q169" s="1">
        <f>IF(Suma!$B168=$A$1,Suma!AW168,NA())</f>
        <v>0</v>
      </c>
      <c r="R169" s="10">
        <f>IF(Suma!$B168=$A$1,Suma!AX168,NA())</f>
        <v>0</v>
      </c>
      <c r="S169" s="10">
        <f>IF(Suma!$B168=$A$1,Suma!AY168,NA())</f>
        <v>0</v>
      </c>
      <c r="T169" s="10">
        <f>IF(Suma!$B168=$A$1,Suma!AZ168,NA())</f>
        <v>0</v>
      </c>
      <c r="U169" s="10">
        <f>IF(Suma!$B168=$A$1,Suma!J168,NA())</f>
        <v>0</v>
      </c>
      <c r="V169" s="10">
        <f>IF(Suma!$B168=$A$1,Suma!K168,NA())</f>
        <v>0</v>
      </c>
      <c r="W169" s="10">
        <f>IF(Suma!$B168=$A$1,Suma!L168,NA())</f>
        <v>0</v>
      </c>
      <c r="X169" s="10">
        <f>IF(Suma!$B168=$A$1,Suma!M168,NA())</f>
        <v>0</v>
      </c>
      <c r="Y169" s="10">
        <f>IF(Suma!$B168=$A$1,Suma!N168,NA())</f>
        <v>0</v>
      </c>
      <c r="Z169" s="10">
        <f>IF(Suma!$B168=$A$1,Suma!O168,NA())</f>
        <v>0</v>
      </c>
      <c r="AA169" s="10">
        <f>IF(Suma!$B168=$A$1,Suma!BC168,NA())</f>
        <v>0</v>
      </c>
      <c r="AB169" s="10">
        <f>IF(Suma!$B168=$A$1,Suma!BD168,NA())</f>
        <v>0</v>
      </c>
    </row>
    <row r="170" spans="1:28" x14ac:dyDescent="0.3">
      <c r="A170" s="1">
        <f>IF(Suma!$B169=$A$1,Suma!C169,NA())</f>
        <v>0</v>
      </c>
      <c r="B170" s="1">
        <f>IF(Suma!$B169=$A$1,Suma!D169,NA())</f>
        <v>0</v>
      </c>
      <c r="C170" s="2">
        <f>IF(Suma!$B169=$A$1,Suma!E169,NA())</f>
        <v>0</v>
      </c>
      <c r="D170" s="2">
        <f>IF(Suma!$B169=$A$1,Suma!F169,NA())</f>
        <v>0</v>
      </c>
      <c r="E170" s="1">
        <f>IF(Suma!$B169=$A$1,Suma!P169,NA())</f>
        <v>0</v>
      </c>
      <c r="F170" s="10" t="e">
        <f t="shared" si="4"/>
        <v>#N/A</v>
      </c>
      <c r="G170" s="1">
        <f>IF(Suma!$B169=$A$1,Suma!W169,NA())</f>
        <v>0</v>
      </c>
      <c r="H170" s="10" t="e">
        <f t="shared" si="5"/>
        <v>#N/A</v>
      </c>
      <c r="I170" s="1">
        <f>IF(Suma!$B169=$A$1,Suma!AD169,NA())</f>
        <v>0</v>
      </c>
      <c r="J170" s="1">
        <f>IF(Suma!$B169=$A$1,Suma!AK169,NA())</f>
        <v>0</v>
      </c>
      <c r="K170" s="10">
        <f>IF(Suma!$B169=$A$1,Suma!AS169,NA())</f>
        <v>0</v>
      </c>
      <c r="L170" s="1">
        <f>IF(Suma!$B169=$A$1,Suma!G169,NA())</f>
        <v>0</v>
      </c>
      <c r="M170" s="1">
        <f>IF(Suma!$B169=$A$1,Suma!H169,NA())</f>
        <v>0</v>
      </c>
      <c r="N170" s="1">
        <f>IF(Suma!$B169=$A$1,Suma!AT169,NA())</f>
        <v>1900</v>
      </c>
      <c r="O170" s="1" t="str">
        <f>IF(Suma!$B169=$A$1,Suma!AU169,NA())</f>
        <v>enero</v>
      </c>
      <c r="P170" s="1">
        <f>IF(Suma!$B169=$A$1,Suma!AV169,NA())</f>
        <v>0</v>
      </c>
      <c r="Q170" s="1">
        <f>IF(Suma!$B169=$A$1,Suma!AW169,NA())</f>
        <v>0</v>
      </c>
      <c r="R170" s="10">
        <f>IF(Suma!$B169=$A$1,Suma!AX169,NA())</f>
        <v>0</v>
      </c>
      <c r="S170" s="10">
        <f>IF(Suma!$B169=$A$1,Suma!AY169,NA())</f>
        <v>0</v>
      </c>
      <c r="T170" s="10">
        <f>IF(Suma!$B169=$A$1,Suma!AZ169,NA())</f>
        <v>0</v>
      </c>
      <c r="U170" s="10">
        <f>IF(Suma!$B169=$A$1,Suma!J169,NA())</f>
        <v>0</v>
      </c>
      <c r="V170" s="10">
        <f>IF(Suma!$B169=$A$1,Suma!K169,NA())</f>
        <v>0</v>
      </c>
      <c r="W170" s="10">
        <f>IF(Suma!$B169=$A$1,Suma!L169,NA())</f>
        <v>0</v>
      </c>
      <c r="X170" s="10">
        <f>IF(Suma!$B169=$A$1,Suma!M169,NA())</f>
        <v>0</v>
      </c>
      <c r="Y170" s="10">
        <f>IF(Suma!$B169=$A$1,Suma!N169,NA())</f>
        <v>0</v>
      </c>
      <c r="Z170" s="10">
        <f>IF(Suma!$B169=$A$1,Suma!O169,NA())</f>
        <v>0</v>
      </c>
      <c r="AA170" s="10">
        <f>IF(Suma!$B169=$A$1,Suma!BC169,NA())</f>
        <v>0</v>
      </c>
      <c r="AB170" s="10">
        <f>IF(Suma!$B169=$A$1,Suma!BD169,NA())</f>
        <v>0</v>
      </c>
    </row>
    <row r="171" spans="1:28" x14ac:dyDescent="0.3">
      <c r="A171" s="1">
        <f>IF(Suma!$B170=$A$1,Suma!C170,NA())</f>
        <v>0</v>
      </c>
      <c r="B171" s="1">
        <f>IF(Suma!$B170=$A$1,Suma!D170,NA())</f>
        <v>0</v>
      </c>
      <c r="C171" s="2">
        <f>IF(Suma!$B170=$A$1,Suma!E170,NA())</f>
        <v>0</v>
      </c>
      <c r="D171" s="2">
        <f>IF(Suma!$B170=$A$1,Suma!F170,NA())</f>
        <v>0</v>
      </c>
      <c r="E171" s="1">
        <f>IF(Suma!$B170=$A$1,Suma!P170,NA())</f>
        <v>0</v>
      </c>
      <c r="F171" s="10" t="e">
        <f t="shared" si="4"/>
        <v>#N/A</v>
      </c>
      <c r="G171" s="1">
        <f>IF(Suma!$B170=$A$1,Suma!W170,NA())</f>
        <v>0</v>
      </c>
      <c r="H171" s="10" t="e">
        <f t="shared" si="5"/>
        <v>#N/A</v>
      </c>
      <c r="I171" s="1">
        <f>IF(Suma!$B170=$A$1,Suma!AD170,NA())</f>
        <v>0</v>
      </c>
      <c r="J171" s="1">
        <f>IF(Suma!$B170=$A$1,Suma!AK170,NA())</f>
        <v>0</v>
      </c>
      <c r="K171" s="10">
        <f>IF(Suma!$B170=$A$1,Suma!AS170,NA())</f>
        <v>0</v>
      </c>
      <c r="L171" s="1">
        <f>IF(Suma!$B170=$A$1,Suma!G170,NA())</f>
        <v>0</v>
      </c>
      <c r="M171" s="1">
        <f>IF(Suma!$B170=$A$1,Suma!H170,NA())</f>
        <v>0</v>
      </c>
      <c r="N171" s="1">
        <f>IF(Suma!$B170=$A$1,Suma!AT170,NA())</f>
        <v>1900</v>
      </c>
      <c r="O171" s="1" t="str">
        <f>IF(Suma!$B170=$A$1,Suma!AU170,NA())</f>
        <v>enero</v>
      </c>
      <c r="P171" s="1">
        <f>IF(Suma!$B170=$A$1,Suma!AV170,NA())</f>
        <v>0</v>
      </c>
      <c r="Q171" s="1">
        <f>IF(Suma!$B170=$A$1,Suma!AW170,NA())</f>
        <v>0</v>
      </c>
      <c r="R171" s="10">
        <f>IF(Suma!$B170=$A$1,Suma!AX170,NA())</f>
        <v>0</v>
      </c>
      <c r="S171" s="10">
        <f>IF(Suma!$B170=$A$1,Suma!AY170,NA())</f>
        <v>0</v>
      </c>
      <c r="T171" s="10">
        <f>IF(Suma!$B170=$A$1,Suma!AZ170,NA())</f>
        <v>0</v>
      </c>
      <c r="U171" s="10">
        <f>IF(Suma!$B170=$A$1,Suma!J170,NA())</f>
        <v>0</v>
      </c>
      <c r="V171" s="10">
        <f>IF(Suma!$B170=$A$1,Suma!K170,NA())</f>
        <v>0</v>
      </c>
      <c r="W171" s="10">
        <f>IF(Suma!$B170=$A$1,Suma!L170,NA())</f>
        <v>0</v>
      </c>
      <c r="X171" s="10">
        <f>IF(Suma!$B170=$A$1,Suma!M170,NA())</f>
        <v>0</v>
      </c>
      <c r="Y171" s="10">
        <f>IF(Suma!$B170=$A$1,Suma!N170,NA())</f>
        <v>0</v>
      </c>
      <c r="Z171" s="10">
        <f>IF(Suma!$B170=$A$1,Suma!O170,NA())</f>
        <v>0</v>
      </c>
      <c r="AA171" s="10">
        <f>IF(Suma!$B170=$A$1,Suma!BC170,NA())</f>
        <v>0</v>
      </c>
      <c r="AB171" s="10">
        <f>IF(Suma!$B170=$A$1,Suma!BD170,NA())</f>
        <v>0</v>
      </c>
    </row>
    <row r="172" spans="1:28" x14ac:dyDescent="0.3">
      <c r="A172" s="1">
        <f>IF(Suma!$B171=$A$1,Suma!C171,NA())</f>
        <v>0</v>
      </c>
      <c r="B172" s="1">
        <f>IF(Suma!$B171=$A$1,Suma!D171,NA())</f>
        <v>0</v>
      </c>
      <c r="C172" s="2">
        <f>IF(Suma!$B171=$A$1,Suma!E171,NA())</f>
        <v>0</v>
      </c>
      <c r="D172" s="2">
        <f>IF(Suma!$B171=$A$1,Suma!F171,NA())</f>
        <v>0</v>
      </c>
      <c r="E172" s="1">
        <f>IF(Suma!$B171=$A$1,Suma!P171,NA())</f>
        <v>0</v>
      </c>
      <c r="F172" s="10" t="e">
        <f t="shared" si="4"/>
        <v>#N/A</v>
      </c>
      <c r="G172" s="1">
        <f>IF(Suma!$B171=$A$1,Suma!W171,NA())</f>
        <v>0</v>
      </c>
      <c r="H172" s="10" t="e">
        <f t="shared" si="5"/>
        <v>#N/A</v>
      </c>
      <c r="I172" s="1">
        <f>IF(Suma!$B171=$A$1,Suma!AD171,NA())</f>
        <v>0</v>
      </c>
      <c r="J172" s="1">
        <f>IF(Suma!$B171=$A$1,Suma!AK171,NA())</f>
        <v>0</v>
      </c>
      <c r="K172" s="10">
        <f>IF(Suma!$B171=$A$1,Suma!AS171,NA())</f>
        <v>0</v>
      </c>
      <c r="L172" s="1">
        <f>IF(Suma!$B171=$A$1,Suma!G171,NA())</f>
        <v>0</v>
      </c>
      <c r="M172" s="1">
        <f>IF(Suma!$B171=$A$1,Suma!H171,NA())</f>
        <v>0</v>
      </c>
      <c r="N172" s="1">
        <f>IF(Suma!$B171=$A$1,Suma!AT171,NA())</f>
        <v>1900</v>
      </c>
      <c r="O172" s="1" t="str">
        <f>IF(Suma!$B171=$A$1,Suma!AU171,NA())</f>
        <v>enero</v>
      </c>
      <c r="P172" s="1">
        <f>IF(Suma!$B171=$A$1,Suma!AV171,NA())</f>
        <v>0</v>
      </c>
      <c r="Q172" s="1">
        <f>IF(Suma!$B171=$A$1,Suma!AW171,NA())</f>
        <v>0</v>
      </c>
      <c r="R172" s="10">
        <f>IF(Suma!$B171=$A$1,Suma!AX171,NA())</f>
        <v>0</v>
      </c>
      <c r="S172" s="10">
        <f>IF(Suma!$B171=$A$1,Suma!AY171,NA())</f>
        <v>0</v>
      </c>
      <c r="T172" s="10">
        <f>IF(Suma!$B171=$A$1,Suma!AZ171,NA())</f>
        <v>0</v>
      </c>
      <c r="U172" s="10">
        <f>IF(Suma!$B171=$A$1,Suma!J171,NA())</f>
        <v>0</v>
      </c>
      <c r="V172" s="10">
        <f>IF(Suma!$B171=$A$1,Suma!K171,NA())</f>
        <v>0</v>
      </c>
      <c r="W172" s="10">
        <f>IF(Suma!$B171=$A$1,Suma!L171,NA())</f>
        <v>0</v>
      </c>
      <c r="X172" s="10">
        <f>IF(Suma!$B171=$A$1,Suma!M171,NA())</f>
        <v>0</v>
      </c>
      <c r="Y172" s="10">
        <f>IF(Suma!$B171=$A$1,Suma!N171,NA())</f>
        <v>0</v>
      </c>
      <c r="Z172" s="10">
        <f>IF(Suma!$B171=$A$1,Suma!O171,NA())</f>
        <v>0</v>
      </c>
      <c r="AA172" s="10">
        <f>IF(Suma!$B171=$A$1,Suma!BC171,NA())</f>
        <v>0</v>
      </c>
      <c r="AB172" s="10">
        <f>IF(Suma!$B171=$A$1,Suma!BD171,NA())</f>
        <v>0</v>
      </c>
    </row>
    <row r="173" spans="1:28" x14ac:dyDescent="0.3">
      <c r="A173" s="1">
        <f>IF(Suma!$B172=$A$1,Suma!C172,NA())</f>
        <v>0</v>
      </c>
      <c r="B173" s="1">
        <f>IF(Suma!$B172=$A$1,Suma!D172,NA())</f>
        <v>0</v>
      </c>
      <c r="C173" s="2">
        <f>IF(Suma!$B172=$A$1,Suma!E172,NA())</f>
        <v>0</v>
      </c>
      <c r="D173" s="2">
        <f>IF(Suma!$B172=$A$1,Suma!F172,NA())</f>
        <v>0</v>
      </c>
      <c r="E173" s="1">
        <f>IF(Suma!$B172=$A$1,Suma!P172,NA())</f>
        <v>0</v>
      </c>
      <c r="F173" s="10" t="e">
        <f t="shared" si="4"/>
        <v>#N/A</v>
      </c>
      <c r="G173" s="1">
        <f>IF(Suma!$B172=$A$1,Suma!W172,NA())</f>
        <v>0</v>
      </c>
      <c r="H173" s="10" t="e">
        <f t="shared" si="5"/>
        <v>#N/A</v>
      </c>
      <c r="I173" s="1">
        <f>IF(Suma!$B172=$A$1,Suma!AD172,NA())</f>
        <v>0</v>
      </c>
      <c r="J173" s="1">
        <f>IF(Suma!$B172=$A$1,Suma!AK172,NA())</f>
        <v>0</v>
      </c>
      <c r="K173" s="10">
        <f>IF(Suma!$B172=$A$1,Suma!AS172,NA())</f>
        <v>0</v>
      </c>
      <c r="L173" s="1">
        <f>IF(Suma!$B172=$A$1,Suma!G172,NA())</f>
        <v>0</v>
      </c>
      <c r="M173" s="1">
        <f>IF(Suma!$B172=$A$1,Suma!H172,NA())</f>
        <v>0</v>
      </c>
      <c r="N173" s="1">
        <f>IF(Suma!$B172=$A$1,Suma!AT172,NA())</f>
        <v>1900</v>
      </c>
      <c r="O173" s="1" t="str">
        <f>IF(Suma!$B172=$A$1,Suma!AU172,NA())</f>
        <v>enero</v>
      </c>
      <c r="P173" s="1">
        <f>IF(Suma!$B172=$A$1,Suma!AV172,NA())</f>
        <v>0</v>
      </c>
      <c r="Q173" s="1">
        <f>IF(Suma!$B172=$A$1,Suma!AW172,NA())</f>
        <v>0</v>
      </c>
      <c r="R173" s="10">
        <f>IF(Suma!$B172=$A$1,Suma!AX172,NA())</f>
        <v>0</v>
      </c>
      <c r="S173" s="10">
        <f>IF(Suma!$B172=$A$1,Suma!AY172,NA())</f>
        <v>0</v>
      </c>
      <c r="T173" s="10">
        <f>IF(Suma!$B172=$A$1,Suma!AZ172,NA())</f>
        <v>0</v>
      </c>
      <c r="U173" s="10">
        <f>IF(Suma!$B172=$A$1,Suma!J172,NA())</f>
        <v>0</v>
      </c>
      <c r="V173" s="10">
        <f>IF(Suma!$B172=$A$1,Suma!K172,NA())</f>
        <v>0</v>
      </c>
      <c r="W173" s="10">
        <f>IF(Suma!$B172=$A$1,Suma!L172,NA())</f>
        <v>0</v>
      </c>
      <c r="X173" s="10">
        <f>IF(Suma!$B172=$A$1,Suma!M172,NA())</f>
        <v>0</v>
      </c>
      <c r="Y173" s="10">
        <f>IF(Suma!$B172=$A$1,Suma!N172,NA())</f>
        <v>0</v>
      </c>
      <c r="Z173" s="10">
        <f>IF(Suma!$B172=$A$1,Suma!O172,NA())</f>
        <v>0</v>
      </c>
      <c r="AA173" s="10">
        <f>IF(Suma!$B172=$A$1,Suma!BC172,NA())</f>
        <v>0</v>
      </c>
      <c r="AB173" s="10">
        <f>IF(Suma!$B172=$A$1,Suma!BD172,NA())</f>
        <v>0</v>
      </c>
    </row>
    <row r="174" spans="1:28" x14ac:dyDescent="0.3">
      <c r="A174" s="1">
        <f>IF(Suma!$B173=$A$1,Suma!C173,NA())</f>
        <v>0</v>
      </c>
      <c r="B174" s="1">
        <f>IF(Suma!$B173=$A$1,Suma!D173,NA())</f>
        <v>0</v>
      </c>
      <c r="C174" s="2">
        <f>IF(Suma!$B173=$A$1,Suma!E173,NA())</f>
        <v>0</v>
      </c>
      <c r="D174" s="2">
        <f>IF(Suma!$B173=$A$1,Suma!F173,NA())</f>
        <v>0</v>
      </c>
      <c r="E174" s="1">
        <f>IF(Suma!$B173=$A$1,Suma!P173,NA())</f>
        <v>0</v>
      </c>
      <c r="F174" s="10" t="e">
        <f t="shared" si="4"/>
        <v>#N/A</v>
      </c>
      <c r="G174" s="1">
        <f>IF(Suma!$B173=$A$1,Suma!W173,NA())</f>
        <v>0</v>
      </c>
      <c r="H174" s="10" t="e">
        <f t="shared" si="5"/>
        <v>#N/A</v>
      </c>
      <c r="I174" s="1">
        <f>IF(Suma!$B173=$A$1,Suma!AD173,NA())</f>
        <v>0</v>
      </c>
      <c r="J174" s="1">
        <f>IF(Suma!$B173=$A$1,Suma!AK173,NA())</f>
        <v>0</v>
      </c>
      <c r="K174" s="10">
        <f>IF(Suma!$B173=$A$1,Suma!AS173,NA())</f>
        <v>0</v>
      </c>
      <c r="L174" s="1">
        <f>IF(Suma!$B173=$A$1,Suma!G173,NA())</f>
        <v>0</v>
      </c>
      <c r="M174" s="1">
        <f>IF(Suma!$B173=$A$1,Suma!H173,NA())</f>
        <v>0</v>
      </c>
      <c r="N174" s="1">
        <f>IF(Suma!$B173=$A$1,Suma!AT173,NA())</f>
        <v>1900</v>
      </c>
      <c r="O174" s="1" t="str">
        <f>IF(Suma!$B173=$A$1,Suma!AU173,NA())</f>
        <v>enero</v>
      </c>
      <c r="P174" s="1">
        <f>IF(Suma!$B173=$A$1,Suma!AV173,NA())</f>
        <v>0</v>
      </c>
      <c r="Q174" s="1">
        <f>IF(Suma!$B173=$A$1,Suma!AW173,NA())</f>
        <v>0</v>
      </c>
      <c r="R174" s="10">
        <f>IF(Suma!$B173=$A$1,Suma!AX173,NA())</f>
        <v>0</v>
      </c>
      <c r="S174" s="10">
        <f>IF(Suma!$B173=$A$1,Suma!AY173,NA())</f>
        <v>0</v>
      </c>
      <c r="T174" s="10">
        <f>IF(Suma!$B173=$A$1,Suma!AZ173,NA())</f>
        <v>0</v>
      </c>
      <c r="U174" s="10">
        <f>IF(Suma!$B173=$A$1,Suma!J173,NA())</f>
        <v>0</v>
      </c>
      <c r="V174" s="10">
        <f>IF(Suma!$B173=$A$1,Suma!K173,NA())</f>
        <v>0</v>
      </c>
      <c r="W174" s="10">
        <f>IF(Suma!$B173=$A$1,Suma!L173,NA())</f>
        <v>0</v>
      </c>
      <c r="X174" s="10">
        <f>IF(Suma!$B173=$A$1,Suma!M173,NA())</f>
        <v>0</v>
      </c>
      <c r="Y174" s="10">
        <f>IF(Suma!$B173=$A$1,Suma!N173,NA())</f>
        <v>0</v>
      </c>
      <c r="Z174" s="10">
        <f>IF(Suma!$B173=$A$1,Suma!O173,NA())</f>
        <v>0</v>
      </c>
      <c r="AA174" s="10">
        <f>IF(Suma!$B173=$A$1,Suma!BC173,NA())</f>
        <v>0</v>
      </c>
      <c r="AB174" s="10">
        <f>IF(Suma!$B173=$A$1,Suma!BD173,NA())</f>
        <v>0</v>
      </c>
    </row>
    <row r="175" spans="1:28" x14ac:dyDescent="0.3">
      <c r="A175" s="1">
        <f>IF(Suma!$B174=$A$1,Suma!C174,NA())</f>
        <v>0</v>
      </c>
      <c r="B175" s="1">
        <f>IF(Suma!$B174=$A$1,Suma!D174,NA())</f>
        <v>0</v>
      </c>
      <c r="C175" s="2">
        <f>IF(Suma!$B174=$A$1,Suma!E174,NA())</f>
        <v>0</v>
      </c>
      <c r="D175" s="2">
        <f>IF(Suma!$B174=$A$1,Suma!F174,NA())</f>
        <v>0</v>
      </c>
      <c r="E175" s="1">
        <f>IF(Suma!$B174=$A$1,Suma!P174,NA())</f>
        <v>0</v>
      </c>
      <c r="F175" s="10" t="e">
        <f t="shared" si="4"/>
        <v>#N/A</v>
      </c>
      <c r="G175" s="1">
        <f>IF(Suma!$B174=$A$1,Suma!W174,NA())</f>
        <v>0</v>
      </c>
      <c r="H175" s="10" t="e">
        <f t="shared" si="5"/>
        <v>#N/A</v>
      </c>
      <c r="I175" s="1">
        <f>IF(Suma!$B174=$A$1,Suma!AD174,NA())</f>
        <v>0</v>
      </c>
      <c r="J175" s="1">
        <f>IF(Suma!$B174=$A$1,Suma!AK174,NA())</f>
        <v>0</v>
      </c>
      <c r="K175" s="10">
        <f>IF(Suma!$B174=$A$1,Suma!AS174,NA())</f>
        <v>0</v>
      </c>
      <c r="L175" s="1">
        <f>IF(Suma!$B174=$A$1,Suma!G174,NA())</f>
        <v>0</v>
      </c>
      <c r="M175" s="1">
        <f>IF(Suma!$B174=$A$1,Suma!H174,NA())</f>
        <v>0</v>
      </c>
      <c r="N175" s="1">
        <f>IF(Suma!$B174=$A$1,Suma!AT174,NA())</f>
        <v>1900</v>
      </c>
      <c r="O175" s="1" t="str">
        <f>IF(Suma!$B174=$A$1,Suma!AU174,NA())</f>
        <v>enero</v>
      </c>
      <c r="P175" s="1">
        <f>IF(Suma!$B174=$A$1,Suma!AV174,NA())</f>
        <v>0</v>
      </c>
      <c r="Q175" s="1">
        <f>IF(Suma!$B174=$A$1,Suma!AW174,NA())</f>
        <v>0</v>
      </c>
      <c r="R175" s="10">
        <f>IF(Suma!$B174=$A$1,Suma!AX174,NA())</f>
        <v>0</v>
      </c>
      <c r="S175" s="10">
        <f>IF(Suma!$B174=$A$1,Suma!AY174,NA())</f>
        <v>0</v>
      </c>
      <c r="T175" s="10">
        <f>IF(Suma!$B174=$A$1,Suma!AZ174,NA())</f>
        <v>0</v>
      </c>
      <c r="U175" s="10">
        <f>IF(Suma!$B174=$A$1,Suma!J174,NA())</f>
        <v>0</v>
      </c>
      <c r="V175" s="10">
        <f>IF(Suma!$B174=$A$1,Suma!K174,NA())</f>
        <v>0</v>
      </c>
      <c r="W175" s="10">
        <f>IF(Suma!$B174=$A$1,Suma!L174,NA())</f>
        <v>0</v>
      </c>
      <c r="X175" s="10">
        <f>IF(Suma!$B174=$A$1,Suma!M174,NA())</f>
        <v>0</v>
      </c>
      <c r="Y175" s="10">
        <f>IF(Suma!$B174=$A$1,Suma!N174,NA())</f>
        <v>0</v>
      </c>
      <c r="Z175" s="10">
        <f>IF(Suma!$B174=$A$1,Suma!O174,NA())</f>
        <v>0</v>
      </c>
      <c r="AA175" s="10">
        <f>IF(Suma!$B174=$A$1,Suma!BC174,NA())</f>
        <v>0</v>
      </c>
      <c r="AB175" s="10">
        <f>IF(Suma!$B174=$A$1,Suma!BD174,NA())</f>
        <v>0</v>
      </c>
    </row>
    <row r="176" spans="1:28" x14ac:dyDescent="0.3">
      <c r="A176" s="1">
        <f>IF(Suma!$B175=$A$1,Suma!C175,NA())</f>
        <v>0</v>
      </c>
      <c r="B176" s="1">
        <f>IF(Suma!$B175=$A$1,Suma!D175,NA())</f>
        <v>0</v>
      </c>
      <c r="C176" s="2">
        <f>IF(Suma!$B175=$A$1,Suma!E175,NA())</f>
        <v>0</v>
      </c>
      <c r="D176" s="2">
        <f>IF(Suma!$B175=$A$1,Suma!F175,NA())</f>
        <v>0</v>
      </c>
      <c r="E176" s="1">
        <f>IF(Suma!$B175=$A$1,Suma!P175,NA())</f>
        <v>0</v>
      </c>
      <c r="F176" s="10" t="e">
        <f t="shared" si="4"/>
        <v>#N/A</v>
      </c>
      <c r="G176" s="1">
        <f>IF(Suma!$B175=$A$1,Suma!W175,NA())</f>
        <v>0</v>
      </c>
      <c r="H176" s="10" t="e">
        <f t="shared" si="5"/>
        <v>#N/A</v>
      </c>
      <c r="I176" s="1">
        <f>IF(Suma!$B175=$A$1,Suma!AD175,NA())</f>
        <v>0</v>
      </c>
      <c r="J176" s="1">
        <f>IF(Suma!$B175=$A$1,Suma!AK175,NA())</f>
        <v>0</v>
      </c>
      <c r="K176" s="10">
        <f>IF(Suma!$B175=$A$1,Suma!AS175,NA())</f>
        <v>0</v>
      </c>
      <c r="L176" s="1">
        <f>IF(Suma!$B175=$A$1,Suma!G175,NA())</f>
        <v>0</v>
      </c>
      <c r="M176" s="1">
        <f>IF(Suma!$B175=$A$1,Suma!H175,NA())</f>
        <v>0</v>
      </c>
      <c r="N176" s="1">
        <f>IF(Suma!$B175=$A$1,Suma!AT175,NA())</f>
        <v>1900</v>
      </c>
      <c r="O176" s="1" t="str">
        <f>IF(Suma!$B175=$A$1,Suma!AU175,NA())</f>
        <v>enero</v>
      </c>
      <c r="P176" s="1">
        <f>IF(Suma!$B175=$A$1,Suma!AV175,NA())</f>
        <v>0</v>
      </c>
      <c r="Q176" s="1">
        <f>IF(Suma!$B175=$A$1,Suma!AW175,NA())</f>
        <v>0</v>
      </c>
      <c r="R176" s="10">
        <f>IF(Suma!$B175=$A$1,Suma!AX175,NA())</f>
        <v>0</v>
      </c>
      <c r="S176" s="10">
        <f>IF(Suma!$B175=$A$1,Suma!AY175,NA())</f>
        <v>0</v>
      </c>
      <c r="T176" s="10">
        <f>IF(Suma!$B175=$A$1,Suma!AZ175,NA())</f>
        <v>0</v>
      </c>
      <c r="U176" s="10">
        <f>IF(Suma!$B175=$A$1,Suma!J175,NA())</f>
        <v>0</v>
      </c>
      <c r="V176" s="10">
        <f>IF(Suma!$B175=$A$1,Suma!K175,NA())</f>
        <v>0</v>
      </c>
      <c r="W176" s="10">
        <f>IF(Suma!$B175=$A$1,Suma!L175,NA())</f>
        <v>0</v>
      </c>
      <c r="X176" s="10">
        <f>IF(Suma!$B175=$A$1,Suma!M175,NA())</f>
        <v>0</v>
      </c>
      <c r="Y176" s="10">
        <f>IF(Suma!$B175=$A$1,Suma!N175,NA())</f>
        <v>0</v>
      </c>
      <c r="Z176" s="10">
        <f>IF(Suma!$B175=$A$1,Suma!O175,NA())</f>
        <v>0</v>
      </c>
      <c r="AA176" s="10">
        <f>IF(Suma!$B175=$A$1,Suma!BC175,NA())</f>
        <v>0</v>
      </c>
      <c r="AB176" s="10">
        <f>IF(Suma!$B175=$A$1,Suma!BD175,NA())</f>
        <v>0</v>
      </c>
    </row>
    <row r="177" spans="1:28" x14ac:dyDescent="0.3">
      <c r="A177" s="1">
        <f>IF(Suma!$B176=$A$1,Suma!C176,NA())</f>
        <v>0</v>
      </c>
      <c r="B177" s="1">
        <f>IF(Suma!$B176=$A$1,Suma!D176,NA())</f>
        <v>0</v>
      </c>
      <c r="C177" s="2">
        <f>IF(Suma!$B176=$A$1,Suma!E176,NA())</f>
        <v>0</v>
      </c>
      <c r="D177" s="2">
        <f>IF(Suma!$B176=$A$1,Suma!F176,NA())</f>
        <v>0</v>
      </c>
      <c r="E177" s="1">
        <f>IF(Suma!$B176=$A$1,Suma!P176,NA())</f>
        <v>0</v>
      </c>
      <c r="F177" s="10" t="e">
        <f t="shared" si="4"/>
        <v>#N/A</v>
      </c>
      <c r="G177" s="1">
        <f>IF(Suma!$B176=$A$1,Suma!W176,NA())</f>
        <v>0</v>
      </c>
      <c r="H177" s="10" t="e">
        <f t="shared" si="5"/>
        <v>#N/A</v>
      </c>
      <c r="I177" s="1">
        <f>IF(Suma!$B176=$A$1,Suma!AD176,NA())</f>
        <v>0</v>
      </c>
      <c r="J177" s="1">
        <f>IF(Suma!$B176=$A$1,Suma!AK176,NA())</f>
        <v>0</v>
      </c>
      <c r="K177" s="10">
        <f>IF(Suma!$B176=$A$1,Suma!AS176,NA())</f>
        <v>0</v>
      </c>
      <c r="L177" s="1">
        <f>IF(Suma!$B176=$A$1,Suma!G176,NA())</f>
        <v>0</v>
      </c>
      <c r="M177" s="1">
        <f>IF(Suma!$B176=$A$1,Suma!H176,NA())</f>
        <v>0</v>
      </c>
      <c r="N177" s="1">
        <f>IF(Suma!$B176=$A$1,Suma!AT176,NA())</f>
        <v>1900</v>
      </c>
      <c r="O177" s="1" t="str">
        <f>IF(Suma!$B176=$A$1,Suma!AU176,NA())</f>
        <v>enero</v>
      </c>
      <c r="P177" s="1">
        <f>IF(Suma!$B176=$A$1,Suma!AV176,NA())</f>
        <v>0</v>
      </c>
      <c r="Q177" s="1">
        <f>IF(Suma!$B176=$A$1,Suma!AW176,NA())</f>
        <v>0</v>
      </c>
      <c r="R177" s="10">
        <f>IF(Suma!$B176=$A$1,Suma!AX176,NA())</f>
        <v>0</v>
      </c>
      <c r="S177" s="10">
        <f>IF(Suma!$B176=$A$1,Suma!AY176,NA())</f>
        <v>0</v>
      </c>
      <c r="T177" s="10">
        <f>IF(Suma!$B176=$A$1,Suma!AZ176,NA())</f>
        <v>0</v>
      </c>
      <c r="U177" s="10">
        <f>IF(Suma!$B176=$A$1,Suma!J176,NA())</f>
        <v>0</v>
      </c>
      <c r="V177" s="10">
        <f>IF(Suma!$B176=$A$1,Suma!K176,NA())</f>
        <v>0</v>
      </c>
      <c r="W177" s="10">
        <f>IF(Suma!$B176=$A$1,Suma!L176,NA())</f>
        <v>0</v>
      </c>
      <c r="X177" s="10">
        <f>IF(Suma!$B176=$A$1,Suma!M176,NA())</f>
        <v>0</v>
      </c>
      <c r="Y177" s="10">
        <f>IF(Suma!$B176=$A$1,Suma!N176,NA())</f>
        <v>0</v>
      </c>
      <c r="Z177" s="10">
        <f>IF(Suma!$B176=$A$1,Suma!O176,NA())</f>
        <v>0</v>
      </c>
      <c r="AA177" s="10">
        <f>IF(Suma!$B176=$A$1,Suma!BC176,NA())</f>
        <v>0</v>
      </c>
      <c r="AB177" s="10">
        <f>IF(Suma!$B176=$A$1,Suma!BD176,NA())</f>
        <v>0</v>
      </c>
    </row>
    <row r="178" spans="1:28" x14ac:dyDescent="0.3">
      <c r="A178" s="1">
        <f>IF(Suma!$B177=$A$1,Suma!C177,NA())</f>
        <v>0</v>
      </c>
      <c r="B178" s="1">
        <f>IF(Suma!$B177=$A$1,Suma!D177,NA())</f>
        <v>0</v>
      </c>
      <c r="C178" s="2">
        <f>IF(Suma!$B177=$A$1,Suma!E177,NA())</f>
        <v>0</v>
      </c>
      <c r="D178" s="2">
        <f>IF(Suma!$B177=$A$1,Suma!F177,NA())</f>
        <v>0</v>
      </c>
      <c r="E178" s="1">
        <f>IF(Suma!$B177=$A$1,Suma!P177,NA())</f>
        <v>0</v>
      </c>
      <c r="F178" s="10" t="e">
        <f t="shared" si="4"/>
        <v>#N/A</v>
      </c>
      <c r="G178" s="1">
        <f>IF(Suma!$B177=$A$1,Suma!W177,NA())</f>
        <v>0</v>
      </c>
      <c r="H178" s="10" t="e">
        <f t="shared" si="5"/>
        <v>#N/A</v>
      </c>
      <c r="I178" s="1">
        <f>IF(Suma!$B177=$A$1,Suma!AD177,NA())</f>
        <v>0</v>
      </c>
      <c r="J178" s="1">
        <f>IF(Suma!$B177=$A$1,Suma!AK177,NA())</f>
        <v>0</v>
      </c>
      <c r="K178" s="10">
        <f>IF(Suma!$B177=$A$1,Suma!AS177,NA())</f>
        <v>0</v>
      </c>
      <c r="L178" s="1">
        <f>IF(Suma!$B177=$A$1,Suma!G177,NA())</f>
        <v>0</v>
      </c>
      <c r="M178" s="1">
        <f>IF(Suma!$B177=$A$1,Suma!H177,NA())</f>
        <v>0</v>
      </c>
      <c r="N178" s="1">
        <f>IF(Suma!$B177=$A$1,Suma!AT177,NA())</f>
        <v>1900</v>
      </c>
      <c r="O178" s="1" t="str">
        <f>IF(Suma!$B177=$A$1,Suma!AU177,NA())</f>
        <v>enero</v>
      </c>
      <c r="P178" s="1">
        <f>IF(Suma!$B177=$A$1,Suma!AV177,NA())</f>
        <v>0</v>
      </c>
      <c r="Q178" s="1">
        <f>IF(Suma!$B177=$A$1,Suma!AW177,NA())</f>
        <v>0</v>
      </c>
      <c r="R178" s="10">
        <f>IF(Suma!$B177=$A$1,Suma!AX177,NA())</f>
        <v>0</v>
      </c>
      <c r="S178" s="10">
        <f>IF(Suma!$B177=$A$1,Suma!AY177,NA())</f>
        <v>0</v>
      </c>
      <c r="T178" s="10">
        <f>IF(Suma!$B177=$A$1,Suma!AZ177,NA())</f>
        <v>0</v>
      </c>
      <c r="U178" s="10">
        <f>IF(Suma!$B177=$A$1,Suma!J177,NA())</f>
        <v>0</v>
      </c>
      <c r="V178" s="10">
        <f>IF(Suma!$B177=$A$1,Suma!K177,NA())</f>
        <v>0</v>
      </c>
      <c r="W178" s="10">
        <f>IF(Suma!$B177=$A$1,Suma!L177,NA())</f>
        <v>0</v>
      </c>
      <c r="X178" s="10">
        <f>IF(Suma!$B177=$A$1,Suma!M177,NA())</f>
        <v>0</v>
      </c>
      <c r="Y178" s="10">
        <f>IF(Suma!$B177=$A$1,Suma!N177,NA())</f>
        <v>0</v>
      </c>
      <c r="Z178" s="10">
        <f>IF(Suma!$B177=$A$1,Suma!O177,NA())</f>
        <v>0</v>
      </c>
      <c r="AA178" s="10">
        <f>IF(Suma!$B177=$A$1,Suma!BC177,NA())</f>
        <v>0</v>
      </c>
      <c r="AB178" s="10">
        <f>IF(Suma!$B177=$A$1,Suma!BD177,NA())</f>
        <v>0</v>
      </c>
    </row>
    <row r="179" spans="1:28" x14ac:dyDescent="0.3">
      <c r="A179" s="1">
        <f>IF(Suma!$B178=$A$1,Suma!C178,NA())</f>
        <v>0</v>
      </c>
      <c r="B179" s="1">
        <f>IF(Suma!$B178=$A$1,Suma!D178,NA())</f>
        <v>0</v>
      </c>
      <c r="C179" s="2">
        <f>IF(Suma!$B178=$A$1,Suma!E178,NA())</f>
        <v>0</v>
      </c>
      <c r="D179" s="2">
        <f>IF(Suma!$B178=$A$1,Suma!F178,NA())</f>
        <v>0</v>
      </c>
      <c r="E179" s="1">
        <f>IF(Suma!$B178=$A$1,Suma!P178,NA())</f>
        <v>0</v>
      </c>
      <c r="F179" s="10" t="e">
        <f t="shared" si="4"/>
        <v>#N/A</v>
      </c>
      <c r="G179" s="1">
        <f>IF(Suma!$B178=$A$1,Suma!W178,NA())</f>
        <v>0</v>
      </c>
      <c r="H179" s="10" t="e">
        <f t="shared" si="5"/>
        <v>#N/A</v>
      </c>
      <c r="I179" s="1">
        <f>IF(Suma!$B178=$A$1,Suma!AD178,NA())</f>
        <v>0</v>
      </c>
      <c r="J179" s="1">
        <f>IF(Suma!$B178=$A$1,Suma!AK178,NA())</f>
        <v>0</v>
      </c>
      <c r="K179" s="10">
        <f>IF(Suma!$B178=$A$1,Suma!AS178,NA())</f>
        <v>0</v>
      </c>
      <c r="L179" s="1">
        <f>IF(Suma!$B178=$A$1,Suma!G178,NA())</f>
        <v>0</v>
      </c>
      <c r="M179" s="1">
        <f>IF(Suma!$B178=$A$1,Suma!H178,NA())</f>
        <v>0</v>
      </c>
      <c r="N179" s="1">
        <f>IF(Suma!$B178=$A$1,Suma!AT178,NA())</f>
        <v>1900</v>
      </c>
      <c r="O179" s="1" t="str">
        <f>IF(Suma!$B178=$A$1,Suma!AU178,NA())</f>
        <v>enero</v>
      </c>
      <c r="P179" s="1">
        <f>IF(Suma!$B178=$A$1,Suma!AV178,NA())</f>
        <v>0</v>
      </c>
      <c r="Q179" s="1">
        <f>IF(Suma!$B178=$A$1,Suma!AW178,NA())</f>
        <v>0</v>
      </c>
      <c r="R179" s="10">
        <f>IF(Suma!$B178=$A$1,Suma!AX178,NA())</f>
        <v>0</v>
      </c>
      <c r="S179" s="10">
        <f>IF(Suma!$B178=$A$1,Suma!AY178,NA())</f>
        <v>0</v>
      </c>
      <c r="T179" s="10">
        <f>IF(Suma!$B178=$A$1,Suma!AZ178,NA())</f>
        <v>0</v>
      </c>
      <c r="U179" s="10">
        <f>IF(Suma!$B178=$A$1,Suma!J178,NA())</f>
        <v>0</v>
      </c>
      <c r="V179" s="10">
        <f>IF(Suma!$B178=$A$1,Suma!K178,NA())</f>
        <v>0</v>
      </c>
      <c r="W179" s="10">
        <f>IF(Suma!$B178=$A$1,Suma!L178,NA())</f>
        <v>0</v>
      </c>
      <c r="X179" s="10">
        <f>IF(Suma!$B178=$A$1,Suma!M178,NA())</f>
        <v>0</v>
      </c>
      <c r="Y179" s="10">
        <f>IF(Suma!$B178=$A$1,Suma!N178,NA())</f>
        <v>0</v>
      </c>
      <c r="Z179" s="10">
        <f>IF(Suma!$B178=$A$1,Suma!O178,NA())</f>
        <v>0</v>
      </c>
      <c r="AA179" s="10">
        <f>IF(Suma!$B178=$A$1,Suma!BC178,NA())</f>
        <v>0</v>
      </c>
      <c r="AB179" s="10">
        <f>IF(Suma!$B178=$A$1,Suma!BD178,NA())</f>
        <v>0</v>
      </c>
    </row>
    <row r="180" spans="1:28" x14ac:dyDescent="0.3">
      <c r="A180" s="1">
        <f>IF(Suma!$B179=$A$1,Suma!C179,NA())</f>
        <v>0</v>
      </c>
      <c r="B180" s="1">
        <f>IF(Suma!$B179=$A$1,Suma!D179,NA())</f>
        <v>0</v>
      </c>
      <c r="C180" s="2">
        <f>IF(Suma!$B179=$A$1,Suma!E179,NA())</f>
        <v>0</v>
      </c>
      <c r="D180" s="2">
        <f>IF(Suma!$B179=$A$1,Suma!F179,NA())</f>
        <v>0</v>
      </c>
      <c r="E180" s="1">
        <f>IF(Suma!$B179=$A$1,Suma!P179,NA())</f>
        <v>0</v>
      </c>
      <c r="F180" s="10" t="e">
        <f t="shared" si="4"/>
        <v>#N/A</v>
      </c>
      <c r="G180" s="1">
        <f>IF(Suma!$B179=$A$1,Suma!W179,NA())</f>
        <v>0</v>
      </c>
      <c r="H180" s="10" t="e">
        <f t="shared" si="5"/>
        <v>#N/A</v>
      </c>
      <c r="I180" s="1">
        <f>IF(Suma!$B179=$A$1,Suma!AD179,NA())</f>
        <v>0</v>
      </c>
      <c r="J180" s="1">
        <f>IF(Suma!$B179=$A$1,Suma!AK179,NA())</f>
        <v>0</v>
      </c>
      <c r="K180" s="10">
        <f>IF(Suma!$B179=$A$1,Suma!AS179,NA())</f>
        <v>0</v>
      </c>
      <c r="L180" s="1">
        <f>IF(Suma!$B179=$A$1,Suma!G179,NA())</f>
        <v>0</v>
      </c>
      <c r="M180" s="1">
        <f>IF(Suma!$B179=$A$1,Suma!H179,NA())</f>
        <v>0</v>
      </c>
      <c r="N180" s="1">
        <f>IF(Suma!$B179=$A$1,Suma!AT179,NA())</f>
        <v>1900</v>
      </c>
      <c r="O180" s="1" t="str">
        <f>IF(Suma!$B179=$A$1,Suma!AU179,NA())</f>
        <v>enero</v>
      </c>
      <c r="P180" s="1">
        <f>IF(Suma!$B179=$A$1,Suma!AV179,NA())</f>
        <v>0</v>
      </c>
      <c r="Q180" s="1">
        <f>IF(Suma!$B179=$A$1,Suma!AW179,NA())</f>
        <v>0</v>
      </c>
      <c r="R180" s="10">
        <f>IF(Suma!$B179=$A$1,Suma!AX179,NA())</f>
        <v>0</v>
      </c>
      <c r="S180" s="10">
        <f>IF(Suma!$B179=$A$1,Suma!AY179,NA())</f>
        <v>0</v>
      </c>
      <c r="T180" s="10">
        <f>IF(Suma!$B179=$A$1,Suma!AZ179,NA())</f>
        <v>0</v>
      </c>
      <c r="U180" s="10">
        <f>IF(Suma!$B179=$A$1,Suma!J179,NA())</f>
        <v>0</v>
      </c>
      <c r="V180" s="10">
        <f>IF(Suma!$B179=$A$1,Suma!K179,NA())</f>
        <v>0</v>
      </c>
      <c r="W180" s="10">
        <f>IF(Suma!$B179=$A$1,Suma!L179,NA())</f>
        <v>0</v>
      </c>
      <c r="X180" s="10">
        <f>IF(Suma!$B179=$A$1,Suma!M179,NA())</f>
        <v>0</v>
      </c>
      <c r="Y180" s="10">
        <f>IF(Suma!$B179=$A$1,Suma!N179,NA())</f>
        <v>0</v>
      </c>
      <c r="Z180" s="10">
        <f>IF(Suma!$B179=$A$1,Suma!O179,NA())</f>
        <v>0</v>
      </c>
      <c r="AA180" s="10">
        <f>IF(Suma!$B179=$A$1,Suma!BC179,NA())</f>
        <v>0</v>
      </c>
      <c r="AB180" s="10">
        <f>IF(Suma!$B179=$A$1,Suma!BD179,NA())</f>
        <v>0</v>
      </c>
    </row>
    <row r="181" spans="1:28" x14ac:dyDescent="0.3">
      <c r="A181" s="1">
        <f>IF(Suma!$B180=$A$1,Suma!C180,NA())</f>
        <v>0</v>
      </c>
      <c r="B181" s="1">
        <f>IF(Suma!$B180=$A$1,Suma!D180,NA())</f>
        <v>0</v>
      </c>
      <c r="C181" s="2">
        <f>IF(Suma!$B180=$A$1,Suma!E180,NA())</f>
        <v>0</v>
      </c>
      <c r="D181" s="2">
        <f>IF(Suma!$B180=$A$1,Suma!F180,NA())</f>
        <v>0</v>
      </c>
      <c r="E181" s="1">
        <f>IF(Suma!$B180=$A$1,Suma!P180,NA())</f>
        <v>0</v>
      </c>
      <c r="F181" s="10" t="e">
        <f t="shared" si="4"/>
        <v>#N/A</v>
      </c>
      <c r="G181" s="1">
        <f>IF(Suma!$B180=$A$1,Suma!W180,NA())</f>
        <v>0</v>
      </c>
      <c r="H181" s="10" t="e">
        <f t="shared" si="5"/>
        <v>#N/A</v>
      </c>
      <c r="I181" s="1">
        <f>IF(Suma!$B180=$A$1,Suma!AD180,NA())</f>
        <v>0</v>
      </c>
      <c r="J181" s="1">
        <f>IF(Suma!$B180=$A$1,Suma!AK180,NA())</f>
        <v>0</v>
      </c>
      <c r="K181" s="10">
        <f>IF(Suma!$B180=$A$1,Suma!AS180,NA())</f>
        <v>0</v>
      </c>
      <c r="L181" s="1">
        <f>IF(Suma!$B180=$A$1,Suma!G180,NA())</f>
        <v>0</v>
      </c>
      <c r="M181" s="1">
        <f>IF(Suma!$B180=$A$1,Suma!H180,NA())</f>
        <v>0</v>
      </c>
      <c r="N181" s="1">
        <f>IF(Suma!$B180=$A$1,Suma!AT180,NA())</f>
        <v>1900</v>
      </c>
      <c r="O181" s="1" t="str">
        <f>IF(Suma!$B180=$A$1,Suma!AU180,NA())</f>
        <v>enero</v>
      </c>
      <c r="P181" s="1">
        <f>IF(Suma!$B180=$A$1,Suma!AV180,NA())</f>
        <v>0</v>
      </c>
      <c r="Q181" s="1">
        <f>IF(Suma!$B180=$A$1,Suma!AW180,NA())</f>
        <v>0</v>
      </c>
      <c r="R181" s="10">
        <f>IF(Suma!$B180=$A$1,Suma!AX180,NA())</f>
        <v>0</v>
      </c>
      <c r="S181" s="10">
        <f>IF(Suma!$B180=$A$1,Suma!AY180,NA())</f>
        <v>0</v>
      </c>
      <c r="T181" s="10">
        <f>IF(Suma!$B180=$A$1,Suma!AZ180,NA())</f>
        <v>0</v>
      </c>
      <c r="U181" s="10">
        <f>IF(Suma!$B180=$A$1,Suma!J180,NA())</f>
        <v>0</v>
      </c>
      <c r="V181" s="10">
        <f>IF(Suma!$B180=$A$1,Suma!K180,NA())</f>
        <v>0</v>
      </c>
      <c r="W181" s="10">
        <f>IF(Suma!$B180=$A$1,Suma!L180,NA())</f>
        <v>0</v>
      </c>
      <c r="X181" s="10">
        <f>IF(Suma!$B180=$A$1,Suma!M180,NA())</f>
        <v>0</v>
      </c>
      <c r="Y181" s="10">
        <f>IF(Suma!$B180=$A$1,Suma!N180,NA())</f>
        <v>0</v>
      </c>
      <c r="Z181" s="10">
        <f>IF(Suma!$B180=$A$1,Suma!O180,NA())</f>
        <v>0</v>
      </c>
      <c r="AA181" s="10">
        <f>IF(Suma!$B180=$A$1,Suma!BC180,NA())</f>
        <v>0</v>
      </c>
      <c r="AB181" s="10">
        <f>IF(Suma!$B180=$A$1,Suma!BD180,NA())</f>
        <v>0</v>
      </c>
    </row>
    <row r="182" spans="1:28" x14ac:dyDescent="0.3">
      <c r="A182" s="1">
        <f>IF(Suma!$B181=$A$1,Suma!C181,NA())</f>
        <v>0</v>
      </c>
      <c r="B182" s="1">
        <f>IF(Suma!$B181=$A$1,Suma!D181,NA())</f>
        <v>0</v>
      </c>
      <c r="C182" s="2">
        <f>IF(Suma!$B181=$A$1,Suma!E181,NA())</f>
        <v>0</v>
      </c>
      <c r="D182" s="2">
        <f>IF(Suma!$B181=$A$1,Suma!F181,NA())</f>
        <v>0</v>
      </c>
      <c r="E182" s="1">
        <f>IF(Suma!$B181=$A$1,Suma!P181,NA())</f>
        <v>0</v>
      </c>
      <c r="F182" s="10" t="e">
        <f t="shared" si="4"/>
        <v>#N/A</v>
      </c>
      <c r="G182" s="1">
        <f>IF(Suma!$B181=$A$1,Suma!W181,NA())</f>
        <v>0</v>
      </c>
      <c r="H182" s="10" t="e">
        <f t="shared" si="5"/>
        <v>#N/A</v>
      </c>
      <c r="I182" s="1">
        <f>IF(Suma!$B181=$A$1,Suma!AD181,NA())</f>
        <v>0</v>
      </c>
      <c r="J182" s="1">
        <f>IF(Suma!$B181=$A$1,Suma!AK181,NA())</f>
        <v>0</v>
      </c>
      <c r="K182" s="10">
        <f>IF(Suma!$B181=$A$1,Suma!AS181,NA())</f>
        <v>0</v>
      </c>
      <c r="L182" s="1">
        <f>IF(Suma!$B181=$A$1,Suma!G181,NA())</f>
        <v>0</v>
      </c>
      <c r="M182" s="1">
        <f>IF(Suma!$B181=$A$1,Suma!H181,NA())</f>
        <v>0</v>
      </c>
      <c r="N182" s="1">
        <f>IF(Suma!$B181=$A$1,Suma!AT181,NA())</f>
        <v>1900</v>
      </c>
      <c r="O182" s="1" t="str">
        <f>IF(Suma!$B181=$A$1,Suma!AU181,NA())</f>
        <v>enero</v>
      </c>
      <c r="P182" s="1">
        <f>IF(Suma!$B181=$A$1,Suma!AV181,NA())</f>
        <v>0</v>
      </c>
      <c r="Q182" s="1">
        <f>IF(Suma!$B181=$A$1,Suma!AW181,NA())</f>
        <v>0</v>
      </c>
      <c r="R182" s="10">
        <f>IF(Suma!$B181=$A$1,Suma!AX181,NA())</f>
        <v>0</v>
      </c>
      <c r="S182" s="10">
        <f>IF(Suma!$B181=$A$1,Suma!AY181,NA())</f>
        <v>0</v>
      </c>
      <c r="T182" s="10">
        <f>IF(Suma!$B181=$A$1,Suma!AZ181,NA())</f>
        <v>0</v>
      </c>
      <c r="U182" s="10">
        <f>IF(Suma!$B181=$A$1,Suma!J181,NA())</f>
        <v>0</v>
      </c>
      <c r="V182" s="10">
        <f>IF(Suma!$B181=$A$1,Suma!K181,NA())</f>
        <v>0</v>
      </c>
      <c r="W182" s="10">
        <f>IF(Suma!$B181=$A$1,Suma!L181,NA())</f>
        <v>0</v>
      </c>
      <c r="X182" s="10">
        <f>IF(Suma!$B181=$A$1,Suma!M181,NA())</f>
        <v>0</v>
      </c>
      <c r="Y182" s="10">
        <f>IF(Suma!$B181=$A$1,Suma!N181,NA())</f>
        <v>0</v>
      </c>
      <c r="Z182" s="10">
        <f>IF(Suma!$B181=$A$1,Suma!O181,NA())</f>
        <v>0</v>
      </c>
      <c r="AA182" s="10">
        <f>IF(Suma!$B181=$A$1,Suma!BC181,NA())</f>
        <v>0</v>
      </c>
      <c r="AB182" s="10">
        <f>IF(Suma!$B181=$A$1,Suma!BD181,NA())</f>
        <v>0</v>
      </c>
    </row>
    <row r="183" spans="1:28" x14ac:dyDescent="0.3">
      <c r="A183" s="1">
        <f>IF(Suma!$B182=$A$1,Suma!C182,NA())</f>
        <v>0</v>
      </c>
      <c r="B183" s="1">
        <f>IF(Suma!$B182=$A$1,Suma!D182,NA())</f>
        <v>0</v>
      </c>
      <c r="C183" s="2">
        <f>IF(Suma!$B182=$A$1,Suma!E182,NA())</f>
        <v>0</v>
      </c>
      <c r="D183" s="2">
        <f>IF(Suma!$B182=$A$1,Suma!F182,NA())</f>
        <v>0</v>
      </c>
      <c r="E183" s="1">
        <f>IF(Suma!$B182=$A$1,Suma!P182,NA())</f>
        <v>0</v>
      </c>
      <c r="F183" s="10" t="e">
        <f t="shared" si="4"/>
        <v>#N/A</v>
      </c>
      <c r="G183" s="1">
        <f>IF(Suma!$B182=$A$1,Suma!W182,NA())</f>
        <v>0</v>
      </c>
      <c r="H183" s="10" t="e">
        <f t="shared" si="5"/>
        <v>#N/A</v>
      </c>
      <c r="I183" s="1">
        <f>IF(Suma!$B182=$A$1,Suma!AD182,NA())</f>
        <v>0</v>
      </c>
      <c r="J183" s="1">
        <f>IF(Suma!$B182=$A$1,Suma!AK182,NA())</f>
        <v>0</v>
      </c>
      <c r="K183" s="10">
        <f>IF(Suma!$B182=$A$1,Suma!AS182,NA())</f>
        <v>0</v>
      </c>
      <c r="L183" s="1">
        <f>IF(Suma!$B182=$A$1,Suma!G182,NA())</f>
        <v>0</v>
      </c>
      <c r="M183" s="1">
        <f>IF(Suma!$B182=$A$1,Suma!H182,NA())</f>
        <v>0</v>
      </c>
      <c r="N183" s="1">
        <f>IF(Suma!$B182=$A$1,Suma!AT182,NA())</f>
        <v>1900</v>
      </c>
      <c r="O183" s="1" t="str">
        <f>IF(Suma!$B182=$A$1,Suma!AU182,NA())</f>
        <v>enero</v>
      </c>
      <c r="P183" s="1">
        <f>IF(Suma!$B182=$A$1,Suma!AV182,NA())</f>
        <v>0</v>
      </c>
      <c r="Q183" s="1">
        <f>IF(Suma!$B182=$A$1,Suma!AW182,NA())</f>
        <v>0</v>
      </c>
      <c r="R183" s="10">
        <f>IF(Suma!$B182=$A$1,Suma!AX182,NA())</f>
        <v>0</v>
      </c>
      <c r="S183" s="10">
        <f>IF(Suma!$B182=$A$1,Suma!AY182,NA())</f>
        <v>0</v>
      </c>
      <c r="T183" s="10">
        <f>IF(Suma!$B182=$A$1,Suma!AZ182,NA())</f>
        <v>0</v>
      </c>
      <c r="U183" s="10">
        <f>IF(Suma!$B182=$A$1,Suma!J182,NA())</f>
        <v>0</v>
      </c>
      <c r="V183" s="10">
        <f>IF(Suma!$B182=$A$1,Suma!K182,NA())</f>
        <v>0</v>
      </c>
      <c r="W183" s="10">
        <f>IF(Suma!$B182=$A$1,Suma!L182,NA())</f>
        <v>0</v>
      </c>
      <c r="X183" s="10">
        <f>IF(Suma!$B182=$A$1,Suma!M182,NA())</f>
        <v>0</v>
      </c>
      <c r="Y183" s="10">
        <f>IF(Suma!$B182=$A$1,Suma!N182,NA())</f>
        <v>0</v>
      </c>
      <c r="Z183" s="10">
        <f>IF(Suma!$B182=$A$1,Suma!O182,NA())</f>
        <v>0</v>
      </c>
      <c r="AA183" s="10">
        <f>IF(Suma!$B182=$A$1,Suma!BC182,NA())</f>
        <v>0</v>
      </c>
      <c r="AB183" s="10">
        <f>IF(Suma!$B182=$A$1,Suma!BD182,NA())</f>
        <v>0</v>
      </c>
    </row>
    <row r="184" spans="1:28" x14ac:dyDescent="0.3">
      <c r="A184" s="1">
        <f>IF(Suma!$B183=$A$1,Suma!C183,NA())</f>
        <v>0</v>
      </c>
      <c r="B184" s="1">
        <f>IF(Suma!$B183=$A$1,Suma!D183,NA())</f>
        <v>0</v>
      </c>
      <c r="C184" s="2">
        <f>IF(Suma!$B183=$A$1,Suma!E183,NA())</f>
        <v>0</v>
      </c>
      <c r="D184" s="2">
        <f>IF(Suma!$B183=$A$1,Suma!F183,NA())</f>
        <v>0</v>
      </c>
      <c r="E184" s="1">
        <f>IF(Suma!$B183=$A$1,Suma!P183,NA())</f>
        <v>0</v>
      </c>
      <c r="F184" s="10" t="e">
        <f t="shared" si="4"/>
        <v>#N/A</v>
      </c>
      <c r="G184" s="1">
        <f>IF(Suma!$B183=$A$1,Suma!W183,NA())</f>
        <v>0</v>
      </c>
      <c r="H184" s="10" t="e">
        <f t="shared" si="5"/>
        <v>#N/A</v>
      </c>
      <c r="I184" s="1">
        <f>IF(Suma!$B183=$A$1,Suma!AD183,NA())</f>
        <v>0</v>
      </c>
      <c r="J184" s="1">
        <f>IF(Suma!$B183=$A$1,Suma!AK183,NA())</f>
        <v>0</v>
      </c>
      <c r="K184" s="10">
        <f>IF(Suma!$B183=$A$1,Suma!AS183,NA())</f>
        <v>0</v>
      </c>
      <c r="L184" s="1">
        <f>IF(Suma!$B183=$A$1,Suma!G183,NA())</f>
        <v>0</v>
      </c>
      <c r="M184" s="1">
        <f>IF(Suma!$B183=$A$1,Suma!H183,NA())</f>
        <v>0</v>
      </c>
      <c r="N184" s="1">
        <f>IF(Suma!$B183=$A$1,Suma!AT183,NA())</f>
        <v>1900</v>
      </c>
      <c r="O184" s="1" t="str">
        <f>IF(Suma!$B183=$A$1,Suma!AU183,NA())</f>
        <v>enero</v>
      </c>
      <c r="P184" s="1">
        <f>IF(Suma!$B183=$A$1,Suma!AV183,NA())</f>
        <v>0</v>
      </c>
      <c r="Q184" s="1">
        <f>IF(Suma!$B183=$A$1,Suma!AW183,NA())</f>
        <v>0</v>
      </c>
      <c r="R184" s="10">
        <f>IF(Suma!$B183=$A$1,Suma!AX183,NA())</f>
        <v>0</v>
      </c>
      <c r="S184" s="10">
        <f>IF(Suma!$B183=$A$1,Suma!AY183,NA())</f>
        <v>0</v>
      </c>
      <c r="T184" s="10">
        <f>IF(Suma!$B183=$A$1,Suma!AZ183,NA())</f>
        <v>0</v>
      </c>
      <c r="U184" s="10">
        <f>IF(Suma!$B183=$A$1,Suma!J183,NA())</f>
        <v>0</v>
      </c>
      <c r="V184" s="10">
        <f>IF(Suma!$B183=$A$1,Suma!K183,NA())</f>
        <v>0</v>
      </c>
      <c r="W184" s="10">
        <f>IF(Suma!$B183=$A$1,Suma!L183,NA())</f>
        <v>0</v>
      </c>
      <c r="X184" s="10">
        <f>IF(Suma!$B183=$A$1,Suma!M183,NA())</f>
        <v>0</v>
      </c>
      <c r="Y184" s="10">
        <f>IF(Suma!$B183=$A$1,Suma!N183,NA())</f>
        <v>0</v>
      </c>
      <c r="Z184" s="10">
        <f>IF(Suma!$B183=$A$1,Suma!O183,NA())</f>
        <v>0</v>
      </c>
      <c r="AA184" s="10">
        <f>IF(Suma!$B183=$A$1,Suma!BC183,NA())</f>
        <v>0</v>
      </c>
      <c r="AB184" s="10">
        <f>IF(Suma!$B183=$A$1,Suma!BD183,NA())</f>
        <v>0</v>
      </c>
    </row>
    <row r="185" spans="1:28" x14ac:dyDescent="0.3">
      <c r="A185" s="1">
        <f>IF(Suma!$B184=$A$1,Suma!C184,NA())</f>
        <v>0</v>
      </c>
      <c r="B185" s="1">
        <f>IF(Suma!$B184=$A$1,Suma!D184,NA())</f>
        <v>0</v>
      </c>
      <c r="C185" s="2">
        <f>IF(Suma!$B184=$A$1,Suma!E184,NA())</f>
        <v>0</v>
      </c>
      <c r="D185" s="2">
        <f>IF(Suma!$B184=$A$1,Suma!F184,NA())</f>
        <v>0</v>
      </c>
      <c r="E185" s="1">
        <f>IF(Suma!$B184=$A$1,Suma!P184,NA())</f>
        <v>0</v>
      </c>
      <c r="F185" s="10" t="e">
        <f t="shared" si="4"/>
        <v>#N/A</v>
      </c>
      <c r="G185" s="1">
        <f>IF(Suma!$B184=$A$1,Suma!W184,NA())</f>
        <v>0</v>
      </c>
      <c r="H185" s="10" t="e">
        <f t="shared" si="5"/>
        <v>#N/A</v>
      </c>
      <c r="I185" s="1">
        <f>IF(Suma!$B184=$A$1,Suma!AD184,NA())</f>
        <v>0</v>
      </c>
      <c r="J185" s="1">
        <f>IF(Suma!$B184=$A$1,Suma!AK184,NA())</f>
        <v>0</v>
      </c>
      <c r="K185" s="10">
        <f>IF(Suma!$B184=$A$1,Suma!AS184,NA())</f>
        <v>0</v>
      </c>
      <c r="L185" s="1">
        <f>IF(Suma!$B184=$A$1,Suma!G184,NA())</f>
        <v>0</v>
      </c>
      <c r="M185" s="1">
        <f>IF(Suma!$B184=$A$1,Suma!H184,NA())</f>
        <v>0</v>
      </c>
      <c r="N185" s="1">
        <f>IF(Suma!$B184=$A$1,Suma!AT184,NA())</f>
        <v>1900</v>
      </c>
      <c r="O185" s="1" t="str">
        <f>IF(Suma!$B184=$A$1,Suma!AU184,NA())</f>
        <v>enero</v>
      </c>
      <c r="P185" s="1">
        <f>IF(Suma!$B184=$A$1,Suma!AV184,NA())</f>
        <v>0</v>
      </c>
      <c r="Q185" s="1">
        <f>IF(Suma!$B184=$A$1,Suma!AW184,NA())</f>
        <v>0</v>
      </c>
      <c r="R185" s="10">
        <f>IF(Suma!$B184=$A$1,Suma!AX184,NA())</f>
        <v>0</v>
      </c>
      <c r="S185" s="10">
        <f>IF(Suma!$B184=$A$1,Suma!AY184,NA())</f>
        <v>0</v>
      </c>
      <c r="T185" s="10">
        <f>IF(Suma!$B184=$A$1,Suma!AZ184,NA())</f>
        <v>0</v>
      </c>
      <c r="U185" s="10">
        <f>IF(Suma!$B184=$A$1,Suma!J184,NA())</f>
        <v>0</v>
      </c>
      <c r="V185" s="10">
        <f>IF(Suma!$B184=$A$1,Suma!K184,NA())</f>
        <v>0</v>
      </c>
      <c r="W185" s="10">
        <f>IF(Suma!$B184=$A$1,Suma!L184,NA())</f>
        <v>0</v>
      </c>
      <c r="X185" s="10">
        <f>IF(Suma!$B184=$A$1,Suma!M184,NA())</f>
        <v>0</v>
      </c>
      <c r="Y185" s="10">
        <f>IF(Suma!$B184=$A$1,Suma!N184,NA())</f>
        <v>0</v>
      </c>
      <c r="Z185" s="10">
        <f>IF(Suma!$B184=$A$1,Suma!O184,NA())</f>
        <v>0</v>
      </c>
      <c r="AA185" s="10">
        <f>IF(Suma!$B184=$A$1,Suma!BC184,NA())</f>
        <v>0</v>
      </c>
      <c r="AB185" s="10">
        <f>IF(Suma!$B184=$A$1,Suma!BD184,NA())</f>
        <v>0</v>
      </c>
    </row>
    <row r="186" spans="1:28" x14ac:dyDescent="0.3">
      <c r="A186" s="1">
        <f>IF(Suma!$B185=$A$1,Suma!C185,NA())</f>
        <v>0</v>
      </c>
      <c r="B186" s="1">
        <f>IF(Suma!$B185=$A$1,Suma!D185,NA())</f>
        <v>0</v>
      </c>
      <c r="C186" s="2">
        <f>IF(Suma!$B185=$A$1,Suma!E185,NA())</f>
        <v>0</v>
      </c>
      <c r="D186" s="2">
        <f>IF(Suma!$B185=$A$1,Suma!F185,NA())</f>
        <v>0</v>
      </c>
      <c r="E186" s="1">
        <f>IF(Suma!$B185=$A$1,Suma!P185,NA())</f>
        <v>0</v>
      </c>
      <c r="F186" s="10" t="e">
        <f t="shared" si="4"/>
        <v>#N/A</v>
      </c>
      <c r="G186" s="1">
        <f>IF(Suma!$B185=$A$1,Suma!W185,NA())</f>
        <v>0</v>
      </c>
      <c r="H186" s="10" t="e">
        <f t="shared" si="5"/>
        <v>#N/A</v>
      </c>
      <c r="I186" s="1">
        <f>IF(Suma!$B185=$A$1,Suma!AD185,NA())</f>
        <v>0</v>
      </c>
      <c r="J186" s="1">
        <f>IF(Suma!$B185=$A$1,Suma!AK185,NA())</f>
        <v>0</v>
      </c>
      <c r="K186" s="10">
        <f>IF(Suma!$B185=$A$1,Suma!AS185,NA())</f>
        <v>0</v>
      </c>
      <c r="L186" s="1">
        <f>IF(Suma!$B185=$A$1,Suma!G185,NA())</f>
        <v>0</v>
      </c>
      <c r="M186" s="1">
        <f>IF(Suma!$B185=$A$1,Suma!H185,NA())</f>
        <v>0</v>
      </c>
      <c r="N186" s="1">
        <f>IF(Suma!$B185=$A$1,Suma!AT185,NA())</f>
        <v>1900</v>
      </c>
      <c r="O186" s="1" t="str">
        <f>IF(Suma!$B185=$A$1,Suma!AU185,NA())</f>
        <v>enero</v>
      </c>
      <c r="P186" s="1">
        <f>IF(Suma!$B185=$A$1,Suma!AV185,NA())</f>
        <v>0</v>
      </c>
      <c r="Q186" s="1">
        <f>IF(Suma!$B185=$A$1,Suma!AW185,NA())</f>
        <v>0</v>
      </c>
      <c r="R186" s="10">
        <f>IF(Suma!$B185=$A$1,Suma!AX185,NA())</f>
        <v>0</v>
      </c>
      <c r="S186" s="10">
        <f>IF(Suma!$B185=$A$1,Suma!AY185,NA())</f>
        <v>0</v>
      </c>
      <c r="T186" s="10">
        <f>IF(Suma!$B185=$A$1,Suma!AZ185,NA())</f>
        <v>0</v>
      </c>
      <c r="U186" s="10">
        <f>IF(Suma!$B185=$A$1,Suma!J185,NA())</f>
        <v>0</v>
      </c>
      <c r="V186" s="10">
        <f>IF(Suma!$B185=$A$1,Suma!K185,NA())</f>
        <v>0</v>
      </c>
      <c r="W186" s="10">
        <f>IF(Suma!$B185=$A$1,Suma!L185,NA())</f>
        <v>0</v>
      </c>
      <c r="X186" s="10">
        <f>IF(Suma!$B185=$A$1,Suma!M185,NA())</f>
        <v>0</v>
      </c>
      <c r="Y186" s="10">
        <f>IF(Suma!$B185=$A$1,Suma!N185,NA())</f>
        <v>0</v>
      </c>
      <c r="Z186" s="10">
        <f>IF(Suma!$B185=$A$1,Suma!O185,NA())</f>
        <v>0</v>
      </c>
      <c r="AA186" s="10">
        <f>IF(Suma!$B185=$A$1,Suma!BC185,NA())</f>
        <v>0</v>
      </c>
      <c r="AB186" s="10">
        <f>IF(Suma!$B185=$A$1,Suma!BD185,NA())</f>
        <v>0</v>
      </c>
    </row>
    <row r="187" spans="1:28" x14ac:dyDescent="0.3">
      <c r="A187" s="1">
        <f>IF(Suma!$B186=$A$1,Suma!C186,NA())</f>
        <v>0</v>
      </c>
      <c r="B187" s="1">
        <f>IF(Suma!$B186=$A$1,Suma!D186,NA())</f>
        <v>0</v>
      </c>
      <c r="C187" s="2">
        <f>IF(Suma!$B186=$A$1,Suma!E186,NA())</f>
        <v>0</v>
      </c>
      <c r="D187" s="2">
        <f>IF(Suma!$B186=$A$1,Suma!F186,NA())</f>
        <v>0</v>
      </c>
      <c r="E187" s="1">
        <f>IF(Suma!$B186=$A$1,Suma!P186,NA())</f>
        <v>0</v>
      </c>
      <c r="F187" s="10" t="e">
        <f t="shared" si="4"/>
        <v>#N/A</v>
      </c>
      <c r="G187" s="1">
        <f>IF(Suma!$B186=$A$1,Suma!W186,NA())</f>
        <v>0</v>
      </c>
      <c r="H187" s="10" t="e">
        <f t="shared" si="5"/>
        <v>#N/A</v>
      </c>
      <c r="I187" s="1">
        <f>IF(Suma!$B186=$A$1,Suma!AD186,NA())</f>
        <v>0</v>
      </c>
      <c r="J187" s="1">
        <f>IF(Suma!$B186=$A$1,Suma!AK186,NA())</f>
        <v>0</v>
      </c>
      <c r="K187" s="10">
        <f>IF(Suma!$B186=$A$1,Suma!AS186,NA())</f>
        <v>0</v>
      </c>
      <c r="L187" s="1">
        <f>IF(Suma!$B186=$A$1,Suma!G186,NA())</f>
        <v>0</v>
      </c>
      <c r="M187" s="1">
        <f>IF(Suma!$B186=$A$1,Suma!H186,NA())</f>
        <v>0</v>
      </c>
      <c r="N187" s="1">
        <f>IF(Suma!$B186=$A$1,Suma!AT186,NA())</f>
        <v>1900</v>
      </c>
      <c r="O187" s="1" t="str">
        <f>IF(Suma!$B186=$A$1,Suma!AU186,NA())</f>
        <v>enero</v>
      </c>
      <c r="P187" s="1">
        <f>IF(Suma!$B186=$A$1,Suma!AV186,NA())</f>
        <v>0</v>
      </c>
      <c r="Q187" s="1">
        <f>IF(Suma!$B186=$A$1,Suma!AW186,NA())</f>
        <v>0</v>
      </c>
      <c r="R187" s="10">
        <f>IF(Suma!$B186=$A$1,Suma!AX186,NA())</f>
        <v>0</v>
      </c>
      <c r="S187" s="10">
        <f>IF(Suma!$B186=$A$1,Suma!AY186,NA())</f>
        <v>0</v>
      </c>
      <c r="T187" s="10">
        <f>IF(Suma!$B186=$A$1,Suma!AZ186,NA())</f>
        <v>0</v>
      </c>
      <c r="U187" s="10">
        <f>IF(Suma!$B186=$A$1,Suma!J186,NA())</f>
        <v>0</v>
      </c>
      <c r="V187" s="10">
        <f>IF(Suma!$B186=$A$1,Suma!K186,NA())</f>
        <v>0</v>
      </c>
      <c r="W187" s="10">
        <f>IF(Suma!$B186=$A$1,Suma!L186,NA())</f>
        <v>0</v>
      </c>
      <c r="X187" s="10">
        <f>IF(Suma!$B186=$A$1,Suma!M186,NA())</f>
        <v>0</v>
      </c>
      <c r="Y187" s="10">
        <f>IF(Suma!$B186=$A$1,Suma!N186,NA())</f>
        <v>0</v>
      </c>
      <c r="Z187" s="10">
        <f>IF(Suma!$B186=$A$1,Suma!O186,NA())</f>
        <v>0</v>
      </c>
      <c r="AA187" s="10">
        <f>IF(Suma!$B186=$A$1,Suma!BC186,NA())</f>
        <v>0</v>
      </c>
      <c r="AB187" s="10">
        <f>IF(Suma!$B186=$A$1,Suma!BD186,NA())</f>
        <v>0</v>
      </c>
    </row>
    <row r="188" spans="1:28" x14ac:dyDescent="0.3">
      <c r="A188" s="1">
        <f>IF(Suma!$B187=$A$1,Suma!C187,NA())</f>
        <v>0</v>
      </c>
      <c r="B188" s="1">
        <f>IF(Suma!$B187=$A$1,Suma!D187,NA())</f>
        <v>0</v>
      </c>
      <c r="C188" s="2">
        <f>IF(Suma!$B187=$A$1,Suma!E187,NA())</f>
        <v>0</v>
      </c>
      <c r="D188" s="2">
        <f>IF(Suma!$B187=$A$1,Suma!F187,NA())</f>
        <v>0</v>
      </c>
      <c r="E188" s="1">
        <f>IF(Suma!$B187=$A$1,Suma!P187,NA())</f>
        <v>0</v>
      </c>
      <c r="F188" s="10" t="e">
        <f t="shared" si="4"/>
        <v>#N/A</v>
      </c>
      <c r="G188" s="1">
        <f>IF(Suma!$B187=$A$1,Suma!W187,NA())</f>
        <v>0</v>
      </c>
      <c r="H188" s="10" t="e">
        <f t="shared" si="5"/>
        <v>#N/A</v>
      </c>
      <c r="I188" s="1">
        <f>IF(Suma!$B187=$A$1,Suma!AD187,NA())</f>
        <v>0</v>
      </c>
      <c r="J188" s="1">
        <f>IF(Suma!$B187=$A$1,Suma!AK187,NA())</f>
        <v>0</v>
      </c>
      <c r="K188" s="10">
        <f>IF(Suma!$B187=$A$1,Suma!AS187,NA())</f>
        <v>0</v>
      </c>
      <c r="L188" s="1">
        <f>IF(Suma!$B187=$A$1,Suma!G187,NA())</f>
        <v>0</v>
      </c>
      <c r="M188" s="1">
        <f>IF(Suma!$B187=$A$1,Suma!H187,NA())</f>
        <v>0</v>
      </c>
      <c r="N188" s="1">
        <f>IF(Suma!$B187=$A$1,Suma!AT187,NA())</f>
        <v>1900</v>
      </c>
      <c r="O188" s="1" t="str">
        <f>IF(Suma!$B187=$A$1,Suma!AU187,NA())</f>
        <v>enero</v>
      </c>
      <c r="P188" s="1">
        <f>IF(Suma!$B187=$A$1,Suma!AV187,NA())</f>
        <v>0</v>
      </c>
      <c r="Q188" s="1">
        <f>IF(Suma!$B187=$A$1,Suma!AW187,NA())</f>
        <v>0</v>
      </c>
      <c r="R188" s="10">
        <f>IF(Suma!$B187=$A$1,Suma!AX187,NA())</f>
        <v>0</v>
      </c>
      <c r="S188" s="10">
        <f>IF(Suma!$B187=$A$1,Suma!AY187,NA())</f>
        <v>0</v>
      </c>
      <c r="T188" s="10">
        <f>IF(Suma!$B187=$A$1,Suma!AZ187,NA())</f>
        <v>0</v>
      </c>
      <c r="U188" s="10">
        <f>IF(Suma!$B187=$A$1,Suma!J187,NA())</f>
        <v>0</v>
      </c>
      <c r="V188" s="10">
        <f>IF(Suma!$B187=$A$1,Suma!K187,NA())</f>
        <v>0</v>
      </c>
      <c r="W188" s="10">
        <f>IF(Suma!$B187=$A$1,Suma!L187,NA())</f>
        <v>0</v>
      </c>
      <c r="X188" s="10">
        <f>IF(Suma!$B187=$A$1,Suma!M187,NA())</f>
        <v>0</v>
      </c>
      <c r="Y188" s="10">
        <f>IF(Suma!$B187=$A$1,Suma!N187,NA())</f>
        <v>0</v>
      </c>
      <c r="Z188" s="10">
        <f>IF(Suma!$B187=$A$1,Suma!O187,NA())</f>
        <v>0</v>
      </c>
      <c r="AA188" s="10">
        <f>IF(Suma!$B187=$A$1,Suma!BC187,NA())</f>
        <v>0</v>
      </c>
      <c r="AB188" s="10">
        <f>IF(Suma!$B187=$A$1,Suma!BD187,NA())</f>
        <v>0</v>
      </c>
    </row>
    <row r="189" spans="1:28" x14ac:dyDescent="0.3">
      <c r="A189" s="1">
        <f>IF(Suma!$B188=$A$1,Suma!C188,NA())</f>
        <v>0</v>
      </c>
      <c r="B189" s="1">
        <f>IF(Suma!$B188=$A$1,Suma!D188,NA())</f>
        <v>0</v>
      </c>
      <c r="C189" s="2">
        <f>IF(Suma!$B188=$A$1,Suma!E188,NA())</f>
        <v>0</v>
      </c>
      <c r="D189" s="2">
        <f>IF(Suma!$B188=$A$1,Suma!F188,NA())</f>
        <v>0</v>
      </c>
      <c r="E189" s="1">
        <f>IF(Suma!$B188=$A$1,Suma!P188,NA())</f>
        <v>0</v>
      </c>
      <c r="F189" s="10" t="e">
        <f t="shared" si="4"/>
        <v>#N/A</v>
      </c>
      <c r="G189" s="1">
        <f>IF(Suma!$B188=$A$1,Suma!W188,NA())</f>
        <v>0</v>
      </c>
      <c r="H189" s="10" t="e">
        <f t="shared" si="5"/>
        <v>#N/A</v>
      </c>
      <c r="I189" s="1">
        <f>IF(Suma!$B188=$A$1,Suma!AD188,NA())</f>
        <v>0</v>
      </c>
      <c r="J189" s="1">
        <f>IF(Suma!$B188=$A$1,Suma!AK188,NA())</f>
        <v>0</v>
      </c>
      <c r="K189" s="10">
        <f>IF(Suma!$B188=$A$1,Suma!AS188,NA())</f>
        <v>0</v>
      </c>
      <c r="L189" s="1">
        <f>IF(Suma!$B188=$A$1,Suma!G188,NA())</f>
        <v>0</v>
      </c>
      <c r="M189" s="1">
        <f>IF(Suma!$B188=$A$1,Suma!H188,NA())</f>
        <v>0</v>
      </c>
      <c r="N189" s="1">
        <f>IF(Suma!$B188=$A$1,Suma!AT188,NA())</f>
        <v>1900</v>
      </c>
      <c r="O189" s="1" t="str">
        <f>IF(Suma!$B188=$A$1,Suma!AU188,NA())</f>
        <v>enero</v>
      </c>
      <c r="P189" s="1">
        <f>IF(Suma!$B188=$A$1,Suma!AV188,NA())</f>
        <v>0</v>
      </c>
      <c r="Q189" s="1">
        <f>IF(Suma!$B188=$A$1,Suma!AW188,NA())</f>
        <v>0</v>
      </c>
      <c r="R189" s="10">
        <f>IF(Suma!$B188=$A$1,Suma!AX188,NA())</f>
        <v>0</v>
      </c>
      <c r="S189" s="10">
        <f>IF(Suma!$B188=$A$1,Suma!AY188,NA())</f>
        <v>0</v>
      </c>
      <c r="T189" s="10">
        <f>IF(Suma!$B188=$A$1,Suma!AZ188,NA())</f>
        <v>0</v>
      </c>
      <c r="U189" s="10">
        <f>IF(Suma!$B188=$A$1,Suma!J188,NA())</f>
        <v>0</v>
      </c>
      <c r="V189" s="10">
        <f>IF(Suma!$B188=$A$1,Suma!K188,NA())</f>
        <v>0</v>
      </c>
      <c r="W189" s="10">
        <f>IF(Suma!$B188=$A$1,Suma!L188,NA())</f>
        <v>0</v>
      </c>
      <c r="X189" s="10">
        <f>IF(Suma!$B188=$A$1,Suma!M188,NA())</f>
        <v>0</v>
      </c>
      <c r="Y189" s="10">
        <f>IF(Suma!$B188=$A$1,Suma!N188,NA())</f>
        <v>0</v>
      </c>
      <c r="Z189" s="10">
        <f>IF(Suma!$B188=$A$1,Suma!O188,NA())</f>
        <v>0</v>
      </c>
      <c r="AA189" s="10">
        <f>IF(Suma!$B188=$A$1,Suma!BC188,NA())</f>
        <v>0</v>
      </c>
      <c r="AB189" s="10">
        <f>IF(Suma!$B188=$A$1,Suma!BD188,NA())</f>
        <v>0</v>
      </c>
    </row>
    <row r="190" spans="1:28" x14ac:dyDescent="0.3">
      <c r="A190" s="1">
        <f>IF(Suma!$B189=$A$1,Suma!C189,NA())</f>
        <v>0</v>
      </c>
      <c r="B190" s="1">
        <f>IF(Suma!$B189=$A$1,Suma!D189,NA())</f>
        <v>0</v>
      </c>
      <c r="C190" s="2">
        <f>IF(Suma!$B189=$A$1,Suma!E189,NA())</f>
        <v>0</v>
      </c>
      <c r="D190" s="2">
        <f>IF(Suma!$B189=$A$1,Suma!F189,NA())</f>
        <v>0</v>
      </c>
      <c r="E190" s="1">
        <f>IF(Suma!$B189=$A$1,Suma!P189,NA())</f>
        <v>0</v>
      </c>
      <c r="F190" s="10" t="e">
        <f t="shared" si="4"/>
        <v>#N/A</v>
      </c>
      <c r="G190" s="1">
        <f>IF(Suma!$B189=$A$1,Suma!W189,NA())</f>
        <v>0</v>
      </c>
      <c r="H190" s="10" t="e">
        <f t="shared" si="5"/>
        <v>#N/A</v>
      </c>
      <c r="I190" s="1">
        <f>IF(Suma!$B189=$A$1,Suma!AD189,NA())</f>
        <v>0</v>
      </c>
      <c r="J190" s="1">
        <f>IF(Suma!$B189=$A$1,Suma!AK189,NA())</f>
        <v>0</v>
      </c>
      <c r="K190" s="10">
        <f>IF(Suma!$B189=$A$1,Suma!AS189,NA())</f>
        <v>0</v>
      </c>
      <c r="L190" s="1">
        <f>IF(Suma!$B189=$A$1,Suma!G189,NA())</f>
        <v>0</v>
      </c>
      <c r="M190" s="1">
        <f>IF(Suma!$B189=$A$1,Suma!H189,NA())</f>
        <v>0</v>
      </c>
      <c r="N190" s="1">
        <f>IF(Suma!$B189=$A$1,Suma!AT189,NA())</f>
        <v>1900</v>
      </c>
      <c r="O190" s="1" t="str">
        <f>IF(Suma!$B189=$A$1,Suma!AU189,NA())</f>
        <v>enero</v>
      </c>
      <c r="P190" s="1">
        <f>IF(Suma!$B189=$A$1,Suma!AV189,NA())</f>
        <v>0</v>
      </c>
      <c r="Q190" s="1">
        <f>IF(Suma!$B189=$A$1,Suma!AW189,NA())</f>
        <v>0</v>
      </c>
      <c r="R190" s="10">
        <f>IF(Suma!$B189=$A$1,Suma!AX189,NA())</f>
        <v>0</v>
      </c>
      <c r="S190" s="10">
        <f>IF(Suma!$B189=$A$1,Suma!AY189,NA())</f>
        <v>0</v>
      </c>
      <c r="T190" s="10">
        <f>IF(Suma!$B189=$A$1,Suma!AZ189,NA())</f>
        <v>0</v>
      </c>
      <c r="U190" s="10">
        <f>IF(Suma!$B189=$A$1,Suma!J189,NA())</f>
        <v>0</v>
      </c>
      <c r="V190" s="10">
        <f>IF(Suma!$B189=$A$1,Suma!K189,NA())</f>
        <v>0</v>
      </c>
      <c r="W190" s="10">
        <f>IF(Suma!$B189=$A$1,Suma!L189,NA())</f>
        <v>0</v>
      </c>
      <c r="X190" s="10">
        <f>IF(Suma!$B189=$A$1,Suma!M189,NA())</f>
        <v>0</v>
      </c>
      <c r="Y190" s="10">
        <f>IF(Suma!$B189=$A$1,Suma!N189,NA())</f>
        <v>0</v>
      </c>
      <c r="Z190" s="10">
        <f>IF(Suma!$B189=$A$1,Suma!O189,NA())</f>
        <v>0</v>
      </c>
      <c r="AA190" s="10">
        <f>IF(Suma!$B189=$A$1,Suma!BC189,NA())</f>
        <v>0</v>
      </c>
      <c r="AB190" s="10">
        <f>IF(Suma!$B189=$A$1,Suma!BD189,NA())</f>
        <v>0</v>
      </c>
    </row>
    <row r="191" spans="1:28" x14ac:dyDescent="0.3">
      <c r="A191" s="1">
        <f>IF(Suma!$B190=$A$1,Suma!C190,NA())</f>
        <v>0</v>
      </c>
      <c r="B191" s="1">
        <f>IF(Suma!$B190=$A$1,Suma!D190,NA())</f>
        <v>0</v>
      </c>
      <c r="C191" s="2">
        <f>IF(Suma!$B190=$A$1,Suma!E190,NA())</f>
        <v>0</v>
      </c>
      <c r="D191" s="2">
        <f>IF(Suma!$B190=$A$1,Suma!F190,NA())</f>
        <v>0</v>
      </c>
      <c r="E191" s="1">
        <f>IF(Suma!$B190=$A$1,Suma!P190,NA())</f>
        <v>0</v>
      </c>
      <c r="F191" s="10" t="e">
        <f t="shared" si="4"/>
        <v>#N/A</v>
      </c>
      <c r="G191" s="1">
        <f>IF(Suma!$B190=$A$1,Suma!W190,NA())</f>
        <v>0</v>
      </c>
      <c r="H191" s="10" t="e">
        <f t="shared" si="5"/>
        <v>#N/A</v>
      </c>
      <c r="I191" s="1">
        <f>IF(Suma!$B190=$A$1,Suma!AD190,NA())</f>
        <v>0</v>
      </c>
      <c r="J191" s="1">
        <f>IF(Suma!$B190=$A$1,Suma!AK190,NA())</f>
        <v>0</v>
      </c>
      <c r="K191" s="10">
        <f>IF(Suma!$B190=$A$1,Suma!AS190,NA())</f>
        <v>0</v>
      </c>
      <c r="L191" s="1">
        <f>IF(Suma!$B190=$A$1,Suma!G190,NA())</f>
        <v>0</v>
      </c>
      <c r="M191" s="1">
        <f>IF(Suma!$B190=$A$1,Suma!H190,NA())</f>
        <v>0</v>
      </c>
      <c r="N191" s="1">
        <f>IF(Suma!$B190=$A$1,Suma!AT190,NA())</f>
        <v>1900</v>
      </c>
      <c r="O191" s="1" t="str">
        <f>IF(Suma!$B190=$A$1,Suma!AU190,NA())</f>
        <v>enero</v>
      </c>
      <c r="P191" s="1">
        <f>IF(Suma!$B190=$A$1,Suma!AV190,NA())</f>
        <v>0</v>
      </c>
      <c r="Q191" s="1">
        <f>IF(Suma!$B190=$A$1,Suma!AW190,NA())</f>
        <v>0</v>
      </c>
      <c r="R191" s="10">
        <f>IF(Suma!$B190=$A$1,Suma!AX190,NA())</f>
        <v>0</v>
      </c>
      <c r="S191" s="10">
        <f>IF(Suma!$B190=$A$1,Suma!AY190,NA())</f>
        <v>0</v>
      </c>
      <c r="T191" s="10">
        <f>IF(Suma!$B190=$A$1,Suma!AZ190,NA())</f>
        <v>0</v>
      </c>
      <c r="U191" s="10">
        <f>IF(Suma!$B190=$A$1,Suma!J190,NA())</f>
        <v>0</v>
      </c>
      <c r="V191" s="10">
        <f>IF(Suma!$B190=$A$1,Suma!K190,NA())</f>
        <v>0</v>
      </c>
      <c r="W191" s="10">
        <f>IF(Suma!$B190=$A$1,Suma!L190,NA())</f>
        <v>0</v>
      </c>
      <c r="X191" s="10">
        <f>IF(Suma!$B190=$A$1,Suma!M190,NA())</f>
        <v>0</v>
      </c>
      <c r="Y191" s="10">
        <f>IF(Suma!$B190=$A$1,Suma!N190,NA())</f>
        <v>0</v>
      </c>
      <c r="Z191" s="10">
        <f>IF(Suma!$B190=$A$1,Suma!O190,NA())</f>
        <v>0</v>
      </c>
      <c r="AA191" s="10">
        <f>IF(Suma!$B190=$A$1,Suma!BC190,NA())</f>
        <v>0</v>
      </c>
      <c r="AB191" s="10">
        <f>IF(Suma!$B190=$A$1,Suma!BD190,NA())</f>
        <v>0</v>
      </c>
    </row>
    <row r="192" spans="1:28" x14ac:dyDescent="0.3">
      <c r="A192" s="1">
        <f>IF(Suma!$B191=$A$1,Suma!C191,NA())</f>
        <v>0</v>
      </c>
      <c r="B192" s="1">
        <f>IF(Suma!$B191=$A$1,Suma!D191,NA())</f>
        <v>0</v>
      </c>
      <c r="C192" s="2">
        <f>IF(Suma!$B191=$A$1,Suma!E191,NA())</f>
        <v>0</v>
      </c>
      <c r="D192" s="2">
        <f>IF(Suma!$B191=$A$1,Suma!F191,NA())</f>
        <v>0</v>
      </c>
      <c r="E192" s="1">
        <f>IF(Suma!$B191=$A$1,Suma!P191,NA())</f>
        <v>0</v>
      </c>
      <c r="F192" s="10" t="e">
        <f t="shared" si="4"/>
        <v>#N/A</v>
      </c>
      <c r="G192" s="1">
        <f>IF(Suma!$B191=$A$1,Suma!W191,NA())</f>
        <v>0</v>
      </c>
      <c r="H192" s="10" t="e">
        <f t="shared" si="5"/>
        <v>#N/A</v>
      </c>
      <c r="I192" s="1">
        <f>IF(Suma!$B191=$A$1,Suma!AD191,NA())</f>
        <v>0</v>
      </c>
      <c r="J192" s="1">
        <f>IF(Suma!$B191=$A$1,Suma!AK191,NA())</f>
        <v>0</v>
      </c>
      <c r="K192" s="10">
        <f>IF(Suma!$B191=$A$1,Suma!AS191,NA())</f>
        <v>0</v>
      </c>
      <c r="L192" s="1">
        <f>IF(Suma!$B191=$A$1,Suma!G191,NA())</f>
        <v>0</v>
      </c>
      <c r="M192" s="1">
        <f>IF(Suma!$B191=$A$1,Suma!H191,NA())</f>
        <v>0</v>
      </c>
      <c r="N192" s="1">
        <f>IF(Suma!$B191=$A$1,Suma!AT191,NA())</f>
        <v>1900</v>
      </c>
      <c r="O192" s="1" t="str">
        <f>IF(Suma!$B191=$A$1,Suma!AU191,NA())</f>
        <v>enero</v>
      </c>
      <c r="P192" s="1">
        <f>IF(Suma!$B191=$A$1,Suma!AV191,NA())</f>
        <v>0</v>
      </c>
      <c r="Q192" s="1">
        <f>IF(Suma!$B191=$A$1,Suma!AW191,NA())</f>
        <v>0</v>
      </c>
      <c r="R192" s="10">
        <f>IF(Suma!$B191=$A$1,Suma!AX191,NA())</f>
        <v>0</v>
      </c>
      <c r="S192" s="10">
        <f>IF(Suma!$B191=$A$1,Suma!AY191,NA())</f>
        <v>0</v>
      </c>
      <c r="T192" s="10">
        <f>IF(Suma!$B191=$A$1,Suma!AZ191,NA())</f>
        <v>0</v>
      </c>
      <c r="U192" s="10">
        <f>IF(Suma!$B191=$A$1,Suma!J191,NA())</f>
        <v>0</v>
      </c>
      <c r="V192" s="10">
        <f>IF(Suma!$B191=$A$1,Suma!K191,NA())</f>
        <v>0</v>
      </c>
      <c r="W192" s="10">
        <f>IF(Suma!$B191=$A$1,Suma!L191,NA())</f>
        <v>0</v>
      </c>
      <c r="X192" s="10">
        <f>IF(Suma!$B191=$A$1,Suma!M191,NA())</f>
        <v>0</v>
      </c>
      <c r="Y192" s="10">
        <f>IF(Suma!$B191=$A$1,Suma!N191,NA())</f>
        <v>0</v>
      </c>
      <c r="Z192" s="10">
        <f>IF(Suma!$B191=$A$1,Suma!O191,NA())</f>
        <v>0</v>
      </c>
      <c r="AA192" s="10">
        <f>IF(Suma!$B191=$A$1,Suma!BC191,NA())</f>
        <v>0</v>
      </c>
      <c r="AB192" s="10">
        <f>IF(Suma!$B191=$A$1,Suma!BD191,NA())</f>
        <v>0</v>
      </c>
    </row>
    <row r="193" spans="1:28" x14ac:dyDescent="0.3">
      <c r="A193" s="1">
        <f>IF(Suma!$B192=$A$1,Suma!C192,NA())</f>
        <v>0</v>
      </c>
      <c r="B193" s="1">
        <f>IF(Suma!$B192=$A$1,Suma!D192,NA())</f>
        <v>0</v>
      </c>
      <c r="C193" s="2">
        <f>IF(Suma!$B192=$A$1,Suma!E192,NA())</f>
        <v>0</v>
      </c>
      <c r="D193" s="2">
        <f>IF(Suma!$B192=$A$1,Suma!F192,NA())</f>
        <v>0</v>
      </c>
      <c r="E193" s="1">
        <f>IF(Suma!$B192=$A$1,Suma!P192,NA())</f>
        <v>0</v>
      </c>
      <c r="F193" s="10" t="e">
        <f t="shared" si="4"/>
        <v>#N/A</v>
      </c>
      <c r="G193" s="1">
        <f>IF(Suma!$B192=$A$1,Suma!W192,NA())</f>
        <v>0</v>
      </c>
      <c r="H193" s="10" t="e">
        <f t="shared" si="5"/>
        <v>#N/A</v>
      </c>
      <c r="I193" s="1">
        <f>IF(Suma!$B192=$A$1,Suma!AD192,NA())</f>
        <v>0</v>
      </c>
      <c r="J193" s="1">
        <f>IF(Suma!$B192=$A$1,Suma!AK192,NA())</f>
        <v>0</v>
      </c>
      <c r="K193" s="10">
        <f>IF(Suma!$B192=$A$1,Suma!AS192,NA())</f>
        <v>0</v>
      </c>
      <c r="L193" s="1">
        <f>IF(Suma!$B192=$A$1,Suma!G192,NA())</f>
        <v>0</v>
      </c>
      <c r="M193" s="1">
        <f>IF(Suma!$B192=$A$1,Suma!H192,NA())</f>
        <v>0</v>
      </c>
      <c r="N193" s="1">
        <f>IF(Suma!$B192=$A$1,Suma!AT192,NA())</f>
        <v>1900</v>
      </c>
      <c r="O193" s="1" t="str">
        <f>IF(Suma!$B192=$A$1,Suma!AU192,NA())</f>
        <v>enero</v>
      </c>
      <c r="P193" s="1">
        <f>IF(Suma!$B192=$A$1,Suma!AV192,NA())</f>
        <v>0</v>
      </c>
      <c r="Q193" s="1">
        <f>IF(Suma!$B192=$A$1,Suma!AW192,NA())</f>
        <v>0</v>
      </c>
      <c r="R193" s="10">
        <f>IF(Suma!$B192=$A$1,Suma!AX192,NA())</f>
        <v>0</v>
      </c>
      <c r="S193" s="10">
        <f>IF(Suma!$B192=$A$1,Suma!AY192,NA())</f>
        <v>0</v>
      </c>
      <c r="T193" s="10">
        <f>IF(Suma!$B192=$A$1,Suma!AZ192,NA())</f>
        <v>0</v>
      </c>
      <c r="U193" s="10">
        <f>IF(Suma!$B192=$A$1,Suma!J192,NA())</f>
        <v>0</v>
      </c>
      <c r="V193" s="10">
        <f>IF(Suma!$B192=$A$1,Suma!K192,NA())</f>
        <v>0</v>
      </c>
      <c r="W193" s="10">
        <f>IF(Suma!$B192=$A$1,Suma!L192,NA())</f>
        <v>0</v>
      </c>
      <c r="X193" s="10">
        <f>IF(Suma!$B192=$A$1,Suma!M192,NA())</f>
        <v>0</v>
      </c>
      <c r="Y193" s="10">
        <f>IF(Suma!$B192=$A$1,Suma!N192,NA())</f>
        <v>0</v>
      </c>
      <c r="Z193" s="10">
        <f>IF(Suma!$B192=$A$1,Suma!O192,NA())</f>
        <v>0</v>
      </c>
      <c r="AA193" s="10">
        <f>IF(Suma!$B192=$A$1,Suma!BC192,NA())</f>
        <v>0</v>
      </c>
      <c r="AB193" s="10">
        <f>IF(Suma!$B192=$A$1,Suma!BD192,NA())</f>
        <v>0</v>
      </c>
    </row>
    <row r="194" spans="1:28" x14ac:dyDescent="0.3">
      <c r="A194" s="1">
        <f>IF(Suma!$B193=$A$1,Suma!C193,NA())</f>
        <v>0</v>
      </c>
      <c r="B194" s="1">
        <f>IF(Suma!$B193=$A$1,Suma!D193,NA())</f>
        <v>0</v>
      </c>
      <c r="C194" s="2">
        <f>IF(Suma!$B193=$A$1,Suma!E193,NA())</f>
        <v>0</v>
      </c>
      <c r="D194" s="2">
        <f>IF(Suma!$B193=$A$1,Suma!F193,NA())</f>
        <v>0</v>
      </c>
      <c r="E194" s="1">
        <f>IF(Suma!$B193=$A$1,Suma!P193,NA())</f>
        <v>0</v>
      </c>
      <c r="F194" s="10" t="e">
        <f t="shared" si="4"/>
        <v>#N/A</v>
      </c>
      <c r="G194" s="1">
        <f>IF(Suma!$B193=$A$1,Suma!W193,NA())</f>
        <v>0</v>
      </c>
      <c r="H194" s="10" t="e">
        <f t="shared" si="5"/>
        <v>#N/A</v>
      </c>
      <c r="I194" s="1">
        <f>IF(Suma!$B193=$A$1,Suma!AD193,NA())</f>
        <v>0</v>
      </c>
      <c r="J194" s="1">
        <f>IF(Suma!$B193=$A$1,Suma!AK193,NA())</f>
        <v>0</v>
      </c>
      <c r="K194" s="10">
        <f>IF(Suma!$B193=$A$1,Suma!AS193,NA())</f>
        <v>0</v>
      </c>
      <c r="L194" s="1">
        <f>IF(Suma!$B193=$A$1,Suma!G193,NA())</f>
        <v>0</v>
      </c>
      <c r="M194" s="1">
        <f>IF(Suma!$B193=$A$1,Suma!H193,NA())</f>
        <v>0</v>
      </c>
      <c r="N194" s="1">
        <f>IF(Suma!$B193=$A$1,Suma!AT193,NA())</f>
        <v>1900</v>
      </c>
      <c r="O194" s="1" t="str">
        <f>IF(Suma!$B193=$A$1,Suma!AU193,NA())</f>
        <v>enero</v>
      </c>
      <c r="P194" s="1">
        <f>IF(Suma!$B193=$A$1,Suma!AV193,NA())</f>
        <v>0</v>
      </c>
      <c r="Q194" s="1">
        <f>IF(Suma!$B193=$A$1,Suma!AW193,NA())</f>
        <v>0</v>
      </c>
      <c r="R194" s="10">
        <f>IF(Suma!$B193=$A$1,Suma!AX193,NA())</f>
        <v>0</v>
      </c>
      <c r="S194" s="10">
        <f>IF(Suma!$B193=$A$1,Suma!AY193,NA())</f>
        <v>0</v>
      </c>
      <c r="T194" s="10">
        <f>IF(Suma!$B193=$A$1,Suma!AZ193,NA())</f>
        <v>0</v>
      </c>
      <c r="U194" s="10">
        <f>IF(Suma!$B193=$A$1,Suma!J193,NA())</f>
        <v>0</v>
      </c>
      <c r="V194" s="10">
        <f>IF(Suma!$B193=$A$1,Suma!K193,NA())</f>
        <v>0</v>
      </c>
      <c r="W194" s="10">
        <f>IF(Suma!$B193=$A$1,Suma!L193,NA())</f>
        <v>0</v>
      </c>
      <c r="X194" s="10">
        <f>IF(Suma!$B193=$A$1,Suma!M193,NA())</f>
        <v>0</v>
      </c>
      <c r="Y194" s="10">
        <f>IF(Suma!$B193=$A$1,Suma!N193,NA())</f>
        <v>0</v>
      </c>
      <c r="Z194" s="10">
        <f>IF(Suma!$B193=$A$1,Suma!O193,NA())</f>
        <v>0</v>
      </c>
      <c r="AA194" s="10">
        <f>IF(Suma!$B193=$A$1,Suma!BC193,NA())</f>
        <v>0</v>
      </c>
      <c r="AB194" s="10">
        <f>IF(Suma!$B193=$A$1,Suma!BD193,NA())</f>
        <v>0</v>
      </c>
    </row>
    <row r="195" spans="1:28" x14ac:dyDescent="0.3">
      <c r="A195" s="1">
        <f>IF(Suma!$B194=$A$1,Suma!C194,NA())</f>
        <v>0</v>
      </c>
      <c r="B195" s="1">
        <f>IF(Suma!$B194=$A$1,Suma!D194,NA())</f>
        <v>0</v>
      </c>
      <c r="C195" s="2">
        <f>IF(Suma!$B194=$A$1,Suma!E194,NA())</f>
        <v>0</v>
      </c>
      <c r="D195" s="2">
        <f>IF(Suma!$B194=$A$1,Suma!F194,NA())</f>
        <v>0</v>
      </c>
      <c r="E195" s="1">
        <f>IF(Suma!$B194=$A$1,Suma!P194,NA())</f>
        <v>0</v>
      </c>
      <c r="F195" s="10" t="e">
        <f t="shared" si="4"/>
        <v>#N/A</v>
      </c>
      <c r="G195" s="1">
        <f>IF(Suma!$B194=$A$1,Suma!W194,NA())</f>
        <v>0</v>
      </c>
      <c r="H195" s="10" t="e">
        <f t="shared" si="5"/>
        <v>#N/A</v>
      </c>
      <c r="I195" s="1">
        <f>IF(Suma!$B194=$A$1,Suma!AD194,NA())</f>
        <v>0</v>
      </c>
      <c r="J195" s="1">
        <f>IF(Suma!$B194=$A$1,Suma!AK194,NA())</f>
        <v>0</v>
      </c>
      <c r="K195" s="10">
        <f>IF(Suma!$B194=$A$1,Suma!AS194,NA())</f>
        <v>0</v>
      </c>
      <c r="L195" s="1">
        <f>IF(Suma!$B194=$A$1,Suma!G194,NA())</f>
        <v>0</v>
      </c>
      <c r="M195" s="1">
        <f>IF(Suma!$B194=$A$1,Suma!H194,NA())</f>
        <v>0</v>
      </c>
      <c r="N195" s="1">
        <f>IF(Suma!$B194=$A$1,Suma!AT194,NA())</f>
        <v>1900</v>
      </c>
      <c r="O195" s="1" t="str">
        <f>IF(Suma!$B194=$A$1,Suma!AU194,NA())</f>
        <v>enero</v>
      </c>
      <c r="P195" s="1">
        <f>IF(Suma!$B194=$A$1,Suma!AV194,NA())</f>
        <v>0</v>
      </c>
      <c r="Q195" s="1">
        <f>IF(Suma!$B194=$A$1,Suma!AW194,NA())</f>
        <v>0</v>
      </c>
      <c r="R195" s="10">
        <f>IF(Suma!$B194=$A$1,Suma!AX194,NA())</f>
        <v>0</v>
      </c>
      <c r="S195" s="10">
        <f>IF(Suma!$B194=$A$1,Suma!AY194,NA())</f>
        <v>0</v>
      </c>
      <c r="T195" s="10">
        <f>IF(Suma!$B194=$A$1,Suma!AZ194,NA())</f>
        <v>0</v>
      </c>
      <c r="U195" s="10">
        <f>IF(Suma!$B194=$A$1,Suma!J194,NA())</f>
        <v>0</v>
      </c>
      <c r="V195" s="10">
        <f>IF(Suma!$B194=$A$1,Suma!K194,NA())</f>
        <v>0</v>
      </c>
      <c r="W195" s="10">
        <f>IF(Suma!$B194=$A$1,Suma!L194,NA())</f>
        <v>0</v>
      </c>
      <c r="X195" s="10">
        <f>IF(Suma!$B194=$A$1,Suma!M194,NA())</f>
        <v>0</v>
      </c>
      <c r="Y195" s="10">
        <f>IF(Suma!$B194=$A$1,Suma!N194,NA())</f>
        <v>0</v>
      </c>
      <c r="Z195" s="10">
        <f>IF(Suma!$B194=$A$1,Suma!O194,NA())</f>
        <v>0</v>
      </c>
      <c r="AA195" s="10">
        <f>IF(Suma!$B194=$A$1,Suma!BC194,NA())</f>
        <v>0</v>
      </c>
      <c r="AB195" s="10">
        <f>IF(Suma!$B194=$A$1,Suma!BD194,NA())</f>
        <v>0</v>
      </c>
    </row>
    <row r="196" spans="1:28" x14ac:dyDescent="0.3">
      <c r="A196" s="1">
        <f>IF(Suma!$B195=$A$1,Suma!C195,NA())</f>
        <v>0</v>
      </c>
      <c r="B196" s="1">
        <f>IF(Suma!$B195=$A$1,Suma!D195,NA())</f>
        <v>0</v>
      </c>
      <c r="C196" s="2">
        <f>IF(Suma!$B195=$A$1,Suma!E195,NA())</f>
        <v>0</v>
      </c>
      <c r="D196" s="2">
        <f>IF(Suma!$B195=$A$1,Suma!F195,NA())</f>
        <v>0</v>
      </c>
      <c r="E196" s="1">
        <f>IF(Suma!$B195=$A$1,Suma!P195,NA())</f>
        <v>0</v>
      </c>
      <c r="F196" s="10" t="e">
        <f t="shared" ref="F196:F200" si="6">IFERROR(E196/($D196-$C196),NA())</f>
        <v>#N/A</v>
      </c>
      <c r="G196" s="1">
        <f>IF(Suma!$B195=$A$1,Suma!W195,NA())</f>
        <v>0</v>
      </c>
      <c r="H196" s="10" t="e">
        <f t="shared" ref="H196:H200" si="7">IFERROR(G196/($D196-$C196),NA())</f>
        <v>#N/A</v>
      </c>
      <c r="I196" s="1">
        <f>IF(Suma!$B195=$A$1,Suma!AD195,NA())</f>
        <v>0</v>
      </c>
      <c r="J196" s="1">
        <f>IF(Suma!$B195=$A$1,Suma!AK195,NA())</f>
        <v>0</v>
      </c>
      <c r="K196" s="10">
        <f>IF(Suma!$B195=$A$1,Suma!AS195,NA())</f>
        <v>0</v>
      </c>
      <c r="L196" s="1">
        <f>IF(Suma!$B195=$A$1,Suma!G195,NA())</f>
        <v>0</v>
      </c>
      <c r="M196" s="1">
        <f>IF(Suma!$B195=$A$1,Suma!H195,NA())</f>
        <v>0</v>
      </c>
      <c r="N196" s="1">
        <f>IF(Suma!$B195=$A$1,Suma!AT195,NA())</f>
        <v>1900</v>
      </c>
      <c r="O196" s="1" t="str">
        <f>IF(Suma!$B195=$A$1,Suma!AU195,NA())</f>
        <v>enero</v>
      </c>
      <c r="P196" s="1">
        <f>IF(Suma!$B195=$A$1,Suma!AV195,NA())</f>
        <v>0</v>
      </c>
      <c r="Q196" s="1">
        <f>IF(Suma!$B195=$A$1,Suma!AW195,NA())</f>
        <v>0</v>
      </c>
      <c r="R196" s="10">
        <f>IF(Suma!$B195=$A$1,Suma!AX195,NA())</f>
        <v>0</v>
      </c>
      <c r="S196" s="10">
        <f>IF(Suma!$B195=$A$1,Suma!AY195,NA())</f>
        <v>0</v>
      </c>
      <c r="T196" s="10">
        <f>IF(Suma!$B195=$A$1,Suma!AZ195,NA())</f>
        <v>0</v>
      </c>
      <c r="U196" s="10">
        <f>IF(Suma!$B195=$A$1,Suma!J195,NA())</f>
        <v>0</v>
      </c>
      <c r="V196" s="10">
        <f>IF(Suma!$B195=$A$1,Suma!K195,NA())</f>
        <v>0</v>
      </c>
      <c r="W196" s="10">
        <f>IF(Suma!$B195=$A$1,Suma!L195,NA())</f>
        <v>0</v>
      </c>
      <c r="X196" s="10">
        <f>IF(Suma!$B195=$A$1,Suma!M195,NA())</f>
        <v>0</v>
      </c>
      <c r="Y196" s="10">
        <f>IF(Suma!$B195=$A$1,Suma!N195,NA())</f>
        <v>0</v>
      </c>
      <c r="Z196" s="10">
        <f>IF(Suma!$B195=$A$1,Suma!O195,NA())</f>
        <v>0</v>
      </c>
      <c r="AA196" s="10">
        <f>IF(Suma!$B195=$A$1,Suma!BC195,NA())</f>
        <v>0</v>
      </c>
      <c r="AB196" s="10">
        <f>IF(Suma!$B195=$A$1,Suma!BD195,NA())</f>
        <v>0</v>
      </c>
    </row>
    <row r="197" spans="1:28" x14ac:dyDescent="0.3">
      <c r="A197" s="1">
        <f>IF(Suma!$B196=$A$1,Suma!C196,NA())</f>
        <v>0</v>
      </c>
      <c r="B197" s="1">
        <f>IF(Suma!$B196=$A$1,Suma!D196,NA())</f>
        <v>0</v>
      </c>
      <c r="C197" s="2">
        <f>IF(Suma!$B196=$A$1,Suma!E196,NA())</f>
        <v>0</v>
      </c>
      <c r="D197" s="2">
        <f>IF(Suma!$B196=$A$1,Suma!F196,NA())</f>
        <v>0</v>
      </c>
      <c r="E197" s="1">
        <f>IF(Suma!$B196=$A$1,Suma!P196,NA())</f>
        <v>0</v>
      </c>
      <c r="F197" s="10" t="e">
        <f t="shared" si="6"/>
        <v>#N/A</v>
      </c>
      <c r="G197" s="1">
        <f>IF(Suma!$B196=$A$1,Suma!W196,NA())</f>
        <v>0</v>
      </c>
      <c r="H197" s="10" t="e">
        <f t="shared" si="7"/>
        <v>#N/A</v>
      </c>
      <c r="I197" s="1">
        <f>IF(Suma!$B196=$A$1,Suma!AD196,NA())</f>
        <v>0</v>
      </c>
      <c r="J197" s="1">
        <f>IF(Suma!$B196=$A$1,Suma!AK196,NA())</f>
        <v>0</v>
      </c>
      <c r="K197" s="10">
        <f>IF(Suma!$B196=$A$1,Suma!AS196,NA())</f>
        <v>0</v>
      </c>
      <c r="L197" s="1">
        <f>IF(Suma!$B196=$A$1,Suma!G196,NA())</f>
        <v>0</v>
      </c>
      <c r="M197" s="1">
        <f>IF(Suma!$B196=$A$1,Suma!H196,NA())</f>
        <v>0</v>
      </c>
      <c r="N197" s="1">
        <f>IF(Suma!$B196=$A$1,Suma!AT196,NA())</f>
        <v>1900</v>
      </c>
      <c r="O197" s="1" t="str">
        <f>IF(Suma!$B196=$A$1,Suma!AU196,NA())</f>
        <v>enero</v>
      </c>
      <c r="P197" s="1">
        <f>IF(Suma!$B196=$A$1,Suma!AV196,NA())</f>
        <v>0</v>
      </c>
      <c r="Q197" s="1">
        <f>IF(Suma!$B196=$A$1,Suma!AW196,NA())</f>
        <v>0</v>
      </c>
      <c r="R197" s="10">
        <f>IF(Suma!$B196=$A$1,Suma!AX196,NA())</f>
        <v>0</v>
      </c>
      <c r="S197" s="10">
        <f>IF(Suma!$B196=$A$1,Suma!AY196,NA())</f>
        <v>0</v>
      </c>
      <c r="T197" s="10">
        <f>IF(Suma!$B196=$A$1,Suma!AZ196,NA())</f>
        <v>0</v>
      </c>
      <c r="U197" s="10">
        <f>IF(Suma!$B196=$A$1,Suma!J196,NA())</f>
        <v>0</v>
      </c>
      <c r="V197" s="10">
        <f>IF(Suma!$B196=$A$1,Suma!K196,NA())</f>
        <v>0</v>
      </c>
      <c r="W197" s="10">
        <f>IF(Suma!$B196=$A$1,Suma!L196,NA())</f>
        <v>0</v>
      </c>
      <c r="X197" s="10">
        <f>IF(Suma!$B196=$A$1,Suma!M196,NA())</f>
        <v>0</v>
      </c>
      <c r="Y197" s="10">
        <f>IF(Suma!$B196=$A$1,Suma!N196,NA())</f>
        <v>0</v>
      </c>
      <c r="Z197" s="10">
        <f>IF(Suma!$B196=$A$1,Suma!O196,NA())</f>
        <v>0</v>
      </c>
      <c r="AA197" s="10">
        <f>IF(Suma!$B196=$A$1,Suma!BC196,NA())</f>
        <v>0</v>
      </c>
      <c r="AB197" s="10">
        <f>IF(Suma!$B196=$A$1,Suma!BD196,NA())</f>
        <v>0</v>
      </c>
    </row>
    <row r="198" spans="1:28" x14ac:dyDescent="0.3">
      <c r="A198" s="1">
        <f>IF(Suma!$B197=$A$1,Suma!C197,NA())</f>
        <v>0</v>
      </c>
      <c r="B198" s="1">
        <f>IF(Suma!$B197=$A$1,Suma!D197,NA())</f>
        <v>0</v>
      </c>
      <c r="C198" s="2">
        <f>IF(Suma!$B197=$A$1,Suma!E197,NA())</f>
        <v>0</v>
      </c>
      <c r="D198" s="2">
        <f>IF(Suma!$B197=$A$1,Suma!F197,NA())</f>
        <v>0</v>
      </c>
      <c r="E198" s="1">
        <f>IF(Suma!$B197=$A$1,Suma!P197,NA())</f>
        <v>0</v>
      </c>
      <c r="F198" s="10" t="e">
        <f t="shared" si="6"/>
        <v>#N/A</v>
      </c>
      <c r="G198" s="1">
        <f>IF(Suma!$B197=$A$1,Suma!W197,NA())</f>
        <v>0</v>
      </c>
      <c r="H198" s="10" t="e">
        <f t="shared" si="7"/>
        <v>#N/A</v>
      </c>
      <c r="I198" s="1">
        <f>IF(Suma!$B197=$A$1,Suma!AD197,NA())</f>
        <v>0</v>
      </c>
      <c r="J198" s="1">
        <f>IF(Suma!$B197=$A$1,Suma!AK197,NA())</f>
        <v>0</v>
      </c>
      <c r="K198" s="10">
        <f>IF(Suma!$B197=$A$1,Suma!AS197,NA())</f>
        <v>0</v>
      </c>
      <c r="L198" s="1">
        <f>IF(Suma!$B197=$A$1,Suma!G197,NA())</f>
        <v>0</v>
      </c>
      <c r="M198" s="1">
        <f>IF(Suma!$B197=$A$1,Suma!H197,NA())</f>
        <v>0</v>
      </c>
      <c r="N198" s="1">
        <f>IF(Suma!$B197=$A$1,Suma!AT197,NA())</f>
        <v>1900</v>
      </c>
      <c r="O198" s="1" t="str">
        <f>IF(Suma!$B197=$A$1,Suma!AU197,NA())</f>
        <v>enero</v>
      </c>
      <c r="P198" s="1">
        <f>IF(Suma!$B197=$A$1,Suma!AV197,NA())</f>
        <v>0</v>
      </c>
      <c r="Q198" s="1">
        <f>IF(Suma!$B197=$A$1,Suma!AW197,NA())</f>
        <v>0</v>
      </c>
      <c r="R198" s="10">
        <f>IF(Suma!$B197=$A$1,Suma!AX197,NA())</f>
        <v>0</v>
      </c>
      <c r="S198" s="10">
        <f>IF(Suma!$B197=$A$1,Suma!AY197,NA())</f>
        <v>0</v>
      </c>
      <c r="T198" s="10">
        <f>IF(Suma!$B197=$A$1,Suma!AZ197,NA())</f>
        <v>0</v>
      </c>
      <c r="U198" s="10">
        <f>IF(Suma!$B197=$A$1,Suma!J197,NA())</f>
        <v>0</v>
      </c>
      <c r="V198" s="10">
        <f>IF(Suma!$B197=$A$1,Suma!K197,NA())</f>
        <v>0</v>
      </c>
      <c r="W198" s="10">
        <f>IF(Suma!$B197=$A$1,Suma!L197,NA())</f>
        <v>0</v>
      </c>
      <c r="X198" s="10">
        <f>IF(Suma!$B197=$A$1,Suma!M197,NA())</f>
        <v>0</v>
      </c>
      <c r="Y198" s="10">
        <f>IF(Suma!$B197=$A$1,Suma!N197,NA())</f>
        <v>0</v>
      </c>
      <c r="Z198" s="10">
        <f>IF(Suma!$B197=$A$1,Suma!O197,NA())</f>
        <v>0</v>
      </c>
      <c r="AA198" s="10">
        <f>IF(Suma!$B197=$A$1,Suma!BC197,NA())</f>
        <v>0</v>
      </c>
      <c r="AB198" s="10">
        <f>IF(Suma!$B197=$A$1,Suma!BD197,NA())</f>
        <v>0</v>
      </c>
    </row>
    <row r="199" spans="1:28" x14ac:dyDescent="0.3">
      <c r="A199" s="1">
        <f>IF(Suma!$B198=$A$1,Suma!C198,NA())</f>
        <v>0</v>
      </c>
      <c r="B199" s="1">
        <f>IF(Suma!$B198=$A$1,Suma!D198,NA())</f>
        <v>0</v>
      </c>
      <c r="C199" s="2">
        <f>IF(Suma!$B198=$A$1,Suma!E198,NA())</f>
        <v>0</v>
      </c>
      <c r="D199" s="2">
        <f>IF(Suma!$B198=$A$1,Suma!F198,NA())</f>
        <v>0</v>
      </c>
      <c r="E199" s="1">
        <f>IF(Suma!$B198=$A$1,Suma!P198,NA())</f>
        <v>0</v>
      </c>
      <c r="F199" s="10" t="e">
        <f t="shared" si="6"/>
        <v>#N/A</v>
      </c>
      <c r="G199" s="1">
        <f>IF(Suma!$B198=$A$1,Suma!W198,NA())</f>
        <v>0</v>
      </c>
      <c r="H199" s="10" t="e">
        <f t="shared" si="7"/>
        <v>#N/A</v>
      </c>
      <c r="I199" s="1">
        <f>IF(Suma!$B198=$A$1,Suma!AD198,NA())</f>
        <v>0</v>
      </c>
      <c r="J199" s="1">
        <f>IF(Suma!$B198=$A$1,Suma!AK198,NA())</f>
        <v>0</v>
      </c>
      <c r="K199" s="10">
        <f>IF(Suma!$B198=$A$1,Suma!AS198,NA())</f>
        <v>0</v>
      </c>
      <c r="L199" s="1">
        <f>IF(Suma!$B198=$A$1,Suma!G198,NA())</f>
        <v>0</v>
      </c>
      <c r="M199" s="1">
        <f>IF(Suma!$B198=$A$1,Suma!H198,NA())</f>
        <v>0</v>
      </c>
      <c r="N199" s="1">
        <f>IF(Suma!$B198=$A$1,Suma!AT198,NA())</f>
        <v>1900</v>
      </c>
      <c r="O199" s="1" t="str">
        <f>IF(Suma!$B198=$A$1,Suma!AU198,NA())</f>
        <v>enero</v>
      </c>
      <c r="P199" s="1">
        <f>IF(Suma!$B198=$A$1,Suma!AV198,NA())</f>
        <v>0</v>
      </c>
      <c r="Q199" s="1">
        <f>IF(Suma!$B198=$A$1,Suma!AW198,NA())</f>
        <v>0</v>
      </c>
      <c r="R199" s="10">
        <f>IF(Suma!$B198=$A$1,Suma!AX198,NA())</f>
        <v>0</v>
      </c>
      <c r="S199" s="10">
        <f>IF(Suma!$B198=$A$1,Suma!AY198,NA())</f>
        <v>0</v>
      </c>
      <c r="T199" s="10">
        <f>IF(Suma!$B198=$A$1,Suma!AZ198,NA())</f>
        <v>0</v>
      </c>
      <c r="U199" s="10">
        <f>IF(Suma!$B198=$A$1,Suma!J198,NA())</f>
        <v>0</v>
      </c>
      <c r="V199" s="10">
        <f>IF(Suma!$B198=$A$1,Suma!K198,NA())</f>
        <v>0</v>
      </c>
      <c r="W199" s="10">
        <f>IF(Suma!$B198=$A$1,Suma!L198,NA())</f>
        <v>0</v>
      </c>
      <c r="X199" s="10">
        <f>IF(Suma!$B198=$A$1,Suma!M198,NA())</f>
        <v>0</v>
      </c>
      <c r="Y199" s="10">
        <f>IF(Suma!$B198=$A$1,Suma!N198,NA())</f>
        <v>0</v>
      </c>
      <c r="Z199" s="10">
        <f>IF(Suma!$B198=$A$1,Suma!O198,NA())</f>
        <v>0</v>
      </c>
      <c r="AA199" s="10">
        <f>IF(Suma!$B198=$A$1,Suma!BC198,NA())</f>
        <v>0</v>
      </c>
      <c r="AB199" s="10">
        <f>IF(Suma!$B198=$A$1,Suma!BD198,NA())</f>
        <v>0</v>
      </c>
    </row>
    <row r="200" spans="1:28" x14ac:dyDescent="0.3">
      <c r="A200" s="1">
        <f>IF(Suma!$B199=$A$1,Suma!C199,NA())</f>
        <v>0</v>
      </c>
      <c r="B200" s="1">
        <f>IF(Suma!$B199=$A$1,Suma!D199,NA())</f>
        <v>0</v>
      </c>
      <c r="C200" s="2">
        <f>IF(Suma!$B199=$A$1,Suma!E199,NA())</f>
        <v>0</v>
      </c>
      <c r="D200" s="2">
        <f>IF(Suma!$B199=$A$1,Suma!F199,NA())</f>
        <v>0</v>
      </c>
      <c r="E200" s="1">
        <f>IF(Suma!$B199=$A$1,Suma!P199,NA())</f>
        <v>0</v>
      </c>
      <c r="F200" s="10" t="e">
        <f t="shared" si="6"/>
        <v>#N/A</v>
      </c>
      <c r="G200" s="1">
        <f>IF(Suma!$B199=$A$1,Suma!W199,NA())</f>
        <v>0</v>
      </c>
      <c r="H200" s="10" t="e">
        <f t="shared" si="7"/>
        <v>#N/A</v>
      </c>
      <c r="I200" s="1">
        <f>IF(Suma!$B199=$A$1,Suma!AD199,NA())</f>
        <v>0</v>
      </c>
      <c r="J200" s="1">
        <f>IF(Suma!$B199=$A$1,Suma!AK199,NA())</f>
        <v>0</v>
      </c>
      <c r="K200" s="10">
        <f>IF(Suma!$B199=$A$1,Suma!AS199,NA())</f>
        <v>0</v>
      </c>
      <c r="L200" s="1">
        <f>IF(Suma!$B199=$A$1,Suma!G199,NA())</f>
        <v>0</v>
      </c>
      <c r="M200" s="1">
        <f>IF(Suma!$B199=$A$1,Suma!H199,NA())</f>
        <v>0</v>
      </c>
      <c r="N200" s="1">
        <f>IF(Suma!$B199=$A$1,Suma!AT199,NA())</f>
        <v>1900</v>
      </c>
      <c r="O200" s="1" t="str">
        <f>IF(Suma!$B199=$A$1,Suma!AU199,NA())</f>
        <v>enero</v>
      </c>
      <c r="P200" s="1">
        <f>IF(Suma!$B199=$A$1,Suma!AV199,NA())</f>
        <v>0</v>
      </c>
      <c r="Q200" s="1">
        <f>IF(Suma!$B199=$A$1,Suma!AW199,NA())</f>
        <v>0</v>
      </c>
      <c r="R200" s="10">
        <f>IF(Suma!$B199=$A$1,Suma!AX199,NA())</f>
        <v>0</v>
      </c>
      <c r="S200" s="10">
        <f>IF(Suma!$B199=$A$1,Suma!AY199,NA())</f>
        <v>0</v>
      </c>
      <c r="T200" s="10">
        <f>IF(Suma!$B199=$A$1,Suma!AZ199,NA())</f>
        <v>0</v>
      </c>
      <c r="U200" s="10">
        <f>IF(Suma!$B199=$A$1,Suma!J199,NA())</f>
        <v>0</v>
      </c>
      <c r="V200" s="10">
        <f>IF(Suma!$B199=$A$1,Suma!K199,NA())</f>
        <v>0</v>
      </c>
      <c r="W200" s="10">
        <f>IF(Suma!$B199=$A$1,Suma!L199,NA())</f>
        <v>0</v>
      </c>
      <c r="X200" s="10">
        <f>IF(Suma!$B199=$A$1,Suma!M199,NA())</f>
        <v>0</v>
      </c>
      <c r="Y200" s="10">
        <f>IF(Suma!$B199=$A$1,Suma!N199,NA())</f>
        <v>0</v>
      </c>
      <c r="Z200" s="10">
        <f>IF(Suma!$B199=$A$1,Suma!O199,NA())</f>
        <v>0</v>
      </c>
      <c r="AA200" s="10">
        <f>IF(Suma!$B199=$A$1,Suma!BC199,NA())</f>
        <v>0</v>
      </c>
      <c r="AB200" s="10">
        <f>IF(Suma!$B199=$A$1,Suma!BD199,NA())</f>
        <v>0</v>
      </c>
    </row>
    <row r="201" spans="1:28" x14ac:dyDescent="0.3">
      <c r="A201" s="1"/>
      <c r="B201" s="1"/>
      <c r="D201" s="2"/>
      <c r="F201" s="10"/>
      <c r="H201" s="10"/>
    </row>
    <row r="202" spans="1:28" x14ac:dyDescent="0.3">
      <c r="A202" s="1"/>
      <c r="B202" s="1"/>
      <c r="D202" s="2"/>
      <c r="F202" s="10"/>
      <c r="H202" s="10"/>
    </row>
    <row r="203" spans="1:28" x14ac:dyDescent="0.3">
      <c r="A203" s="1"/>
      <c r="B203" s="1"/>
      <c r="D203" s="2"/>
      <c r="F203" s="10"/>
      <c r="H203" s="10"/>
    </row>
    <row r="204" spans="1:28" x14ac:dyDescent="0.3">
      <c r="A204" s="1"/>
      <c r="B204" s="1"/>
      <c r="D204" s="2"/>
      <c r="F204" s="10"/>
      <c r="H204" s="10"/>
    </row>
    <row r="205" spans="1:28" x14ac:dyDescent="0.3">
      <c r="A205" s="1"/>
      <c r="B205" s="1"/>
      <c r="D205" s="2"/>
      <c r="F205" s="10"/>
      <c r="H205" s="10"/>
    </row>
    <row r="206" spans="1:28" x14ac:dyDescent="0.3">
      <c r="A206" s="1"/>
      <c r="B206" s="1"/>
      <c r="D206" s="2"/>
      <c r="F206" s="10"/>
      <c r="H206" s="10"/>
    </row>
    <row r="207" spans="1:28" x14ac:dyDescent="0.3">
      <c r="A207" s="1"/>
      <c r="B207" s="1"/>
      <c r="D207" s="2"/>
      <c r="F207" s="10"/>
      <c r="H207" s="10"/>
    </row>
    <row r="208" spans="1:28" x14ac:dyDescent="0.3">
      <c r="A208" s="1"/>
      <c r="B208" s="1"/>
      <c r="D208" s="2"/>
      <c r="F208" s="10"/>
      <c r="H208" s="10"/>
    </row>
    <row r="209" spans="1:8" x14ac:dyDescent="0.3">
      <c r="A209" s="1"/>
      <c r="B209" s="1"/>
      <c r="D209" s="2"/>
      <c r="F209" s="10"/>
      <c r="H209" s="10"/>
    </row>
    <row r="210" spans="1:8" x14ac:dyDescent="0.3">
      <c r="A210" s="1"/>
      <c r="B210" s="1"/>
      <c r="D210" s="2"/>
      <c r="F210" s="10"/>
      <c r="H210" s="10"/>
    </row>
    <row r="211" spans="1:8" x14ac:dyDescent="0.3">
      <c r="A211" s="1"/>
      <c r="B211" s="1"/>
      <c r="D211" s="2"/>
      <c r="F211" s="10"/>
      <c r="H211" s="10"/>
    </row>
    <row r="212" spans="1:8" x14ac:dyDescent="0.3">
      <c r="A212" s="1"/>
      <c r="B212" s="1"/>
      <c r="D212" s="2"/>
      <c r="F212" s="10"/>
      <c r="H212" s="10"/>
    </row>
    <row r="213" spans="1:8" x14ac:dyDescent="0.3">
      <c r="A213" s="1"/>
      <c r="B213" s="1"/>
      <c r="D213" s="2"/>
      <c r="F213" s="10"/>
      <c r="H213" s="10"/>
    </row>
    <row r="214" spans="1:8" x14ac:dyDescent="0.3">
      <c r="A214" s="1"/>
      <c r="B214" s="1"/>
      <c r="D214" s="2"/>
      <c r="F214" s="10"/>
      <c r="H214" s="10"/>
    </row>
    <row r="215" spans="1:8" x14ac:dyDescent="0.3">
      <c r="A215" s="1"/>
      <c r="B215" s="1"/>
      <c r="D215" s="2"/>
      <c r="F215" s="10"/>
      <c r="H215" s="10"/>
    </row>
    <row r="216" spans="1:8" x14ac:dyDescent="0.3">
      <c r="A216" s="1"/>
      <c r="B216" s="1"/>
      <c r="D216" s="2"/>
      <c r="F216" s="10"/>
      <c r="H216" s="10"/>
    </row>
    <row r="217" spans="1:8" x14ac:dyDescent="0.3">
      <c r="A217" s="1"/>
      <c r="B217" s="1"/>
      <c r="D217" s="2"/>
      <c r="F217" s="10"/>
      <c r="H217" s="10"/>
    </row>
    <row r="218" spans="1:8" x14ac:dyDescent="0.3">
      <c r="A218" s="1"/>
      <c r="B218" s="1"/>
      <c r="D218" s="2"/>
      <c r="F218" s="10"/>
      <c r="H218" s="10"/>
    </row>
    <row r="219" spans="1:8" x14ac:dyDescent="0.3">
      <c r="A219" s="1"/>
      <c r="B219" s="1"/>
      <c r="D219" s="2"/>
      <c r="F219" s="10"/>
      <c r="H219" s="10"/>
    </row>
    <row r="220" spans="1:8" x14ac:dyDescent="0.3">
      <c r="A220" s="1"/>
      <c r="B220" s="1"/>
      <c r="D220" s="2"/>
      <c r="F220" s="10"/>
      <c r="H220" s="10"/>
    </row>
    <row r="221" spans="1:8" x14ac:dyDescent="0.3">
      <c r="A221" s="1"/>
      <c r="B221" s="1"/>
      <c r="D221" s="2"/>
      <c r="F221" s="10"/>
      <c r="H221" s="10"/>
    </row>
    <row r="222" spans="1:8" x14ac:dyDescent="0.3">
      <c r="A222" s="1"/>
      <c r="B222" s="1"/>
      <c r="D222" s="2"/>
      <c r="F222" s="10"/>
      <c r="H222" s="10"/>
    </row>
    <row r="223" spans="1:8" x14ac:dyDescent="0.3">
      <c r="A223" s="1"/>
      <c r="B223" s="1"/>
      <c r="D223" s="2"/>
      <c r="F223" s="10"/>
      <c r="H223" s="10"/>
    </row>
    <row r="224" spans="1:8" x14ac:dyDescent="0.3">
      <c r="A224" s="1"/>
      <c r="B224" s="1"/>
      <c r="D224" s="2"/>
      <c r="F224" s="10"/>
      <c r="H224" s="10"/>
    </row>
    <row r="225" spans="1:8" x14ac:dyDescent="0.3">
      <c r="A225" s="1"/>
      <c r="B225" s="1"/>
      <c r="D225" s="2"/>
      <c r="F225" s="10"/>
      <c r="H225" s="10"/>
    </row>
    <row r="226" spans="1:8" x14ac:dyDescent="0.3">
      <c r="A226" s="1"/>
      <c r="B226" s="1"/>
      <c r="D226" s="2"/>
      <c r="F226" s="10"/>
      <c r="H226" s="10"/>
    </row>
    <row r="227" spans="1:8" x14ac:dyDescent="0.3">
      <c r="A227" s="1"/>
      <c r="B227" s="1"/>
      <c r="D227" s="2"/>
      <c r="F227" s="10"/>
      <c r="H227" s="10"/>
    </row>
    <row r="228" spans="1:8" x14ac:dyDescent="0.3">
      <c r="A228" s="1"/>
      <c r="B228" s="1"/>
      <c r="D228" s="2"/>
      <c r="F228" s="10"/>
      <c r="H228" s="10"/>
    </row>
    <row r="229" spans="1:8" x14ac:dyDescent="0.3">
      <c r="A229" s="1"/>
      <c r="B229" s="1"/>
      <c r="D229" s="2"/>
      <c r="F229" s="10"/>
      <c r="H229" s="10"/>
    </row>
    <row r="230" spans="1:8" x14ac:dyDescent="0.3">
      <c r="A230" s="1"/>
      <c r="B230" s="1"/>
      <c r="D230" s="2"/>
      <c r="F230" s="10"/>
      <c r="H230" s="10"/>
    </row>
    <row r="231" spans="1:8" x14ac:dyDescent="0.3">
      <c r="A231" s="1"/>
      <c r="B231" s="1"/>
      <c r="D231" s="2"/>
      <c r="F231" s="10"/>
      <c r="H231" s="10"/>
    </row>
    <row r="232" spans="1:8" x14ac:dyDescent="0.3">
      <c r="A232" s="1"/>
      <c r="B232" s="1"/>
      <c r="D232" s="2"/>
      <c r="F232" s="10"/>
      <c r="H232" s="10"/>
    </row>
    <row r="233" spans="1:8" x14ac:dyDescent="0.3">
      <c r="A233" s="1"/>
      <c r="B233" s="1"/>
      <c r="D233" s="2"/>
      <c r="F233" s="10"/>
      <c r="H233" s="10"/>
    </row>
    <row r="234" spans="1:8" x14ac:dyDescent="0.3">
      <c r="A234" s="1"/>
      <c r="B234" s="1"/>
      <c r="D234" s="2"/>
      <c r="F234" s="10"/>
      <c r="H234" s="10"/>
    </row>
    <row r="235" spans="1:8" x14ac:dyDescent="0.3">
      <c r="A235" s="1"/>
      <c r="B235" s="1"/>
      <c r="D235" s="2"/>
      <c r="F235" s="10"/>
      <c r="H235" s="10"/>
    </row>
    <row r="236" spans="1:8" x14ac:dyDescent="0.3">
      <c r="A236" s="1"/>
      <c r="B236" s="1"/>
      <c r="D236" s="2"/>
      <c r="F236" s="10"/>
      <c r="H236" s="10"/>
    </row>
    <row r="237" spans="1:8" x14ac:dyDescent="0.3">
      <c r="A237" s="1"/>
      <c r="B237" s="1"/>
      <c r="D237" s="2"/>
      <c r="F237" s="10"/>
      <c r="H237" s="10"/>
    </row>
    <row r="238" spans="1:8" x14ac:dyDescent="0.3">
      <c r="A238" s="1"/>
      <c r="B238" s="1"/>
      <c r="D238" s="2"/>
      <c r="F238" s="10"/>
      <c r="H238" s="10"/>
    </row>
    <row r="239" spans="1:8" x14ac:dyDescent="0.3">
      <c r="A239" s="1"/>
      <c r="B239" s="1"/>
      <c r="D239" s="2"/>
      <c r="F239" s="10"/>
      <c r="H239" s="10"/>
    </row>
    <row r="240" spans="1:8" x14ac:dyDescent="0.3">
      <c r="A240" s="1"/>
      <c r="B240" s="1"/>
      <c r="D240" s="2"/>
      <c r="F240" s="10"/>
      <c r="H240" s="10"/>
    </row>
    <row r="241" spans="1:8" x14ac:dyDescent="0.3">
      <c r="A241" s="1"/>
      <c r="B241" s="1"/>
      <c r="D241" s="2"/>
      <c r="F241" s="10"/>
      <c r="H241" s="10"/>
    </row>
    <row r="242" spans="1:8" x14ac:dyDescent="0.3">
      <c r="A242" s="1"/>
      <c r="B242" s="1"/>
      <c r="D242" s="2"/>
      <c r="F242" s="10"/>
      <c r="H242" s="10"/>
    </row>
    <row r="243" spans="1:8" x14ac:dyDescent="0.3">
      <c r="A243" s="1"/>
      <c r="B243" s="1"/>
      <c r="D243" s="2"/>
      <c r="F243" s="10"/>
      <c r="H243" s="10"/>
    </row>
    <row r="244" spans="1:8" x14ac:dyDescent="0.3">
      <c r="A244" s="1"/>
      <c r="B244" s="1"/>
      <c r="D244" s="2"/>
      <c r="F244" s="10"/>
      <c r="H244" s="10"/>
    </row>
    <row r="245" spans="1:8" x14ac:dyDescent="0.3">
      <c r="A245" s="1"/>
      <c r="B245" s="1"/>
      <c r="D245" s="2"/>
      <c r="F245" s="10"/>
      <c r="H245" s="10"/>
    </row>
    <row r="246" spans="1:8" x14ac:dyDescent="0.3">
      <c r="A246" s="1"/>
      <c r="B246" s="1"/>
      <c r="D246" s="2"/>
      <c r="F246" s="10"/>
      <c r="H246" s="10"/>
    </row>
    <row r="247" spans="1:8" x14ac:dyDescent="0.3">
      <c r="A247" s="1"/>
      <c r="B247" s="1"/>
      <c r="D247" s="2"/>
      <c r="F247" s="10"/>
      <c r="H247" s="10"/>
    </row>
    <row r="248" spans="1:8" x14ac:dyDescent="0.3">
      <c r="A248" s="1"/>
      <c r="B248" s="1"/>
      <c r="D248" s="2"/>
      <c r="F248" s="10"/>
      <c r="H248" s="10"/>
    </row>
    <row r="249" spans="1:8" x14ac:dyDescent="0.3">
      <c r="A249" s="1"/>
      <c r="B249" s="1"/>
      <c r="D249" s="2"/>
      <c r="F249" s="10"/>
      <c r="H249" s="10"/>
    </row>
    <row r="250" spans="1:8" x14ac:dyDescent="0.3">
      <c r="A250" s="1"/>
      <c r="B250" s="1"/>
      <c r="D250" s="2"/>
      <c r="F250" s="10"/>
      <c r="H250" s="10"/>
    </row>
  </sheetData>
  <sheetProtection algorithmName="SHA-512" hashValue="ox8bTMOl166fE3SPzNOnO7c93q5Q+VNMe9bNBUGJ5AVsUmKqZRkhaxSrZUMwsttr9WxLhRVx2Eqh+mJJKJvWOg==" saltValue="ckz8q8bpXWocgRJS8ht+EQ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headerFooter>
    <oddHeader>&amp;C&amp;"Arial"&amp;8&amp;K000000INTERNAL&amp;1#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SB299"/>
  <sheetViews>
    <sheetView showGridLines="0" showZeros="0" zoomScaleNormal="100" workbookViewId="0">
      <pane ySplit="22" topLeftCell="A23" activePane="bottomLeft" state="frozen"/>
      <selection pane="bottomLeft" activeCell="BI16" sqref="BI16"/>
    </sheetView>
  </sheetViews>
  <sheetFormatPr baseColWidth="10" defaultColWidth="14.5546875" defaultRowHeight="14.4" x14ac:dyDescent="0.3"/>
  <cols>
    <col min="1" max="1" width="10.77734375" style="14" customWidth="1"/>
    <col min="2" max="4" width="12.6640625" style="14" customWidth="1"/>
    <col min="5" max="5" width="14.21875" style="19" customWidth="1"/>
    <col min="6" max="6" width="17.88671875" style="38" bestFit="1" customWidth="1"/>
    <col min="7" max="7" width="14.21875" style="39" customWidth="1"/>
    <col min="8" max="8" width="14.109375" style="39" customWidth="1"/>
    <col min="9" max="9" width="12.6640625" style="13" customWidth="1"/>
    <col min="10" max="10" width="5" style="13" bestFit="1" customWidth="1"/>
    <col min="11" max="18" width="4" style="13" customWidth="1"/>
    <col min="19" max="121" width="5" style="13" customWidth="1"/>
    <col min="122" max="123" width="6" style="13" customWidth="1"/>
    <col min="124" max="124" width="9.6640625" style="13" customWidth="1"/>
    <col min="125" max="141" width="4" style="13" customWidth="1"/>
    <col min="142" max="244" width="5" style="13" customWidth="1"/>
    <col min="245" max="246" width="6" style="13" customWidth="1"/>
    <col min="247" max="247" width="10.88671875" style="13" customWidth="1"/>
    <col min="248" max="264" width="4" style="13" customWidth="1"/>
    <col min="265" max="367" width="5" style="13" customWidth="1"/>
    <col min="368" max="369" width="6" style="13" customWidth="1"/>
    <col min="370" max="370" width="12.5546875" style="13" customWidth="1"/>
    <col min="371" max="387" width="4" style="13" customWidth="1"/>
    <col min="388" max="490" width="5" style="13" customWidth="1"/>
    <col min="491" max="492" width="6" style="13" customWidth="1"/>
    <col min="493" max="494" width="13.44140625" style="13" customWidth="1"/>
    <col min="495" max="495" width="12.33203125" style="13" customWidth="1"/>
    <col min="496" max="496" width="12.5546875" style="13" customWidth="1"/>
    <col min="497" max="16384" width="14.5546875" style="13"/>
  </cols>
  <sheetData>
    <row r="1" spans="1:12" x14ac:dyDescent="0.3">
      <c r="A1" s="59"/>
      <c r="B1" s="96" t="s">
        <v>5</v>
      </c>
      <c r="C1" s="96"/>
      <c r="D1" s="96"/>
      <c r="E1" s="96"/>
      <c r="F1" s="96"/>
      <c r="G1" s="96"/>
      <c r="H1" s="96"/>
      <c r="I1" s="96"/>
      <c r="J1"/>
      <c r="K1"/>
      <c r="L1"/>
    </row>
    <row r="2" spans="1:12" ht="57.6" x14ac:dyDescent="0.3">
      <c r="A2" s="96" t="s">
        <v>8</v>
      </c>
      <c r="B2" s="98" t="s">
        <v>10</v>
      </c>
      <c r="C2" s="98" t="s">
        <v>9</v>
      </c>
      <c r="D2" s="97" t="s">
        <v>6</v>
      </c>
      <c r="E2" s="97" t="s">
        <v>7</v>
      </c>
      <c r="F2" s="97" t="s">
        <v>24</v>
      </c>
      <c r="G2" s="97" t="s">
        <v>27</v>
      </c>
      <c r="H2" s="97" t="s">
        <v>36</v>
      </c>
      <c r="I2" s="96" t="s">
        <v>46</v>
      </c>
      <c r="J2"/>
      <c r="K2"/>
      <c r="L2"/>
    </row>
    <row r="3" spans="1:12" x14ac:dyDescent="0.3">
      <c r="A3"/>
      <c r="B3"/>
      <c r="C3"/>
      <c r="D3"/>
      <c r="E3"/>
      <c r="F3"/>
      <c r="G3"/>
      <c r="H3"/>
      <c r="I3"/>
      <c r="J3"/>
      <c r="K3"/>
      <c r="L3"/>
    </row>
    <row r="4" spans="1:12" x14ac:dyDescent="0.3">
      <c r="A4"/>
      <c r="B4"/>
      <c r="C4"/>
      <c r="D4"/>
      <c r="E4"/>
      <c r="F4"/>
      <c r="G4"/>
      <c r="H4"/>
      <c r="I4"/>
      <c r="J4"/>
      <c r="K4"/>
      <c r="L4"/>
    </row>
    <row r="5" spans="1:12" x14ac:dyDescent="0.3">
      <c r="A5"/>
      <c r="B5"/>
      <c r="C5"/>
      <c r="D5"/>
      <c r="E5"/>
      <c r="F5"/>
      <c r="G5"/>
      <c r="H5"/>
      <c r="I5"/>
      <c r="J5"/>
      <c r="K5"/>
      <c r="L5"/>
    </row>
    <row r="6" spans="1:12" x14ac:dyDescent="0.3">
      <c r="A6"/>
      <c r="B6"/>
      <c r="C6"/>
      <c r="D6"/>
      <c r="E6"/>
      <c r="F6"/>
      <c r="G6"/>
      <c r="H6"/>
      <c r="I6"/>
      <c r="J6"/>
      <c r="K6"/>
      <c r="L6"/>
    </row>
    <row r="7" spans="1:12" x14ac:dyDescent="0.3">
      <c r="A7"/>
      <c r="B7"/>
      <c r="C7"/>
      <c r="D7"/>
      <c r="E7"/>
      <c r="F7"/>
      <c r="G7"/>
      <c r="H7"/>
      <c r="I7"/>
      <c r="J7"/>
      <c r="K7"/>
      <c r="L7"/>
    </row>
    <row r="8" spans="1:12" x14ac:dyDescent="0.3">
      <c r="A8"/>
      <c r="B8"/>
      <c r="C8"/>
      <c r="D8"/>
      <c r="E8"/>
      <c r="F8"/>
      <c r="G8"/>
      <c r="H8"/>
      <c r="I8"/>
      <c r="J8"/>
      <c r="K8"/>
      <c r="L8"/>
    </row>
    <row r="9" spans="1:12" x14ac:dyDescent="0.3">
      <c r="A9"/>
      <c r="B9"/>
      <c r="C9"/>
      <c r="D9"/>
      <c r="E9"/>
      <c r="F9"/>
      <c r="G9"/>
      <c r="H9"/>
      <c r="I9"/>
      <c r="J9"/>
      <c r="K9"/>
      <c r="L9"/>
    </row>
    <row r="10" spans="1:12" x14ac:dyDescent="0.3">
      <c r="A10"/>
      <c r="B10"/>
      <c r="C10"/>
      <c r="D10"/>
      <c r="E10"/>
      <c r="F10"/>
      <c r="G10"/>
      <c r="H10"/>
      <c r="I10"/>
      <c r="J10"/>
      <c r="K10"/>
      <c r="L10"/>
    </row>
    <row r="11" spans="1:12" x14ac:dyDescent="0.3">
      <c r="A11"/>
      <c r="B11"/>
      <c r="C11"/>
      <c r="D11"/>
      <c r="E11"/>
      <c r="F11"/>
      <c r="G11"/>
      <c r="H11"/>
      <c r="I11"/>
      <c r="J11"/>
      <c r="K11"/>
    </row>
    <row r="12" spans="1:12" x14ac:dyDescent="0.3">
      <c r="A12"/>
      <c r="B12"/>
      <c r="C12"/>
      <c r="D12"/>
      <c r="E12"/>
      <c r="F12"/>
      <c r="G12"/>
      <c r="H12"/>
      <c r="I12"/>
      <c r="J12"/>
      <c r="K12"/>
    </row>
    <row r="13" spans="1:12" x14ac:dyDescent="0.3">
      <c r="A13"/>
      <c r="B13"/>
      <c r="C13"/>
      <c r="D13"/>
      <c r="E13"/>
      <c r="F13"/>
      <c r="G13"/>
      <c r="H13"/>
      <c r="I13"/>
      <c r="J13"/>
      <c r="K13"/>
    </row>
    <row r="14" spans="1:12" x14ac:dyDescent="0.3">
      <c r="A14"/>
      <c r="B14"/>
      <c r="C14"/>
      <c r="D14"/>
      <c r="E14"/>
      <c r="F14"/>
      <c r="G14"/>
      <c r="H14"/>
      <c r="I14"/>
      <c r="J14"/>
    </row>
    <row r="15" spans="1:12" x14ac:dyDescent="0.3">
      <c r="A15" s="44"/>
      <c r="B15" s="45"/>
      <c r="C15" s="45"/>
      <c r="D15" s="44"/>
      <c r="E15" s="44"/>
      <c r="F15" s="46"/>
      <c r="G15" s="47"/>
      <c r="H15" s="47"/>
      <c r="I15" s="48"/>
      <c r="J15"/>
    </row>
    <row r="16" spans="1:12" x14ac:dyDescent="0.3">
      <c r="A16" s="44"/>
      <c r="B16" s="45"/>
      <c r="C16" s="45"/>
      <c r="D16" s="44"/>
      <c r="E16" s="44"/>
      <c r="F16" s="46"/>
      <c r="G16" s="47"/>
      <c r="H16" s="47"/>
      <c r="I16" s="48"/>
      <c r="J16"/>
    </row>
    <row r="17" spans="1:10" x14ac:dyDescent="0.3">
      <c r="A17" s="44"/>
      <c r="B17" s="45"/>
      <c r="C17" s="45"/>
      <c r="D17" s="44"/>
      <c r="E17" s="44"/>
      <c r="F17" s="46"/>
      <c r="G17" s="47"/>
      <c r="H17" s="47"/>
      <c r="I17" s="48"/>
      <c r="J17"/>
    </row>
    <row r="18" spans="1:10" x14ac:dyDescent="0.3">
      <c r="A18" s="44"/>
      <c r="B18" s="45"/>
      <c r="C18" s="45"/>
      <c r="D18" s="44"/>
      <c r="E18" s="44"/>
      <c r="F18" s="46"/>
      <c r="G18" s="47"/>
      <c r="H18" s="47"/>
      <c r="I18" s="48"/>
      <c r="J18"/>
    </row>
    <row r="19" spans="1:10" x14ac:dyDescent="0.3">
      <c r="A19" s="43"/>
      <c r="B19" s="43"/>
      <c r="C19" s="43"/>
      <c r="D19" s="43"/>
      <c r="E19" s="43"/>
      <c r="F19" s="49"/>
      <c r="G19" s="49"/>
      <c r="H19" s="49"/>
      <c r="I19" s="43"/>
      <c r="J19"/>
    </row>
    <row r="20" spans="1:10" x14ac:dyDescent="0.3">
      <c r="A20"/>
      <c r="B20"/>
      <c r="C20"/>
      <c r="D20"/>
      <c r="E20"/>
      <c r="F20" s="37"/>
      <c r="G20" s="37"/>
      <c r="H20" s="37"/>
      <c r="I20" s="20"/>
    </row>
    <row r="21" spans="1:10" x14ac:dyDescent="0.3">
      <c r="A21"/>
      <c r="B21"/>
      <c r="C21"/>
      <c r="D21"/>
      <c r="E21"/>
      <c r="F21" s="37"/>
      <c r="G21" s="37"/>
      <c r="H21" s="37"/>
      <c r="I21" s="20"/>
    </row>
    <row r="22" spans="1:10" x14ac:dyDescent="0.3">
      <c r="A22"/>
      <c r="B22"/>
      <c r="C22"/>
      <c r="D22"/>
      <c r="E22"/>
      <c r="F22" s="37"/>
      <c r="G22" s="37"/>
      <c r="H22" s="37"/>
    </row>
    <row r="23" spans="1:10" x14ac:dyDescent="0.3">
      <c r="A23"/>
      <c r="B23"/>
      <c r="C23"/>
      <c r="D23"/>
      <c r="E23"/>
      <c r="F23" s="37"/>
      <c r="G23" s="37"/>
      <c r="H23" s="37"/>
    </row>
    <row r="24" spans="1:10" x14ac:dyDescent="0.3">
      <c r="A24"/>
      <c r="B24"/>
      <c r="C24"/>
      <c r="D24"/>
      <c r="E24"/>
      <c r="F24" s="37"/>
      <c r="G24" s="37"/>
      <c r="H24" s="37"/>
    </row>
    <row r="25" spans="1:10" x14ac:dyDescent="0.3">
      <c r="A25"/>
      <c r="B25"/>
      <c r="C25"/>
      <c r="D25"/>
      <c r="E25"/>
      <c r="F25" s="37"/>
      <c r="G25" s="37"/>
      <c r="H25" s="37"/>
    </row>
    <row r="26" spans="1:10" x14ac:dyDescent="0.3">
      <c r="A26"/>
      <c r="B26"/>
      <c r="C26"/>
      <c r="D26"/>
      <c r="E26"/>
      <c r="F26" s="37"/>
      <c r="G26" s="37"/>
      <c r="H26" s="37"/>
    </row>
    <row r="27" spans="1:10" x14ac:dyDescent="0.3">
      <c r="A27"/>
      <c r="B27"/>
      <c r="C27"/>
      <c r="D27"/>
      <c r="E27"/>
      <c r="F27" s="37"/>
      <c r="G27" s="37"/>
      <c r="H27" s="37"/>
    </row>
    <row r="28" spans="1:10" x14ac:dyDescent="0.3">
      <c r="A28"/>
      <c r="B28"/>
      <c r="C28"/>
      <c r="D28"/>
      <c r="E28"/>
      <c r="F28" s="37"/>
      <c r="G28" s="37"/>
      <c r="H28" s="37"/>
    </row>
    <row r="29" spans="1:10" x14ac:dyDescent="0.3">
      <c r="A29"/>
      <c r="B29"/>
      <c r="C29"/>
      <c r="D29"/>
      <c r="E29"/>
      <c r="F29" s="37"/>
      <c r="G29" s="37"/>
      <c r="H29" s="37"/>
    </row>
    <row r="30" spans="1:10" x14ac:dyDescent="0.3">
      <c r="A30"/>
      <c r="B30"/>
      <c r="C30"/>
      <c r="D30"/>
      <c r="E30"/>
      <c r="F30" s="37"/>
      <c r="G30" s="37"/>
      <c r="H30" s="37"/>
    </row>
    <row r="31" spans="1:10" x14ac:dyDescent="0.3">
      <c r="A31"/>
      <c r="B31"/>
      <c r="C31"/>
      <c r="D31"/>
      <c r="E31"/>
      <c r="F31" s="37"/>
      <c r="G31" s="37"/>
      <c r="H31" s="37"/>
    </row>
    <row r="32" spans="1:10" x14ac:dyDescent="0.3">
      <c r="A32"/>
      <c r="B32"/>
      <c r="C32"/>
      <c r="D32"/>
      <c r="E32"/>
      <c r="F32" s="37"/>
      <c r="G32" s="37"/>
      <c r="H32" s="37"/>
    </row>
    <row r="33" spans="1:8" x14ac:dyDescent="0.3">
      <c r="A33"/>
      <c r="B33"/>
      <c r="C33"/>
      <c r="D33"/>
      <c r="E33"/>
      <c r="F33" s="37"/>
      <c r="G33" s="37"/>
      <c r="H33" s="37"/>
    </row>
    <row r="34" spans="1:8" x14ac:dyDescent="0.3">
      <c r="A34"/>
      <c r="B34"/>
      <c r="C34"/>
      <c r="D34"/>
      <c r="E34"/>
      <c r="F34" s="37"/>
      <c r="G34" s="37"/>
      <c r="H34" s="37"/>
    </row>
    <row r="35" spans="1:8" x14ac:dyDescent="0.3">
      <c r="A35"/>
      <c r="B35"/>
      <c r="C35"/>
      <c r="D35"/>
      <c r="E35"/>
      <c r="F35" s="37"/>
      <c r="G35" s="37"/>
      <c r="H35" s="37"/>
    </row>
    <row r="36" spans="1:8" x14ac:dyDescent="0.3">
      <c r="A36"/>
      <c r="B36"/>
      <c r="C36"/>
      <c r="D36"/>
      <c r="E36"/>
      <c r="F36" s="37"/>
      <c r="G36" s="37"/>
      <c r="H36" s="37"/>
    </row>
    <row r="37" spans="1:8" x14ac:dyDescent="0.3">
      <c r="A37"/>
      <c r="B37"/>
      <c r="C37"/>
      <c r="D37"/>
      <c r="E37"/>
      <c r="F37" s="37"/>
      <c r="G37" s="37"/>
      <c r="H37" s="37"/>
    </row>
    <row r="38" spans="1:8" x14ac:dyDescent="0.3">
      <c r="A38"/>
      <c r="B38"/>
      <c r="C38"/>
      <c r="D38"/>
      <c r="E38"/>
      <c r="F38" s="37"/>
      <c r="G38" s="37"/>
      <c r="H38" s="37"/>
    </row>
    <row r="39" spans="1:8" x14ac:dyDescent="0.3">
      <c r="A39"/>
      <c r="B39"/>
      <c r="C39"/>
      <c r="D39"/>
      <c r="E39"/>
      <c r="F39" s="37"/>
      <c r="G39" s="37"/>
      <c r="H39" s="37"/>
    </row>
    <row r="40" spans="1:8" x14ac:dyDescent="0.3">
      <c r="A40"/>
      <c r="B40"/>
      <c r="C40"/>
      <c r="D40"/>
      <c r="E40"/>
      <c r="F40" s="37"/>
      <c r="G40" s="37"/>
      <c r="H40" s="37"/>
    </row>
    <row r="41" spans="1:8" x14ac:dyDescent="0.3">
      <c r="A41"/>
      <c r="B41"/>
      <c r="C41"/>
      <c r="D41"/>
      <c r="E41"/>
      <c r="F41" s="37"/>
      <c r="G41" s="37"/>
      <c r="H41" s="37"/>
    </row>
    <row r="42" spans="1:8" x14ac:dyDescent="0.3">
      <c r="A42"/>
      <c r="B42"/>
      <c r="C42"/>
      <c r="D42"/>
      <c r="E42"/>
      <c r="F42" s="37"/>
      <c r="G42" s="37"/>
      <c r="H42" s="37"/>
    </row>
    <row r="43" spans="1:8" x14ac:dyDescent="0.3">
      <c r="A43"/>
      <c r="B43"/>
      <c r="C43"/>
      <c r="D43"/>
      <c r="E43"/>
      <c r="F43" s="37"/>
      <c r="G43" s="37"/>
      <c r="H43" s="37"/>
    </row>
    <row r="44" spans="1:8" x14ac:dyDescent="0.3">
      <c r="A44"/>
      <c r="B44"/>
      <c r="C44"/>
      <c r="D44"/>
      <c r="E44"/>
      <c r="F44" s="37"/>
      <c r="G44" s="37"/>
      <c r="H44" s="37"/>
    </row>
    <row r="45" spans="1:8" x14ac:dyDescent="0.3">
      <c r="A45"/>
      <c r="B45"/>
      <c r="C45"/>
      <c r="D45"/>
      <c r="E45"/>
      <c r="F45" s="37"/>
      <c r="G45" s="37"/>
      <c r="H45" s="37"/>
    </row>
    <row r="46" spans="1:8" x14ac:dyDescent="0.3">
      <c r="A46"/>
      <c r="B46"/>
      <c r="C46"/>
      <c r="D46"/>
      <c r="E46"/>
      <c r="F46" s="37"/>
      <c r="G46" s="37"/>
      <c r="H46" s="37"/>
    </row>
    <row r="47" spans="1:8" x14ac:dyDescent="0.3">
      <c r="A47"/>
      <c r="B47"/>
      <c r="C47"/>
      <c r="D47"/>
      <c r="E47"/>
      <c r="F47" s="37"/>
      <c r="G47" s="37"/>
      <c r="H47" s="37"/>
    </row>
    <row r="48" spans="1:8" x14ac:dyDescent="0.3">
      <c r="A48"/>
      <c r="B48"/>
      <c r="C48"/>
      <c r="D48"/>
      <c r="E48"/>
      <c r="H48" s="37"/>
    </row>
    <row r="49" spans="1:496" x14ac:dyDescent="0.3">
      <c r="A49" s="13"/>
      <c r="B49" s="13"/>
      <c r="C49" s="13"/>
      <c r="D49" s="13"/>
      <c r="E49" s="13"/>
      <c r="H49" s="37"/>
    </row>
    <row r="50" spans="1:496" x14ac:dyDescent="0.3">
      <c r="A50"/>
      <c r="B50"/>
      <c r="E50" s="14"/>
      <c r="F50" s="39"/>
    </row>
    <row r="51" spans="1:496" x14ac:dyDescent="0.3">
      <c r="A51" s="35" t="s">
        <v>8</v>
      </c>
      <c r="B51" s="14">
        <v>1900</v>
      </c>
      <c r="E51" s="34" t="s">
        <v>8</v>
      </c>
      <c r="F51" s="40">
        <v>1900</v>
      </c>
    </row>
    <row r="52" spans="1:496" x14ac:dyDescent="0.3">
      <c r="A52" s="35" t="s">
        <v>28</v>
      </c>
      <c r="B52" s="14" t="s">
        <v>45</v>
      </c>
      <c r="E52" s="34" t="s">
        <v>28</v>
      </c>
      <c r="F52" t="s">
        <v>39</v>
      </c>
      <c r="M52"/>
      <c r="N52"/>
      <c r="O52"/>
      <c r="P52"/>
      <c r="Q52"/>
      <c r="R52"/>
      <c r="S52"/>
    </row>
    <row r="53" spans="1:496" x14ac:dyDescent="0.3">
      <c r="I53"/>
      <c r="M53"/>
      <c r="N53"/>
      <c r="O53"/>
      <c r="P53"/>
      <c r="Q53"/>
      <c r="R53"/>
      <c r="S53"/>
    </row>
    <row r="54" spans="1:496" x14ac:dyDescent="0.3">
      <c r="B54" s="35" t="s">
        <v>5</v>
      </c>
      <c r="E54"/>
      <c r="F54" s="34" t="s">
        <v>5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</row>
    <row r="55" spans="1:496" ht="43.2" x14ac:dyDescent="0.3">
      <c r="A55" s="35" t="s">
        <v>42</v>
      </c>
      <c r="B55" s="26" t="s">
        <v>11</v>
      </c>
      <c r="C55" s="14" t="s">
        <v>44</v>
      </c>
      <c r="D55" s="14" t="s">
        <v>40</v>
      </c>
      <c r="E55" s="36" t="s">
        <v>42</v>
      </c>
      <c r="F55" s="94" t="s">
        <v>11</v>
      </c>
      <c r="G55" t="s">
        <v>111</v>
      </c>
      <c r="H55" t="s">
        <v>112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</row>
    <row r="56" spans="1:496" x14ac:dyDescent="0.3">
      <c r="A56" s="104">
        <v>0</v>
      </c>
      <c r="B56" s="14">
        <v>0</v>
      </c>
      <c r="C56" s="14">
        <v>0</v>
      </c>
      <c r="D56" s="14">
        <v>0</v>
      </c>
      <c r="E56" s="103">
        <v>0</v>
      </c>
      <c r="F56" s="37">
        <v>0</v>
      </c>
      <c r="G56" s="37">
        <v>0</v>
      </c>
      <c r="H56" s="37">
        <v>0</v>
      </c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</row>
    <row r="57" spans="1:496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</row>
    <row r="58" spans="1:496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</row>
    <row r="59" spans="1:496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</row>
    <row r="60" spans="1:496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</row>
    <row r="61" spans="1:496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</row>
    <row r="62" spans="1:496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</row>
    <row r="63" spans="1:496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</row>
    <row r="64" spans="1:496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</row>
    <row r="65" spans="1:496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</row>
    <row r="66" spans="1:496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</row>
    <row r="67" spans="1:496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</row>
    <row r="68" spans="1:496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</row>
    <row r="69" spans="1:496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</row>
    <row r="70" spans="1:496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</row>
    <row r="71" spans="1:496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</row>
    <row r="72" spans="1:496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</row>
    <row r="73" spans="1:496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</row>
    <row r="74" spans="1:496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</row>
    <row r="75" spans="1:496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</row>
    <row r="76" spans="1:496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</row>
    <row r="77" spans="1:496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</row>
    <row r="78" spans="1:496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</row>
    <row r="79" spans="1:496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</row>
    <row r="80" spans="1:496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</row>
    <row r="81" spans="1:496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</row>
    <row r="82" spans="1:496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</row>
    <row r="83" spans="1:496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</row>
    <row r="84" spans="1:496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</row>
    <row r="85" spans="1:496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</row>
    <row r="86" spans="1:496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</row>
    <row r="87" spans="1:496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</row>
    <row r="88" spans="1:496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</row>
    <row r="89" spans="1:496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</row>
    <row r="90" spans="1:496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</row>
    <row r="91" spans="1:496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</row>
    <row r="92" spans="1:496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</row>
    <row r="93" spans="1:496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</row>
    <row r="94" spans="1:496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</row>
    <row r="95" spans="1:496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</row>
    <row r="96" spans="1:496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</row>
    <row r="97" spans="1:496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</row>
    <row r="98" spans="1:496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</row>
    <row r="99" spans="1:496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</row>
    <row r="100" spans="1:496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</row>
    <row r="101" spans="1:496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</row>
    <row r="102" spans="1:496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</row>
    <row r="103" spans="1:496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</row>
    <row r="104" spans="1:496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</row>
    <row r="105" spans="1:496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</row>
    <row r="106" spans="1:496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</row>
    <row r="107" spans="1:496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</row>
    <row r="108" spans="1:496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</row>
    <row r="109" spans="1:496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</row>
    <row r="110" spans="1:496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</row>
    <row r="111" spans="1:496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</row>
    <row r="112" spans="1:496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</row>
    <row r="113" spans="1:496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</row>
    <row r="114" spans="1:496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</row>
    <row r="115" spans="1:496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</row>
    <row r="116" spans="1:496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</row>
    <row r="117" spans="1:496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</row>
    <row r="118" spans="1:496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</row>
    <row r="119" spans="1:496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</row>
    <row r="120" spans="1:496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</row>
    <row r="121" spans="1:496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</row>
    <row r="122" spans="1:496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</row>
    <row r="123" spans="1:496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</row>
    <row r="124" spans="1:496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</row>
    <row r="125" spans="1:496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</row>
    <row r="126" spans="1:496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</row>
    <row r="127" spans="1:496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</row>
    <row r="128" spans="1:496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</row>
    <row r="129" spans="1:496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</row>
    <row r="130" spans="1:496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</row>
    <row r="131" spans="1:496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</row>
    <row r="132" spans="1:496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</row>
    <row r="133" spans="1:496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</row>
    <row r="134" spans="1:496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</row>
    <row r="135" spans="1:496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</row>
    <row r="136" spans="1:496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</row>
    <row r="137" spans="1:496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</row>
    <row r="138" spans="1:496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</row>
    <row r="139" spans="1:496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</row>
    <row r="140" spans="1:496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</row>
    <row r="141" spans="1:496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</row>
    <row r="142" spans="1:496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</row>
    <row r="143" spans="1:496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</row>
    <row r="144" spans="1:496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</row>
    <row r="145" spans="1:496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</row>
    <row r="146" spans="1:496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</row>
    <row r="147" spans="1:496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</row>
    <row r="148" spans="1:496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</row>
    <row r="149" spans="1:496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</row>
    <row r="150" spans="1:496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</row>
    <row r="151" spans="1:496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</row>
    <row r="152" spans="1:496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</row>
    <row r="153" spans="1:496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</row>
    <row r="154" spans="1:496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</row>
    <row r="155" spans="1:496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</row>
    <row r="156" spans="1:496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</row>
    <row r="157" spans="1:496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</row>
    <row r="158" spans="1:496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</row>
    <row r="159" spans="1:496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</row>
    <row r="160" spans="1:496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</row>
    <row r="161" spans="1:496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</row>
    <row r="162" spans="1:496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</row>
    <row r="163" spans="1:496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</row>
    <row r="164" spans="1:496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</row>
    <row r="165" spans="1:496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</row>
    <row r="166" spans="1:496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  <c r="RZ166"/>
      <c r="SA166"/>
      <c r="SB166"/>
    </row>
    <row r="167" spans="1:496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  <c r="RZ167"/>
      <c r="SA167"/>
      <c r="SB167"/>
    </row>
    <row r="168" spans="1:496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  <c r="RZ168"/>
      <c r="SA168"/>
      <c r="SB168"/>
    </row>
    <row r="169" spans="1:496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  <c r="RZ169"/>
      <c r="SA169"/>
      <c r="SB169"/>
    </row>
    <row r="170" spans="1:496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  <c r="RZ170"/>
      <c r="SA170"/>
      <c r="SB170"/>
    </row>
    <row r="171" spans="1:496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</row>
    <row r="172" spans="1:496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</row>
    <row r="173" spans="1:496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  <c r="RZ173"/>
      <c r="SA173"/>
      <c r="SB173"/>
    </row>
    <row r="174" spans="1:496" x14ac:dyDescent="0.3">
      <c r="A174"/>
      <c r="B174"/>
      <c r="C174"/>
      <c r="D174"/>
      <c r="E174"/>
      <c r="F174"/>
      <c r="G174"/>
      <c r="H174"/>
      <c r="I174"/>
      <c r="J174"/>
      <c r="K174"/>
      <c r="L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  <c r="RZ174"/>
      <c r="SA174"/>
      <c r="SB174"/>
    </row>
    <row r="175" spans="1:496" x14ac:dyDescent="0.3">
      <c r="A175"/>
      <c r="B175"/>
      <c r="C175"/>
      <c r="D175"/>
      <c r="E175"/>
      <c r="F175"/>
      <c r="G175"/>
      <c r="H175"/>
      <c r="J175"/>
      <c r="K175"/>
      <c r="L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</row>
    <row r="176" spans="1:496" x14ac:dyDescent="0.3">
      <c r="A176"/>
      <c r="B176"/>
      <c r="C176"/>
      <c r="D176"/>
      <c r="E176"/>
      <c r="F176"/>
      <c r="G176"/>
      <c r="H176"/>
    </row>
    <row r="177" spans="1:8" x14ac:dyDescent="0.3">
      <c r="A177"/>
      <c r="B177"/>
      <c r="C177"/>
      <c r="D177"/>
      <c r="E177"/>
      <c r="F177"/>
      <c r="G177"/>
      <c r="H177"/>
    </row>
    <row r="178" spans="1:8" x14ac:dyDescent="0.3">
      <c r="A178"/>
      <c r="B178"/>
      <c r="C178"/>
      <c r="D178"/>
      <c r="E178"/>
      <c r="F178"/>
      <c r="G178"/>
      <c r="H178"/>
    </row>
    <row r="179" spans="1:8" x14ac:dyDescent="0.3">
      <c r="A179"/>
      <c r="B179"/>
      <c r="C179"/>
      <c r="D179"/>
      <c r="E179"/>
      <c r="F179"/>
      <c r="G179"/>
      <c r="H179"/>
    </row>
    <row r="180" spans="1:8" x14ac:dyDescent="0.3">
      <c r="A180"/>
      <c r="B180"/>
      <c r="C180"/>
      <c r="D180"/>
      <c r="E180"/>
      <c r="F180"/>
      <c r="G180"/>
      <c r="H180"/>
    </row>
    <row r="181" spans="1:8" x14ac:dyDescent="0.3">
      <c r="A181"/>
      <c r="B181"/>
      <c r="C181"/>
      <c r="D181"/>
      <c r="E181"/>
      <c r="F181"/>
      <c r="G181"/>
      <c r="H181"/>
    </row>
    <row r="182" spans="1:8" x14ac:dyDescent="0.3">
      <c r="A182"/>
      <c r="B182"/>
      <c r="C182"/>
      <c r="D182"/>
      <c r="E182"/>
      <c r="F182"/>
      <c r="G182"/>
      <c r="H182"/>
    </row>
    <row r="183" spans="1:8" x14ac:dyDescent="0.3">
      <c r="A183"/>
      <c r="B183"/>
      <c r="C183"/>
      <c r="D183"/>
      <c r="E183"/>
      <c r="F183"/>
      <c r="G183"/>
      <c r="H183"/>
    </row>
    <row r="184" spans="1:8" x14ac:dyDescent="0.3">
      <c r="A184"/>
      <c r="B184"/>
      <c r="C184"/>
      <c r="D184"/>
      <c r="E184"/>
      <c r="F184"/>
      <c r="G184"/>
      <c r="H184"/>
    </row>
    <row r="185" spans="1:8" x14ac:dyDescent="0.3">
      <c r="A185"/>
      <c r="B185"/>
      <c r="C185"/>
      <c r="D185"/>
    </row>
    <row r="186" spans="1:8" x14ac:dyDescent="0.3">
      <c r="A186"/>
      <c r="B186"/>
      <c r="C186"/>
      <c r="D186"/>
    </row>
    <row r="187" spans="1:8" x14ac:dyDescent="0.3">
      <c r="A187"/>
      <c r="B187"/>
      <c r="C187"/>
      <c r="D187"/>
    </row>
    <row r="188" spans="1:8" x14ac:dyDescent="0.3">
      <c r="A188"/>
      <c r="B188"/>
      <c r="C188"/>
      <c r="D188"/>
    </row>
    <row r="189" spans="1:8" x14ac:dyDescent="0.3">
      <c r="A189"/>
      <c r="B189"/>
      <c r="C189"/>
      <c r="D189"/>
    </row>
    <row r="190" spans="1:8" x14ac:dyDescent="0.3">
      <c r="A190"/>
      <c r="B190"/>
      <c r="C190"/>
      <c r="D190"/>
    </row>
    <row r="191" spans="1:8" x14ac:dyDescent="0.3">
      <c r="A191"/>
      <c r="B191"/>
      <c r="C191"/>
      <c r="D191"/>
    </row>
    <row r="192" spans="1:8" x14ac:dyDescent="0.3">
      <c r="A192"/>
      <c r="B192"/>
      <c r="C192"/>
      <c r="D192"/>
    </row>
    <row r="193" spans="1:4" x14ac:dyDescent="0.3">
      <c r="A193"/>
      <c r="B193"/>
      <c r="C193"/>
      <c r="D193"/>
    </row>
    <row r="194" spans="1:4" x14ac:dyDescent="0.3">
      <c r="A194"/>
      <c r="B194"/>
      <c r="C194"/>
      <c r="D194"/>
    </row>
    <row r="195" spans="1:4" x14ac:dyDescent="0.3">
      <c r="A195"/>
      <c r="B195"/>
      <c r="C195"/>
      <c r="D195"/>
    </row>
    <row r="196" spans="1:4" x14ac:dyDescent="0.3">
      <c r="A196"/>
      <c r="B196"/>
      <c r="C196"/>
      <c r="D196"/>
    </row>
    <row r="197" spans="1:4" x14ac:dyDescent="0.3">
      <c r="A197"/>
      <c r="B197"/>
      <c r="C197"/>
      <c r="D197"/>
    </row>
    <row r="198" spans="1:4" x14ac:dyDescent="0.3">
      <c r="A198"/>
      <c r="B198"/>
      <c r="C198"/>
      <c r="D198"/>
    </row>
    <row r="199" spans="1:4" x14ac:dyDescent="0.3">
      <c r="A199"/>
      <c r="B199"/>
      <c r="C199"/>
      <c r="D199"/>
    </row>
    <row r="200" spans="1:4" x14ac:dyDescent="0.3">
      <c r="A200"/>
      <c r="B200"/>
      <c r="C200"/>
      <c r="D200"/>
    </row>
    <row r="201" spans="1:4" x14ac:dyDescent="0.3">
      <c r="A201">
        <f>Resumen!D2</f>
        <v>0</v>
      </c>
      <c r="B201"/>
      <c r="C201"/>
      <c r="D201"/>
    </row>
    <row r="202" spans="1:4" x14ac:dyDescent="0.3">
      <c r="A202">
        <f>MAX('Entrada datos'!C3:C200)</f>
        <v>0</v>
      </c>
      <c r="B202"/>
      <c r="C202"/>
      <c r="D202"/>
    </row>
    <row r="203" spans="1:4" x14ac:dyDescent="0.3">
      <c r="A203"/>
      <c r="B203"/>
      <c r="C203"/>
      <c r="D203"/>
    </row>
    <row r="204" spans="1:4" x14ac:dyDescent="0.3">
      <c r="A204"/>
      <c r="B204"/>
      <c r="C204"/>
      <c r="D204"/>
    </row>
    <row r="205" spans="1:4" x14ac:dyDescent="0.3">
      <c r="A205"/>
      <c r="B205"/>
      <c r="C205"/>
      <c r="D205"/>
    </row>
    <row r="206" spans="1:4" x14ac:dyDescent="0.3">
      <c r="A206"/>
      <c r="B206"/>
      <c r="C206"/>
      <c r="D206"/>
    </row>
    <row r="207" spans="1:4" x14ac:dyDescent="0.3">
      <c r="A207"/>
      <c r="B207"/>
      <c r="C207"/>
      <c r="D207"/>
    </row>
    <row r="208" spans="1:4" x14ac:dyDescent="0.3">
      <c r="A208"/>
      <c r="B208"/>
      <c r="C208"/>
      <c r="D208"/>
    </row>
    <row r="209" spans="1:4" x14ac:dyDescent="0.3">
      <c r="A209"/>
      <c r="B209"/>
      <c r="C209"/>
      <c r="D209"/>
    </row>
    <row r="210" spans="1:4" x14ac:dyDescent="0.3">
      <c r="A210"/>
      <c r="B210"/>
      <c r="C210"/>
      <c r="D210"/>
    </row>
    <row r="211" spans="1:4" x14ac:dyDescent="0.3">
      <c r="A211"/>
      <c r="B211"/>
      <c r="C211"/>
      <c r="D211"/>
    </row>
    <row r="212" spans="1:4" x14ac:dyDescent="0.3">
      <c r="A212"/>
      <c r="B212"/>
      <c r="C212"/>
      <c r="D212"/>
    </row>
    <row r="213" spans="1:4" x14ac:dyDescent="0.3">
      <c r="A213"/>
      <c r="B213"/>
      <c r="C213"/>
      <c r="D213"/>
    </row>
    <row r="214" spans="1:4" x14ac:dyDescent="0.3">
      <c r="A214"/>
      <c r="B214"/>
      <c r="C214"/>
      <c r="D214"/>
    </row>
    <row r="215" spans="1:4" x14ac:dyDescent="0.3">
      <c r="A215"/>
      <c r="B215"/>
      <c r="C215"/>
      <c r="D215"/>
    </row>
    <row r="216" spans="1:4" x14ac:dyDescent="0.3">
      <c r="A216"/>
      <c r="B216"/>
      <c r="C216"/>
      <c r="D216"/>
    </row>
    <row r="217" spans="1:4" x14ac:dyDescent="0.3">
      <c r="A217"/>
      <c r="B217"/>
      <c r="C217"/>
      <c r="D217"/>
    </row>
    <row r="218" spans="1:4" x14ac:dyDescent="0.3">
      <c r="A218"/>
      <c r="B218"/>
      <c r="C218"/>
      <c r="D218"/>
    </row>
    <row r="219" spans="1:4" x14ac:dyDescent="0.3">
      <c r="A219"/>
      <c r="B219"/>
      <c r="C219"/>
      <c r="D219"/>
    </row>
    <row r="220" spans="1:4" x14ac:dyDescent="0.3">
      <c r="A220"/>
      <c r="B220"/>
      <c r="C220"/>
      <c r="D220"/>
    </row>
    <row r="221" spans="1:4" x14ac:dyDescent="0.3">
      <c r="A221"/>
      <c r="B221"/>
      <c r="C221"/>
      <c r="D221"/>
    </row>
    <row r="222" spans="1:4" x14ac:dyDescent="0.3">
      <c r="A222"/>
      <c r="B222"/>
      <c r="C222"/>
      <c r="D222"/>
    </row>
    <row r="223" spans="1:4" x14ac:dyDescent="0.3">
      <c r="A223"/>
      <c r="B223"/>
      <c r="C223"/>
      <c r="D223"/>
    </row>
    <row r="224" spans="1:4" x14ac:dyDescent="0.3">
      <c r="A224"/>
      <c r="B224"/>
      <c r="C224"/>
      <c r="D224"/>
    </row>
    <row r="225" spans="1:4" x14ac:dyDescent="0.3">
      <c r="A225"/>
      <c r="B225"/>
      <c r="C225"/>
      <c r="D225"/>
    </row>
    <row r="226" spans="1:4" x14ac:dyDescent="0.3">
      <c r="A226"/>
      <c r="B226"/>
      <c r="C226"/>
      <c r="D226"/>
    </row>
    <row r="227" spans="1:4" x14ac:dyDescent="0.3">
      <c r="A227"/>
      <c r="B227"/>
      <c r="C227"/>
      <c r="D227"/>
    </row>
    <row r="228" spans="1:4" x14ac:dyDescent="0.3">
      <c r="A228"/>
      <c r="B228"/>
      <c r="C228"/>
      <c r="D228"/>
    </row>
    <row r="229" spans="1:4" x14ac:dyDescent="0.3">
      <c r="A229"/>
      <c r="B229"/>
      <c r="C229"/>
      <c r="D229"/>
    </row>
    <row r="230" spans="1:4" x14ac:dyDescent="0.3">
      <c r="A230"/>
      <c r="B230"/>
      <c r="C230"/>
      <c r="D230"/>
    </row>
    <row r="231" spans="1:4" x14ac:dyDescent="0.3">
      <c r="A231"/>
      <c r="B231"/>
      <c r="C231"/>
      <c r="D231"/>
    </row>
    <row r="232" spans="1:4" x14ac:dyDescent="0.3">
      <c r="A232"/>
      <c r="B232"/>
      <c r="C232"/>
      <c r="D232"/>
    </row>
    <row r="233" spans="1:4" x14ac:dyDescent="0.3">
      <c r="A233"/>
      <c r="B233"/>
      <c r="C233"/>
      <c r="D233"/>
    </row>
    <row r="234" spans="1:4" x14ac:dyDescent="0.3">
      <c r="A234"/>
      <c r="B234"/>
      <c r="C234"/>
      <c r="D234"/>
    </row>
    <row r="235" spans="1:4" x14ac:dyDescent="0.3">
      <c r="A235"/>
      <c r="B235"/>
      <c r="C235"/>
      <c r="D235"/>
    </row>
    <row r="236" spans="1:4" x14ac:dyDescent="0.3">
      <c r="A236"/>
      <c r="B236"/>
      <c r="C236"/>
      <c r="D236"/>
    </row>
    <row r="237" spans="1:4" x14ac:dyDescent="0.3">
      <c r="A237"/>
      <c r="B237"/>
      <c r="C237"/>
      <c r="D237"/>
    </row>
    <row r="238" spans="1:4" x14ac:dyDescent="0.3">
      <c r="A238"/>
      <c r="B238"/>
      <c r="C238"/>
      <c r="D238"/>
    </row>
    <row r="239" spans="1:4" x14ac:dyDescent="0.3">
      <c r="A239"/>
      <c r="B239"/>
      <c r="C239"/>
      <c r="D239"/>
    </row>
    <row r="240" spans="1:4" x14ac:dyDescent="0.3">
      <c r="A240"/>
      <c r="B240"/>
      <c r="C240"/>
      <c r="D240"/>
    </row>
    <row r="241" spans="1:4" x14ac:dyDescent="0.3">
      <c r="A241"/>
      <c r="B241"/>
      <c r="C241"/>
      <c r="D241"/>
    </row>
    <row r="242" spans="1:4" x14ac:dyDescent="0.3">
      <c r="A242"/>
      <c r="B242"/>
      <c r="C242"/>
      <c r="D242"/>
    </row>
    <row r="243" spans="1:4" x14ac:dyDescent="0.3">
      <c r="A243"/>
      <c r="B243"/>
      <c r="C243"/>
      <c r="D243"/>
    </row>
    <row r="244" spans="1:4" x14ac:dyDescent="0.3">
      <c r="A244"/>
      <c r="B244"/>
      <c r="C244"/>
      <c r="D244"/>
    </row>
    <row r="245" spans="1:4" x14ac:dyDescent="0.3">
      <c r="A245"/>
      <c r="B245"/>
      <c r="C245"/>
      <c r="D245"/>
    </row>
    <row r="246" spans="1:4" x14ac:dyDescent="0.3">
      <c r="A246"/>
      <c r="B246"/>
      <c r="C246"/>
      <c r="D246"/>
    </row>
    <row r="247" spans="1:4" x14ac:dyDescent="0.3">
      <c r="A247"/>
      <c r="B247"/>
      <c r="C247"/>
      <c r="D247"/>
    </row>
    <row r="248" spans="1:4" x14ac:dyDescent="0.3">
      <c r="A248"/>
      <c r="B248"/>
      <c r="C248"/>
      <c r="D248"/>
    </row>
    <row r="249" spans="1:4" x14ac:dyDescent="0.3">
      <c r="A249"/>
      <c r="B249"/>
      <c r="C249"/>
      <c r="D249"/>
    </row>
    <row r="250" spans="1:4" x14ac:dyDescent="0.3">
      <c r="A250"/>
      <c r="B250"/>
      <c r="C250"/>
      <c r="D250"/>
    </row>
    <row r="251" spans="1:4" x14ac:dyDescent="0.3">
      <c r="A251"/>
      <c r="B251"/>
      <c r="C251"/>
      <c r="D251"/>
    </row>
    <row r="252" spans="1:4" x14ac:dyDescent="0.3">
      <c r="A252"/>
      <c r="B252"/>
      <c r="C252"/>
      <c r="D252"/>
    </row>
    <row r="253" spans="1:4" x14ac:dyDescent="0.3">
      <c r="A253"/>
      <c r="B253"/>
      <c r="C253"/>
      <c r="D253"/>
    </row>
    <row r="254" spans="1:4" x14ac:dyDescent="0.3">
      <c r="A254"/>
      <c r="B254"/>
      <c r="C254"/>
      <c r="D254"/>
    </row>
    <row r="255" spans="1:4" x14ac:dyDescent="0.3">
      <c r="A255"/>
      <c r="B255"/>
      <c r="C255"/>
      <c r="D255"/>
    </row>
    <row r="256" spans="1:4" x14ac:dyDescent="0.3">
      <c r="A256"/>
      <c r="B256"/>
      <c r="C256"/>
      <c r="D256"/>
    </row>
    <row r="257" spans="1:4" x14ac:dyDescent="0.3">
      <c r="A257"/>
      <c r="B257"/>
      <c r="C257"/>
      <c r="D257"/>
    </row>
    <row r="258" spans="1:4" x14ac:dyDescent="0.3">
      <c r="A258"/>
      <c r="B258"/>
      <c r="C258"/>
      <c r="D258"/>
    </row>
    <row r="259" spans="1:4" x14ac:dyDescent="0.3">
      <c r="A259"/>
      <c r="B259"/>
      <c r="C259"/>
      <c r="D259"/>
    </row>
    <row r="260" spans="1:4" x14ac:dyDescent="0.3">
      <c r="A260"/>
      <c r="B260"/>
      <c r="C260"/>
      <c r="D260"/>
    </row>
    <row r="261" spans="1:4" x14ac:dyDescent="0.3">
      <c r="A261"/>
      <c r="B261"/>
      <c r="C261"/>
      <c r="D261"/>
    </row>
    <row r="262" spans="1:4" x14ac:dyDescent="0.3">
      <c r="A262"/>
      <c r="B262"/>
      <c r="C262"/>
      <c r="D262"/>
    </row>
    <row r="263" spans="1:4" x14ac:dyDescent="0.3">
      <c r="A263"/>
      <c r="B263"/>
      <c r="C263"/>
      <c r="D263"/>
    </row>
    <row r="264" spans="1:4" x14ac:dyDescent="0.3">
      <c r="A264"/>
      <c r="B264"/>
      <c r="C264"/>
      <c r="D264"/>
    </row>
    <row r="265" spans="1:4" x14ac:dyDescent="0.3">
      <c r="A265"/>
      <c r="B265"/>
      <c r="C265"/>
      <c r="D265"/>
    </row>
    <row r="266" spans="1:4" x14ac:dyDescent="0.3">
      <c r="A266"/>
      <c r="B266"/>
      <c r="C266"/>
      <c r="D266"/>
    </row>
    <row r="267" spans="1:4" x14ac:dyDescent="0.3">
      <c r="A267"/>
      <c r="B267"/>
      <c r="C267"/>
      <c r="D267"/>
    </row>
    <row r="268" spans="1:4" x14ac:dyDescent="0.3">
      <c r="A268"/>
      <c r="B268"/>
      <c r="C268"/>
      <c r="D268"/>
    </row>
    <row r="269" spans="1:4" x14ac:dyDescent="0.3">
      <c r="A269"/>
      <c r="B269"/>
      <c r="C269"/>
      <c r="D269"/>
    </row>
    <row r="270" spans="1:4" x14ac:dyDescent="0.3">
      <c r="A270"/>
      <c r="B270"/>
      <c r="C270"/>
      <c r="D270"/>
    </row>
    <row r="271" spans="1:4" x14ac:dyDescent="0.3">
      <c r="A271"/>
      <c r="B271"/>
      <c r="C271"/>
      <c r="D271"/>
    </row>
    <row r="272" spans="1:4" x14ac:dyDescent="0.3">
      <c r="A272"/>
      <c r="B272"/>
      <c r="C272"/>
      <c r="D272"/>
    </row>
    <row r="273" spans="1:4" x14ac:dyDescent="0.3">
      <c r="A273"/>
      <c r="B273"/>
      <c r="C273"/>
      <c r="D273"/>
    </row>
    <row r="274" spans="1:4" x14ac:dyDescent="0.3">
      <c r="A274"/>
      <c r="B274"/>
      <c r="C274"/>
      <c r="D274"/>
    </row>
    <row r="275" spans="1:4" x14ac:dyDescent="0.3">
      <c r="A275"/>
      <c r="B275"/>
      <c r="C275"/>
      <c r="D275"/>
    </row>
    <row r="276" spans="1:4" x14ac:dyDescent="0.3">
      <c r="A276"/>
      <c r="B276"/>
      <c r="C276"/>
      <c r="D276"/>
    </row>
    <row r="277" spans="1:4" x14ac:dyDescent="0.3">
      <c r="A277"/>
      <c r="B277"/>
      <c r="C277"/>
      <c r="D277"/>
    </row>
    <row r="278" spans="1:4" x14ac:dyDescent="0.3">
      <c r="A278"/>
      <c r="B278"/>
      <c r="C278"/>
      <c r="D278"/>
    </row>
    <row r="279" spans="1:4" x14ac:dyDescent="0.3">
      <c r="A279"/>
      <c r="B279"/>
      <c r="C279"/>
      <c r="D279"/>
    </row>
    <row r="280" spans="1:4" x14ac:dyDescent="0.3">
      <c r="A280"/>
      <c r="B280"/>
      <c r="C280"/>
      <c r="D280"/>
    </row>
    <row r="281" spans="1:4" x14ac:dyDescent="0.3">
      <c r="A281"/>
      <c r="B281"/>
      <c r="C281"/>
      <c r="D281"/>
    </row>
    <row r="282" spans="1:4" x14ac:dyDescent="0.3">
      <c r="A282"/>
      <c r="B282"/>
      <c r="C282"/>
      <c r="D282"/>
    </row>
    <row r="283" spans="1:4" x14ac:dyDescent="0.3">
      <c r="A283"/>
      <c r="B283"/>
      <c r="C283"/>
      <c r="D283"/>
    </row>
    <row r="284" spans="1:4" x14ac:dyDescent="0.3">
      <c r="A284"/>
      <c r="B284"/>
      <c r="C284"/>
      <c r="D284"/>
    </row>
    <row r="285" spans="1:4" x14ac:dyDescent="0.3">
      <c r="A285"/>
      <c r="B285"/>
      <c r="C285"/>
      <c r="D285"/>
    </row>
    <row r="286" spans="1:4" x14ac:dyDescent="0.3">
      <c r="A286"/>
      <c r="B286"/>
      <c r="C286"/>
      <c r="D286"/>
    </row>
    <row r="287" spans="1:4" x14ac:dyDescent="0.3">
      <c r="A287"/>
      <c r="B287"/>
      <c r="C287"/>
      <c r="D287"/>
    </row>
    <row r="288" spans="1:4" x14ac:dyDescent="0.3">
      <c r="A288"/>
      <c r="B288"/>
      <c r="C288"/>
      <c r="D288"/>
    </row>
    <row r="289" spans="1:4" x14ac:dyDescent="0.3">
      <c r="A289"/>
      <c r="B289"/>
      <c r="C289"/>
      <c r="D289"/>
    </row>
    <row r="290" spans="1:4" x14ac:dyDescent="0.3">
      <c r="A290"/>
      <c r="B290"/>
      <c r="C290"/>
      <c r="D290"/>
    </row>
    <row r="291" spans="1:4" x14ac:dyDescent="0.3">
      <c r="A291"/>
      <c r="B291"/>
      <c r="C291"/>
      <c r="D291"/>
    </row>
    <row r="292" spans="1:4" x14ac:dyDescent="0.3">
      <c r="A292"/>
      <c r="B292"/>
      <c r="C292"/>
      <c r="D292"/>
    </row>
    <row r="293" spans="1:4" x14ac:dyDescent="0.3">
      <c r="A293"/>
      <c r="B293"/>
      <c r="C293"/>
      <c r="D293"/>
    </row>
    <row r="294" spans="1:4" x14ac:dyDescent="0.3">
      <c r="A294"/>
      <c r="B294"/>
      <c r="C294"/>
      <c r="D294"/>
    </row>
    <row r="295" spans="1:4" x14ac:dyDescent="0.3">
      <c r="A295"/>
      <c r="B295"/>
      <c r="C295"/>
      <c r="D295"/>
    </row>
    <row r="296" spans="1:4" x14ac:dyDescent="0.3">
      <c r="A296"/>
      <c r="B296"/>
      <c r="C296"/>
      <c r="D296"/>
    </row>
    <row r="297" spans="1:4" x14ac:dyDescent="0.3">
      <c r="A297"/>
      <c r="B297"/>
      <c r="C297"/>
      <c r="D297"/>
    </row>
    <row r="298" spans="1:4" x14ac:dyDescent="0.3">
      <c r="A298"/>
      <c r="B298"/>
      <c r="C298"/>
      <c r="D298"/>
    </row>
    <row r="299" spans="1:4" x14ac:dyDescent="0.3">
      <c r="A299"/>
      <c r="B299"/>
      <c r="C299"/>
      <c r="D299"/>
    </row>
  </sheetData>
  <sheetProtection formatCells="0" formatColumns="0" formatRows="0" insertColumns="0" insertRows="0" insertHyperlinks="0" deleteColumns="0" deleteRows="0" sort="0" autoFilter="0" pivotTables="0"/>
  <conditionalFormatting sqref="D49:D52">
    <cfRule type="dataBar" priority="14">
      <dataBar>
        <cfvo type="min"/>
        <cfvo type="max"/>
        <color rgb="FF63C384"/>
      </dataBar>
    </cfRule>
  </conditionalFormatting>
  <conditionalFormatting pivot="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{00000000-000E-0000-0300-000003000000}</x14:id>
        </ext>
      </extLst>
    </cfRule>
  </conditionalFormatting>
  <conditionalFormatting pivot="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{5BD5CD18-71C3-4819-A875-E90C12FC9299}</x14:id>
        </ext>
      </extLst>
    </cfRule>
  </conditionalFormatting>
  <conditionalFormatting pivot="1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{2E800A78-1504-4C81-9156-044C7589F1D1}</x14:id>
        </ext>
      </extLst>
    </cfRule>
  </conditionalFormatting>
  <conditionalFormatting sqref="D20:D48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{C5476E4E-793F-4903-87E6-95ECA7C6F1CC}</x14:id>
        </ext>
      </extLst>
    </cfRule>
  </conditionalFormatting>
  <conditionalFormatting sqref="F20:F47 E51:E52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{35F2E669-81DD-4DEF-A624-27B6F4902BB7}</x14:id>
        </ext>
      </extLst>
    </cfRule>
  </conditionalFormatting>
  <conditionalFormatting sqref="I20:I21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{00000000-000E-0000-0300-000002000000}</x14:id>
        </ext>
      </extLst>
    </cfRule>
  </conditionalFormatting>
  <conditionalFormatting pivot="1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{24524D08-9F33-4AD7-88F7-AFC90D853060}</x14:id>
        </ext>
      </extLst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4"/>
  <headerFooter>
    <oddHeader>&amp;C&amp;"Arial"&amp;8&amp;K000000INTERNAL&amp;1#</oddHead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7" name="Option Button 8">
              <controlPr defaultSize="0" autoFill="0" autoLine="0" autoPict="0" macro="[0]!Cambiar_inicio_mes">
                <anchor moveWithCells="1">
                  <from>
                    <xdr:col>11</xdr:col>
                    <xdr:colOff>22860</xdr:colOff>
                    <xdr:row>3</xdr:row>
                    <xdr:rowOff>114300</xdr:rowOff>
                  </from>
                  <to>
                    <xdr:col>19</xdr:col>
                    <xdr:colOff>274320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Option Button 9">
              <controlPr defaultSize="0" autoFill="0" autoLine="0" autoPict="0" macro="[0]!Volver_atras_macro_anterior">
                <anchor moveWithCells="1">
                  <from>
                    <xdr:col>11</xdr:col>
                    <xdr:colOff>22860</xdr:colOff>
                    <xdr:row>2</xdr:row>
                    <xdr:rowOff>83820</xdr:rowOff>
                  </from>
                  <to>
                    <xdr:col>19</xdr:col>
                    <xdr:colOff>312420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00000000-000E-0000-0300-000003000000}">
            <x14:dataBar border="1" negativeBarColorSameAsPositive="1" negativeBarBorderColorSameAsPositive="0" axisPosition="none">
              <x14:cfvo type="min"/>
              <x14:cfvo type="max"/>
              <x14:borderColor rgb="FF638EC6"/>
              <x14:negativeBorderColor rgb="FF63C384"/>
            </x14:dataBar>
          </x14:cfRule>
        </x14:conditionalFormatting>
        <x14:conditionalFormatting xmlns:xm="http://schemas.microsoft.com/office/excel/2006/main" pivot="1">
          <x14:cfRule type="dataBar" id="{5BD5CD18-71C3-4819-A875-E90C12FC92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 pivot="1">
          <x14:cfRule type="dataBar" id="{2E800A78-1504-4C81-9156-044C7589F1D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>
          <x14:cfRule type="dataBar" id="{C5476E4E-793F-4903-87E6-95ECA7C6F1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D20:D48</xm:sqref>
        </x14:conditionalFormatting>
        <x14:conditionalFormatting xmlns:xm="http://schemas.microsoft.com/office/excel/2006/main">
          <x14:cfRule type="dataBar" id="{35F2E669-81DD-4DEF-A624-27B6F4902B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F20:F47 E51:E52</xm:sqref>
        </x14:conditionalFormatting>
        <x14:conditionalFormatting xmlns:xm="http://schemas.microsoft.com/office/excel/2006/main">
          <x14:cfRule type="dataBar" id="{00000000-000E-0000-0300-000002000000}">
            <x14:dataBar border="1" negativeBarColorSameAsPositive="1" negativeBarBorderColorSameAsPositive="0" axisPosition="none">
              <x14:cfvo type="min"/>
              <x14:cfvo type="max"/>
              <x14:borderColor rgb="FFFFB628"/>
              <x14:negativeBorderColor rgb="FFFFB628"/>
            </x14:dataBar>
          </x14:cfRule>
          <xm:sqref>I20:I21</xm:sqref>
        </x14:conditionalFormatting>
        <x14:conditionalFormatting xmlns:xm="http://schemas.microsoft.com/office/excel/2006/main" pivot="1">
          <x14:cfRule type="dataBar" id="{24524D08-9F33-4AD7-88F7-AFC90D85306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</x14:conditionalFormatting>
      </x14:conditionalFormattings>
    </ex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2:S202"/>
  <sheetViews>
    <sheetView showGridLines="0" workbookViewId="0">
      <selection activeCell="A84" sqref="A84"/>
    </sheetView>
  </sheetViews>
  <sheetFormatPr baseColWidth="10" defaultColWidth="10.77734375" defaultRowHeight="14.4" x14ac:dyDescent="0.3"/>
  <cols>
    <col min="1" max="1" width="19" style="1" customWidth="1"/>
    <col min="2" max="12" width="10.77734375" style="1" customWidth="1"/>
    <col min="13" max="13" width="8.77734375" customWidth="1"/>
    <col min="14" max="14" width="14.77734375" customWidth="1"/>
    <col min="15" max="16" width="12.5546875" customWidth="1"/>
    <col min="17" max="17" width="6.88671875" customWidth="1"/>
    <col min="18" max="22" width="3" customWidth="1"/>
    <col min="23" max="23" width="9.77734375" customWidth="1"/>
    <col min="24" max="24" width="6.88671875" customWidth="1"/>
    <col min="25" max="35" width="3" customWidth="1"/>
    <col min="36" max="36" width="9.77734375" customWidth="1"/>
    <col min="37" max="37" width="6.88671875" customWidth="1"/>
    <col min="38" max="48" width="3" customWidth="1"/>
    <col min="49" max="49" width="9.77734375" customWidth="1"/>
    <col min="50" max="50" width="6.88671875" customWidth="1"/>
    <col min="51" max="61" width="3" customWidth="1"/>
    <col min="62" max="62" width="9.77734375" customWidth="1"/>
    <col min="63" max="63" width="6.88671875" customWidth="1"/>
    <col min="64" max="70" width="3" customWidth="1"/>
    <col min="71" max="71" width="9.77734375" customWidth="1"/>
    <col min="72" max="72" width="6.88671875" customWidth="1"/>
    <col min="73" max="73" width="2" customWidth="1"/>
    <col min="74" max="76" width="3" customWidth="1"/>
    <col min="77" max="77" width="9.77734375" customWidth="1"/>
    <col min="78" max="78" width="6.88671875" customWidth="1"/>
    <col min="79" max="81" width="2" customWidth="1"/>
    <col min="82" max="84" width="3" customWidth="1"/>
    <col min="85" max="85" width="9.77734375" customWidth="1"/>
    <col min="86" max="86" width="6.88671875" customWidth="1"/>
    <col min="87" max="87" width="2" customWidth="1"/>
    <col min="88" max="91" width="3" customWidth="1"/>
    <col min="92" max="92" width="9.77734375" customWidth="1"/>
    <col min="93" max="93" width="2" customWidth="1"/>
    <col min="94" max="94" width="5.88671875" customWidth="1"/>
    <col min="95" max="95" width="12.88671875" bestFit="1" customWidth="1"/>
    <col min="96" max="96" width="15.88671875" bestFit="1" customWidth="1"/>
    <col min="97" max="97" width="12.5546875" bestFit="1" customWidth="1"/>
  </cols>
  <sheetData>
    <row r="2" spans="1:13" x14ac:dyDescent="0.3">
      <c r="A2" s="109" t="s">
        <v>32</v>
      </c>
      <c r="B2" s="109"/>
      <c r="C2" s="109"/>
    </row>
    <row r="3" spans="1:13" s="42" customFormat="1" x14ac:dyDescent="0.3">
      <c r="A3" s="56" t="s">
        <v>6</v>
      </c>
      <c r="B3" s="56" t="s">
        <v>8</v>
      </c>
      <c r="C3"/>
      <c r="D3"/>
      <c r="E3"/>
      <c r="F3"/>
      <c r="G3"/>
      <c r="H3"/>
      <c r="I3"/>
      <c r="J3"/>
      <c r="K3"/>
      <c r="L3"/>
      <c r="M3"/>
    </row>
    <row r="4" spans="1:13" s="42" customFormat="1" x14ac:dyDescent="0.3">
      <c r="A4" s="56" t="s">
        <v>28</v>
      </c>
      <c r="B4" s="43"/>
      <c r="C4"/>
      <c r="D4"/>
      <c r="E4"/>
      <c r="F4"/>
      <c r="G4"/>
      <c r="H4"/>
      <c r="I4"/>
      <c r="J4"/>
      <c r="K4"/>
      <c r="L4"/>
      <c r="M4"/>
    </row>
    <row r="5" spans="1:13" x14ac:dyDescent="0.3">
      <c r="A5" s="56" t="s">
        <v>30</v>
      </c>
      <c r="B5" s="57"/>
      <c r="C5"/>
      <c r="D5"/>
      <c r="E5"/>
      <c r="F5"/>
      <c r="G5"/>
      <c r="H5"/>
      <c r="I5"/>
      <c r="J5"/>
      <c r="K5"/>
      <c r="L5"/>
    </row>
    <row r="6" spans="1:13" x14ac:dyDescent="0.3">
      <c r="A6"/>
      <c r="B6"/>
      <c r="C6"/>
      <c r="D6"/>
      <c r="E6"/>
      <c r="F6"/>
      <c r="G6"/>
      <c r="H6"/>
      <c r="I6"/>
      <c r="J6"/>
      <c r="K6"/>
      <c r="L6"/>
    </row>
    <row r="7" spans="1:13" x14ac:dyDescent="0.3">
      <c r="A7"/>
      <c r="B7"/>
      <c r="C7"/>
      <c r="D7"/>
      <c r="E7"/>
      <c r="F7"/>
      <c r="G7"/>
      <c r="H7"/>
      <c r="I7"/>
      <c r="J7"/>
      <c r="K7"/>
      <c r="L7"/>
    </row>
    <row r="8" spans="1:13" x14ac:dyDescent="0.3">
      <c r="A8"/>
      <c r="B8"/>
      <c r="C8"/>
      <c r="D8"/>
      <c r="E8"/>
      <c r="F8"/>
      <c r="G8"/>
      <c r="H8"/>
      <c r="I8"/>
      <c r="J8"/>
      <c r="K8"/>
      <c r="L8"/>
    </row>
    <row r="9" spans="1:13" x14ac:dyDescent="0.3">
      <c r="A9"/>
      <c r="B9"/>
      <c r="C9"/>
      <c r="D9"/>
      <c r="E9"/>
      <c r="F9"/>
      <c r="G9"/>
      <c r="H9"/>
      <c r="I9"/>
      <c r="J9"/>
      <c r="K9"/>
      <c r="L9"/>
    </row>
    <row r="10" spans="1:13" x14ac:dyDescent="0.3">
      <c r="A10"/>
      <c r="B10"/>
      <c r="C10"/>
      <c r="D10"/>
      <c r="E10"/>
      <c r="F10"/>
      <c r="G10"/>
      <c r="H10"/>
      <c r="I10"/>
      <c r="J10"/>
      <c r="K10"/>
      <c r="L10"/>
    </row>
    <row r="11" spans="1:13" x14ac:dyDescent="0.3">
      <c r="A11"/>
      <c r="B11"/>
      <c r="C11"/>
      <c r="D11"/>
      <c r="E11"/>
      <c r="F11"/>
      <c r="G11"/>
      <c r="H11"/>
      <c r="I11"/>
      <c r="J11"/>
      <c r="K11"/>
      <c r="L11"/>
    </row>
    <row r="12" spans="1:13" x14ac:dyDescent="0.3">
      <c r="A12"/>
      <c r="B12"/>
      <c r="C12"/>
      <c r="D12"/>
      <c r="E12"/>
      <c r="F12"/>
      <c r="G12"/>
      <c r="H12"/>
      <c r="I12"/>
      <c r="J12"/>
      <c r="K12"/>
      <c r="L12"/>
    </row>
    <row r="13" spans="1:13" x14ac:dyDescent="0.3">
      <c r="A13"/>
      <c r="B13"/>
      <c r="C13"/>
      <c r="D13"/>
      <c r="E13"/>
      <c r="F13"/>
      <c r="G13"/>
      <c r="H13"/>
      <c r="I13"/>
      <c r="J13"/>
      <c r="K13"/>
      <c r="L13"/>
    </row>
    <row r="14" spans="1:13" x14ac:dyDescent="0.3">
      <c r="A14"/>
      <c r="B14"/>
      <c r="C14"/>
      <c r="D14"/>
      <c r="E14"/>
      <c r="F14"/>
      <c r="G14"/>
      <c r="H14"/>
      <c r="I14"/>
      <c r="J14"/>
      <c r="K14"/>
      <c r="L14"/>
    </row>
    <row r="15" spans="1:13" x14ac:dyDescent="0.3">
      <c r="A15"/>
      <c r="B15"/>
      <c r="C15"/>
      <c r="D15"/>
      <c r="E15"/>
      <c r="F15"/>
      <c r="G15"/>
      <c r="H15"/>
      <c r="I15"/>
      <c r="J15"/>
      <c r="K15"/>
      <c r="L15"/>
    </row>
    <row r="16" spans="1:13" x14ac:dyDescent="0.3">
      <c r="A16"/>
      <c r="B16"/>
      <c r="C16"/>
      <c r="D16"/>
      <c r="E16"/>
      <c r="F16"/>
      <c r="G16"/>
      <c r="H16"/>
      <c r="I16"/>
      <c r="J16"/>
      <c r="K16"/>
      <c r="L16"/>
    </row>
    <row r="17" spans="1:19" x14ac:dyDescent="0.3">
      <c r="A17"/>
      <c r="B17"/>
      <c r="C17"/>
      <c r="D17"/>
      <c r="E17"/>
      <c r="F17"/>
      <c r="G17"/>
      <c r="H17"/>
      <c r="I17"/>
      <c r="J17"/>
      <c r="K17"/>
      <c r="L17"/>
    </row>
    <row r="18" spans="1:19" x14ac:dyDescent="0.3">
      <c r="A18" s="56"/>
      <c r="B18" s="57"/>
      <c r="C18" s="57"/>
      <c r="D18" s="57"/>
      <c r="E18" s="57"/>
      <c r="F18" s="57"/>
      <c r="G18" s="57"/>
      <c r="H18" s="57"/>
      <c r="I18" s="57"/>
      <c r="J18"/>
      <c r="K18"/>
      <c r="L18"/>
    </row>
    <row r="19" spans="1:19" x14ac:dyDescent="0.3">
      <c r="A19" s="110" t="s">
        <v>33</v>
      </c>
      <c r="B19" s="110"/>
      <c r="C19" s="110"/>
    </row>
    <row r="20" spans="1:19" s="42" customFormat="1" x14ac:dyDescent="0.3">
      <c r="A20" s="56" t="s">
        <v>110</v>
      </c>
      <c r="B20" s="56" t="s">
        <v>43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 s="42" customFormat="1" x14ac:dyDescent="0.3">
      <c r="A21" s="56" t="s">
        <v>42</v>
      </c>
      <c r="B21" s="43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</row>
    <row r="22" spans="1:19" x14ac:dyDescent="0.3">
      <c r="A22" s="56" t="s">
        <v>30</v>
      </c>
      <c r="B22" s="56"/>
      <c r="C22"/>
      <c r="D22"/>
      <c r="E22"/>
      <c r="F22"/>
      <c r="G22"/>
      <c r="H22"/>
      <c r="I22"/>
      <c r="J22"/>
      <c r="K22"/>
      <c r="L22"/>
    </row>
    <row r="23" spans="1:19" x14ac:dyDescent="0.3">
      <c r="A23"/>
      <c r="B23"/>
      <c r="C23"/>
      <c r="D23"/>
      <c r="E23"/>
      <c r="F23"/>
      <c r="G23"/>
      <c r="H23"/>
      <c r="I23"/>
      <c r="J23"/>
      <c r="K23"/>
      <c r="L23"/>
    </row>
    <row r="24" spans="1:19" x14ac:dyDescent="0.3">
      <c r="A24"/>
      <c r="B24"/>
      <c r="C24"/>
      <c r="D24"/>
      <c r="E24"/>
      <c r="F24"/>
      <c r="G24"/>
      <c r="H24"/>
      <c r="I24"/>
      <c r="J24"/>
      <c r="K24"/>
      <c r="L24"/>
    </row>
    <row r="25" spans="1:19" x14ac:dyDescent="0.3">
      <c r="A25"/>
      <c r="B25"/>
      <c r="C25"/>
      <c r="D25"/>
      <c r="E25"/>
      <c r="F25"/>
      <c r="G25"/>
      <c r="H25"/>
      <c r="I25"/>
      <c r="J25"/>
      <c r="K25"/>
      <c r="L25"/>
    </row>
    <row r="26" spans="1:19" x14ac:dyDescent="0.3">
      <c r="A26"/>
      <c r="B26"/>
      <c r="C26"/>
      <c r="D26"/>
      <c r="E26"/>
      <c r="F26"/>
      <c r="G26"/>
      <c r="H26"/>
      <c r="I26"/>
      <c r="J26"/>
      <c r="K26"/>
      <c r="L26"/>
    </row>
    <row r="27" spans="1:19" x14ac:dyDescent="0.3">
      <c r="A27"/>
      <c r="B27"/>
      <c r="C27"/>
      <c r="D27"/>
      <c r="E27"/>
      <c r="F27"/>
      <c r="G27"/>
      <c r="H27"/>
      <c r="I27"/>
      <c r="J27"/>
      <c r="K27"/>
      <c r="L27"/>
    </row>
    <row r="28" spans="1:19" x14ac:dyDescent="0.3">
      <c r="A28"/>
      <c r="B28"/>
      <c r="C28"/>
      <c r="D28"/>
      <c r="E28"/>
      <c r="F28"/>
      <c r="G28"/>
      <c r="H28"/>
      <c r="I28"/>
      <c r="J28"/>
      <c r="K28"/>
      <c r="L28"/>
    </row>
    <row r="29" spans="1:19" x14ac:dyDescent="0.3">
      <c r="A29"/>
      <c r="B29"/>
      <c r="C29"/>
      <c r="D29"/>
      <c r="E29"/>
      <c r="F29"/>
      <c r="G29"/>
      <c r="H29"/>
      <c r="I29"/>
      <c r="J29"/>
      <c r="K29"/>
      <c r="L29"/>
    </row>
    <row r="30" spans="1:19" x14ac:dyDescent="0.3">
      <c r="A30"/>
      <c r="B30"/>
      <c r="C30"/>
      <c r="D30"/>
      <c r="E30"/>
      <c r="F30"/>
      <c r="G30"/>
      <c r="H30"/>
      <c r="I30"/>
      <c r="J30"/>
      <c r="K30"/>
      <c r="L30"/>
    </row>
    <row r="31" spans="1:19" x14ac:dyDescent="0.3">
      <c r="A31"/>
      <c r="B31"/>
      <c r="C31"/>
      <c r="D31"/>
      <c r="E31"/>
      <c r="F31"/>
      <c r="G31"/>
      <c r="H31"/>
      <c r="I31"/>
      <c r="J31"/>
      <c r="K31"/>
      <c r="L31"/>
    </row>
    <row r="32" spans="1:19" x14ac:dyDescent="0.3">
      <c r="A32"/>
      <c r="B32"/>
      <c r="C32"/>
      <c r="D32"/>
      <c r="E32"/>
      <c r="F32"/>
      <c r="G32"/>
      <c r="H32"/>
      <c r="I32"/>
      <c r="J32"/>
      <c r="K32"/>
      <c r="L32"/>
    </row>
    <row r="33" spans="1:13" x14ac:dyDescent="0.3">
      <c r="A33"/>
      <c r="B33"/>
      <c r="C33"/>
      <c r="D33"/>
      <c r="E33"/>
      <c r="F33"/>
      <c r="G33"/>
      <c r="H33"/>
      <c r="I33"/>
      <c r="J33"/>
      <c r="K33"/>
      <c r="L33"/>
    </row>
    <row r="34" spans="1:13" x14ac:dyDescent="0.3">
      <c r="A34"/>
      <c r="B34"/>
      <c r="C34"/>
      <c r="D34"/>
      <c r="E34"/>
      <c r="F34"/>
      <c r="G34"/>
      <c r="H34"/>
      <c r="I34"/>
      <c r="J34"/>
      <c r="K34"/>
      <c r="L34"/>
    </row>
    <row r="35" spans="1:13" x14ac:dyDescent="0.3">
      <c r="A35" s="56"/>
      <c r="B35" s="56"/>
      <c r="C35" s="56"/>
      <c r="D35" s="56"/>
      <c r="E35" s="56"/>
      <c r="F35" s="56"/>
      <c r="G35" s="56"/>
      <c r="H35" s="56"/>
      <c r="I35" s="56"/>
      <c r="J35"/>
      <c r="K35"/>
      <c r="L35"/>
    </row>
    <row r="36" spans="1:13" x14ac:dyDescent="0.3">
      <c r="A36" s="109" t="s">
        <v>38</v>
      </c>
      <c r="B36" s="109"/>
      <c r="C36" s="109"/>
    </row>
    <row r="37" spans="1:13" s="42" customFormat="1" x14ac:dyDescent="0.3">
      <c r="A37" s="57" t="s">
        <v>11</v>
      </c>
      <c r="B37" s="57" t="s">
        <v>8</v>
      </c>
      <c r="C37"/>
      <c r="D37"/>
      <c r="E37"/>
      <c r="F37"/>
      <c r="G37"/>
      <c r="H37"/>
      <c r="I37"/>
      <c r="J37"/>
      <c r="K37"/>
      <c r="L37"/>
      <c r="M37"/>
    </row>
    <row r="38" spans="1:13" s="42" customFormat="1" x14ac:dyDescent="0.3">
      <c r="A38" s="57" t="s">
        <v>28</v>
      </c>
      <c r="B38" s="105"/>
      <c r="C38"/>
      <c r="D38"/>
      <c r="E38"/>
      <c r="F38"/>
      <c r="G38"/>
      <c r="H38"/>
      <c r="I38"/>
      <c r="J38"/>
      <c r="K38"/>
      <c r="L38"/>
      <c r="M38"/>
    </row>
    <row r="39" spans="1:13" x14ac:dyDescent="0.3">
      <c r="A39" s="57" t="s">
        <v>30</v>
      </c>
      <c r="B39" s="57"/>
      <c r="C39"/>
      <c r="D39"/>
      <c r="E39"/>
      <c r="F39"/>
      <c r="G39"/>
      <c r="H39"/>
      <c r="I39"/>
      <c r="J39"/>
      <c r="K39"/>
      <c r="L39"/>
    </row>
    <row r="40" spans="1:13" x14ac:dyDescent="0.3">
      <c r="A40"/>
      <c r="B40"/>
      <c r="C40"/>
      <c r="D40"/>
      <c r="E40"/>
      <c r="F40"/>
      <c r="G40"/>
      <c r="H40"/>
      <c r="I40"/>
      <c r="J40"/>
      <c r="K40"/>
      <c r="L40"/>
    </row>
    <row r="41" spans="1:13" x14ac:dyDescent="0.3">
      <c r="A41"/>
      <c r="B41"/>
      <c r="C41"/>
      <c r="D41"/>
      <c r="E41"/>
      <c r="F41"/>
      <c r="G41"/>
      <c r="H41"/>
      <c r="I41"/>
      <c r="J41"/>
      <c r="K41"/>
      <c r="L41"/>
    </row>
    <row r="42" spans="1:13" x14ac:dyDescent="0.3">
      <c r="A42"/>
      <c r="B42"/>
      <c r="C42"/>
      <c r="D42"/>
      <c r="E42"/>
      <c r="F42"/>
      <c r="G42"/>
      <c r="H42"/>
      <c r="I42"/>
      <c r="J42"/>
      <c r="K42"/>
      <c r="L42"/>
    </row>
    <row r="43" spans="1:13" x14ac:dyDescent="0.3">
      <c r="A43"/>
      <c r="B43"/>
      <c r="C43"/>
      <c r="D43"/>
      <c r="E43"/>
      <c r="F43"/>
      <c r="G43"/>
      <c r="H43"/>
      <c r="I43"/>
      <c r="J43"/>
      <c r="K43"/>
      <c r="L43"/>
    </row>
    <row r="44" spans="1:13" x14ac:dyDescent="0.3">
      <c r="A44"/>
      <c r="B44"/>
      <c r="C44"/>
      <c r="D44"/>
      <c r="E44"/>
      <c r="F44"/>
      <c r="G44"/>
      <c r="H44"/>
      <c r="I44"/>
      <c r="J44"/>
      <c r="K44"/>
      <c r="L44"/>
    </row>
    <row r="45" spans="1:13" x14ac:dyDescent="0.3">
      <c r="A45"/>
      <c r="B45"/>
      <c r="C45"/>
      <c r="D45"/>
      <c r="E45"/>
      <c r="F45"/>
      <c r="G45"/>
      <c r="H45"/>
      <c r="I45"/>
      <c r="J45"/>
      <c r="K45"/>
      <c r="L45"/>
    </row>
    <row r="46" spans="1:13" x14ac:dyDescent="0.3">
      <c r="A46"/>
      <c r="B46"/>
      <c r="C46"/>
      <c r="D46"/>
      <c r="E46"/>
      <c r="F46"/>
      <c r="G46"/>
      <c r="H46"/>
      <c r="I46"/>
      <c r="J46"/>
      <c r="K46"/>
      <c r="L46"/>
    </row>
    <row r="47" spans="1:13" x14ac:dyDescent="0.3">
      <c r="A47"/>
      <c r="B47"/>
      <c r="C47"/>
      <c r="D47"/>
      <c r="E47"/>
      <c r="F47"/>
      <c r="G47"/>
      <c r="H47"/>
      <c r="I47"/>
      <c r="J47"/>
      <c r="K47"/>
      <c r="L47"/>
    </row>
    <row r="48" spans="1:13" x14ac:dyDescent="0.3">
      <c r="A48"/>
      <c r="B48"/>
      <c r="C48"/>
      <c r="D48"/>
      <c r="E48"/>
      <c r="F48"/>
      <c r="G48"/>
      <c r="H48"/>
      <c r="I48"/>
      <c r="J48"/>
      <c r="K48"/>
      <c r="L48"/>
    </row>
    <row r="49" spans="1:13" x14ac:dyDescent="0.3">
      <c r="A49"/>
      <c r="B49"/>
      <c r="C49"/>
      <c r="D49"/>
      <c r="E49"/>
      <c r="F49"/>
      <c r="G49"/>
      <c r="H49"/>
      <c r="I49"/>
      <c r="J49"/>
      <c r="K49"/>
      <c r="L49"/>
    </row>
    <row r="50" spans="1:13" x14ac:dyDescent="0.3">
      <c r="A50"/>
      <c r="B50"/>
      <c r="C50"/>
      <c r="D50"/>
      <c r="E50"/>
      <c r="F50"/>
      <c r="G50"/>
      <c r="H50"/>
      <c r="I50"/>
      <c r="J50"/>
      <c r="K50"/>
      <c r="L50"/>
    </row>
    <row r="51" spans="1:13" x14ac:dyDescent="0.3">
      <c r="A51"/>
      <c r="B51"/>
      <c r="C51"/>
      <c r="D51"/>
      <c r="E51"/>
      <c r="F51"/>
      <c r="G51"/>
      <c r="H51"/>
      <c r="I51"/>
      <c r="J51"/>
      <c r="K51"/>
      <c r="L51"/>
    </row>
    <row r="52" spans="1:13" x14ac:dyDescent="0.3">
      <c r="A52"/>
      <c r="B52"/>
      <c r="C52"/>
      <c r="D52"/>
      <c r="E52"/>
      <c r="F52"/>
      <c r="G52"/>
      <c r="H52"/>
      <c r="I52"/>
      <c r="J52"/>
      <c r="K52"/>
      <c r="L52"/>
    </row>
    <row r="53" spans="1:13" x14ac:dyDescent="0.3">
      <c r="A53" s="93" t="s">
        <v>19</v>
      </c>
      <c r="B53"/>
      <c r="C53"/>
      <c r="D53"/>
      <c r="E53"/>
      <c r="F53"/>
      <c r="G53"/>
      <c r="H53"/>
      <c r="I53"/>
      <c r="J53"/>
      <c r="K53"/>
      <c r="L53"/>
    </row>
    <row r="54" spans="1:13" s="42" customFormat="1" x14ac:dyDescent="0.3">
      <c r="A54" s="58" t="s">
        <v>40</v>
      </c>
      <c r="B54" s="58" t="s">
        <v>43</v>
      </c>
      <c r="C54"/>
      <c r="D54"/>
      <c r="E54"/>
      <c r="F54"/>
      <c r="G54"/>
      <c r="H54"/>
      <c r="I54"/>
      <c r="J54"/>
      <c r="K54"/>
      <c r="L54"/>
      <c r="M54"/>
    </row>
    <row r="55" spans="1:13" s="42" customFormat="1" x14ac:dyDescent="0.3">
      <c r="A55" s="58" t="s">
        <v>42</v>
      </c>
      <c r="B55" s="43"/>
      <c r="C55"/>
      <c r="D55"/>
      <c r="E55"/>
      <c r="F55"/>
      <c r="G55"/>
      <c r="H55"/>
      <c r="I55"/>
      <c r="J55"/>
      <c r="K55"/>
      <c r="L55"/>
      <c r="M55"/>
    </row>
    <row r="56" spans="1:13" x14ac:dyDescent="0.3">
      <c r="A56"/>
      <c r="B56"/>
      <c r="C56"/>
      <c r="D56"/>
      <c r="E56"/>
      <c r="F56"/>
      <c r="G56"/>
      <c r="H56"/>
      <c r="I56"/>
      <c r="J56"/>
      <c r="K56"/>
      <c r="L56"/>
    </row>
    <row r="57" spans="1:13" x14ac:dyDescent="0.3">
      <c r="A57"/>
      <c r="B57"/>
      <c r="C57"/>
      <c r="D57"/>
      <c r="E57"/>
      <c r="F57"/>
      <c r="G57"/>
      <c r="H57"/>
      <c r="I57"/>
      <c r="J57"/>
      <c r="K57"/>
      <c r="L57"/>
    </row>
    <row r="58" spans="1:13" x14ac:dyDescent="0.3">
      <c r="A58"/>
      <c r="B58"/>
      <c r="C58"/>
      <c r="D58"/>
      <c r="E58"/>
      <c r="F58"/>
      <c r="G58"/>
      <c r="H58"/>
      <c r="I58"/>
      <c r="J58"/>
      <c r="K58"/>
      <c r="L58"/>
    </row>
    <row r="59" spans="1:13" x14ac:dyDescent="0.3">
      <c r="A59"/>
      <c r="B59"/>
      <c r="C59"/>
      <c r="D59"/>
      <c r="E59"/>
      <c r="F59"/>
      <c r="G59"/>
      <c r="H59"/>
      <c r="I59"/>
      <c r="J59"/>
      <c r="K59"/>
      <c r="L59"/>
    </row>
    <row r="60" spans="1:13" x14ac:dyDescent="0.3">
      <c r="A60"/>
      <c r="B60"/>
      <c r="C60"/>
      <c r="D60"/>
      <c r="E60"/>
      <c r="F60"/>
      <c r="G60"/>
      <c r="H60"/>
      <c r="I60"/>
      <c r="J60"/>
      <c r="K60"/>
      <c r="L60"/>
    </row>
    <row r="61" spans="1:13" x14ac:dyDescent="0.3">
      <c r="A61"/>
      <c r="B61"/>
      <c r="C61"/>
      <c r="D61"/>
      <c r="E61"/>
      <c r="F61"/>
      <c r="G61"/>
      <c r="H61"/>
      <c r="I61"/>
      <c r="J61"/>
      <c r="K61"/>
      <c r="L61"/>
    </row>
    <row r="62" spans="1:13" x14ac:dyDescent="0.3">
      <c r="A62"/>
      <c r="B62"/>
      <c r="C62"/>
      <c r="D62"/>
      <c r="E62"/>
      <c r="F62"/>
      <c r="G62"/>
      <c r="H62"/>
      <c r="I62"/>
      <c r="J62"/>
      <c r="K62"/>
      <c r="L62"/>
    </row>
    <row r="63" spans="1:13" x14ac:dyDescent="0.3">
      <c r="A63"/>
      <c r="B63"/>
      <c r="C63"/>
      <c r="D63"/>
      <c r="E63"/>
      <c r="F63"/>
      <c r="G63"/>
      <c r="H63"/>
      <c r="I63"/>
      <c r="J63"/>
      <c r="K63"/>
      <c r="L63"/>
    </row>
    <row r="64" spans="1:13" x14ac:dyDescent="0.3">
      <c r="A64"/>
      <c r="B64"/>
      <c r="C64"/>
      <c r="D64"/>
      <c r="E64"/>
      <c r="F64"/>
      <c r="G64"/>
      <c r="H64"/>
      <c r="I64"/>
      <c r="J64"/>
      <c r="K64"/>
      <c r="L64"/>
    </row>
    <row r="65" spans="1:12" x14ac:dyDescent="0.3">
      <c r="A65"/>
      <c r="B65"/>
      <c r="C65"/>
      <c r="D65"/>
      <c r="E65"/>
      <c r="F65"/>
      <c r="G65"/>
      <c r="H65"/>
      <c r="I65"/>
      <c r="J65"/>
      <c r="K65"/>
      <c r="L65"/>
    </row>
    <row r="66" spans="1:12" x14ac:dyDescent="0.3">
      <c r="A66"/>
      <c r="B66"/>
      <c r="C66"/>
      <c r="D66"/>
      <c r="E66"/>
      <c r="F66"/>
      <c r="G66"/>
      <c r="H66"/>
      <c r="I66"/>
      <c r="J66"/>
      <c r="K66"/>
      <c r="L66"/>
    </row>
    <row r="67" spans="1:12" x14ac:dyDescent="0.3">
      <c r="A67"/>
      <c r="B67"/>
      <c r="C67"/>
      <c r="D67"/>
      <c r="E67"/>
      <c r="F67"/>
      <c r="G67"/>
      <c r="H67"/>
      <c r="I67"/>
      <c r="J67"/>
      <c r="K67"/>
      <c r="L67"/>
    </row>
    <row r="68" spans="1:12" x14ac:dyDescent="0.3">
      <c r="A68"/>
      <c r="B68"/>
      <c r="C68"/>
      <c r="D68"/>
      <c r="E68"/>
      <c r="F68"/>
      <c r="G68"/>
      <c r="H68"/>
      <c r="I68"/>
      <c r="J68"/>
      <c r="K68"/>
      <c r="L68"/>
    </row>
    <row r="69" spans="1:12" x14ac:dyDescent="0.3">
      <c r="A69"/>
      <c r="B69"/>
      <c r="C69"/>
      <c r="D69"/>
      <c r="E69"/>
      <c r="F69"/>
      <c r="G69"/>
      <c r="H69"/>
      <c r="I69"/>
      <c r="J69"/>
      <c r="K69"/>
      <c r="L69"/>
    </row>
    <row r="70" spans="1:12" x14ac:dyDescent="0.3">
      <c r="A70"/>
      <c r="B70"/>
      <c r="C70"/>
    </row>
    <row r="71" spans="1:12" x14ac:dyDescent="0.3">
      <c r="A71"/>
      <c r="B71"/>
      <c r="C71"/>
    </row>
    <row r="201" spans="1:1" x14ac:dyDescent="0.3">
      <c r="A201" s="1">
        <f>Resumen!D2</f>
        <v>0</v>
      </c>
    </row>
    <row r="202" spans="1:1" x14ac:dyDescent="0.3">
      <c r="A202" s="1">
        <f>MAX('Entrada datos'!C3:C200)</f>
        <v>0</v>
      </c>
    </row>
  </sheetData>
  <mergeCells count="3">
    <mergeCell ref="A2:C2"/>
    <mergeCell ref="A36:C36"/>
    <mergeCell ref="A19:C19"/>
  </mergeCells>
  <conditionalFormatting pivot="1" sqref="B5">
    <cfRule type="aboveAverage" dxfId="10" priority="20"/>
  </conditionalFormatting>
  <conditionalFormatting pivot="1" sqref="B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3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5">
    <cfRule type="cellIs" dxfId="9" priority="11" operator="lessThan">
      <formula>2</formula>
    </cfRule>
  </conditionalFormatting>
  <conditionalFormatting pivot="1" sqref="B39">
    <cfRule type="cellIs" dxfId="8" priority="10" operator="lessThan">
      <formula>0.01</formula>
    </cfRule>
  </conditionalFormatting>
  <conditionalFormatting pivot="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6:A68 N56:N6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6:A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5"/>
  <headerFooter>
    <oddHeader>&amp;C&amp;"Arial"&amp;8&amp;K000000INTERNAL&amp;1#</oddHeader>
  </headerFooter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 filterMode="1"/>
  <dimension ref="A1:AE202"/>
  <sheetViews>
    <sheetView showGridLines="0" zoomScaleNormal="100" workbookViewId="0">
      <pane ySplit="2" topLeftCell="A3" activePane="bottomLeft" state="frozen"/>
      <selection activeCell="A2" sqref="A2"/>
      <selection pane="bottomLeft" activeCell="AD33" sqref="AD33"/>
    </sheetView>
  </sheetViews>
  <sheetFormatPr baseColWidth="10" defaultColWidth="10.77734375" defaultRowHeight="14.4" x14ac:dyDescent="0.3"/>
  <cols>
    <col min="1" max="1" width="14.77734375" bestFit="1" customWidth="1"/>
    <col min="2" max="2" width="11.6640625" customWidth="1"/>
    <col min="3" max="4" width="14.6640625" style="18" customWidth="1"/>
    <col min="5" max="5" width="11.6640625" style="17" customWidth="1"/>
    <col min="6" max="6" width="11.6640625" customWidth="1"/>
    <col min="7" max="7" width="11.6640625" style="17" customWidth="1"/>
    <col min="8" max="8" width="11.6640625" style="15" customWidth="1"/>
    <col min="9" max="9" width="9.6640625" customWidth="1"/>
    <col min="10" max="10" width="8.77734375" hidden="1" customWidth="1"/>
    <col min="11" max="11" width="11.6640625" style="32" customWidth="1"/>
    <col min="12" max="12" width="10.77734375" customWidth="1"/>
    <col min="13" max="13" width="16" hidden="1" customWidth="1"/>
    <col min="14" max="14" width="5" hidden="1" customWidth="1"/>
    <col min="15" max="15" width="6.33203125" hidden="1" customWidth="1"/>
    <col min="16" max="16" width="24.77734375" hidden="1" customWidth="1"/>
    <col min="17" max="17" width="4.6640625" hidden="1" customWidth="1"/>
    <col min="18" max="18" width="18.5546875" hidden="1" customWidth="1"/>
    <col min="19" max="19" width="12.21875" hidden="1" customWidth="1"/>
    <col min="20" max="20" width="10.109375" hidden="1" customWidth="1"/>
    <col min="21" max="26" width="3.109375" hidden="1" customWidth="1"/>
    <col min="27" max="27" width="9.33203125" hidden="1" customWidth="1"/>
    <col min="28" max="28" width="12.6640625" hidden="1" customWidth="1"/>
    <col min="29" max="29" width="5.109375" customWidth="1"/>
    <col min="30" max="30" width="13.44140625" customWidth="1"/>
    <col min="31" max="31" width="13" customWidth="1"/>
    <col min="32" max="48" width="10.77734375" customWidth="1"/>
    <col min="49" max="49" width="12.5546875" bestFit="1" customWidth="1"/>
  </cols>
  <sheetData>
    <row r="1" spans="1:28" s="1" customFormat="1" hidden="1" x14ac:dyDescent="0.3">
      <c r="A1" s="107"/>
      <c r="B1" s="108"/>
      <c r="C1" s="12"/>
      <c r="D1" s="2"/>
      <c r="E1" s="28"/>
      <c r="G1" s="28"/>
      <c r="H1" s="16"/>
      <c r="K1" s="31"/>
    </row>
    <row r="2" spans="1:28" s="9" customFormat="1" ht="43.2" x14ac:dyDescent="0.3">
      <c r="A2" s="50" t="str">
        <f>'Temp Hisfa'!A2</f>
        <v>Contrato</v>
      </c>
      <c r="B2" s="50" t="str">
        <f>'Temp Hisfa'!B2</f>
        <v>Secuencial factura</v>
      </c>
      <c r="C2" s="51" t="str">
        <f>'Temp Hisfa'!C2</f>
        <v>Fecha Inicio</v>
      </c>
      <c r="D2" s="51" t="str">
        <f>'Temp Hisfa'!D2</f>
        <v>Fecha fin</v>
      </c>
      <c r="E2" s="51" t="str">
        <f>'Temp Hisfa'!E2</f>
        <v>Consumo Activa</v>
      </c>
      <c r="F2" s="51" t="str">
        <f>'Temp Hisfa'!F2</f>
        <v>Promedio Activa</v>
      </c>
      <c r="G2" s="51" t="str">
        <f>'Temp Hisfa'!G2</f>
        <v>Consumo Reactiva</v>
      </c>
      <c r="H2" s="52" t="str">
        <f>'Temp Hisfa'!H2</f>
        <v>Promedio Reactiva</v>
      </c>
      <c r="I2" s="50" t="str">
        <f>'Temp Hisfa'!I2</f>
        <v>Cargo abono total</v>
      </c>
      <c r="J2" s="11" t="str">
        <f>'Temp Hisfa'!J2</f>
        <v>Pérdidas Total</v>
      </c>
      <c r="K2" s="52" t="str">
        <f>'Temp Hisfa'!K2</f>
        <v>Maxímetro</v>
      </c>
      <c r="L2" s="51" t="str">
        <f>'Temp Hisfa'!L2</f>
        <v>Lectura</v>
      </c>
      <c r="M2" s="51" t="str">
        <f>'Temp Hisfa'!M2</f>
        <v>Fuente</v>
      </c>
      <c r="N2" s="11" t="str">
        <f>'Temp Hisfa'!N2</f>
        <v>Año</v>
      </c>
      <c r="O2" s="11" t="str">
        <f>'Temp Hisfa'!O2</f>
        <v>Mes</v>
      </c>
      <c r="P2" s="11" t="str">
        <f>'Temp Hisfa'!P2</f>
        <v>Energía Total Reconstruida</v>
      </c>
      <c r="Q2" s="11" t="str">
        <f>'Temp Hisfa'!Q2</f>
        <v>Días</v>
      </c>
      <c r="R2" s="11" t="str">
        <f>'Temp Hisfa'!R2</f>
        <v>Consumo promedio ciclo</v>
      </c>
      <c r="S2" s="11" t="s">
        <v>41</v>
      </c>
      <c r="T2" s="67" t="s">
        <v>106</v>
      </c>
      <c r="U2" s="67" t="s">
        <v>61</v>
      </c>
      <c r="V2" s="67" t="s">
        <v>62</v>
      </c>
      <c r="W2" s="67" t="s">
        <v>63</v>
      </c>
      <c r="X2" s="67" t="s">
        <v>64</v>
      </c>
      <c r="Y2" s="67" t="s">
        <v>65</v>
      </c>
      <c r="Z2" s="67" t="s">
        <v>66</v>
      </c>
      <c r="AA2" s="67" t="s">
        <v>108</v>
      </c>
      <c r="AB2" s="67" t="s">
        <v>109</v>
      </c>
    </row>
    <row r="3" spans="1:28" x14ac:dyDescent="0.3">
      <c r="A3" s="4">
        <f t="array" ref="A3">IFERROR(INDEX('Temp Hisfa'!A$3:A$200, SMALL(IF(ISERROR('Temp Hisfa'!A$3:A$200), "", ROW('Temp Hisfa'!A$3:A$200)-MIN(ROW('Temp Hisfa'!A$3:A$200))+1), ROW(1:200))),"")</f>
        <v>0</v>
      </c>
      <c r="B3" s="4">
        <f t="array" ref="B3">IFERROR(INDEX('Temp Hisfa'!B$3:B$200, SMALL(IF(ISERROR('Temp Hisfa'!B$3:B$200), "", ROW('Temp Hisfa'!B$3:B$200)-MIN(ROW('Temp Hisfa'!B$3:B$200))+1), ROW(1:200))),"")</f>
        <v>0</v>
      </c>
      <c r="C3" s="3">
        <f t="array" ref="C3">IFERROR(INDEX('Temp Hisfa'!C$3:C$200, SMALL(IF(ISERROR('Temp Hisfa'!C$3:C$200), "", ROW('Temp Hisfa'!C$3:C$200)-MIN(ROW('Temp Hisfa'!C$3:C$200))+1), ROW(1:200))),"")</f>
        <v>0</v>
      </c>
      <c r="D3" s="3">
        <f t="array" ref="D3">IFERROR(INDEX('Temp Hisfa'!D$3:D$200, SMALL(IF(ISERROR('Temp Hisfa'!D$3:D$200), "", ROW('Temp Hisfa'!D$3:D$200)-MIN(ROW('Temp Hisfa'!D$3:D$200))+1), ROW(1:200))),"")</f>
        <v>0</v>
      </c>
      <c r="E3" s="29">
        <f t="array" ref="E3">IFERROR(INDEX('Temp Hisfa'!E$3:E$200, SMALL(IF(ISERROR('Temp Hisfa'!E$3:E$200), "", ROW('Temp Hisfa'!E$3:E$200)-MIN(ROW('Temp Hisfa'!E$3:E$200))+1), ROW(1:200))),"")</f>
        <v>0</v>
      </c>
      <c r="F3" s="22" t="str">
        <f t="array" ref="F3">IFERROR(INDEX('Temp Hisfa'!F$3:F$200, SMALL(IF(ISERROR('Temp Hisfa'!F$3:F$200), "", ROW('Temp Hisfa'!F$3:F$200)-MIN(ROW('Temp Hisfa'!F$3:F$200))+1), ROW(1:200))),"")</f>
        <v/>
      </c>
      <c r="G3" s="30">
        <f t="array" ref="G3">IFERROR(INDEX('Temp Hisfa'!G$3:G$200, SMALL(IF(ISERROR('Temp Hisfa'!G$3:G$200), "", ROW('Temp Hisfa'!G$3:G$200)-MIN(ROW('Temp Hisfa'!G$3:G$200))+1), ROW(1:200))),"")</f>
        <v>0</v>
      </c>
      <c r="H3" s="22" t="str">
        <f t="array" ref="H3">IFERROR(INDEX('Temp Hisfa'!H$3:H$200, SMALL(IF(ISERROR('Temp Hisfa'!H$3:H$200), "", ROW('Temp Hisfa'!H$3:H$200)-MIN(ROW('Temp Hisfa'!H$3:H$200))+1), ROW(1:200))),"")</f>
        <v/>
      </c>
      <c r="I3" s="22">
        <f t="array" ref="I3">IFERROR(INDEX('Temp Hisfa'!I$3:I$200, SMALL(IF(ISERROR('Temp Hisfa'!I$3:I$200), "", ROW('Temp Hisfa'!I$3:I$200)-MIN(ROW('Temp Hisfa'!I$3:I$200))+1), ROW(1:200))),"")</f>
        <v>0</v>
      </c>
      <c r="J3" s="22">
        <f t="array" ref="J3">IFERROR(INDEX('Temp Hisfa'!J$3:J$200, SMALL(IF(ISERROR('Temp Hisfa'!J$3:J$200), "", ROW('Temp Hisfa'!J$3:J$200)-MIN(ROW('Temp Hisfa'!J$3:J$200))+1), ROW(1:200))),"")</f>
        <v>0</v>
      </c>
      <c r="K3" s="30">
        <f t="array" ref="K3">IFERROR(INDEX('Temp Hisfa'!K$3:K$200, SMALL(IF(ISERROR('Temp Hisfa'!K$3:K$200), "", ROW('Temp Hisfa'!K$3:K$200)-MIN(ROW('Temp Hisfa'!K$3:K$200))+1), ROW(1:200))),"")</f>
        <v>0</v>
      </c>
      <c r="L3" s="22">
        <f t="array" ref="L3">IFERROR(INDEX('Temp Hisfa'!L$3:L$200, SMALL(IF(ISERROR('Temp Hisfa'!L$3:L$200), "", ROW('Temp Hisfa'!L$3:L$200)-MIN(ROW('Temp Hisfa'!L$3:L$200))+1), ROW(1:200))),"")</f>
        <v>0</v>
      </c>
      <c r="M3" s="22">
        <f t="array" ref="M3">IFERROR(INDEX('Temp Hisfa'!M$3:M$200, SMALL(IF(ISERROR('Temp Hisfa'!M$3:M$200), "", ROW('Temp Hisfa'!M$3:M$200)-MIN(ROW('Temp Hisfa'!M$3:M$200))+1), ROW(1:200))),"")</f>
        <v>0</v>
      </c>
      <c r="N3" s="22">
        <f t="array" ref="N3">IFERROR(INDEX('Temp Hisfa'!N$3:N$200, SMALL(IF(ISERROR('Temp Hisfa'!N$3:N$200), "", ROW('Temp Hisfa'!N$3:N$200)-MIN(ROW('Temp Hisfa'!N$3:N$200))+1), ROW(1:200))),"")</f>
        <v>1900</v>
      </c>
      <c r="O3" s="22" t="str">
        <f t="array" ref="O3">IFERROR(INDEX('Temp Hisfa'!O$3:O$200, SMALL(IF(ISERROR('Temp Hisfa'!O$3:O$200), "", ROW('Temp Hisfa'!O$3:O$200)-MIN(ROW('Temp Hisfa'!O$3:O$200))+1), ROW(1:200))),"")</f>
        <v>enero</v>
      </c>
      <c r="P3" s="22">
        <f t="array" ref="P3">IFERROR(INDEX('Temp Hisfa'!P$3:P$200, SMALL(IF(ISERROR('Temp Hisfa'!P$3:P$200), "", ROW('Temp Hisfa'!P$3:P$200)-MIN(ROW('Temp Hisfa'!P$3:P$200))+1), ROW(1:200))),"")</f>
        <v>0</v>
      </c>
      <c r="Q3" s="22">
        <f t="array" ref="Q3">IFERROR(INDEX('Temp Hisfa'!Q$3:Q$200, SMALL(IF(ISERROR('Temp Hisfa'!Q$3:Q$200), "", ROW('Temp Hisfa'!Q$3:Q$200)-MIN(ROW('Temp Hisfa'!Q$3:Q$200))+1), ROW(1:200))),"")</f>
        <v>0</v>
      </c>
      <c r="R3" s="22">
        <f t="array" ref="R3">IFERROR(INDEX('Temp Hisfa'!R$3:R$200, SMALL(IF(ISERROR('Temp Hisfa'!R$3:R$200), "", ROW('Temp Hisfa'!R$3:R$200)-MIN(ROW('Temp Hisfa'!R$3:R$200))+1), ROW(1:200))),"")</f>
        <v>0</v>
      </c>
      <c r="S3" s="22">
        <f t="array" ref="S3">IFERROR(INDEX('Temp Hisfa'!S$3:S$200, SMALL(IF(ISERROR('Temp Hisfa'!S$3:S$200), "", ROW('Temp Hisfa'!S$3:S$200)-MIN(ROW('Temp Hisfa'!S$3:S$200))+1), ROW(1:200))),"")</f>
        <v>0</v>
      </c>
      <c r="T3" s="22">
        <f t="array" ref="T3">IFERROR(INDEX('Temp Hisfa'!T$3:T$200, SMALL(IF(ISERROR('Temp Hisfa'!T$3:T$200), "", ROW('Temp Hisfa'!T$3:T$200)-MIN(ROW('Temp Hisfa'!T$3:T$200))+1), ROW(1:200))),"")</f>
        <v>0</v>
      </c>
      <c r="U3" s="22">
        <f t="array" ref="U3">IFERROR(INDEX('Temp Hisfa'!U$3:U$200, SMALL(IF(ISERROR('Temp Hisfa'!U$3:U$200), "", ROW('Temp Hisfa'!U$3:U$200)-MIN(ROW('Temp Hisfa'!U$3:U$200))+1), ROW(1:200))),"")</f>
        <v>0</v>
      </c>
      <c r="V3" s="22">
        <f t="array" ref="V3">IFERROR(INDEX('Temp Hisfa'!V$3:V$200, SMALL(IF(ISERROR('Temp Hisfa'!V$3:V$200), "", ROW('Temp Hisfa'!V$3:V$200)-MIN(ROW('Temp Hisfa'!V$3:V$200))+1), ROW(1:200))),"")</f>
        <v>0</v>
      </c>
      <c r="W3" s="22">
        <f t="array" ref="W3">IFERROR(INDEX('Temp Hisfa'!W$3:W$200, SMALL(IF(ISERROR('Temp Hisfa'!W$3:W$200), "", ROW('Temp Hisfa'!W$3:W$200)-MIN(ROW('Temp Hisfa'!W$3:W$200))+1), ROW(1:200))),"")</f>
        <v>0</v>
      </c>
      <c r="X3" s="22">
        <f t="array" ref="X3">IFERROR(INDEX('Temp Hisfa'!X$3:X$200, SMALL(IF(ISERROR('Temp Hisfa'!X$3:X$200), "", ROW('Temp Hisfa'!X$3:X$200)-MIN(ROW('Temp Hisfa'!X$3:X$200))+1), ROW(1:200))),"")</f>
        <v>0</v>
      </c>
      <c r="Y3" s="22">
        <f t="array" ref="Y3">IFERROR(INDEX('Temp Hisfa'!Y$3:Y$200, SMALL(IF(ISERROR('Temp Hisfa'!Y$3:Y$200), "", ROW('Temp Hisfa'!Y$3:Y$200)-MIN(ROW('Temp Hisfa'!Y$3:Y$200))+1), ROW(1:200))),"")</f>
        <v>0</v>
      </c>
      <c r="Z3" s="22">
        <f t="array" ref="Z3">IFERROR(INDEX('Temp Hisfa'!Z$3:Z$200, SMALL(IF(ISERROR('Temp Hisfa'!Z$3:Z$200), "", ROW('Temp Hisfa'!Z$3:Z$200)-MIN(ROW('Temp Hisfa'!Z$3:Z$200))+1), ROW(1:200))),"")</f>
        <v>0</v>
      </c>
      <c r="AA3" s="22">
        <f t="array" ref="AA3">IFERROR(INDEX('Temp Hisfa'!AA$3:AA$200, SMALL(IF(ISERROR('Temp Hisfa'!AA$3:AA$200), "", ROW('Temp Hisfa'!AA$3:AA$200)-MIN(ROW('Temp Hisfa'!AA$3:AA$200))+1), ROW(1:200))),"")</f>
        <v>0</v>
      </c>
      <c r="AB3" s="22">
        <f t="array" ref="AB3">IFERROR(INDEX('Temp Hisfa'!AB$3:AB$200, SMALL(IF(ISERROR('Temp Hisfa'!AB$3:AB$200), "", ROW('Temp Hisfa'!AB$3:AB$200)-MIN(ROW('Temp Hisfa'!AB$3:AB$200))+1), ROW(1:200))),"")</f>
        <v>0</v>
      </c>
    </row>
    <row r="4" spans="1:28" x14ac:dyDescent="0.3">
      <c r="A4" s="4">
        <f t="array" ref="A4">IFERROR(INDEX('Temp Hisfa'!A$3:A$200, SMALL(IF(ISERROR('Temp Hisfa'!A$3:A$200), "", ROW('Temp Hisfa'!A$3:A$200)-MIN(ROW('Temp Hisfa'!A$3:A$200))+1), ROW(2:200))),"")</f>
        <v>0</v>
      </c>
      <c r="B4" s="4">
        <f t="array" ref="B4">IFERROR(INDEX('Temp Hisfa'!B$3:B$200, SMALL(IF(ISERROR('Temp Hisfa'!B$3:B$200), "", ROW('Temp Hisfa'!B$3:B$200)-MIN(ROW('Temp Hisfa'!B$3:B$200))+1), ROW(2:200))),"")</f>
        <v>0</v>
      </c>
      <c r="C4" s="3">
        <f t="array" ref="C4">IFERROR(INDEX('Temp Hisfa'!C$3:C$200, SMALL(IF(ISERROR('Temp Hisfa'!C$3:C$200), "", ROW('Temp Hisfa'!C$3:C$200)-MIN(ROW('Temp Hisfa'!C$3:C$200))+1), ROW(2:200))),"")</f>
        <v>0</v>
      </c>
      <c r="D4" s="3">
        <f t="array" ref="D4">IFERROR(INDEX('Temp Hisfa'!D$3:D$200, SMALL(IF(ISERROR('Temp Hisfa'!D$3:D$200), "", ROW('Temp Hisfa'!D$3:D$200)-MIN(ROW('Temp Hisfa'!D$3:D$200))+1), ROW(2:200))),"")</f>
        <v>0</v>
      </c>
      <c r="E4" s="29">
        <f t="array" ref="E4">IFERROR(INDEX('Temp Hisfa'!E$3:E$200, SMALL(IF(ISERROR('Temp Hisfa'!E$3:E$200), "", ROW('Temp Hisfa'!E$3:E$200)-MIN(ROW('Temp Hisfa'!E$3:E$200))+1), ROW(2:201))),"")</f>
        <v>0</v>
      </c>
      <c r="F4" s="22" t="str">
        <f t="array" ref="F4">IFERROR(INDEX('Temp Hisfa'!F$3:F$200, SMALL(IF(ISERROR('Temp Hisfa'!F$3:F$200), "", ROW('Temp Hisfa'!F$3:F$200)-MIN(ROW('Temp Hisfa'!F$3:F$200))+1), ROW(2:201))),"")</f>
        <v/>
      </c>
      <c r="G4" s="30">
        <f t="array" ref="G4">IFERROR(INDEX('Temp Hisfa'!G$3:G$200, SMALL(IF(ISERROR('Temp Hisfa'!G$3:G$200), "", ROW('Temp Hisfa'!G$3:G$200)-MIN(ROW('Temp Hisfa'!G$3:G$200))+1), ROW(2:201))),"")</f>
        <v>0</v>
      </c>
      <c r="H4" s="22" t="str">
        <f t="array" ref="H4">IFERROR(INDEX('Temp Hisfa'!H$3:H$200, SMALL(IF(ISERROR('Temp Hisfa'!H$3:H$200), "", ROW('Temp Hisfa'!H$3:H$200)-MIN(ROW('Temp Hisfa'!H$3:H$200))+1), ROW(2:201))),"")</f>
        <v/>
      </c>
      <c r="I4" s="22">
        <f t="array" ref="I4">IFERROR(INDEX('Temp Hisfa'!I$3:I$200, SMALL(IF(ISERROR('Temp Hisfa'!I$3:I$200), "", ROW('Temp Hisfa'!I$3:I$200)-MIN(ROW('Temp Hisfa'!I$3:I$200))+1), ROW(2:201))),"")</f>
        <v>0</v>
      </c>
      <c r="J4" s="22">
        <f t="array" ref="J4">IFERROR(INDEX('Temp Hisfa'!J$3:J$200, SMALL(IF(ISERROR('Temp Hisfa'!J$3:J$200), "", ROW('Temp Hisfa'!J$3:J$200)-MIN(ROW('Temp Hisfa'!J$3:J$200))+1), ROW(2:201))),"")</f>
        <v>0</v>
      </c>
      <c r="K4" s="30">
        <f t="array" ref="K4">IFERROR(INDEX('Temp Hisfa'!K$3:K$200, SMALL(IF(ISERROR('Temp Hisfa'!K$3:K$200), "", ROW('Temp Hisfa'!K$3:K$200)-MIN(ROW('Temp Hisfa'!K$3:K$200))+1), ROW(2:201))),"")</f>
        <v>0</v>
      </c>
      <c r="L4" s="22">
        <f t="array" ref="L4">IFERROR(INDEX('Temp Hisfa'!L$3:L$200, SMALL(IF(ISERROR('Temp Hisfa'!L$3:L$200), "", ROW('Temp Hisfa'!L$3:L$200)-MIN(ROW('Temp Hisfa'!L$3:L$200))+1), ROW(2:201))),"")</f>
        <v>0</v>
      </c>
      <c r="M4" s="22">
        <f t="array" ref="M4">IFERROR(INDEX('Temp Hisfa'!M$3:M$200, SMALL(IF(ISERROR('Temp Hisfa'!M$3:M$200), "", ROW('Temp Hisfa'!M$3:M$200)-MIN(ROW('Temp Hisfa'!M$3:M$200))+1), ROW(2:201))),"")</f>
        <v>0</v>
      </c>
      <c r="N4" s="22">
        <f t="array" ref="N4">IFERROR(INDEX('Temp Hisfa'!N$3:N$200, SMALL(IF(ISERROR('Temp Hisfa'!N$3:N$200), "", ROW('Temp Hisfa'!N$3:N$200)-MIN(ROW('Temp Hisfa'!N$3:N$200))+1), ROW(2:201))),"")</f>
        <v>1900</v>
      </c>
      <c r="O4" s="22" t="str">
        <f t="array" ref="O4">IFERROR(INDEX('Temp Hisfa'!O$3:O$200, SMALL(IF(ISERROR('Temp Hisfa'!O$3:O$200), "", ROW('Temp Hisfa'!O$3:O$200)-MIN(ROW('Temp Hisfa'!O$3:O$200))+1), ROW(2:201))),"")</f>
        <v>enero</v>
      </c>
      <c r="P4" s="22">
        <f t="array" ref="P4">IFERROR(INDEX('Temp Hisfa'!P$3:P$200, SMALL(IF(ISERROR('Temp Hisfa'!P$3:P$200), "", ROW('Temp Hisfa'!P$3:P$200)-MIN(ROW('Temp Hisfa'!P$3:P$200))+1), ROW(2:201))),"")</f>
        <v>0</v>
      </c>
      <c r="Q4" s="22">
        <f t="array" ref="Q4">IFERROR(INDEX('Temp Hisfa'!Q$3:Q$200, SMALL(IF(ISERROR('Temp Hisfa'!Q$3:Q$200), "", ROW('Temp Hisfa'!Q$3:Q$200)-MIN(ROW('Temp Hisfa'!Q$3:Q$200))+1), ROW(2:201))),"")</f>
        <v>0</v>
      </c>
      <c r="R4" s="22">
        <f t="array" ref="R4">IFERROR(INDEX('Temp Hisfa'!R$3:R$200, SMALL(IF(ISERROR('Temp Hisfa'!R$3:R$200), "", ROW('Temp Hisfa'!R$3:R$200)-MIN(ROW('Temp Hisfa'!R$3:R$200))+1), ROW(2:201))),"")</f>
        <v>0</v>
      </c>
      <c r="S4" s="22">
        <f t="array" ref="S4">IFERROR(INDEX('Temp Hisfa'!S$3:S$200, SMALL(IF(ISERROR('Temp Hisfa'!S$3:S$200), "", ROW('Temp Hisfa'!S$3:S$200)-MIN(ROW('Temp Hisfa'!S$3:S$200))+1), ROW(2:201))),"")</f>
        <v>0</v>
      </c>
      <c r="T4" s="22">
        <f t="array" ref="T4">IFERROR(INDEX('Temp Hisfa'!T$3:T$200, SMALL(IF(ISERROR('Temp Hisfa'!T$3:T$200), "", ROW('Temp Hisfa'!T$3:T$200)-MIN(ROW('Temp Hisfa'!T$3:T$200))+1), ROW(2:201))),"")</f>
        <v>0</v>
      </c>
      <c r="U4" s="22">
        <f t="array" ref="U4">IFERROR(INDEX('Temp Hisfa'!U$3:U$200, SMALL(IF(ISERROR('Temp Hisfa'!U$3:U$200), "", ROW('Temp Hisfa'!U$3:U$200)-MIN(ROW('Temp Hisfa'!U$3:U$200))+1), ROW(2:201))),"")</f>
        <v>0</v>
      </c>
      <c r="V4" s="22">
        <f t="array" ref="V4">IFERROR(INDEX('Temp Hisfa'!V$3:V$200, SMALL(IF(ISERROR('Temp Hisfa'!V$3:V$200), "", ROW('Temp Hisfa'!V$3:V$200)-MIN(ROW('Temp Hisfa'!V$3:V$200))+1), ROW(2:201))),"")</f>
        <v>0</v>
      </c>
      <c r="W4" s="22">
        <f t="array" ref="W4">IFERROR(INDEX('Temp Hisfa'!W$3:W$200, SMALL(IF(ISERROR('Temp Hisfa'!W$3:W$200), "", ROW('Temp Hisfa'!W$3:W$200)-MIN(ROW('Temp Hisfa'!W$3:W$200))+1), ROW(2:201))),"")</f>
        <v>0</v>
      </c>
      <c r="X4" s="22">
        <f t="array" ref="X4">IFERROR(INDEX('Temp Hisfa'!X$3:X$200, SMALL(IF(ISERROR('Temp Hisfa'!X$3:X$200), "", ROW('Temp Hisfa'!X$3:X$200)-MIN(ROW('Temp Hisfa'!X$3:X$200))+1), ROW(2:201))),"")</f>
        <v>0</v>
      </c>
      <c r="Y4" s="22">
        <f t="array" ref="Y4">IFERROR(INDEX('Temp Hisfa'!Y$3:Y$200, SMALL(IF(ISERROR('Temp Hisfa'!Y$3:Y$200), "", ROW('Temp Hisfa'!Y$3:Y$200)-MIN(ROW('Temp Hisfa'!Y$3:Y$200))+1), ROW(2:201))),"")</f>
        <v>0</v>
      </c>
      <c r="Z4" s="22">
        <f t="array" ref="Z4">IFERROR(INDEX('Temp Hisfa'!Z$3:Z$200, SMALL(IF(ISERROR('Temp Hisfa'!Z$3:Z$200), "", ROW('Temp Hisfa'!Z$3:Z$200)-MIN(ROW('Temp Hisfa'!Z$3:Z$200))+1), ROW(2:201))),"")</f>
        <v>0</v>
      </c>
      <c r="AA4" s="22">
        <f t="array" ref="AA4">IFERROR(INDEX('Temp Hisfa'!AA$3:AA$200, SMALL(IF(ISERROR('Temp Hisfa'!AA$3:AA$200), "", ROW('Temp Hisfa'!AA$3:AA$200)-MIN(ROW('Temp Hisfa'!AA$3:AA$200))+1), ROW(2:201))),"")</f>
        <v>0</v>
      </c>
      <c r="AB4" s="22">
        <f t="array" ref="AB4">IFERROR(INDEX('Temp Hisfa'!AB$3:AB$200, SMALL(IF(ISERROR('Temp Hisfa'!AB$3:AB$200), "", ROW('Temp Hisfa'!AB$3:AB$200)-MIN(ROW('Temp Hisfa'!AB$3:AB$200))+1), ROW(2:201))),"")</f>
        <v>0</v>
      </c>
    </row>
    <row r="5" spans="1:28" x14ac:dyDescent="0.3">
      <c r="A5" s="4">
        <f t="array" ref="A5">IFERROR(INDEX('Temp Hisfa'!A$3:A$200, SMALL(IF(ISERROR('Temp Hisfa'!A$3:A$200), "", ROW('Temp Hisfa'!A$3:A$200)-MIN(ROW('Temp Hisfa'!A$3:A$200))+1), ROW(3:201))),"")</f>
        <v>0</v>
      </c>
      <c r="B5" s="4">
        <f t="array" ref="B5">IFERROR(INDEX('Temp Hisfa'!B$3:B$200, SMALL(IF(ISERROR('Temp Hisfa'!B$3:B$200), "", ROW('Temp Hisfa'!B$3:B$200)-MIN(ROW('Temp Hisfa'!B$3:B$200))+1), ROW(3:201))),"")</f>
        <v>0</v>
      </c>
      <c r="C5" s="3">
        <f t="array" ref="C5">IFERROR(INDEX('Temp Hisfa'!C$3:C$200, SMALL(IF(ISERROR('Temp Hisfa'!C$3:C$200), "", ROW('Temp Hisfa'!C$3:C$200)-MIN(ROW('Temp Hisfa'!C$3:C$200))+1), ROW(3:201))),"")</f>
        <v>0</v>
      </c>
      <c r="D5" s="3">
        <f t="array" ref="D5">IFERROR(INDEX('Temp Hisfa'!D$3:D$200, SMALL(IF(ISERROR('Temp Hisfa'!D$3:D$200), "", ROW('Temp Hisfa'!D$3:D$200)-MIN(ROW('Temp Hisfa'!D$3:D$200))+1), ROW(3:201))),"")</f>
        <v>0</v>
      </c>
      <c r="E5" s="29">
        <f t="array" ref="E5">IFERROR(INDEX('Temp Hisfa'!E$3:E$200, SMALL(IF(ISERROR('Temp Hisfa'!E$3:E$200), "", ROW('Temp Hisfa'!E$3:E$200)-MIN(ROW('Temp Hisfa'!E$3:E$200))+1), ROW(3:202))),"")</f>
        <v>0</v>
      </c>
      <c r="F5" s="22" t="str">
        <f t="array" ref="F5">IFERROR(INDEX('Temp Hisfa'!F$3:F$200, SMALL(IF(ISERROR('Temp Hisfa'!F$3:F$200), "", ROW('Temp Hisfa'!F$3:F$200)-MIN(ROW('Temp Hisfa'!F$3:F$200))+1), ROW(3:202))),"")</f>
        <v/>
      </c>
      <c r="G5" s="30">
        <f t="array" ref="G5">IFERROR(INDEX('Temp Hisfa'!G$3:G$200, SMALL(IF(ISERROR('Temp Hisfa'!G$3:G$200), "", ROW('Temp Hisfa'!G$3:G$200)-MIN(ROW('Temp Hisfa'!G$3:G$200))+1), ROW(3:202))),"")</f>
        <v>0</v>
      </c>
      <c r="H5" s="22" t="str">
        <f t="array" ref="H5">IFERROR(INDEX('Temp Hisfa'!H$3:H$200, SMALL(IF(ISERROR('Temp Hisfa'!H$3:H$200), "", ROW('Temp Hisfa'!H$3:H$200)-MIN(ROW('Temp Hisfa'!H$3:H$200))+1), ROW(3:202))),"")</f>
        <v/>
      </c>
      <c r="I5" s="22">
        <f t="array" ref="I5">IFERROR(INDEX('Temp Hisfa'!I$3:I$200, SMALL(IF(ISERROR('Temp Hisfa'!I$3:I$200), "", ROW('Temp Hisfa'!I$3:I$200)-MIN(ROW('Temp Hisfa'!I$3:I$200))+1), ROW(3:202))),"")</f>
        <v>0</v>
      </c>
      <c r="J5" s="22">
        <f t="array" ref="J5">IFERROR(INDEX('Temp Hisfa'!J$3:J$200, SMALL(IF(ISERROR('Temp Hisfa'!J$3:J$200), "", ROW('Temp Hisfa'!J$3:J$200)-MIN(ROW('Temp Hisfa'!J$3:J$200))+1), ROW(3:202))),"")</f>
        <v>0</v>
      </c>
      <c r="K5" s="30">
        <f t="array" ref="K5">IFERROR(INDEX('Temp Hisfa'!K$3:K$200, SMALL(IF(ISERROR('Temp Hisfa'!K$3:K$200), "", ROW('Temp Hisfa'!K$3:K$200)-MIN(ROW('Temp Hisfa'!K$3:K$200))+1), ROW(3:202))),"")</f>
        <v>0</v>
      </c>
      <c r="L5" s="22">
        <f t="array" ref="L5">IFERROR(INDEX('Temp Hisfa'!L$3:L$200, SMALL(IF(ISERROR('Temp Hisfa'!L$3:L$200), "", ROW('Temp Hisfa'!L$3:L$200)-MIN(ROW('Temp Hisfa'!L$3:L$200))+1), ROW(3:202))),"")</f>
        <v>0</v>
      </c>
      <c r="M5" s="22">
        <f t="array" ref="M5">IFERROR(INDEX('Temp Hisfa'!M$3:M$200, SMALL(IF(ISERROR('Temp Hisfa'!M$3:M$200), "", ROW('Temp Hisfa'!M$3:M$200)-MIN(ROW('Temp Hisfa'!M$3:M$200))+1), ROW(3:202))),"")</f>
        <v>0</v>
      </c>
      <c r="N5" s="22">
        <f t="array" ref="N5">IFERROR(INDEX('Temp Hisfa'!N$3:N$200, SMALL(IF(ISERROR('Temp Hisfa'!N$3:N$200), "", ROW('Temp Hisfa'!N$3:N$200)-MIN(ROW('Temp Hisfa'!N$3:N$200))+1), ROW(3:202))),"")</f>
        <v>1900</v>
      </c>
      <c r="O5" s="22" t="str">
        <f t="array" ref="O5">IFERROR(INDEX('Temp Hisfa'!O$3:O$200, SMALL(IF(ISERROR('Temp Hisfa'!O$3:O$200), "", ROW('Temp Hisfa'!O$3:O$200)-MIN(ROW('Temp Hisfa'!O$3:O$200))+1), ROW(3:202))),"")</f>
        <v>enero</v>
      </c>
      <c r="P5" s="22">
        <f t="array" ref="P5">IFERROR(INDEX('Temp Hisfa'!P$3:P$200, SMALL(IF(ISERROR('Temp Hisfa'!P$3:P$200), "", ROW('Temp Hisfa'!P$3:P$200)-MIN(ROW('Temp Hisfa'!P$3:P$200))+1), ROW(3:202))),"")</f>
        <v>0</v>
      </c>
      <c r="Q5" s="22">
        <f t="array" ref="Q5">IFERROR(INDEX('Temp Hisfa'!Q$3:Q$200, SMALL(IF(ISERROR('Temp Hisfa'!Q$3:Q$200), "", ROW('Temp Hisfa'!Q$3:Q$200)-MIN(ROW('Temp Hisfa'!Q$3:Q$200))+1), ROW(3:202))),"")</f>
        <v>0</v>
      </c>
      <c r="R5" s="22">
        <f t="array" ref="R5">IFERROR(INDEX('Temp Hisfa'!R$3:R$200, SMALL(IF(ISERROR('Temp Hisfa'!R$3:R$200), "", ROW('Temp Hisfa'!R$3:R$200)-MIN(ROW('Temp Hisfa'!R$3:R$200))+1), ROW(3:202))),"")</f>
        <v>0</v>
      </c>
      <c r="S5" s="22">
        <f t="array" ref="S5">IFERROR(INDEX('Temp Hisfa'!S$3:S$200, SMALL(IF(ISERROR('Temp Hisfa'!S$3:S$200), "", ROW('Temp Hisfa'!S$3:S$200)-MIN(ROW('Temp Hisfa'!S$3:S$200))+1), ROW(3:202))),"")</f>
        <v>0</v>
      </c>
      <c r="T5" s="22">
        <f t="array" ref="T5">IFERROR(INDEX('Temp Hisfa'!T$3:T$200, SMALL(IF(ISERROR('Temp Hisfa'!T$3:T$200), "", ROW('Temp Hisfa'!T$3:T$200)-MIN(ROW('Temp Hisfa'!T$3:T$200))+1), ROW(3:202))),"")</f>
        <v>0</v>
      </c>
      <c r="U5" s="22">
        <f t="array" ref="U5">IFERROR(INDEX('Temp Hisfa'!U$3:U$200, SMALL(IF(ISERROR('Temp Hisfa'!U$3:U$200), "", ROW('Temp Hisfa'!U$3:U$200)-MIN(ROW('Temp Hisfa'!U$3:U$200))+1), ROW(3:202))),"")</f>
        <v>0</v>
      </c>
      <c r="V5" s="22">
        <f t="array" ref="V5">IFERROR(INDEX('Temp Hisfa'!V$3:V$200, SMALL(IF(ISERROR('Temp Hisfa'!V$3:V$200), "", ROW('Temp Hisfa'!V$3:V$200)-MIN(ROW('Temp Hisfa'!V$3:V$200))+1), ROW(3:202))),"")</f>
        <v>0</v>
      </c>
      <c r="W5" s="22">
        <f t="array" ref="W5">IFERROR(INDEX('Temp Hisfa'!W$3:W$200, SMALL(IF(ISERROR('Temp Hisfa'!W$3:W$200), "", ROW('Temp Hisfa'!W$3:W$200)-MIN(ROW('Temp Hisfa'!W$3:W$200))+1), ROW(3:202))),"")</f>
        <v>0</v>
      </c>
      <c r="X5" s="22">
        <f t="array" ref="X5">IFERROR(INDEX('Temp Hisfa'!X$3:X$200, SMALL(IF(ISERROR('Temp Hisfa'!X$3:X$200), "", ROW('Temp Hisfa'!X$3:X$200)-MIN(ROW('Temp Hisfa'!X$3:X$200))+1), ROW(3:202))),"")</f>
        <v>0</v>
      </c>
      <c r="Y5" s="22">
        <f t="array" ref="Y5">IFERROR(INDEX('Temp Hisfa'!Y$3:Y$200, SMALL(IF(ISERROR('Temp Hisfa'!Y$3:Y$200), "", ROW('Temp Hisfa'!Y$3:Y$200)-MIN(ROW('Temp Hisfa'!Y$3:Y$200))+1), ROW(3:202))),"")</f>
        <v>0</v>
      </c>
      <c r="Z5" s="22">
        <f t="array" ref="Z5">IFERROR(INDEX('Temp Hisfa'!Z$3:Z$200, SMALL(IF(ISERROR('Temp Hisfa'!Z$3:Z$200), "", ROW('Temp Hisfa'!Z$3:Z$200)-MIN(ROW('Temp Hisfa'!Z$3:Z$200))+1), ROW(3:202))),"")</f>
        <v>0</v>
      </c>
      <c r="AA5" s="22">
        <f t="array" ref="AA5">IFERROR(INDEX('Temp Hisfa'!AA$3:AA$200, SMALL(IF(ISERROR('Temp Hisfa'!AA$3:AA$200), "", ROW('Temp Hisfa'!AA$3:AA$200)-MIN(ROW('Temp Hisfa'!AA$3:AA$200))+1), ROW(3:202))),"")</f>
        <v>0</v>
      </c>
      <c r="AB5" s="22">
        <f t="array" ref="AB5">IFERROR(INDEX('Temp Hisfa'!AB$3:AB$200, SMALL(IF(ISERROR('Temp Hisfa'!AB$3:AB$200), "", ROW('Temp Hisfa'!AB$3:AB$200)-MIN(ROW('Temp Hisfa'!AB$3:AB$200))+1), ROW(3:202))),"")</f>
        <v>0</v>
      </c>
    </row>
    <row r="6" spans="1:28" x14ac:dyDescent="0.3">
      <c r="A6" s="4">
        <f t="array" ref="A6">IFERROR(INDEX('Temp Hisfa'!A$3:A$200, SMALL(IF(ISERROR('Temp Hisfa'!A$3:A$200), "", ROW('Temp Hisfa'!A$3:A$200)-MIN(ROW('Temp Hisfa'!A$3:A$200))+1), ROW(4:202))),"")</f>
        <v>0</v>
      </c>
      <c r="B6" s="4">
        <f t="array" ref="B6">IFERROR(INDEX('Temp Hisfa'!B$3:B$200, SMALL(IF(ISERROR('Temp Hisfa'!B$3:B$200), "", ROW('Temp Hisfa'!B$3:B$200)-MIN(ROW('Temp Hisfa'!B$3:B$200))+1), ROW(4:202))),"")</f>
        <v>0</v>
      </c>
      <c r="C6" s="3">
        <f t="array" ref="C6">IFERROR(INDEX('Temp Hisfa'!C$3:C$200, SMALL(IF(ISERROR('Temp Hisfa'!C$3:C$200), "", ROW('Temp Hisfa'!C$3:C$200)-MIN(ROW('Temp Hisfa'!C$3:C$200))+1), ROW(4:202))),"")</f>
        <v>0</v>
      </c>
      <c r="D6" s="3">
        <f t="array" ref="D6">IFERROR(INDEX('Temp Hisfa'!D$3:D$200, SMALL(IF(ISERROR('Temp Hisfa'!D$3:D$200), "", ROW('Temp Hisfa'!D$3:D$200)-MIN(ROW('Temp Hisfa'!D$3:D$200))+1), ROW(4:202))),"")</f>
        <v>0</v>
      </c>
      <c r="E6" s="29">
        <f t="array" ref="E6">IFERROR(INDEX('Temp Hisfa'!E$3:E$200, SMALL(IF(ISERROR('Temp Hisfa'!E$3:E$200), "", ROW('Temp Hisfa'!E$3:E$200)-MIN(ROW('Temp Hisfa'!E$3:E$200))+1), ROW(4:203))),"")</f>
        <v>0</v>
      </c>
      <c r="F6" s="22" t="str">
        <f t="array" ref="F6">IFERROR(INDEX('Temp Hisfa'!F$3:F$200, SMALL(IF(ISERROR('Temp Hisfa'!F$3:F$200), "", ROW('Temp Hisfa'!F$3:F$200)-MIN(ROW('Temp Hisfa'!F$3:F$200))+1), ROW(4:203))),"")</f>
        <v/>
      </c>
      <c r="G6" s="30">
        <f t="array" ref="G6">IFERROR(INDEX('Temp Hisfa'!G$3:G$200, SMALL(IF(ISERROR('Temp Hisfa'!G$3:G$200), "", ROW('Temp Hisfa'!G$3:G$200)-MIN(ROW('Temp Hisfa'!G$3:G$200))+1), ROW(4:203))),"")</f>
        <v>0</v>
      </c>
      <c r="H6" s="22" t="str">
        <f t="array" ref="H6">IFERROR(INDEX('Temp Hisfa'!H$3:H$200, SMALL(IF(ISERROR('Temp Hisfa'!H$3:H$200), "", ROW('Temp Hisfa'!H$3:H$200)-MIN(ROW('Temp Hisfa'!H$3:H$200))+1), ROW(4:203))),"")</f>
        <v/>
      </c>
      <c r="I6" s="22">
        <f t="array" ref="I6">IFERROR(INDEX('Temp Hisfa'!I$3:I$200, SMALL(IF(ISERROR('Temp Hisfa'!I$3:I$200), "", ROW('Temp Hisfa'!I$3:I$200)-MIN(ROW('Temp Hisfa'!I$3:I$200))+1), ROW(4:203))),"")</f>
        <v>0</v>
      </c>
      <c r="J6" s="22">
        <f t="array" ref="J6">IFERROR(INDEX('Temp Hisfa'!J$3:J$200, SMALL(IF(ISERROR('Temp Hisfa'!J$3:J$200), "", ROW('Temp Hisfa'!J$3:J$200)-MIN(ROW('Temp Hisfa'!J$3:J$200))+1), ROW(4:203))),"")</f>
        <v>0</v>
      </c>
      <c r="K6" s="30">
        <f t="array" ref="K6">IFERROR(INDEX('Temp Hisfa'!K$3:K$200, SMALL(IF(ISERROR('Temp Hisfa'!K$3:K$200), "", ROW('Temp Hisfa'!K$3:K$200)-MIN(ROW('Temp Hisfa'!K$3:K$200))+1), ROW(4:203))),"")</f>
        <v>0</v>
      </c>
      <c r="L6" s="22">
        <f t="array" ref="L6">IFERROR(INDEX('Temp Hisfa'!L$3:L$200, SMALL(IF(ISERROR('Temp Hisfa'!L$3:L$200), "", ROW('Temp Hisfa'!L$3:L$200)-MIN(ROW('Temp Hisfa'!L$3:L$200))+1), ROW(4:203))),"")</f>
        <v>0</v>
      </c>
      <c r="M6" s="22">
        <f t="array" ref="M6">IFERROR(INDEX('Temp Hisfa'!M$3:M$200, SMALL(IF(ISERROR('Temp Hisfa'!M$3:M$200), "", ROW('Temp Hisfa'!M$3:M$200)-MIN(ROW('Temp Hisfa'!M$3:M$200))+1), ROW(4:203))),"")</f>
        <v>0</v>
      </c>
      <c r="N6" s="22">
        <f t="array" ref="N6">IFERROR(INDEX('Temp Hisfa'!N$3:N$200, SMALL(IF(ISERROR('Temp Hisfa'!N$3:N$200), "", ROW('Temp Hisfa'!N$3:N$200)-MIN(ROW('Temp Hisfa'!N$3:N$200))+1), ROW(4:203))),"")</f>
        <v>1900</v>
      </c>
      <c r="O6" s="22" t="str">
        <f t="array" ref="O6">IFERROR(INDEX('Temp Hisfa'!O$3:O$200, SMALL(IF(ISERROR('Temp Hisfa'!O$3:O$200), "", ROW('Temp Hisfa'!O$3:O$200)-MIN(ROW('Temp Hisfa'!O$3:O$200))+1), ROW(4:203))),"")</f>
        <v>enero</v>
      </c>
      <c r="P6" s="22">
        <f t="array" ref="P6">IFERROR(INDEX('Temp Hisfa'!P$3:P$200, SMALL(IF(ISERROR('Temp Hisfa'!P$3:P$200), "", ROW('Temp Hisfa'!P$3:P$200)-MIN(ROW('Temp Hisfa'!P$3:P$200))+1), ROW(4:203))),"")</f>
        <v>0</v>
      </c>
      <c r="Q6" s="22">
        <f t="array" ref="Q6">IFERROR(INDEX('Temp Hisfa'!Q$3:Q$200, SMALL(IF(ISERROR('Temp Hisfa'!Q$3:Q$200), "", ROW('Temp Hisfa'!Q$3:Q$200)-MIN(ROW('Temp Hisfa'!Q$3:Q$200))+1), ROW(4:203))),"")</f>
        <v>0</v>
      </c>
      <c r="R6" s="22">
        <f t="array" ref="R6">IFERROR(INDEX('Temp Hisfa'!R$3:R$200, SMALL(IF(ISERROR('Temp Hisfa'!R$3:R$200), "", ROW('Temp Hisfa'!R$3:R$200)-MIN(ROW('Temp Hisfa'!R$3:R$200))+1), ROW(4:203))),"")</f>
        <v>0</v>
      </c>
      <c r="S6" s="22">
        <f t="array" ref="S6">IFERROR(INDEX('Temp Hisfa'!S$3:S$200, SMALL(IF(ISERROR('Temp Hisfa'!S$3:S$200), "", ROW('Temp Hisfa'!S$3:S$200)-MIN(ROW('Temp Hisfa'!S$3:S$200))+1), ROW(4:203))),"")</f>
        <v>0</v>
      </c>
      <c r="T6" s="22">
        <f t="array" ref="T6">IFERROR(INDEX('Temp Hisfa'!T$3:T$200, SMALL(IF(ISERROR('Temp Hisfa'!T$3:T$200), "", ROW('Temp Hisfa'!T$3:T$200)-MIN(ROW('Temp Hisfa'!T$3:T$200))+1), ROW(4:203))),"")</f>
        <v>0</v>
      </c>
      <c r="U6" s="22">
        <f t="array" ref="U6">IFERROR(INDEX('Temp Hisfa'!U$3:U$200, SMALL(IF(ISERROR('Temp Hisfa'!U$3:U$200), "", ROW('Temp Hisfa'!U$3:U$200)-MIN(ROW('Temp Hisfa'!U$3:U$200))+1), ROW(4:203))),"")</f>
        <v>0</v>
      </c>
      <c r="V6" s="22">
        <f t="array" ref="V6">IFERROR(INDEX('Temp Hisfa'!V$3:V$200, SMALL(IF(ISERROR('Temp Hisfa'!V$3:V$200), "", ROW('Temp Hisfa'!V$3:V$200)-MIN(ROW('Temp Hisfa'!V$3:V$200))+1), ROW(4:203))),"")</f>
        <v>0</v>
      </c>
      <c r="W6" s="22">
        <f t="array" ref="W6">IFERROR(INDEX('Temp Hisfa'!W$3:W$200, SMALL(IF(ISERROR('Temp Hisfa'!W$3:W$200), "", ROW('Temp Hisfa'!W$3:W$200)-MIN(ROW('Temp Hisfa'!W$3:W$200))+1), ROW(4:203))),"")</f>
        <v>0</v>
      </c>
      <c r="X6" s="22">
        <f t="array" ref="X6">IFERROR(INDEX('Temp Hisfa'!X$3:X$200, SMALL(IF(ISERROR('Temp Hisfa'!X$3:X$200), "", ROW('Temp Hisfa'!X$3:X$200)-MIN(ROW('Temp Hisfa'!X$3:X$200))+1), ROW(4:203))),"")</f>
        <v>0</v>
      </c>
      <c r="Y6" s="22">
        <f t="array" ref="Y6">IFERROR(INDEX('Temp Hisfa'!Y$3:Y$200, SMALL(IF(ISERROR('Temp Hisfa'!Y$3:Y$200), "", ROW('Temp Hisfa'!Y$3:Y$200)-MIN(ROW('Temp Hisfa'!Y$3:Y$200))+1), ROW(4:203))),"")</f>
        <v>0</v>
      </c>
      <c r="Z6" s="22">
        <f t="array" ref="Z6">IFERROR(INDEX('Temp Hisfa'!Z$3:Z$200, SMALL(IF(ISERROR('Temp Hisfa'!Z$3:Z$200), "", ROW('Temp Hisfa'!Z$3:Z$200)-MIN(ROW('Temp Hisfa'!Z$3:Z$200))+1), ROW(4:203))),"")</f>
        <v>0</v>
      </c>
      <c r="AA6" s="22">
        <f t="array" ref="AA6">IFERROR(INDEX('Temp Hisfa'!AA$3:AA$200, SMALL(IF(ISERROR('Temp Hisfa'!AA$3:AA$200), "", ROW('Temp Hisfa'!AA$3:AA$200)-MIN(ROW('Temp Hisfa'!AA$3:AA$200))+1), ROW(4:203))),"")</f>
        <v>0</v>
      </c>
      <c r="AB6" s="22">
        <f t="array" ref="AB6">IFERROR(INDEX('Temp Hisfa'!AB$3:AB$200, SMALL(IF(ISERROR('Temp Hisfa'!AB$3:AB$200), "", ROW('Temp Hisfa'!AB$3:AB$200)-MIN(ROW('Temp Hisfa'!AB$3:AB$200))+1), ROW(4:203))),"")</f>
        <v>0</v>
      </c>
    </row>
    <row r="7" spans="1:28" x14ac:dyDescent="0.3">
      <c r="A7" s="4">
        <f t="array" ref="A7">IFERROR(INDEX('Temp Hisfa'!A$3:A$200, SMALL(IF(ISERROR('Temp Hisfa'!A$3:A$200), "", ROW('Temp Hisfa'!A$3:A$200)-MIN(ROW('Temp Hisfa'!A$3:A$200))+1), ROW(5:203))),"")</f>
        <v>0</v>
      </c>
      <c r="B7" s="4">
        <f t="array" ref="B7">IFERROR(INDEX('Temp Hisfa'!B$3:B$200, SMALL(IF(ISERROR('Temp Hisfa'!B$3:B$200), "", ROW('Temp Hisfa'!B$3:B$200)-MIN(ROW('Temp Hisfa'!B$3:B$200))+1), ROW(5:203))),"")</f>
        <v>0</v>
      </c>
      <c r="C7" s="3">
        <f t="array" ref="C7">IFERROR(INDEX('Temp Hisfa'!C$3:C$200, SMALL(IF(ISERROR('Temp Hisfa'!C$3:C$200), "", ROW('Temp Hisfa'!C$3:C$200)-MIN(ROW('Temp Hisfa'!C$3:C$200))+1), ROW(5:203))),"")</f>
        <v>0</v>
      </c>
      <c r="D7" s="3">
        <f t="array" ref="D7">IFERROR(INDEX('Temp Hisfa'!D$3:D$200, SMALL(IF(ISERROR('Temp Hisfa'!D$3:D$200), "", ROW('Temp Hisfa'!D$3:D$200)-MIN(ROW('Temp Hisfa'!D$3:D$200))+1), ROW(5:203))),"")</f>
        <v>0</v>
      </c>
      <c r="E7" s="29">
        <f t="array" ref="E7">IFERROR(INDEX('Temp Hisfa'!E$3:E$200, SMALL(IF(ISERROR('Temp Hisfa'!E$3:E$200), "", ROW('Temp Hisfa'!E$3:E$200)-MIN(ROW('Temp Hisfa'!E$3:E$200))+1), ROW(5:204))),"")</f>
        <v>0</v>
      </c>
      <c r="F7" s="22" t="str">
        <f t="array" ref="F7">IFERROR(INDEX('Temp Hisfa'!F$3:F$200, SMALL(IF(ISERROR('Temp Hisfa'!F$3:F$200), "", ROW('Temp Hisfa'!F$3:F$200)-MIN(ROW('Temp Hisfa'!F$3:F$200))+1), ROW(5:204))),"")</f>
        <v/>
      </c>
      <c r="G7" s="30">
        <f t="array" ref="G7">IFERROR(INDEX('Temp Hisfa'!G$3:G$200, SMALL(IF(ISERROR('Temp Hisfa'!G$3:G$200), "", ROW('Temp Hisfa'!G$3:G$200)-MIN(ROW('Temp Hisfa'!G$3:G$200))+1), ROW(5:204))),"")</f>
        <v>0</v>
      </c>
      <c r="H7" s="22" t="str">
        <f t="array" ref="H7">IFERROR(INDEX('Temp Hisfa'!H$3:H$200, SMALL(IF(ISERROR('Temp Hisfa'!H$3:H$200), "", ROW('Temp Hisfa'!H$3:H$200)-MIN(ROW('Temp Hisfa'!H$3:H$200))+1), ROW(5:204))),"")</f>
        <v/>
      </c>
      <c r="I7" s="22">
        <f t="array" ref="I7">IFERROR(INDEX('Temp Hisfa'!I$3:I$200, SMALL(IF(ISERROR('Temp Hisfa'!I$3:I$200), "", ROW('Temp Hisfa'!I$3:I$200)-MIN(ROW('Temp Hisfa'!I$3:I$200))+1), ROW(5:204))),"")</f>
        <v>0</v>
      </c>
      <c r="J7" s="22">
        <f t="array" ref="J7">IFERROR(INDEX('Temp Hisfa'!J$3:J$200, SMALL(IF(ISERROR('Temp Hisfa'!J$3:J$200), "", ROW('Temp Hisfa'!J$3:J$200)-MIN(ROW('Temp Hisfa'!J$3:J$200))+1), ROW(5:204))),"")</f>
        <v>0</v>
      </c>
      <c r="K7" s="30">
        <f t="array" ref="K7">IFERROR(INDEX('Temp Hisfa'!K$3:K$200, SMALL(IF(ISERROR('Temp Hisfa'!K$3:K$200), "", ROW('Temp Hisfa'!K$3:K$200)-MIN(ROW('Temp Hisfa'!K$3:K$200))+1), ROW(5:204))),"")</f>
        <v>0</v>
      </c>
      <c r="L7" s="22">
        <f t="array" ref="L7">IFERROR(INDEX('Temp Hisfa'!L$3:L$200, SMALL(IF(ISERROR('Temp Hisfa'!L$3:L$200), "", ROW('Temp Hisfa'!L$3:L$200)-MIN(ROW('Temp Hisfa'!L$3:L$200))+1), ROW(5:204))),"")</f>
        <v>0</v>
      </c>
      <c r="M7" s="22">
        <f t="array" ref="M7">IFERROR(INDEX('Temp Hisfa'!M$3:M$200, SMALL(IF(ISERROR('Temp Hisfa'!M$3:M$200), "", ROW('Temp Hisfa'!M$3:M$200)-MIN(ROW('Temp Hisfa'!M$3:M$200))+1), ROW(5:204))),"")</f>
        <v>0</v>
      </c>
      <c r="N7" s="22">
        <f t="array" ref="N7">IFERROR(INDEX('Temp Hisfa'!N$3:N$200, SMALL(IF(ISERROR('Temp Hisfa'!N$3:N$200), "", ROW('Temp Hisfa'!N$3:N$200)-MIN(ROW('Temp Hisfa'!N$3:N$200))+1), ROW(5:204))),"")</f>
        <v>1900</v>
      </c>
      <c r="O7" s="22" t="str">
        <f t="array" ref="O7">IFERROR(INDEX('Temp Hisfa'!O$3:O$200, SMALL(IF(ISERROR('Temp Hisfa'!O$3:O$200), "", ROW('Temp Hisfa'!O$3:O$200)-MIN(ROW('Temp Hisfa'!O$3:O$200))+1), ROW(5:204))),"")</f>
        <v>enero</v>
      </c>
      <c r="P7" s="22">
        <f t="array" ref="P7">IFERROR(INDEX('Temp Hisfa'!P$3:P$200, SMALL(IF(ISERROR('Temp Hisfa'!P$3:P$200), "", ROW('Temp Hisfa'!P$3:P$200)-MIN(ROW('Temp Hisfa'!P$3:P$200))+1), ROW(5:204))),"")</f>
        <v>0</v>
      </c>
      <c r="Q7" s="22">
        <f t="array" ref="Q7">IFERROR(INDEX('Temp Hisfa'!Q$3:Q$200, SMALL(IF(ISERROR('Temp Hisfa'!Q$3:Q$200), "", ROW('Temp Hisfa'!Q$3:Q$200)-MIN(ROW('Temp Hisfa'!Q$3:Q$200))+1), ROW(5:204))),"")</f>
        <v>0</v>
      </c>
      <c r="R7" s="22">
        <f t="array" ref="R7">IFERROR(INDEX('Temp Hisfa'!R$3:R$200, SMALL(IF(ISERROR('Temp Hisfa'!R$3:R$200), "", ROW('Temp Hisfa'!R$3:R$200)-MIN(ROW('Temp Hisfa'!R$3:R$200))+1), ROW(5:204))),"")</f>
        <v>0</v>
      </c>
      <c r="S7" s="22">
        <f t="array" ref="S7">IFERROR(INDEX('Temp Hisfa'!S$3:S$200, SMALL(IF(ISERROR('Temp Hisfa'!S$3:S$200), "", ROW('Temp Hisfa'!S$3:S$200)-MIN(ROW('Temp Hisfa'!S$3:S$200))+1), ROW(5:204))),"")</f>
        <v>0</v>
      </c>
      <c r="T7" s="22">
        <f t="array" ref="T7">IFERROR(INDEX('Temp Hisfa'!T$3:T$200, SMALL(IF(ISERROR('Temp Hisfa'!T$3:T$200), "", ROW('Temp Hisfa'!T$3:T$200)-MIN(ROW('Temp Hisfa'!T$3:T$200))+1), ROW(5:204))),"")</f>
        <v>0</v>
      </c>
      <c r="U7" s="22">
        <f t="array" ref="U7">IFERROR(INDEX('Temp Hisfa'!U$3:U$200, SMALL(IF(ISERROR('Temp Hisfa'!U$3:U$200), "", ROW('Temp Hisfa'!U$3:U$200)-MIN(ROW('Temp Hisfa'!U$3:U$200))+1), ROW(5:204))),"")</f>
        <v>0</v>
      </c>
      <c r="V7" s="22">
        <f t="array" ref="V7">IFERROR(INDEX('Temp Hisfa'!V$3:V$200, SMALL(IF(ISERROR('Temp Hisfa'!V$3:V$200), "", ROW('Temp Hisfa'!V$3:V$200)-MIN(ROW('Temp Hisfa'!V$3:V$200))+1), ROW(5:204))),"")</f>
        <v>0</v>
      </c>
      <c r="W7" s="22">
        <f t="array" ref="W7">IFERROR(INDEX('Temp Hisfa'!W$3:W$200, SMALL(IF(ISERROR('Temp Hisfa'!W$3:W$200), "", ROW('Temp Hisfa'!W$3:W$200)-MIN(ROW('Temp Hisfa'!W$3:W$200))+1), ROW(5:204))),"")</f>
        <v>0</v>
      </c>
      <c r="X7" s="22">
        <f t="array" ref="X7">IFERROR(INDEX('Temp Hisfa'!X$3:X$200, SMALL(IF(ISERROR('Temp Hisfa'!X$3:X$200), "", ROW('Temp Hisfa'!X$3:X$200)-MIN(ROW('Temp Hisfa'!X$3:X$200))+1), ROW(5:204))),"")</f>
        <v>0</v>
      </c>
      <c r="Y7" s="22">
        <f t="array" ref="Y7">IFERROR(INDEX('Temp Hisfa'!Y$3:Y$200, SMALL(IF(ISERROR('Temp Hisfa'!Y$3:Y$200), "", ROW('Temp Hisfa'!Y$3:Y$200)-MIN(ROW('Temp Hisfa'!Y$3:Y$200))+1), ROW(5:204))),"")</f>
        <v>0</v>
      </c>
      <c r="Z7" s="22">
        <f t="array" ref="Z7">IFERROR(INDEX('Temp Hisfa'!Z$3:Z$200, SMALL(IF(ISERROR('Temp Hisfa'!Z$3:Z$200), "", ROW('Temp Hisfa'!Z$3:Z$200)-MIN(ROW('Temp Hisfa'!Z$3:Z$200))+1), ROW(5:204))),"")</f>
        <v>0</v>
      </c>
      <c r="AA7" s="22">
        <f t="array" ref="AA7">IFERROR(INDEX('Temp Hisfa'!AA$3:AA$200, SMALL(IF(ISERROR('Temp Hisfa'!AA$3:AA$200), "", ROW('Temp Hisfa'!AA$3:AA$200)-MIN(ROW('Temp Hisfa'!AA$3:AA$200))+1), ROW(5:204))),"")</f>
        <v>0</v>
      </c>
      <c r="AB7" s="22">
        <f t="array" ref="AB7">IFERROR(INDEX('Temp Hisfa'!AB$3:AB$200, SMALL(IF(ISERROR('Temp Hisfa'!AB$3:AB$200), "", ROW('Temp Hisfa'!AB$3:AB$200)-MIN(ROW('Temp Hisfa'!AB$3:AB$200))+1), ROW(5:204))),"")</f>
        <v>0</v>
      </c>
    </row>
    <row r="8" spans="1:28" x14ac:dyDescent="0.3">
      <c r="A8" s="4">
        <f t="array" ref="A8">IFERROR(INDEX('Temp Hisfa'!A$3:A$200, SMALL(IF(ISERROR('Temp Hisfa'!A$3:A$200), "", ROW('Temp Hisfa'!A$3:A$200)-MIN(ROW('Temp Hisfa'!A$3:A$200))+1), ROW(6:204))),"")</f>
        <v>0</v>
      </c>
      <c r="B8" s="4">
        <f t="array" ref="B8">IFERROR(INDEX('Temp Hisfa'!B$3:B$200, SMALL(IF(ISERROR('Temp Hisfa'!B$3:B$200), "", ROW('Temp Hisfa'!B$3:B$200)-MIN(ROW('Temp Hisfa'!B$3:B$200))+1), ROW(6:204))),"")</f>
        <v>0</v>
      </c>
      <c r="C8" s="3">
        <f t="array" ref="C8">IFERROR(INDEX('Temp Hisfa'!C$3:C$200, SMALL(IF(ISERROR('Temp Hisfa'!C$3:C$200), "", ROW('Temp Hisfa'!C$3:C$200)-MIN(ROW('Temp Hisfa'!C$3:C$200))+1), ROW(6:204))),"")</f>
        <v>0</v>
      </c>
      <c r="D8" s="3">
        <f t="array" ref="D8">IFERROR(INDEX('Temp Hisfa'!D$3:D$200, SMALL(IF(ISERROR('Temp Hisfa'!D$3:D$200), "", ROW('Temp Hisfa'!D$3:D$200)-MIN(ROW('Temp Hisfa'!D$3:D$200))+1), ROW(6:204))),"")</f>
        <v>0</v>
      </c>
      <c r="E8" s="29">
        <f t="array" ref="E8">IFERROR(INDEX('Temp Hisfa'!E$3:E$200, SMALL(IF(ISERROR('Temp Hisfa'!E$3:E$200), "", ROW('Temp Hisfa'!E$3:E$200)-MIN(ROW('Temp Hisfa'!E$3:E$200))+1), ROW(6:205))),"")</f>
        <v>0</v>
      </c>
      <c r="F8" s="22" t="str">
        <f t="array" ref="F8">IFERROR(INDEX('Temp Hisfa'!F$3:F$200, SMALL(IF(ISERROR('Temp Hisfa'!F$3:F$200), "", ROW('Temp Hisfa'!F$3:F$200)-MIN(ROW('Temp Hisfa'!F$3:F$200))+1), ROW(6:205))),"")</f>
        <v/>
      </c>
      <c r="G8" s="30">
        <f t="array" ref="G8">IFERROR(INDEX('Temp Hisfa'!G$3:G$200, SMALL(IF(ISERROR('Temp Hisfa'!G$3:G$200), "", ROW('Temp Hisfa'!G$3:G$200)-MIN(ROW('Temp Hisfa'!G$3:G$200))+1), ROW(6:205))),"")</f>
        <v>0</v>
      </c>
      <c r="H8" s="22" t="str">
        <f t="array" ref="H8">IFERROR(INDEX('Temp Hisfa'!H$3:H$200, SMALL(IF(ISERROR('Temp Hisfa'!H$3:H$200), "", ROW('Temp Hisfa'!H$3:H$200)-MIN(ROW('Temp Hisfa'!H$3:H$200))+1), ROW(6:205))),"")</f>
        <v/>
      </c>
      <c r="I8" s="22">
        <f t="array" ref="I8">IFERROR(INDEX('Temp Hisfa'!I$3:I$200, SMALL(IF(ISERROR('Temp Hisfa'!I$3:I$200), "", ROW('Temp Hisfa'!I$3:I$200)-MIN(ROW('Temp Hisfa'!I$3:I$200))+1), ROW(6:205))),"")</f>
        <v>0</v>
      </c>
      <c r="J8" s="22">
        <f t="array" ref="J8">IFERROR(INDEX('Temp Hisfa'!J$3:J$200, SMALL(IF(ISERROR('Temp Hisfa'!J$3:J$200), "", ROW('Temp Hisfa'!J$3:J$200)-MIN(ROW('Temp Hisfa'!J$3:J$200))+1), ROW(6:205))),"")</f>
        <v>0</v>
      </c>
      <c r="K8" s="30">
        <f t="array" ref="K8">IFERROR(INDEX('Temp Hisfa'!K$3:K$200, SMALL(IF(ISERROR('Temp Hisfa'!K$3:K$200), "", ROW('Temp Hisfa'!K$3:K$200)-MIN(ROW('Temp Hisfa'!K$3:K$200))+1), ROW(6:205))),"")</f>
        <v>0</v>
      </c>
      <c r="L8" s="22">
        <f t="array" ref="L8">IFERROR(INDEX('Temp Hisfa'!L$3:L$200, SMALL(IF(ISERROR('Temp Hisfa'!L$3:L$200), "", ROW('Temp Hisfa'!L$3:L$200)-MIN(ROW('Temp Hisfa'!L$3:L$200))+1), ROW(6:205))),"")</f>
        <v>0</v>
      </c>
      <c r="M8" s="22">
        <f t="array" ref="M8">IFERROR(INDEX('Temp Hisfa'!M$3:M$200, SMALL(IF(ISERROR('Temp Hisfa'!M$3:M$200), "", ROW('Temp Hisfa'!M$3:M$200)-MIN(ROW('Temp Hisfa'!M$3:M$200))+1), ROW(6:205))),"")</f>
        <v>0</v>
      </c>
      <c r="N8" s="22">
        <f t="array" ref="N8">IFERROR(INDEX('Temp Hisfa'!N$3:N$200, SMALL(IF(ISERROR('Temp Hisfa'!N$3:N$200), "", ROW('Temp Hisfa'!N$3:N$200)-MIN(ROW('Temp Hisfa'!N$3:N$200))+1), ROW(6:205))),"")</f>
        <v>1900</v>
      </c>
      <c r="O8" s="22" t="str">
        <f t="array" ref="O8">IFERROR(INDEX('Temp Hisfa'!O$3:O$200, SMALL(IF(ISERROR('Temp Hisfa'!O$3:O$200), "", ROW('Temp Hisfa'!O$3:O$200)-MIN(ROW('Temp Hisfa'!O$3:O$200))+1), ROW(6:205))),"")</f>
        <v>enero</v>
      </c>
      <c r="P8" s="22">
        <f t="array" ref="P8">IFERROR(INDEX('Temp Hisfa'!P$3:P$200, SMALL(IF(ISERROR('Temp Hisfa'!P$3:P$200), "", ROW('Temp Hisfa'!P$3:P$200)-MIN(ROW('Temp Hisfa'!P$3:P$200))+1), ROW(6:205))),"")</f>
        <v>0</v>
      </c>
      <c r="Q8" s="22">
        <f t="array" ref="Q8">IFERROR(INDEX('Temp Hisfa'!Q$3:Q$200, SMALL(IF(ISERROR('Temp Hisfa'!Q$3:Q$200), "", ROW('Temp Hisfa'!Q$3:Q$200)-MIN(ROW('Temp Hisfa'!Q$3:Q$200))+1), ROW(6:205))),"")</f>
        <v>0</v>
      </c>
      <c r="R8" s="22">
        <f t="array" ref="R8">IFERROR(INDEX('Temp Hisfa'!R$3:R$200, SMALL(IF(ISERROR('Temp Hisfa'!R$3:R$200), "", ROW('Temp Hisfa'!R$3:R$200)-MIN(ROW('Temp Hisfa'!R$3:R$200))+1), ROW(6:205))),"")</f>
        <v>0</v>
      </c>
      <c r="S8" s="22">
        <f t="array" ref="S8">IFERROR(INDEX('Temp Hisfa'!S$3:S$200, SMALL(IF(ISERROR('Temp Hisfa'!S$3:S$200), "", ROW('Temp Hisfa'!S$3:S$200)-MIN(ROW('Temp Hisfa'!S$3:S$200))+1), ROW(6:205))),"")</f>
        <v>0</v>
      </c>
      <c r="T8" s="22">
        <f t="array" ref="T8">IFERROR(INDEX('Temp Hisfa'!T$3:T$200, SMALL(IF(ISERROR('Temp Hisfa'!T$3:T$200), "", ROW('Temp Hisfa'!T$3:T$200)-MIN(ROW('Temp Hisfa'!T$3:T$200))+1), ROW(6:205))),"")</f>
        <v>0</v>
      </c>
      <c r="U8" s="22">
        <f t="array" ref="U8">IFERROR(INDEX('Temp Hisfa'!U$3:U$200, SMALL(IF(ISERROR('Temp Hisfa'!U$3:U$200), "", ROW('Temp Hisfa'!U$3:U$200)-MIN(ROW('Temp Hisfa'!U$3:U$200))+1), ROW(6:205))),"")</f>
        <v>0</v>
      </c>
      <c r="V8" s="22">
        <f t="array" ref="V8">IFERROR(INDEX('Temp Hisfa'!V$3:V$200, SMALL(IF(ISERROR('Temp Hisfa'!V$3:V$200), "", ROW('Temp Hisfa'!V$3:V$200)-MIN(ROW('Temp Hisfa'!V$3:V$200))+1), ROW(6:205))),"")</f>
        <v>0</v>
      </c>
      <c r="W8" s="22">
        <f t="array" ref="W8">IFERROR(INDEX('Temp Hisfa'!W$3:W$200, SMALL(IF(ISERROR('Temp Hisfa'!W$3:W$200), "", ROW('Temp Hisfa'!W$3:W$200)-MIN(ROW('Temp Hisfa'!W$3:W$200))+1), ROW(6:205))),"")</f>
        <v>0</v>
      </c>
      <c r="X8" s="22">
        <f t="array" ref="X8">IFERROR(INDEX('Temp Hisfa'!X$3:X$200, SMALL(IF(ISERROR('Temp Hisfa'!X$3:X$200), "", ROW('Temp Hisfa'!X$3:X$200)-MIN(ROW('Temp Hisfa'!X$3:X$200))+1), ROW(6:205))),"")</f>
        <v>0</v>
      </c>
      <c r="Y8" s="22">
        <f t="array" ref="Y8">IFERROR(INDEX('Temp Hisfa'!Y$3:Y$200, SMALL(IF(ISERROR('Temp Hisfa'!Y$3:Y$200), "", ROW('Temp Hisfa'!Y$3:Y$200)-MIN(ROW('Temp Hisfa'!Y$3:Y$200))+1), ROW(6:205))),"")</f>
        <v>0</v>
      </c>
      <c r="Z8" s="22">
        <f t="array" ref="Z8">IFERROR(INDEX('Temp Hisfa'!Z$3:Z$200, SMALL(IF(ISERROR('Temp Hisfa'!Z$3:Z$200), "", ROW('Temp Hisfa'!Z$3:Z$200)-MIN(ROW('Temp Hisfa'!Z$3:Z$200))+1), ROW(6:205))),"")</f>
        <v>0</v>
      </c>
      <c r="AA8" s="22">
        <f t="array" ref="AA8">IFERROR(INDEX('Temp Hisfa'!AA$3:AA$200, SMALL(IF(ISERROR('Temp Hisfa'!AA$3:AA$200), "", ROW('Temp Hisfa'!AA$3:AA$200)-MIN(ROW('Temp Hisfa'!AA$3:AA$200))+1), ROW(6:205))),"")</f>
        <v>0</v>
      </c>
      <c r="AB8" s="22">
        <f t="array" ref="AB8">IFERROR(INDEX('Temp Hisfa'!AB$3:AB$200, SMALL(IF(ISERROR('Temp Hisfa'!AB$3:AB$200), "", ROW('Temp Hisfa'!AB$3:AB$200)-MIN(ROW('Temp Hisfa'!AB$3:AB$200))+1), ROW(6:205))),"")</f>
        <v>0</v>
      </c>
    </row>
    <row r="9" spans="1:28" x14ac:dyDescent="0.3">
      <c r="A9" s="4">
        <f t="array" ref="A9">IFERROR(INDEX('Temp Hisfa'!A$3:A$200, SMALL(IF(ISERROR('Temp Hisfa'!A$3:A$200), "", ROW('Temp Hisfa'!A$3:A$200)-MIN(ROW('Temp Hisfa'!A$3:A$200))+1), ROW(7:205))),"")</f>
        <v>0</v>
      </c>
      <c r="B9" s="4">
        <f t="array" ref="B9">IFERROR(INDEX('Temp Hisfa'!B$3:B$200, SMALL(IF(ISERROR('Temp Hisfa'!B$3:B$200), "", ROW('Temp Hisfa'!B$3:B$200)-MIN(ROW('Temp Hisfa'!B$3:B$200))+1), ROW(7:205))),"")</f>
        <v>0</v>
      </c>
      <c r="C9" s="3">
        <f t="array" ref="C9">IFERROR(INDEX('Temp Hisfa'!C$3:C$200, SMALL(IF(ISERROR('Temp Hisfa'!C$3:C$200), "", ROW('Temp Hisfa'!C$3:C$200)-MIN(ROW('Temp Hisfa'!C$3:C$200))+1), ROW(7:205))),"")</f>
        <v>0</v>
      </c>
      <c r="D9" s="3">
        <f t="array" ref="D9">IFERROR(INDEX('Temp Hisfa'!D$3:D$200, SMALL(IF(ISERROR('Temp Hisfa'!D$3:D$200), "", ROW('Temp Hisfa'!D$3:D$200)-MIN(ROW('Temp Hisfa'!D$3:D$200))+1), ROW(7:205))),"")</f>
        <v>0</v>
      </c>
      <c r="E9" s="29">
        <f t="array" ref="E9">IFERROR(INDEX('Temp Hisfa'!E$3:E$200, SMALL(IF(ISERROR('Temp Hisfa'!E$3:E$200), "", ROW('Temp Hisfa'!E$3:E$200)-MIN(ROW('Temp Hisfa'!E$3:E$200))+1), ROW(7:206))),"")</f>
        <v>0</v>
      </c>
      <c r="F9" s="22" t="str">
        <f t="array" ref="F9">IFERROR(INDEX('Temp Hisfa'!F$3:F$200, SMALL(IF(ISERROR('Temp Hisfa'!F$3:F$200), "", ROW('Temp Hisfa'!F$3:F$200)-MIN(ROW('Temp Hisfa'!F$3:F$200))+1), ROW(7:206))),"")</f>
        <v/>
      </c>
      <c r="G9" s="30">
        <f t="array" ref="G9">IFERROR(INDEX('Temp Hisfa'!G$3:G$200, SMALL(IF(ISERROR('Temp Hisfa'!G$3:G$200), "", ROW('Temp Hisfa'!G$3:G$200)-MIN(ROW('Temp Hisfa'!G$3:G$200))+1), ROW(7:206))),"")</f>
        <v>0</v>
      </c>
      <c r="H9" s="22" t="str">
        <f t="array" ref="H9">IFERROR(INDEX('Temp Hisfa'!H$3:H$200, SMALL(IF(ISERROR('Temp Hisfa'!H$3:H$200), "", ROW('Temp Hisfa'!H$3:H$200)-MIN(ROW('Temp Hisfa'!H$3:H$200))+1), ROW(7:206))),"")</f>
        <v/>
      </c>
      <c r="I9" s="22">
        <f t="array" ref="I9">IFERROR(INDEX('Temp Hisfa'!I$3:I$200, SMALL(IF(ISERROR('Temp Hisfa'!I$3:I$200), "", ROW('Temp Hisfa'!I$3:I$200)-MIN(ROW('Temp Hisfa'!I$3:I$200))+1), ROW(7:206))),"")</f>
        <v>0</v>
      </c>
      <c r="J9" s="22">
        <f t="array" ref="J9">IFERROR(INDEX('Temp Hisfa'!J$3:J$200, SMALL(IF(ISERROR('Temp Hisfa'!J$3:J$200), "", ROW('Temp Hisfa'!J$3:J$200)-MIN(ROW('Temp Hisfa'!J$3:J$200))+1), ROW(7:206))),"")</f>
        <v>0</v>
      </c>
      <c r="K9" s="30">
        <f t="array" ref="K9">IFERROR(INDEX('Temp Hisfa'!K$3:K$200, SMALL(IF(ISERROR('Temp Hisfa'!K$3:K$200), "", ROW('Temp Hisfa'!K$3:K$200)-MIN(ROW('Temp Hisfa'!K$3:K$200))+1), ROW(7:206))),"")</f>
        <v>0</v>
      </c>
      <c r="L9" s="22">
        <f t="array" ref="L9">IFERROR(INDEX('Temp Hisfa'!L$3:L$200, SMALL(IF(ISERROR('Temp Hisfa'!L$3:L$200), "", ROW('Temp Hisfa'!L$3:L$200)-MIN(ROW('Temp Hisfa'!L$3:L$200))+1), ROW(7:206))),"")</f>
        <v>0</v>
      </c>
      <c r="M9" s="22">
        <f t="array" ref="M9">IFERROR(INDEX('Temp Hisfa'!M$3:M$200, SMALL(IF(ISERROR('Temp Hisfa'!M$3:M$200), "", ROW('Temp Hisfa'!M$3:M$200)-MIN(ROW('Temp Hisfa'!M$3:M$200))+1), ROW(7:206))),"")</f>
        <v>0</v>
      </c>
      <c r="N9" s="22">
        <f t="array" ref="N9">IFERROR(INDEX('Temp Hisfa'!N$3:N$200, SMALL(IF(ISERROR('Temp Hisfa'!N$3:N$200), "", ROW('Temp Hisfa'!N$3:N$200)-MIN(ROW('Temp Hisfa'!N$3:N$200))+1), ROW(7:206))),"")</f>
        <v>1900</v>
      </c>
      <c r="O9" s="22" t="str">
        <f t="array" ref="O9">IFERROR(INDEX('Temp Hisfa'!O$3:O$200, SMALL(IF(ISERROR('Temp Hisfa'!O$3:O$200), "", ROW('Temp Hisfa'!O$3:O$200)-MIN(ROW('Temp Hisfa'!O$3:O$200))+1), ROW(7:206))),"")</f>
        <v>enero</v>
      </c>
      <c r="P9" s="22">
        <f t="array" ref="P9">IFERROR(INDEX('Temp Hisfa'!P$3:P$200, SMALL(IF(ISERROR('Temp Hisfa'!P$3:P$200), "", ROW('Temp Hisfa'!P$3:P$200)-MIN(ROW('Temp Hisfa'!P$3:P$200))+1), ROW(7:206))),"")</f>
        <v>0</v>
      </c>
      <c r="Q9" s="22">
        <f t="array" ref="Q9">IFERROR(INDEX('Temp Hisfa'!Q$3:Q$200, SMALL(IF(ISERROR('Temp Hisfa'!Q$3:Q$200), "", ROW('Temp Hisfa'!Q$3:Q$200)-MIN(ROW('Temp Hisfa'!Q$3:Q$200))+1), ROW(7:206))),"")</f>
        <v>0</v>
      </c>
      <c r="R9" s="22">
        <f t="array" ref="R9">IFERROR(INDEX('Temp Hisfa'!R$3:R$200, SMALL(IF(ISERROR('Temp Hisfa'!R$3:R$200), "", ROW('Temp Hisfa'!R$3:R$200)-MIN(ROW('Temp Hisfa'!R$3:R$200))+1), ROW(7:206))),"")</f>
        <v>0</v>
      </c>
      <c r="S9" s="22">
        <f t="array" ref="S9">IFERROR(INDEX('Temp Hisfa'!S$3:S$200, SMALL(IF(ISERROR('Temp Hisfa'!S$3:S$200), "", ROW('Temp Hisfa'!S$3:S$200)-MIN(ROW('Temp Hisfa'!S$3:S$200))+1), ROW(7:206))),"")</f>
        <v>0</v>
      </c>
      <c r="T9" s="22">
        <f t="array" ref="T9">IFERROR(INDEX('Temp Hisfa'!T$3:T$200, SMALL(IF(ISERROR('Temp Hisfa'!T$3:T$200), "", ROW('Temp Hisfa'!T$3:T$200)-MIN(ROW('Temp Hisfa'!T$3:T$200))+1), ROW(7:206))),"")</f>
        <v>0</v>
      </c>
      <c r="U9" s="22">
        <f t="array" ref="U9">IFERROR(INDEX('Temp Hisfa'!U$3:U$200, SMALL(IF(ISERROR('Temp Hisfa'!U$3:U$200), "", ROW('Temp Hisfa'!U$3:U$200)-MIN(ROW('Temp Hisfa'!U$3:U$200))+1), ROW(7:206))),"")</f>
        <v>0</v>
      </c>
      <c r="V9" s="22">
        <f t="array" ref="V9">IFERROR(INDEX('Temp Hisfa'!V$3:V$200, SMALL(IF(ISERROR('Temp Hisfa'!V$3:V$200), "", ROW('Temp Hisfa'!V$3:V$200)-MIN(ROW('Temp Hisfa'!V$3:V$200))+1), ROW(7:206))),"")</f>
        <v>0</v>
      </c>
      <c r="W9" s="22">
        <f t="array" ref="W9">IFERROR(INDEX('Temp Hisfa'!W$3:W$200, SMALL(IF(ISERROR('Temp Hisfa'!W$3:W$200), "", ROW('Temp Hisfa'!W$3:W$200)-MIN(ROW('Temp Hisfa'!W$3:W$200))+1), ROW(7:206))),"")</f>
        <v>0</v>
      </c>
      <c r="X9" s="22">
        <f t="array" ref="X9">IFERROR(INDEX('Temp Hisfa'!X$3:X$200, SMALL(IF(ISERROR('Temp Hisfa'!X$3:X$200), "", ROW('Temp Hisfa'!X$3:X$200)-MIN(ROW('Temp Hisfa'!X$3:X$200))+1), ROW(7:206))),"")</f>
        <v>0</v>
      </c>
      <c r="Y9" s="22">
        <f t="array" ref="Y9">IFERROR(INDEX('Temp Hisfa'!Y$3:Y$200, SMALL(IF(ISERROR('Temp Hisfa'!Y$3:Y$200), "", ROW('Temp Hisfa'!Y$3:Y$200)-MIN(ROW('Temp Hisfa'!Y$3:Y$200))+1), ROW(7:206))),"")</f>
        <v>0</v>
      </c>
      <c r="Z9" s="22">
        <f t="array" ref="Z9">IFERROR(INDEX('Temp Hisfa'!Z$3:Z$200, SMALL(IF(ISERROR('Temp Hisfa'!Z$3:Z$200), "", ROW('Temp Hisfa'!Z$3:Z$200)-MIN(ROW('Temp Hisfa'!Z$3:Z$200))+1), ROW(7:206))),"")</f>
        <v>0</v>
      </c>
      <c r="AA9" s="22">
        <f t="array" ref="AA9">IFERROR(INDEX('Temp Hisfa'!AA$3:AA$200, SMALL(IF(ISERROR('Temp Hisfa'!AA$3:AA$200), "", ROW('Temp Hisfa'!AA$3:AA$200)-MIN(ROW('Temp Hisfa'!AA$3:AA$200))+1), ROW(7:206))),"")</f>
        <v>0</v>
      </c>
      <c r="AB9" s="22">
        <f t="array" ref="AB9">IFERROR(INDEX('Temp Hisfa'!AB$3:AB$200, SMALL(IF(ISERROR('Temp Hisfa'!AB$3:AB$200), "", ROW('Temp Hisfa'!AB$3:AB$200)-MIN(ROW('Temp Hisfa'!AB$3:AB$200))+1), ROW(7:206))),"")</f>
        <v>0</v>
      </c>
    </row>
    <row r="10" spans="1:28" x14ac:dyDescent="0.3">
      <c r="A10" s="4">
        <f t="array" ref="A10">IFERROR(INDEX('Temp Hisfa'!A$3:A$200, SMALL(IF(ISERROR('Temp Hisfa'!A$3:A$200), "", ROW('Temp Hisfa'!A$3:A$200)-MIN(ROW('Temp Hisfa'!A$3:A$200))+1), ROW(8:206))),"")</f>
        <v>0</v>
      </c>
      <c r="B10" s="4">
        <f t="array" ref="B10">IFERROR(INDEX('Temp Hisfa'!B$3:B$200, SMALL(IF(ISERROR('Temp Hisfa'!B$3:B$200), "", ROW('Temp Hisfa'!B$3:B$200)-MIN(ROW('Temp Hisfa'!B$3:B$200))+1), ROW(8:206))),"")</f>
        <v>0</v>
      </c>
      <c r="C10" s="3">
        <f t="array" ref="C10">IFERROR(INDEX('Temp Hisfa'!C$3:C$200, SMALL(IF(ISERROR('Temp Hisfa'!C$3:C$200), "", ROW('Temp Hisfa'!C$3:C$200)-MIN(ROW('Temp Hisfa'!C$3:C$200))+1), ROW(8:206))),"")</f>
        <v>0</v>
      </c>
      <c r="D10" s="3">
        <f t="array" ref="D10">IFERROR(INDEX('Temp Hisfa'!D$3:D$200, SMALL(IF(ISERROR('Temp Hisfa'!D$3:D$200), "", ROW('Temp Hisfa'!D$3:D$200)-MIN(ROW('Temp Hisfa'!D$3:D$200))+1), ROW(8:206))),"")</f>
        <v>0</v>
      </c>
      <c r="E10" s="29">
        <f t="array" ref="E10">IFERROR(INDEX('Temp Hisfa'!E$3:E$200, SMALL(IF(ISERROR('Temp Hisfa'!E$3:E$200), "", ROW('Temp Hisfa'!E$3:E$200)-MIN(ROW('Temp Hisfa'!E$3:E$200))+1), ROW(8:207))),"")</f>
        <v>0</v>
      </c>
      <c r="F10" s="22" t="str">
        <f t="array" ref="F10">IFERROR(INDEX('Temp Hisfa'!F$3:F$200, SMALL(IF(ISERROR('Temp Hisfa'!F$3:F$200), "", ROW('Temp Hisfa'!F$3:F$200)-MIN(ROW('Temp Hisfa'!F$3:F$200))+1), ROW(8:207))),"")</f>
        <v/>
      </c>
      <c r="G10" s="30">
        <f t="array" ref="G10">IFERROR(INDEX('Temp Hisfa'!G$3:G$200, SMALL(IF(ISERROR('Temp Hisfa'!G$3:G$200), "", ROW('Temp Hisfa'!G$3:G$200)-MIN(ROW('Temp Hisfa'!G$3:G$200))+1), ROW(8:207))),"")</f>
        <v>0</v>
      </c>
      <c r="H10" s="22" t="str">
        <f t="array" ref="H10">IFERROR(INDEX('Temp Hisfa'!H$3:H$200, SMALL(IF(ISERROR('Temp Hisfa'!H$3:H$200), "", ROW('Temp Hisfa'!H$3:H$200)-MIN(ROW('Temp Hisfa'!H$3:H$200))+1), ROW(8:207))),"")</f>
        <v/>
      </c>
      <c r="I10" s="22">
        <f t="array" ref="I10">IFERROR(INDEX('Temp Hisfa'!I$3:I$200, SMALL(IF(ISERROR('Temp Hisfa'!I$3:I$200), "", ROW('Temp Hisfa'!I$3:I$200)-MIN(ROW('Temp Hisfa'!I$3:I$200))+1), ROW(8:207))),"")</f>
        <v>0</v>
      </c>
      <c r="J10" s="22">
        <f t="array" ref="J10">IFERROR(INDEX('Temp Hisfa'!J$3:J$200, SMALL(IF(ISERROR('Temp Hisfa'!J$3:J$200), "", ROW('Temp Hisfa'!J$3:J$200)-MIN(ROW('Temp Hisfa'!J$3:J$200))+1), ROW(8:207))),"")</f>
        <v>0</v>
      </c>
      <c r="K10" s="30">
        <f t="array" ref="K10">IFERROR(INDEX('Temp Hisfa'!K$3:K$200, SMALL(IF(ISERROR('Temp Hisfa'!K$3:K$200), "", ROW('Temp Hisfa'!K$3:K$200)-MIN(ROW('Temp Hisfa'!K$3:K$200))+1), ROW(8:207))),"")</f>
        <v>0</v>
      </c>
      <c r="L10" s="22">
        <f t="array" ref="L10">IFERROR(INDEX('Temp Hisfa'!L$3:L$200, SMALL(IF(ISERROR('Temp Hisfa'!L$3:L$200), "", ROW('Temp Hisfa'!L$3:L$200)-MIN(ROW('Temp Hisfa'!L$3:L$200))+1), ROW(8:207))),"")</f>
        <v>0</v>
      </c>
      <c r="M10" s="22">
        <f t="array" ref="M10">IFERROR(INDEX('Temp Hisfa'!M$3:M$200, SMALL(IF(ISERROR('Temp Hisfa'!M$3:M$200), "", ROW('Temp Hisfa'!M$3:M$200)-MIN(ROW('Temp Hisfa'!M$3:M$200))+1), ROW(8:207))),"")</f>
        <v>0</v>
      </c>
      <c r="N10" s="22">
        <f t="array" ref="N10">IFERROR(INDEX('Temp Hisfa'!N$3:N$200, SMALL(IF(ISERROR('Temp Hisfa'!N$3:N$200), "", ROW('Temp Hisfa'!N$3:N$200)-MIN(ROW('Temp Hisfa'!N$3:N$200))+1), ROW(8:207))),"")</f>
        <v>1900</v>
      </c>
      <c r="O10" s="22" t="str">
        <f t="array" ref="O10">IFERROR(INDEX('Temp Hisfa'!O$3:O$200, SMALL(IF(ISERROR('Temp Hisfa'!O$3:O$200), "", ROW('Temp Hisfa'!O$3:O$200)-MIN(ROW('Temp Hisfa'!O$3:O$200))+1), ROW(8:207))),"")</f>
        <v>enero</v>
      </c>
      <c r="P10" s="22">
        <f t="array" ref="P10">IFERROR(INDEX('Temp Hisfa'!P$3:P$200, SMALL(IF(ISERROR('Temp Hisfa'!P$3:P$200), "", ROW('Temp Hisfa'!P$3:P$200)-MIN(ROW('Temp Hisfa'!P$3:P$200))+1), ROW(8:207))),"")</f>
        <v>0</v>
      </c>
      <c r="Q10" s="22">
        <f t="array" ref="Q10">IFERROR(INDEX('Temp Hisfa'!Q$3:Q$200, SMALL(IF(ISERROR('Temp Hisfa'!Q$3:Q$200), "", ROW('Temp Hisfa'!Q$3:Q$200)-MIN(ROW('Temp Hisfa'!Q$3:Q$200))+1), ROW(8:207))),"")</f>
        <v>0</v>
      </c>
      <c r="R10" s="22">
        <f t="array" ref="R10">IFERROR(INDEX('Temp Hisfa'!R$3:R$200, SMALL(IF(ISERROR('Temp Hisfa'!R$3:R$200), "", ROW('Temp Hisfa'!R$3:R$200)-MIN(ROW('Temp Hisfa'!R$3:R$200))+1), ROW(8:207))),"")</f>
        <v>0</v>
      </c>
      <c r="S10" s="22">
        <f t="array" ref="S10">IFERROR(INDEX('Temp Hisfa'!S$3:S$200, SMALL(IF(ISERROR('Temp Hisfa'!S$3:S$200), "", ROW('Temp Hisfa'!S$3:S$200)-MIN(ROW('Temp Hisfa'!S$3:S$200))+1), ROW(8:207))),"")</f>
        <v>0</v>
      </c>
      <c r="T10" s="22">
        <f t="array" ref="T10">IFERROR(INDEX('Temp Hisfa'!T$3:T$200, SMALL(IF(ISERROR('Temp Hisfa'!T$3:T$200), "", ROW('Temp Hisfa'!T$3:T$200)-MIN(ROW('Temp Hisfa'!T$3:T$200))+1), ROW(8:207))),"")</f>
        <v>0</v>
      </c>
      <c r="U10" s="22">
        <f t="array" ref="U10">IFERROR(INDEX('Temp Hisfa'!U$3:U$200, SMALL(IF(ISERROR('Temp Hisfa'!U$3:U$200), "", ROW('Temp Hisfa'!U$3:U$200)-MIN(ROW('Temp Hisfa'!U$3:U$200))+1), ROW(8:207))),"")</f>
        <v>0</v>
      </c>
      <c r="V10" s="22">
        <f t="array" ref="V10">IFERROR(INDEX('Temp Hisfa'!V$3:V$200, SMALL(IF(ISERROR('Temp Hisfa'!V$3:V$200), "", ROW('Temp Hisfa'!V$3:V$200)-MIN(ROW('Temp Hisfa'!V$3:V$200))+1), ROW(8:207))),"")</f>
        <v>0</v>
      </c>
      <c r="W10" s="22">
        <f t="array" ref="W10">IFERROR(INDEX('Temp Hisfa'!W$3:W$200, SMALL(IF(ISERROR('Temp Hisfa'!W$3:W$200), "", ROW('Temp Hisfa'!W$3:W$200)-MIN(ROW('Temp Hisfa'!W$3:W$200))+1), ROW(8:207))),"")</f>
        <v>0</v>
      </c>
      <c r="X10" s="22">
        <f t="array" ref="X10">IFERROR(INDEX('Temp Hisfa'!X$3:X$200, SMALL(IF(ISERROR('Temp Hisfa'!X$3:X$200), "", ROW('Temp Hisfa'!X$3:X$200)-MIN(ROW('Temp Hisfa'!X$3:X$200))+1), ROW(8:207))),"")</f>
        <v>0</v>
      </c>
      <c r="Y10" s="22">
        <f t="array" ref="Y10">IFERROR(INDEX('Temp Hisfa'!Y$3:Y$200, SMALL(IF(ISERROR('Temp Hisfa'!Y$3:Y$200), "", ROW('Temp Hisfa'!Y$3:Y$200)-MIN(ROW('Temp Hisfa'!Y$3:Y$200))+1), ROW(8:207))),"")</f>
        <v>0</v>
      </c>
      <c r="Z10" s="22">
        <f t="array" ref="Z10">IFERROR(INDEX('Temp Hisfa'!Z$3:Z$200, SMALL(IF(ISERROR('Temp Hisfa'!Z$3:Z$200), "", ROW('Temp Hisfa'!Z$3:Z$200)-MIN(ROW('Temp Hisfa'!Z$3:Z$200))+1), ROW(8:207))),"")</f>
        <v>0</v>
      </c>
      <c r="AA10" s="22">
        <f t="array" ref="AA10">IFERROR(INDEX('Temp Hisfa'!AA$3:AA$200, SMALL(IF(ISERROR('Temp Hisfa'!AA$3:AA$200), "", ROW('Temp Hisfa'!AA$3:AA$200)-MIN(ROW('Temp Hisfa'!AA$3:AA$200))+1), ROW(8:207))),"")</f>
        <v>0</v>
      </c>
      <c r="AB10" s="22">
        <f t="array" ref="AB10">IFERROR(INDEX('Temp Hisfa'!AB$3:AB$200, SMALL(IF(ISERROR('Temp Hisfa'!AB$3:AB$200), "", ROW('Temp Hisfa'!AB$3:AB$200)-MIN(ROW('Temp Hisfa'!AB$3:AB$200))+1), ROW(8:207))),"")</f>
        <v>0</v>
      </c>
    </row>
    <row r="11" spans="1:28" x14ac:dyDescent="0.3">
      <c r="A11" s="4">
        <f t="array" ref="A11">IFERROR(INDEX('Temp Hisfa'!A$3:A$200, SMALL(IF(ISERROR('Temp Hisfa'!A$3:A$200), "", ROW('Temp Hisfa'!A$3:A$200)-MIN(ROW('Temp Hisfa'!A$3:A$200))+1), ROW(9:207))),"")</f>
        <v>0</v>
      </c>
      <c r="B11" s="4">
        <f t="array" ref="B11">IFERROR(INDEX('Temp Hisfa'!B$3:B$200, SMALL(IF(ISERROR('Temp Hisfa'!B$3:B$200), "", ROW('Temp Hisfa'!B$3:B$200)-MIN(ROW('Temp Hisfa'!B$3:B$200))+1), ROW(9:207))),"")</f>
        <v>0</v>
      </c>
      <c r="C11" s="3">
        <f t="array" ref="C11">IFERROR(INDEX('Temp Hisfa'!C$3:C$200, SMALL(IF(ISERROR('Temp Hisfa'!C$3:C$200), "", ROW('Temp Hisfa'!C$3:C$200)-MIN(ROW('Temp Hisfa'!C$3:C$200))+1), ROW(9:207))),"")</f>
        <v>0</v>
      </c>
      <c r="D11" s="3">
        <f t="array" ref="D11">IFERROR(INDEX('Temp Hisfa'!D$3:D$200, SMALL(IF(ISERROR('Temp Hisfa'!D$3:D$200), "", ROW('Temp Hisfa'!D$3:D$200)-MIN(ROW('Temp Hisfa'!D$3:D$200))+1), ROW(9:207))),"")</f>
        <v>0</v>
      </c>
      <c r="E11" s="29">
        <f t="array" ref="E11">IFERROR(INDEX('Temp Hisfa'!E$3:E$200, SMALL(IF(ISERROR('Temp Hisfa'!E$3:E$200), "", ROW('Temp Hisfa'!E$3:E$200)-MIN(ROW('Temp Hisfa'!E$3:E$200))+1), ROW(9:208))),"")</f>
        <v>0</v>
      </c>
      <c r="F11" s="22" t="str">
        <f t="array" ref="F11">IFERROR(INDEX('Temp Hisfa'!F$3:F$200, SMALL(IF(ISERROR('Temp Hisfa'!F$3:F$200), "", ROW('Temp Hisfa'!F$3:F$200)-MIN(ROW('Temp Hisfa'!F$3:F$200))+1), ROW(9:208))),"")</f>
        <v/>
      </c>
      <c r="G11" s="30">
        <f t="array" ref="G11">IFERROR(INDEX('Temp Hisfa'!G$3:G$200, SMALL(IF(ISERROR('Temp Hisfa'!G$3:G$200), "", ROW('Temp Hisfa'!G$3:G$200)-MIN(ROW('Temp Hisfa'!G$3:G$200))+1), ROW(9:208))),"")</f>
        <v>0</v>
      </c>
      <c r="H11" s="22" t="str">
        <f t="array" ref="H11">IFERROR(INDEX('Temp Hisfa'!H$3:H$200, SMALL(IF(ISERROR('Temp Hisfa'!H$3:H$200), "", ROW('Temp Hisfa'!H$3:H$200)-MIN(ROW('Temp Hisfa'!H$3:H$200))+1), ROW(9:208))),"")</f>
        <v/>
      </c>
      <c r="I11" s="22">
        <f t="array" ref="I11">IFERROR(INDEX('Temp Hisfa'!I$3:I$200, SMALL(IF(ISERROR('Temp Hisfa'!I$3:I$200), "", ROW('Temp Hisfa'!I$3:I$200)-MIN(ROW('Temp Hisfa'!I$3:I$200))+1), ROW(9:208))),"")</f>
        <v>0</v>
      </c>
      <c r="J11" s="22">
        <f t="array" ref="J11">IFERROR(INDEX('Temp Hisfa'!J$3:J$200, SMALL(IF(ISERROR('Temp Hisfa'!J$3:J$200), "", ROW('Temp Hisfa'!J$3:J$200)-MIN(ROW('Temp Hisfa'!J$3:J$200))+1), ROW(9:208))),"")</f>
        <v>0</v>
      </c>
      <c r="K11" s="30">
        <f t="array" ref="K11">IFERROR(INDEX('Temp Hisfa'!K$3:K$200, SMALL(IF(ISERROR('Temp Hisfa'!K$3:K$200), "", ROW('Temp Hisfa'!K$3:K$200)-MIN(ROW('Temp Hisfa'!K$3:K$200))+1), ROW(9:208))),"")</f>
        <v>0</v>
      </c>
      <c r="L11" s="22">
        <f t="array" ref="L11">IFERROR(INDEX('Temp Hisfa'!L$3:L$200, SMALL(IF(ISERROR('Temp Hisfa'!L$3:L$200), "", ROW('Temp Hisfa'!L$3:L$200)-MIN(ROW('Temp Hisfa'!L$3:L$200))+1), ROW(9:208))),"")</f>
        <v>0</v>
      </c>
      <c r="M11" s="22">
        <f t="array" ref="M11">IFERROR(INDEX('Temp Hisfa'!M$3:M$200, SMALL(IF(ISERROR('Temp Hisfa'!M$3:M$200), "", ROW('Temp Hisfa'!M$3:M$200)-MIN(ROW('Temp Hisfa'!M$3:M$200))+1), ROW(9:208))),"")</f>
        <v>0</v>
      </c>
      <c r="N11" s="22">
        <f t="array" ref="N11">IFERROR(INDEX('Temp Hisfa'!N$3:N$200, SMALL(IF(ISERROR('Temp Hisfa'!N$3:N$200), "", ROW('Temp Hisfa'!N$3:N$200)-MIN(ROW('Temp Hisfa'!N$3:N$200))+1), ROW(9:208))),"")</f>
        <v>1900</v>
      </c>
      <c r="O11" s="22" t="str">
        <f t="array" ref="O11">IFERROR(INDEX('Temp Hisfa'!O$3:O$200, SMALL(IF(ISERROR('Temp Hisfa'!O$3:O$200), "", ROW('Temp Hisfa'!O$3:O$200)-MIN(ROW('Temp Hisfa'!O$3:O$200))+1), ROW(9:208))),"")</f>
        <v>enero</v>
      </c>
      <c r="P11" s="22">
        <f t="array" ref="P11">IFERROR(INDEX('Temp Hisfa'!P$3:P$200, SMALL(IF(ISERROR('Temp Hisfa'!P$3:P$200), "", ROW('Temp Hisfa'!P$3:P$200)-MIN(ROW('Temp Hisfa'!P$3:P$200))+1), ROW(9:208))),"")</f>
        <v>0</v>
      </c>
      <c r="Q11" s="22">
        <f t="array" ref="Q11">IFERROR(INDEX('Temp Hisfa'!Q$3:Q$200, SMALL(IF(ISERROR('Temp Hisfa'!Q$3:Q$200), "", ROW('Temp Hisfa'!Q$3:Q$200)-MIN(ROW('Temp Hisfa'!Q$3:Q$200))+1), ROW(9:208))),"")</f>
        <v>0</v>
      </c>
      <c r="R11" s="22">
        <f t="array" ref="R11">IFERROR(INDEX('Temp Hisfa'!R$3:R$200, SMALL(IF(ISERROR('Temp Hisfa'!R$3:R$200), "", ROW('Temp Hisfa'!R$3:R$200)-MIN(ROW('Temp Hisfa'!R$3:R$200))+1), ROW(9:208))),"")</f>
        <v>0</v>
      </c>
      <c r="S11" s="22">
        <f t="array" ref="S11">IFERROR(INDEX('Temp Hisfa'!S$3:S$200, SMALL(IF(ISERROR('Temp Hisfa'!S$3:S$200), "", ROW('Temp Hisfa'!S$3:S$200)-MIN(ROW('Temp Hisfa'!S$3:S$200))+1), ROW(9:208))),"")</f>
        <v>0</v>
      </c>
      <c r="T11" s="22">
        <f t="array" ref="T11">IFERROR(INDEX('Temp Hisfa'!T$3:T$200, SMALL(IF(ISERROR('Temp Hisfa'!T$3:T$200), "", ROW('Temp Hisfa'!T$3:T$200)-MIN(ROW('Temp Hisfa'!T$3:T$200))+1), ROW(9:208))),"")</f>
        <v>0</v>
      </c>
      <c r="U11" s="22">
        <f t="array" ref="U11">IFERROR(INDEX('Temp Hisfa'!U$3:U$200, SMALL(IF(ISERROR('Temp Hisfa'!U$3:U$200), "", ROW('Temp Hisfa'!U$3:U$200)-MIN(ROW('Temp Hisfa'!U$3:U$200))+1), ROW(9:208))),"")</f>
        <v>0</v>
      </c>
      <c r="V11" s="22">
        <f t="array" ref="V11">IFERROR(INDEX('Temp Hisfa'!V$3:V$200, SMALL(IF(ISERROR('Temp Hisfa'!V$3:V$200), "", ROW('Temp Hisfa'!V$3:V$200)-MIN(ROW('Temp Hisfa'!V$3:V$200))+1), ROW(9:208))),"")</f>
        <v>0</v>
      </c>
      <c r="W11" s="22">
        <f t="array" ref="W11">IFERROR(INDEX('Temp Hisfa'!W$3:W$200, SMALL(IF(ISERROR('Temp Hisfa'!W$3:W$200), "", ROW('Temp Hisfa'!W$3:W$200)-MIN(ROW('Temp Hisfa'!W$3:W$200))+1), ROW(9:208))),"")</f>
        <v>0</v>
      </c>
      <c r="X11" s="22">
        <f t="array" ref="X11">IFERROR(INDEX('Temp Hisfa'!X$3:X$200, SMALL(IF(ISERROR('Temp Hisfa'!X$3:X$200), "", ROW('Temp Hisfa'!X$3:X$200)-MIN(ROW('Temp Hisfa'!X$3:X$200))+1), ROW(9:208))),"")</f>
        <v>0</v>
      </c>
      <c r="Y11" s="22">
        <f t="array" ref="Y11">IFERROR(INDEX('Temp Hisfa'!Y$3:Y$200, SMALL(IF(ISERROR('Temp Hisfa'!Y$3:Y$200), "", ROW('Temp Hisfa'!Y$3:Y$200)-MIN(ROW('Temp Hisfa'!Y$3:Y$200))+1), ROW(9:208))),"")</f>
        <v>0</v>
      </c>
      <c r="Z11" s="22">
        <f t="array" ref="Z11">IFERROR(INDEX('Temp Hisfa'!Z$3:Z$200, SMALL(IF(ISERROR('Temp Hisfa'!Z$3:Z$200), "", ROW('Temp Hisfa'!Z$3:Z$200)-MIN(ROW('Temp Hisfa'!Z$3:Z$200))+1), ROW(9:208))),"")</f>
        <v>0</v>
      </c>
      <c r="AA11" s="22">
        <f t="array" ref="AA11">IFERROR(INDEX('Temp Hisfa'!AA$3:AA$200, SMALL(IF(ISERROR('Temp Hisfa'!AA$3:AA$200), "", ROW('Temp Hisfa'!AA$3:AA$200)-MIN(ROW('Temp Hisfa'!AA$3:AA$200))+1), ROW(9:208))),"")</f>
        <v>0</v>
      </c>
      <c r="AB11" s="22">
        <f t="array" ref="AB11">IFERROR(INDEX('Temp Hisfa'!AB$3:AB$200, SMALL(IF(ISERROR('Temp Hisfa'!AB$3:AB$200), "", ROW('Temp Hisfa'!AB$3:AB$200)-MIN(ROW('Temp Hisfa'!AB$3:AB$200))+1), ROW(9:208))),"")</f>
        <v>0</v>
      </c>
    </row>
    <row r="12" spans="1:28" x14ac:dyDescent="0.3">
      <c r="A12" s="4">
        <f t="array" ref="A12">IFERROR(INDEX('Temp Hisfa'!A$3:A$200, SMALL(IF(ISERROR('Temp Hisfa'!A$3:A$200), "", ROW('Temp Hisfa'!A$3:A$200)-MIN(ROW('Temp Hisfa'!A$3:A$200))+1), ROW(10:208))),"")</f>
        <v>0</v>
      </c>
      <c r="B12" s="4">
        <f t="array" ref="B12">IFERROR(INDEX('Temp Hisfa'!B$3:B$200, SMALL(IF(ISERROR('Temp Hisfa'!B$3:B$200), "", ROW('Temp Hisfa'!B$3:B$200)-MIN(ROW('Temp Hisfa'!B$3:B$200))+1), ROW(10:208))),"")</f>
        <v>0</v>
      </c>
      <c r="C12" s="3">
        <f t="array" ref="C12">IFERROR(INDEX('Temp Hisfa'!C$3:C$200, SMALL(IF(ISERROR('Temp Hisfa'!C$3:C$200), "", ROW('Temp Hisfa'!C$3:C$200)-MIN(ROW('Temp Hisfa'!C$3:C$200))+1), ROW(10:208))),"")</f>
        <v>0</v>
      </c>
      <c r="D12" s="3">
        <f t="array" ref="D12">IFERROR(INDEX('Temp Hisfa'!D$3:D$200, SMALL(IF(ISERROR('Temp Hisfa'!D$3:D$200), "", ROW('Temp Hisfa'!D$3:D$200)-MIN(ROW('Temp Hisfa'!D$3:D$200))+1), ROW(10:208))),"")</f>
        <v>0</v>
      </c>
      <c r="E12" s="29">
        <f t="array" ref="E12">IFERROR(INDEX('Temp Hisfa'!E$3:E$200, SMALL(IF(ISERROR('Temp Hisfa'!E$3:E$200), "", ROW('Temp Hisfa'!E$3:E$200)-MIN(ROW('Temp Hisfa'!E$3:E$200))+1), ROW(10:209))),"")</f>
        <v>0</v>
      </c>
      <c r="F12" s="22" t="str">
        <f t="array" ref="F12">IFERROR(INDEX('Temp Hisfa'!F$3:F$200, SMALL(IF(ISERROR('Temp Hisfa'!F$3:F$200), "", ROW('Temp Hisfa'!F$3:F$200)-MIN(ROW('Temp Hisfa'!F$3:F$200))+1), ROW(10:209))),"")</f>
        <v/>
      </c>
      <c r="G12" s="30">
        <f t="array" ref="G12">IFERROR(INDEX('Temp Hisfa'!G$3:G$200, SMALL(IF(ISERROR('Temp Hisfa'!G$3:G$200), "", ROW('Temp Hisfa'!G$3:G$200)-MIN(ROW('Temp Hisfa'!G$3:G$200))+1), ROW(10:209))),"")</f>
        <v>0</v>
      </c>
      <c r="H12" s="22" t="str">
        <f t="array" ref="H12">IFERROR(INDEX('Temp Hisfa'!H$3:H$200, SMALL(IF(ISERROR('Temp Hisfa'!H$3:H$200), "", ROW('Temp Hisfa'!H$3:H$200)-MIN(ROW('Temp Hisfa'!H$3:H$200))+1), ROW(10:209))),"")</f>
        <v/>
      </c>
      <c r="I12" s="22">
        <f t="array" ref="I12">IFERROR(INDEX('Temp Hisfa'!I$3:I$200, SMALL(IF(ISERROR('Temp Hisfa'!I$3:I$200), "", ROW('Temp Hisfa'!I$3:I$200)-MIN(ROW('Temp Hisfa'!I$3:I$200))+1), ROW(10:209))),"")</f>
        <v>0</v>
      </c>
      <c r="J12" s="22">
        <f t="array" ref="J12">IFERROR(INDEX('Temp Hisfa'!J$3:J$200, SMALL(IF(ISERROR('Temp Hisfa'!J$3:J$200), "", ROW('Temp Hisfa'!J$3:J$200)-MIN(ROW('Temp Hisfa'!J$3:J$200))+1), ROW(10:209))),"")</f>
        <v>0</v>
      </c>
      <c r="K12" s="30">
        <f t="array" ref="K12">IFERROR(INDEX('Temp Hisfa'!K$3:K$200, SMALL(IF(ISERROR('Temp Hisfa'!K$3:K$200), "", ROW('Temp Hisfa'!K$3:K$200)-MIN(ROW('Temp Hisfa'!K$3:K$200))+1), ROW(10:209))),"")</f>
        <v>0</v>
      </c>
      <c r="L12" s="22">
        <f t="array" ref="L12">IFERROR(INDEX('Temp Hisfa'!L$3:L$200, SMALL(IF(ISERROR('Temp Hisfa'!L$3:L$200), "", ROW('Temp Hisfa'!L$3:L$200)-MIN(ROW('Temp Hisfa'!L$3:L$200))+1), ROW(10:209))),"")</f>
        <v>0</v>
      </c>
      <c r="M12" s="22">
        <f t="array" ref="M12">IFERROR(INDEX('Temp Hisfa'!M$3:M$200, SMALL(IF(ISERROR('Temp Hisfa'!M$3:M$200), "", ROW('Temp Hisfa'!M$3:M$200)-MIN(ROW('Temp Hisfa'!M$3:M$200))+1), ROW(10:209))),"")</f>
        <v>0</v>
      </c>
      <c r="N12" s="22">
        <f t="array" ref="N12">IFERROR(INDEX('Temp Hisfa'!N$3:N$200, SMALL(IF(ISERROR('Temp Hisfa'!N$3:N$200), "", ROW('Temp Hisfa'!N$3:N$200)-MIN(ROW('Temp Hisfa'!N$3:N$200))+1), ROW(10:209))),"")</f>
        <v>1900</v>
      </c>
      <c r="O12" s="22" t="str">
        <f t="array" ref="O12">IFERROR(INDEX('Temp Hisfa'!O$3:O$200, SMALL(IF(ISERROR('Temp Hisfa'!O$3:O$200), "", ROW('Temp Hisfa'!O$3:O$200)-MIN(ROW('Temp Hisfa'!O$3:O$200))+1), ROW(10:209))),"")</f>
        <v>enero</v>
      </c>
      <c r="P12" s="22">
        <f t="array" ref="P12">IFERROR(INDEX('Temp Hisfa'!P$3:P$200, SMALL(IF(ISERROR('Temp Hisfa'!P$3:P$200), "", ROW('Temp Hisfa'!P$3:P$200)-MIN(ROW('Temp Hisfa'!P$3:P$200))+1), ROW(10:209))),"")</f>
        <v>0</v>
      </c>
      <c r="Q12" s="22">
        <f t="array" ref="Q12">IFERROR(INDEX('Temp Hisfa'!Q$3:Q$200, SMALL(IF(ISERROR('Temp Hisfa'!Q$3:Q$200), "", ROW('Temp Hisfa'!Q$3:Q$200)-MIN(ROW('Temp Hisfa'!Q$3:Q$200))+1), ROW(10:209))),"")</f>
        <v>0</v>
      </c>
      <c r="R12" s="22">
        <f t="array" ref="R12">IFERROR(INDEX('Temp Hisfa'!R$3:R$200, SMALL(IF(ISERROR('Temp Hisfa'!R$3:R$200), "", ROW('Temp Hisfa'!R$3:R$200)-MIN(ROW('Temp Hisfa'!R$3:R$200))+1), ROW(10:209))),"")</f>
        <v>0</v>
      </c>
      <c r="S12" s="22">
        <f t="array" ref="S12">IFERROR(INDEX('Temp Hisfa'!S$3:S$200, SMALL(IF(ISERROR('Temp Hisfa'!S$3:S$200), "", ROW('Temp Hisfa'!S$3:S$200)-MIN(ROW('Temp Hisfa'!S$3:S$200))+1), ROW(10:209))),"")</f>
        <v>0</v>
      </c>
      <c r="T12" s="22">
        <f t="array" ref="T12">IFERROR(INDEX('Temp Hisfa'!T$3:T$200, SMALL(IF(ISERROR('Temp Hisfa'!T$3:T$200), "", ROW('Temp Hisfa'!T$3:T$200)-MIN(ROW('Temp Hisfa'!T$3:T$200))+1), ROW(10:209))),"")</f>
        <v>0</v>
      </c>
      <c r="U12" s="22">
        <f t="array" ref="U12">IFERROR(INDEX('Temp Hisfa'!U$3:U$200, SMALL(IF(ISERROR('Temp Hisfa'!U$3:U$200), "", ROW('Temp Hisfa'!U$3:U$200)-MIN(ROW('Temp Hisfa'!U$3:U$200))+1), ROW(10:209))),"")</f>
        <v>0</v>
      </c>
      <c r="V12" s="22">
        <f t="array" ref="V12">IFERROR(INDEX('Temp Hisfa'!V$3:V$200, SMALL(IF(ISERROR('Temp Hisfa'!V$3:V$200), "", ROW('Temp Hisfa'!V$3:V$200)-MIN(ROW('Temp Hisfa'!V$3:V$200))+1), ROW(10:209))),"")</f>
        <v>0</v>
      </c>
      <c r="W12" s="22">
        <f t="array" ref="W12">IFERROR(INDEX('Temp Hisfa'!W$3:W$200, SMALL(IF(ISERROR('Temp Hisfa'!W$3:W$200), "", ROW('Temp Hisfa'!W$3:W$200)-MIN(ROW('Temp Hisfa'!W$3:W$200))+1), ROW(10:209))),"")</f>
        <v>0</v>
      </c>
      <c r="X12" s="22">
        <f t="array" ref="X12">IFERROR(INDEX('Temp Hisfa'!X$3:X$200, SMALL(IF(ISERROR('Temp Hisfa'!X$3:X$200), "", ROW('Temp Hisfa'!X$3:X$200)-MIN(ROW('Temp Hisfa'!X$3:X$200))+1), ROW(10:209))),"")</f>
        <v>0</v>
      </c>
      <c r="Y12" s="22">
        <f t="array" ref="Y12">IFERROR(INDEX('Temp Hisfa'!Y$3:Y$200, SMALL(IF(ISERROR('Temp Hisfa'!Y$3:Y$200), "", ROW('Temp Hisfa'!Y$3:Y$200)-MIN(ROW('Temp Hisfa'!Y$3:Y$200))+1), ROW(10:209))),"")</f>
        <v>0</v>
      </c>
      <c r="Z12" s="22">
        <f t="array" ref="Z12">IFERROR(INDEX('Temp Hisfa'!Z$3:Z$200, SMALL(IF(ISERROR('Temp Hisfa'!Z$3:Z$200), "", ROW('Temp Hisfa'!Z$3:Z$200)-MIN(ROW('Temp Hisfa'!Z$3:Z$200))+1), ROW(10:209))),"")</f>
        <v>0</v>
      </c>
      <c r="AA12" s="22">
        <f t="array" ref="AA12">IFERROR(INDEX('Temp Hisfa'!AA$3:AA$200, SMALL(IF(ISERROR('Temp Hisfa'!AA$3:AA$200), "", ROW('Temp Hisfa'!AA$3:AA$200)-MIN(ROW('Temp Hisfa'!AA$3:AA$200))+1), ROW(10:209))),"")</f>
        <v>0</v>
      </c>
      <c r="AB12" s="22">
        <f t="array" ref="AB12">IFERROR(INDEX('Temp Hisfa'!AB$3:AB$200, SMALL(IF(ISERROR('Temp Hisfa'!AB$3:AB$200), "", ROW('Temp Hisfa'!AB$3:AB$200)-MIN(ROW('Temp Hisfa'!AB$3:AB$200))+1), ROW(10:209))),"")</f>
        <v>0</v>
      </c>
    </row>
    <row r="13" spans="1:28" x14ac:dyDescent="0.3">
      <c r="A13" s="4">
        <f t="array" ref="A13">IFERROR(INDEX('Temp Hisfa'!A$3:A$200, SMALL(IF(ISERROR('Temp Hisfa'!A$3:A$200), "", ROW('Temp Hisfa'!A$3:A$200)-MIN(ROW('Temp Hisfa'!A$3:A$200))+1), ROW(11:209))),"")</f>
        <v>0</v>
      </c>
      <c r="B13" s="4">
        <f t="array" ref="B13">IFERROR(INDEX('Temp Hisfa'!B$3:B$200, SMALL(IF(ISERROR('Temp Hisfa'!B$3:B$200), "", ROW('Temp Hisfa'!B$3:B$200)-MIN(ROW('Temp Hisfa'!B$3:B$200))+1), ROW(11:209))),"")</f>
        <v>0</v>
      </c>
      <c r="C13" s="3">
        <f t="array" ref="C13">IFERROR(INDEX('Temp Hisfa'!C$3:C$200, SMALL(IF(ISERROR('Temp Hisfa'!C$3:C$200), "", ROW('Temp Hisfa'!C$3:C$200)-MIN(ROW('Temp Hisfa'!C$3:C$200))+1), ROW(11:209))),"")</f>
        <v>0</v>
      </c>
      <c r="D13" s="3">
        <f t="array" ref="D13">IFERROR(INDEX('Temp Hisfa'!D$3:D$200, SMALL(IF(ISERROR('Temp Hisfa'!D$3:D$200), "", ROW('Temp Hisfa'!D$3:D$200)-MIN(ROW('Temp Hisfa'!D$3:D$200))+1), ROW(11:209))),"")</f>
        <v>0</v>
      </c>
      <c r="E13" s="29">
        <f t="array" ref="E13">IFERROR(INDEX('Temp Hisfa'!E$3:E$200, SMALL(IF(ISERROR('Temp Hisfa'!E$3:E$200), "", ROW('Temp Hisfa'!E$3:E$200)-MIN(ROW('Temp Hisfa'!E$3:E$200))+1), ROW(11:210))),"")</f>
        <v>0</v>
      </c>
      <c r="F13" s="22" t="str">
        <f t="array" ref="F13">IFERROR(INDEX('Temp Hisfa'!F$3:F$200, SMALL(IF(ISERROR('Temp Hisfa'!F$3:F$200), "", ROW('Temp Hisfa'!F$3:F$200)-MIN(ROW('Temp Hisfa'!F$3:F$200))+1), ROW(11:210))),"")</f>
        <v/>
      </c>
      <c r="G13" s="30">
        <f t="array" ref="G13">IFERROR(INDEX('Temp Hisfa'!G$3:G$200, SMALL(IF(ISERROR('Temp Hisfa'!G$3:G$200), "", ROW('Temp Hisfa'!G$3:G$200)-MIN(ROW('Temp Hisfa'!G$3:G$200))+1), ROW(11:210))),"")</f>
        <v>0</v>
      </c>
      <c r="H13" s="22" t="str">
        <f t="array" ref="H13">IFERROR(INDEX('Temp Hisfa'!H$3:H$200, SMALL(IF(ISERROR('Temp Hisfa'!H$3:H$200), "", ROW('Temp Hisfa'!H$3:H$200)-MIN(ROW('Temp Hisfa'!H$3:H$200))+1), ROW(11:210))),"")</f>
        <v/>
      </c>
      <c r="I13" s="22">
        <f t="array" ref="I13">IFERROR(INDEX('Temp Hisfa'!I$3:I$200, SMALL(IF(ISERROR('Temp Hisfa'!I$3:I$200), "", ROW('Temp Hisfa'!I$3:I$200)-MIN(ROW('Temp Hisfa'!I$3:I$200))+1), ROW(11:210))),"")</f>
        <v>0</v>
      </c>
      <c r="J13" s="22">
        <f t="array" ref="J13">IFERROR(INDEX('Temp Hisfa'!J$3:J$200, SMALL(IF(ISERROR('Temp Hisfa'!J$3:J$200), "", ROW('Temp Hisfa'!J$3:J$200)-MIN(ROW('Temp Hisfa'!J$3:J$200))+1), ROW(11:210))),"")</f>
        <v>0</v>
      </c>
      <c r="K13" s="30">
        <f t="array" ref="K13">IFERROR(INDEX('Temp Hisfa'!K$3:K$200, SMALL(IF(ISERROR('Temp Hisfa'!K$3:K$200), "", ROW('Temp Hisfa'!K$3:K$200)-MIN(ROW('Temp Hisfa'!K$3:K$200))+1), ROW(11:210))),"")</f>
        <v>0</v>
      </c>
      <c r="L13" s="22">
        <f t="array" ref="L13">IFERROR(INDEX('Temp Hisfa'!L$3:L$200, SMALL(IF(ISERROR('Temp Hisfa'!L$3:L$200), "", ROW('Temp Hisfa'!L$3:L$200)-MIN(ROW('Temp Hisfa'!L$3:L$200))+1), ROW(11:210))),"")</f>
        <v>0</v>
      </c>
      <c r="M13" s="22">
        <f t="array" ref="M13">IFERROR(INDEX('Temp Hisfa'!M$3:M$200, SMALL(IF(ISERROR('Temp Hisfa'!M$3:M$200), "", ROW('Temp Hisfa'!M$3:M$200)-MIN(ROW('Temp Hisfa'!M$3:M$200))+1), ROW(11:210))),"")</f>
        <v>0</v>
      </c>
      <c r="N13" s="22">
        <f t="array" ref="N13">IFERROR(INDEX('Temp Hisfa'!N$3:N$200, SMALL(IF(ISERROR('Temp Hisfa'!N$3:N$200), "", ROW('Temp Hisfa'!N$3:N$200)-MIN(ROW('Temp Hisfa'!N$3:N$200))+1), ROW(11:210))),"")</f>
        <v>1900</v>
      </c>
      <c r="O13" s="22" t="str">
        <f t="array" ref="O13">IFERROR(INDEX('Temp Hisfa'!O$3:O$200, SMALL(IF(ISERROR('Temp Hisfa'!O$3:O$200), "", ROW('Temp Hisfa'!O$3:O$200)-MIN(ROW('Temp Hisfa'!O$3:O$200))+1), ROW(11:210))),"")</f>
        <v>enero</v>
      </c>
      <c r="P13" s="22">
        <f t="array" ref="P13">IFERROR(INDEX('Temp Hisfa'!P$3:P$200, SMALL(IF(ISERROR('Temp Hisfa'!P$3:P$200), "", ROW('Temp Hisfa'!P$3:P$200)-MIN(ROW('Temp Hisfa'!P$3:P$200))+1), ROW(11:210))),"")</f>
        <v>0</v>
      </c>
      <c r="Q13" s="22">
        <f t="array" ref="Q13">IFERROR(INDEX('Temp Hisfa'!Q$3:Q$200, SMALL(IF(ISERROR('Temp Hisfa'!Q$3:Q$200), "", ROW('Temp Hisfa'!Q$3:Q$200)-MIN(ROW('Temp Hisfa'!Q$3:Q$200))+1), ROW(11:210))),"")</f>
        <v>0</v>
      </c>
      <c r="R13" s="22">
        <f t="array" ref="R13">IFERROR(INDEX('Temp Hisfa'!R$3:R$200, SMALL(IF(ISERROR('Temp Hisfa'!R$3:R$200), "", ROW('Temp Hisfa'!R$3:R$200)-MIN(ROW('Temp Hisfa'!R$3:R$200))+1), ROW(11:210))),"")</f>
        <v>0</v>
      </c>
      <c r="S13" s="22">
        <f t="array" ref="S13">IFERROR(INDEX('Temp Hisfa'!S$3:S$200, SMALL(IF(ISERROR('Temp Hisfa'!S$3:S$200), "", ROW('Temp Hisfa'!S$3:S$200)-MIN(ROW('Temp Hisfa'!S$3:S$200))+1), ROW(11:210))),"")</f>
        <v>0</v>
      </c>
      <c r="T13" s="22">
        <f t="array" ref="T13">IFERROR(INDEX('Temp Hisfa'!T$3:T$200, SMALL(IF(ISERROR('Temp Hisfa'!T$3:T$200), "", ROW('Temp Hisfa'!T$3:T$200)-MIN(ROW('Temp Hisfa'!T$3:T$200))+1), ROW(11:210))),"")</f>
        <v>0</v>
      </c>
      <c r="U13" s="22">
        <f t="array" ref="U13">IFERROR(INDEX('Temp Hisfa'!U$3:U$200, SMALL(IF(ISERROR('Temp Hisfa'!U$3:U$200), "", ROW('Temp Hisfa'!U$3:U$200)-MIN(ROW('Temp Hisfa'!U$3:U$200))+1), ROW(11:210))),"")</f>
        <v>0</v>
      </c>
      <c r="V13" s="22">
        <f t="array" ref="V13">IFERROR(INDEX('Temp Hisfa'!V$3:V$200, SMALL(IF(ISERROR('Temp Hisfa'!V$3:V$200), "", ROW('Temp Hisfa'!V$3:V$200)-MIN(ROW('Temp Hisfa'!V$3:V$200))+1), ROW(11:210))),"")</f>
        <v>0</v>
      </c>
      <c r="W13" s="22">
        <f t="array" ref="W13">IFERROR(INDEX('Temp Hisfa'!W$3:W$200, SMALL(IF(ISERROR('Temp Hisfa'!W$3:W$200), "", ROW('Temp Hisfa'!W$3:W$200)-MIN(ROW('Temp Hisfa'!W$3:W$200))+1), ROW(11:210))),"")</f>
        <v>0</v>
      </c>
      <c r="X13" s="22">
        <f t="array" ref="X13">IFERROR(INDEX('Temp Hisfa'!X$3:X$200, SMALL(IF(ISERROR('Temp Hisfa'!X$3:X$200), "", ROW('Temp Hisfa'!X$3:X$200)-MIN(ROW('Temp Hisfa'!X$3:X$200))+1), ROW(11:210))),"")</f>
        <v>0</v>
      </c>
      <c r="Y13" s="22">
        <f t="array" ref="Y13">IFERROR(INDEX('Temp Hisfa'!Y$3:Y$200, SMALL(IF(ISERROR('Temp Hisfa'!Y$3:Y$200), "", ROW('Temp Hisfa'!Y$3:Y$200)-MIN(ROW('Temp Hisfa'!Y$3:Y$200))+1), ROW(11:210))),"")</f>
        <v>0</v>
      </c>
      <c r="Z13" s="22">
        <f t="array" ref="Z13">IFERROR(INDEX('Temp Hisfa'!Z$3:Z$200, SMALL(IF(ISERROR('Temp Hisfa'!Z$3:Z$200), "", ROW('Temp Hisfa'!Z$3:Z$200)-MIN(ROW('Temp Hisfa'!Z$3:Z$200))+1), ROW(11:210))),"")</f>
        <v>0</v>
      </c>
      <c r="AA13" s="22">
        <f t="array" ref="AA13">IFERROR(INDEX('Temp Hisfa'!AA$3:AA$200, SMALL(IF(ISERROR('Temp Hisfa'!AA$3:AA$200), "", ROW('Temp Hisfa'!AA$3:AA$200)-MIN(ROW('Temp Hisfa'!AA$3:AA$200))+1), ROW(11:210))),"")</f>
        <v>0</v>
      </c>
      <c r="AB13" s="22">
        <f t="array" ref="AB13">IFERROR(INDEX('Temp Hisfa'!AB$3:AB$200, SMALL(IF(ISERROR('Temp Hisfa'!AB$3:AB$200), "", ROW('Temp Hisfa'!AB$3:AB$200)-MIN(ROW('Temp Hisfa'!AB$3:AB$200))+1), ROW(11:210))),"")</f>
        <v>0</v>
      </c>
    </row>
    <row r="14" spans="1:28" x14ac:dyDescent="0.3">
      <c r="A14" s="4">
        <f t="array" ref="A14">IFERROR(INDEX('Temp Hisfa'!A$3:A$200, SMALL(IF(ISERROR('Temp Hisfa'!A$3:A$200), "", ROW('Temp Hisfa'!A$3:A$200)-MIN(ROW('Temp Hisfa'!A$3:A$200))+1), ROW(12:210))),"")</f>
        <v>0</v>
      </c>
      <c r="B14" s="4">
        <f t="array" ref="B14">IFERROR(INDEX('Temp Hisfa'!B$3:B$200, SMALL(IF(ISERROR('Temp Hisfa'!B$3:B$200), "", ROW('Temp Hisfa'!B$3:B$200)-MIN(ROW('Temp Hisfa'!B$3:B$200))+1), ROW(12:210))),"")</f>
        <v>0</v>
      </c>
      <c r="C14" s="3">
        <f t="array" ref="C14">IFERROR(INDEX('Temp Hisfa'!C$3:C$200, SMALL(IF(ISERROR('Temp Hisfa'!C$3:C$200), "", ROW('Temp Hisfa'!C$3:C$200)-MIN(ROW('Temp Hisfa'!C$3:C$200))+1), ROW(12:210))),"")</f>
        <v>0</v>
      </c>
      <c r="D14" s="3">
        <f t="array" ref="D14">IFERROR(INDEX('Temp Hisfa'!D$3:D$200, SMALL(IF(ISERROR('Temp Hisfa'!D$3:D$200), "", ROW('Temp Hisfa'!D$3:D$200)-MIN(ROW('Temp Hisfa'!D$3:D$200))+1), ROW(12:210))),"")</f>
        <v>0</v>
      </c>
      <c r="E14" s="29">
        <f t="array" ref="E14">IFERROR(INDEX('Temp Hisfa'!E$3:E$200, SMALL(IF(ISERROR('Temp Hisfa'!E$3:E$200), "", ROW('Temp Hisfa'!E$3:E$200)-MIN(ROW('Temp Hisfa'!E$3:E$200))+1), ROW(12:211))),"")</f>
        <v>0</v>
      </c>
      <c r="F14" s="22" t="str">
        <f t="array" ref="F14">IFERROR(INDEX('Temp Hisfa'!F$3:F$200, SMALL(IF(ISERROR('Temp Hisfa'!F$3:F$200), "", ROW('Temp Hisfa'!F$3:F$200)-MIN(ROW('Temp Hisfa'!F$3:F$200))+1), ROW(12:211))),"")</f>
        <v/>
      </c>
      <c r="G14" s="30">
        <f t="array" ref="G14">IFERROR(INDEX('Temp Hisfa'!G$3:G$200, SMALL(IF(ISERROR('Temp Hisfa'!G$3:G$200), "", ROW('Temp Hisfa'!G$3:G$200)-MIN(ROW('Temp Hisfa'!G$3:G$200))+1), ROW(12:211))),"")</f>
        <v>0</v>
      </c>
      <c r="H14" s="22" t="str">
        <f t="array" ref="H14">IFERROR(INDEX('Temp Hisfa'!H$3:H$200, SMALL(IF(ISERROR('Temp Hisfa'!H$3:H$200), "", ROW('Temp Hisfa'!H$3:H$200)-MIN(ROW('Temp Hisfa'!H$3:H$200))+1), ROW(12:211))),"")</f>
        <v/>
      </c>
      <c r="I14" s="22">
        <f t="array" ref="I14">IFERROR(INDEX('Temp Hisfa'!I$3:I$200, SMALL(IF(ISERROR('Temp Hisfa'!I$3:I$200), "", ROW('Temp Hisfa'!I$3:I$200)-MIN(ROW('Temp Hisfa'!I$3:I$200))+1), ROW(12:211))),"")</f>
        <v>0</v>
      </c>
      <c r="J14" s="22">
        <f t="array" ref="J14">IFERROR(INDEX('Temp Hisfa'!J$3:J$200, SMALL(IF(ISERROR('Temp Hisfa'!J$3:J$200), "", ROW('Temp Hisfa'!J$3:J$200)-MIN(ROW('Temp Hisfa'!J$3:J$200))+1), ROW(12:211))),"")</f>
        <v>0</v>
      </c>
      <c r="K14" s="30">
        <f t="array" ref="K14">IFERROR(INDEX('Temp Hisfa'!K$3:K$200, SMALL(IF(ISERROR('Temp Hisfa'!K$3:K$200), "", ROW('Temp Hisfa'!K$3:K$200)-MIN(ROW('Temp Hisfa'!K$3:K$200))+1), ROW(12:211))),"")</f>
        <v>0</v>
      </c>
      <c r="L14" s="22">
        <f t="array" ref="L14">IFERROR(INDEX('Temp Hisfa'!L$3:L$200, SMALL(IF(ISERROR('Temp Hisfa'!L$3:L$200), "", ROW('Temp Hisfa'!L$3:L$200)-MIN(ROW('Temp Hisfa'!L$3:L$200))+1), ROW(12:211))),"")</f>
        <v>0</v>
      </c>
      <c r="M14" s="22">
        <f t="array" ref="M14">IFERROR(INDEX('Temp Hisfa'!M$3:M$200, SMALL(IF(ISERROR('Temp Hisfa'!M$3:M$200), "", ROW('Temp Hisfa'!M$3:M$200)-MIN(ROW('Temp Hisfa'!M$3:M$200))+1), ROW(12:211))),"")</f>
        <v>0</v>
      </c>
      <c r="N14" s="22">
        <f t="array" ref="N14">IFERROR(INDEX('Temp Hisfa'!N$3:N$200, SMALL(IF(ISERROR('Temp Hisfa'!N$3:N$200), "", ROW('Temp Hisfa'!N$3:N$200)-MIN(ROW('Temp Hisfa'!N$3:N$200))+1), ROW(12:211))),"")</f>
        <v>1900</v>
      </c>
      <c r="O14" s="22" t="str">
        <f t="array" ref="O14">IFERROR(INDEX('Temp Hisfa'!O$3:O$200, SMALL(IF(ISERROR('Temp Hisfa'!O$3:O$200), "", ROW('Temp Hisfa'!O$3:O$200)-MIN(ROW('Temp Hisfa'!O$3:O$200))+1), ROW(12:211))),"")</f>
        <v>enero</v>
      </c>
      <c r="P14" s="22">
        <f t="array" ref="P14">IFERROR(INDEX('Temp Hisfa'!P$3:P$200, SMALL(IF(ISERROR('Temp Hisfa'!P$3:P$200), "", ROW('Temp Hisfa'!P$3:P$200)-MIN(ROW('Temp Hisfa'!P$3:P$200))+1), ROW(12:211))),"")</f>
        <v>0</v>
      </c>
      <c r="Q14" s="22">
        <f t="array" ref="Q14">IFERROR(INDEX('Temp Hisfa'!Q$3:Q$200, SMALL(IF(ISERROR('Temp Hisfa'!Q$3:Q$200), "", ROW('Temp Hisfa'!Q$3:Q$200)-MIN(ROW('Temp Hisfa'!Q$3:Q$200))+1), ROW(12:211))),"")</f>
        <v>0</v>
      </c>
      <c r="R14" s="22">
        <f t="array" ref="R14">IFERROR(INDEX('Temp Hisfa'!R$3:R$200, SMALL(IF(ISERROR('Temp Hisfa'!R$3:R$200), "", ROW('Temp Hisfa'!R$3:R$200)-MIN(ROW('Temp Hisfa'!R$3:R$200))+1), ROW(12:211))),"")</f>
        <v>0</v>
      </c>
      <c r="S14" s="22">
        <f t="array" ref="S14">IFERROR(INDEX('Temp Hisfa'!S$3:S$200, SMALL(IF(ISERROR('Temp Hisfa'!S$3:S$200), "", ROW('Temp Hisfa'!S$3:S$200)-MIN(ROW('Temp Hisfa'!S$3:S$200))+1), ROW(12:211))),"")</f>
        <v>0</v>
      </c>
      <c r="T14" s="22">
        <f t="array" ref="T14">IFERROR(INDEX('Temp Hisfa'!T$3:T$200, SMALL(IF(ISERROR('Temp Hisfa'!T$3:T$200), "", ROW('Temp Hisfa'!T$3:T$200)-MIN(ROW('Temp Hisfa'!T$3:T$200))+1), ROW(12:211))),"")</f>
        <v>0</v>
      </c>
      <c r="U14" s="22">
        <f t="array" ref="U14">IFERROR(INDEX('Temp Hisfa'!U$3:U$200, SMALL(IF(ISERROR('Temp Hisfa'!U$3:U$200), "", ROW('Temp Hisfa'!U$3:U$200)-MIN(ROW('Temp Hisfa'!U$3:U$200))+1), ROW(12:211))),"")</f>
        <v>0</v>
      </c>
      <c r="V14" s="22">
        <f t="array" ref="V14">IFERROR(INDEX('Temp Hisfa'!V$3:V$200, SMALL(IF(ISERROR('Temp Hisfa'!V$3:V$200), "", ROW('Temp Hisfa'!V$3:V$200)-MIN(ROW('Temp Hisfa'!V$3:V$200))+1), ROW(12:211))),"")</f>
        <v>0</v>
      </c>
      <c r="W14" s="22">
        <f t="array" ref="W14">IFERROR(INDEX('Temp Hisfa'!W$3:W$200, SMALL(IF(ISERROR('Temp Hisfa'!W$3:W$200), "", ROW('Temp Hisfa'!W$3:W$200)-MIN(ROW('Temp Hisfa'!W$3:W$200))+1), ROW(12:211))),"")</f>
        <v>0</v>
      </c>
      <c r="X14" s="22">
        <f t="array" ref="X14">IFERROR(INDEX('Temp Hisfa'!X$3:X$200, SMALL(IF(ISERROR('Temp Hisfa'!X$3:X$200), "", ROW('Temp Hisfa'!X$3:X$200)-MIN(ROW('Temp Hisfa'!X$3:X$200))+1), ROW(12:211))),"")</f>
        <v>0</v>
      </c>
      <c r="Y14" s="22">
        <f t="array" ref="Y14">IFERROR(INDEX('Temp Hisfa'!Y$3:Y$200, SMALL(IF(ISERROR('Temp Hisfa'!Y$3:Y$200), "", ROW('Temp Hisfa'!Y$3:Y$200)-MIN(ROW('Temp Hisfa'!Y$3:Y$200))+1), ROW(12:211))),"")</f>
        <v>0</v>
      </c>
      <c r="Z14" s="22">
        <f t="array" ref="Z14">IFERROR(INDEX('Temp Hisfa'!Z$3:Z$200, SMALL(IF(ISERROR('Temp Hisfa'!Z$3:Z$200), "", ROW('Temp Hisfa'!Z$3:Z$200)-MIN(ROW('Temp Hisfa'!Z$3:Z$200))+1), ROW(12:211))),"")</f>
        <v>0</v>
      </c>
      <c r="AA14" s="22">
        <f t="array" ref="AA14">IFERROR(INDEX('Temp Hisfa'!AA$3:AA$200, SMALL(IF(ISERROR('Temp Hisfa'!AA$3:AA$200), "", ROW('Temp Hisfa'!AA$3:AA$200)-MIN(ROW('Temp Hisfa'!AA$3:AA$200))+1), ROW(12:211))),"")</f>
        <v>0</v>
      </c>
      <c r="AB14" s="22">
        <f t="array" ref="AB14">IFERROR(INDEX('Temp Hisfa'!AB$3:AB$200, SMALL(IF(ISERROR('Temp Hisfa'!AB$3:AB$200), "", ROW('Temp Hisfa'!AB$3:AB$200)-MIN(ROW('Temp Hisfa'!AB$3:AB$200))+1), ROW(12:211))),"")</f>
        <v>0</v>
      </c>
    </row>
    <row r="15" spans="1:28" x14ac:dyDescent="0.3">
      <c r="A15" s="4">
        <f t="array" ref="A15">IFERROR(INDEX('Temp Hisfa'!A$3:A$200, SMALL(IF(ISERROR('Temp Hisfa'!A$3:A$200), "", ROW('Temp Hisfa'!A$3:A$200)-MIN(ROW('Temp Hisfa'!A$3:A$200))+1), ROW(13:211))),"")</f>
        <v>0</v>
      </c>
      <c r="B15" s="4">
        <f t="array" ref="B15">IFERROR(INDEX('Temp Hisfa'!B$3:B$200, SMALL(IF(ISERROR('Temp Hisfa'!B$3:B$200), "", ROW('Temp Hisfa'!B$3:B$200)-MIN(ROW('Temp Hisfa'!B$3:B$200))+1), ROW(13:211))),"")</f>
        <v>0</v>
      </c>
      <c r="C15" s="3">
        <f t="array" ref="C15">IFERROR(INDEX('Temp Hisfa'!C$3:C$200, SMALL(IF(ISERROR('Temp Hisfa'!C$3:C$200), "", ROW('Temp Hisfa'!C$3:C$200)-MIN(ROW('Temp Hisfa'!C$3:C$200))+1), ROW(13:211))),"")</f>
        <v>0</v>
      </c>
      <c r="D15" s="3">
        <f t="array" ref="D15">IFERROR(INDEX('Temp Hisfa'!D$3:D$200, SMALL(IF(ISERROR('Temp Hisfa'!D$3:D$200), "", ROW('Temp Hisfa'!D$3:D$200)-MIN(ROW('Temp Hisfa'!D$3:D$200))+1), ROW(13:211))),"")</f>
        <v>0</v>
      </c>
      <c r="E15" s="29">
        <f t="array" ref="E15">IFERROR(INDEX('Temp Hisfa'!E$3:E$200, SMALL(IF(ISERROR('Temp Hisfa'!E$3:E$200), "", ROW('Temp Hisfa'!E$3:E$200)-MIN(ROW('Temp Hisfa'!E$3:E$200))+1), ROW(13:212))),"")</f>
        <v>0</v>
      </c>
      <c r="F15" s="22" t="str">
        <f t="array" ref="F15">IFERROR(INDEX('Temp Hisfa'!F$3:F$200, SMALL(IF(ISERROR('Temp Hisfa'!F$3:F$200), "", ROW('Temp Hisfa'!F$3:F$200)-MIN(ROW('Temp Hisfa'!F$3:F$200))+1), ROW(13:212))),"")</f>
        <v/>
      </c>
      <c r="G15" s="30">
        <f t="array" ref="G15">IFERROR(INDEX('Temp Hisfa'!G$3:G$200, SMALL(IF(ISERROR('Temp Hisfa'!G$3:G$200), "", ROW('Temp Hisfa'!G$3:G$200)-MIN(ROW('Temp Hisfa'!G$3:G$200))+1), ROW(13:212))),"")</f>
        <v>0</v>
      </c>
      <c r="H15" s="22" t="str">
        <f t="array" ref="H15">IFERROR(INDEX('Temp Hisfa'!H$3:H$200, SMALL(IF(ISERROR('Temp Hisfa'!H$3:H$200), "", ROW('Temp Hisfa'!H$3:H$200)-MIN(ROW('Temp Hisfa'!H$3:H$200))+1), ROW(13:212))),"")</f>
        <v/>
      </c>
      <c r="I15" s="22">
        <f t="array" ref="I15">IFERROR(INDEX('Temp Hisfa'!I$3:I$200, SMALL(IF(ISERROR('Temp Hisfa'!I$3:I$200), "", ROW('Temp Hisfa'!I$3:I$200)-MIN(ROW('Temp Hisfa'!I$3:I$200))+1), ROW(13:212))),"")</f>
        <v>0</v>
      </c>
      <c r="J15" s="22">
        <f t="array" ref="J15">IFERROR(INDEX('Temp Hisfa'!J$3:J$200, SMALL(IF(ISERROR('Temp Hisfa'!J$3:J$200), "", ROW('Temp Hisfa'!J$3:J$200)-MIN(ROW('Temp Hisfa'!J$3:J$200))+1), ROW(13:212))),"")</f>
        <v>0</v>
      </c>
      <c r="K15" s="30">
        <f t="array" ref="K15">IFERROR(INDEX('Temp Hisfa'!K$3:K$200, SMALL(IF(ISERROR('Temp Hisfa'!K$3:K$200), "", ROW('Temp Hisfa'!K$3:K$200)-MIN(ROW('Temp Hisfa'!K$3:K$200))+1), ROW(13:212))),"")</f>
        <v>0</v>
      </c>
      <c r="L15" s="22">
        <f t="array" ref="L15">IFERROR(INDEX('Temp Hisfa'!L$3:L$200, SMALL(IF(ISERROR('Temp Hisfa'!L$3:L$200), "", ROW('Temp Hisfa'!L$3:L$200)-MIN(ROW('Temp Hisfa'!L$3:L$200))+1), ROW(13:212))),"")</f>
        <v>0</v>
      </c>
      <c r="M15" s="22">
        <f t="array" ref="M15">IFERROR(INDEX('Temp Hisfa'!M$3:M$200, SMALL(IF(ISERROR('Temp Hisfa'!M$3:M$200), "", ROW('Temp Hisfa'!M$3:M$200)-MIN(ROW('Temp Hisfa'!M$3:M$200))+1), ROW(13:212))),"")</f>
        <v>0</v>
      </c>
      <c r="N15" s="22">
        <f t="array" ref="N15">IFERROR(INDEX('Temp Hisfa'!N$3:N$200, SMALL(IF(ISERROR('Temp Hisfa'!N$3:N$200), "", ROW('Temp Hisfa'!N$3:N$200)-MIN(ROW('Temp Hisfa'!N$3:N$200))+1), ROW(13:212))),"")</f>
        <v>1900</v>
      </c>
      <c r="O15" s="22" t="str">
        <f t="array" ref="O15">IFERROR(INDEX('Temp Hisfa'!O$3:O$200, SMALL(IF(ISERROR('Temp Hisfa'!O$3:O$200), "", ROW('Temp Hisfa'!O$3:O$200)-MIN(ROW('Temp Hisfa'!O$3:O$200))+1), ROW(13:212))),"")</f>
        <v>enero</v>
      </c>
      <c r="P15" s="22">
        <f t="array" ref="P15">IFERROR(INDEX('Temp Hisfa'!P$3:P$200, SMALL(IF(ISERROR('Temp Hisfa'!P$3:P$200), "", ROW('Temp Hisfa'!P$3:P$200)-MIN(ROW('Temp Hisfa'!P$3:P$200))+1), ROW(13:212))),"")</f>
        <v>0</v>
      </c>
      <c r="Q15" s="22">
        <f t="array" ref="Q15">IFERROR(INDEX('Temp Hisfa'!Q$3:Q$200, SMALL(IF(ISERROR('Temp Hisfa'!Q$3:Q$200), "", ROW('Temp Hisfa'!Q$3:Q$200)-MIN(ROW('Temp Hisfa'!Q$3:Q$200))+1), ROW(13:212))),"")</f>
        <v>0</v>
      </c>
      <c r="R15" s="22">
        <f t="array" ref="R15">IFERROR(INDEX('Temp Hisfa'!R$3:R$200, SMALL(IF(ISERROR('Temp Hisfa'!R$3:R$200), "", ROW('Temp Hisfa'!R$3:R$200)-MIN(ROW('Temp Hisfa'!R$3:R$200))+1), ROW(13:212))),"")</f>
        <v>0</v>
      </c>
      <c r="S15" s="22">
        <f t="array" ref="S15">IFERROR(INDEX('Temp Hisfa'!S$3:S$200, SMALL(IF(ISERROR('Temp Hisfa'!S$3:S$200), "", ROW('Temp Hisfa'!S$3:S$200)-MIN(ROW('Temp Hisfa'!S$3:S$200))+1), ROW(13:212))),"")</f>
        <v>0</v>
      </c>
      <c r="T15" s="22">
        <f t="array" ref="T15">IFERROR(INDEX('Temp Hisfa'!T$3:T$200, SMALL(IF(ISERROR('Temp Hisfa'!T$3:T$200), "", ROW('Temp Hisfa'!T$3:T$200)-MIN(ROW('Temp Hisfa'!T$3:T$200))+1), ROW(13:212))),"")</f>
        <v>0</v>
      </c>
      <c r="U15" s="22">
        <f t="array" ref="U15">IFERROR(INDEX('Temp Hisfa'!U$3:U$200, SMALL(IF(ISERROR('Temp Hisfa'!U$3:U$200), "", ROW('Temp Hisfa'!U$3:U$200)-MIN(ROW('Temp Hisfa'!U$3:U$200))+1), ROW(13:212))),"")</f>
        <v>0</v>
      </c>
      <c r="V15" s="22">
        <f t="array" ref="V15">IFERROR(INDEX('Temp Hisfa'!V$3:V$200, SMALL(IF(ISERROR('Temp Hisfa'!V$3:V$200), "", ROW('Temp Hisfa'!V$3:V$200)-MIN(ROW('Temp Hisfa'!V$3:V$200))+1), ROW(13:212))),"")</f>
        <v>0</v>
      </c>
      <c r="W15" s="22">
        <f t="array" ref="W15">IFERROR(INDEX('Temp Hisfa'!W$3:W$200, SMALL(IF(ISERROR('Temp Hisfa'!W$3:W$200), "", ROW('Temp Hisfa'!W$3:W$200)-MIN(ROW('Temp Hisfa'!W$3:W$200))+1), ROW(13:212))),"")</f>
        <v>0</v>
      </c>
      <c r="X15" s="22">
        <f t="array" ref="X15">IFERROR(INDEX('Temp Hisfa'!X$3:X$200, SMALL(IF(ISERROR('Temp Hisfa'!X$3:X$200), "", ROW('Temp Hisfa'!X$3:X$200)-MIN(ROW('Temp Hisfa'!X$3:X$200))+1), ROW(13:212))),"")</f>
        <v>0</v>
      </c>
      <c r="Y15" s="22">
        <f t="array" ref="Y15">IFERROR(INDEX('Temp Hisfa'!Y$3:Y$200, SMALL(IF(ISERROR('Temp Hisfa'!Y$3:Y$200), "", ROW('Temp Hisfa'!Y$3:Y$200)-MIN(ROW('Temp Hisfa'!Y$3:Y$200))+1), ROW(13:212))),"")</f>
        <v>0</v>
      </c>
      <c r="Z15" s="22">
        <f t="array" ref="Z15">IFERROR(INDEX('Temp Hisfa'!Z$3:Z$200, SMALL(IF(ISERROR('Temp Hisfa'!Z$3:Z$200), "", ROW('Temp Hisfa'!Z$3:Z$200)-MIN(ROW('Temp Hisfa'!Z$3:Z$200))+1), ROW(13:212))),"")</f>
        <v>0</v>
      </c>
      <c r="AA15" s="22">
        <f t="array" ref="AA15">IFERROR(INDEX('Temp Hisfa'!AA$3:AA$200, SMALL(IF(ISERROR('Temp Hisfa'!AA$3:AA$200), "", ROW('Temp Hisfa'!AA$3:AA$200)-MIN(ROW('Temp Hisfa'!AA$3:AA$200))+1), ROW(13:212))),"")</f>
        <v>0</v>
      </c>
      <c r="AB15" s="22">
        <f t="array" ref="AB15">IFERROR(INDEX('Temp Hisfa'!AB$3:AB$200, SMALL(IF(ISERROR('Temp Hisfa'!AB$3:AB$200), "", ROW('Temp Hisfa'!AB$3:AB$200)-MIN(ROW('Temp Hisfa'!AB$3:AB$200))+1), ROW(13:212))),"")</f>
        <v>0</v>
      </c>
    </row>
    <row r="16" spans="1:28" x14ac:dyDescent="0.3">
      <c r="A16" s="4">
        <f t="array" ref="A16">IFERROR(INDEX('Temp Hisfa'!A$3:A$200, SMALL(IF(ISERROR('Temp Hisfa'!A$3:A$200), "", ROW('Temp Hisfa'!A$3:A$200)-MIN(ROW('Temp Hisfa'!A$3:A$200))+1), ROW(14:212))),"")</f>
        <v>0</v>
      </c>
      <c r="B16" s="4">
        <f t="array" ref="B16">IFERROR(INDEX('Temp Hisfa'!B$3:B$200, SMALL(IF(ISERROR('Temp Hisfa'!B$3:B$200), "", ROW('Temp Hisfa'!B$3:B$200)-MIN(ROW('Temp Hisfa'!B$3:B$200))+1), ROW(14:212))),"")</f>
        <v>0</v>
      </c>
      <c r="C16" s="3">
        <f t="array" ref="C16">IFERROR(INDEX('Temp Hisfa'!C$3:C$200, SMALL(IF(ISERROR('Temp Hisfa'!C$3:C$200), "", ROW('Temp Hisfa'!C$3:C$200)-MIN(ROW('Temp Hisfa'!C$3:C$200))+1), ROW(14:212))),"")</f>
        <v>0</v>
      </c>
      <c r="D16" s="3">
        <f t="array" ref="D16">IFERROR(INDEX('Temp Hisfa'!D$3:D$200, SMALL(IF(ISERROR('Temp Hisfa'!D$3:D$200), "", ROW('Temp Hisfa'!D$3:D$200)-MIN(ROW('Temp Hisfa'!D$3:D$200))+1), ROW(14:212))),"")</f>
        <v>0</v>
      </c>
      <c r="E16" s="29">
        <f t="array" ref="E16">IFERROR(INDEX('Temp Hisfa'!E$3:E$200, SMALL(IF(ISERROR('Temp Hisfa'!E$3:E$200), "", ROW('Temp Hisfa'!E$3:E$200)-MIN(ROW('Temp Hisfa'!E$3:E$200))+1), ROW(14:213))),"")</f>
        <v>0</v>
      </c>
      <c r="F16" s="22" t="str">
        <f t="array" ref="F16">IFERROR(INDEX('Temp Hisfa'!F$3:F$200, SMALL(IF(ISERROR('Temp Hisfa'!F$3:F$200), "", ROW('Temp Hisfa'!F$3:F$200)-MIN(ROW('Temp Hisfa'!F$3:F$200))+1), ROW(14:213))),"")</f>
        <v/>
      </c>
      <c r="G16" s="30">
        <f t="array" ref="G16">IFERROR(INDEX('Temp Hisfa'!G$3:G$200, SMALL(IF(ISERROR('Temp Hisfa'!G$3:G$200), "", ROW('Temp Hisfa'!G$3:G$200)-MIN(ROW('Temp Hisfa'!G$3:G$200))+1), ROW(14:213))),"")</f>
        <v>0</v>
      </c>
      <c r="H16" s="22" t="str">
        <f t="array" ref="H16">IFERROR(INDEX('Temp Hisfa'!H$3:H$200, SMALL(IF(ISERROR('Temp Hisfa'!H$3:H$200), "", ROW('Temp Hisfa'!H$3:H$200)-MIN(ROW('Temp Hisfa'!H$3:H$200))+1), ROW(14:213))),"")</f>
        <v/>
      </c>
      <c r="I16" s="22">
        <f t="array" ref="I16">IFERROR(INDEX('Temp Hisfa'!I$3:I$200, SMALL(IF(ISERROR('Temp Hisfa'!I$3:I$200), "", ROW('Temp Hisfa'!I$3:I$200)-MIN(ROW('Temp Hisfa'!I$3:I$200))+1), ROW(14:213))),"")</f>
        <v>0</v>
      </c>
      <c r="J16" s="22">
        <f t="array" ref="J16">IFERROR(INDEX('Temp Hisfa'!J$3:J$200, SMALL(IF(ISERROR('Temp Hisfa'!J$3:J$200), "", ROW('Temp Hisfa'!J$3:J$200)-MIN(ROW('Temp Hisfa'!J$3:J$200))+1), ROW(14:213))),"")</f>
        <v>0</v>
      </c>
      <c r="K16" s="30">
        <f t="array" ref="K16">IFERROR(INDEX('Temp Hisfa'!K$3:K$200, SMALL(IF(ISERROR('Temp Hisfa'!K$3:K$200), "", ROW('Temp Hisfa'!K$3:K$200)-MIN(ROW('Temp Hisfa'!K$3:K$200))+1), ROW(14:213))),"")</f>
        <v>0</v>
      </c>
      <c r="L16" s="22">
        <f t="array" ref="L16">IFERROR(INDEX('Temp Hisfa'!L$3:L$200, SMALL(IF(ISERROR('Temp Hisfa'!L$3:L$200), "", ROW('Temp Hisfa'!L$3:L$200)-MIN(ROW('Temp Hisfa'!L$3:L$200))+1), ROW(14:213))),"")</f>
        <v>0</v>
      </c>
      <c r="M16" s="22">
        <f t="array" ref="M16">IFERROR(INDEX('Temp Hisfa'!M$3:M$200, SMALL(IF(ISERROR('Temp Hisfa'!M$3:M$200), "", ROW('Temp Hisfa'!M$3:M$200)-MIN(ROW('Temp Hisfa'!M$3:M$200))+1), ROW(14:213))),"")</f>
        <v>0</v>
      </c>
      <c r="N16" s="22">
        <f t="array" ref="N16">IFERROR(INDEX('Temp Hisfa'!N$3:N$200, SMALL(IF(ISERROR('Temp Hisfa'!N$3:N$200), "", ROW('Temp Hisfa'!N$3:N$200)-MIN(ROW('Temp Hisfa'!N$3:N$200))+1), ROW(14:213))),"")</f>
        <v>1900</v>
      </c>
      <c r="O16" s="22" t="str">
        <f t="array" ref="O16">IFERROR(INDEX('Temp Hisfa'!O$3:O$200, SMALL(IF(ISERROR('Temp Hisfa'!O$3:O$200), "", ROW('Temp Hisfa'!O$3:O$200)-MIN(ROW('Temp Hisfa'!O$3:O$200))+1), ROW(14:213))),"")</f>
        <v>enero</v>
      </c>
      <c r="P16" s="22">
        <f t="array" ref="P16">IFERROR(INDEX('Temp Hisfa'!P$3:P$200, SMALL(IF(ISERROR('Temp Hisfa'!P$3:P$200), "", ROW('Temp Hisfa'!P$3:P$200)-MIN(ROW('Temp Hisfa'!P$3:P$200))+1), ROW(14:213))),"")</f>
        <v>0</v>
      </c>
      <c r="Q16" s="22">
        <f t="array" ref="Q16">IFERROR(INDEX('Temp Hisfa'!Q$3:Q$200, SMALL(IF(ISERROR('Temp Hisfa'!Q$3:Q$200), "", ROW('Temp Hisfa'!Q$3:Q$200)-MIN(ROW('Temp Hisfa'!Q$3:Q$200))+1), ROW(14:213))),"")</f>
        <v>0</v>
      </c>
      <c r="R16" s="22">
        <f t="array" ref="R16">IFERROR(INDEX('Temp Hisfa'!R$3:R$200, SMALL(IF(ISERROR('Temp Hisfa'!R$3:R$200), "", ROW('Temp Hisfa'!R$3:R$200)-MIN(ROW('Temp Hisfa'!R$3:R$200))+1), ROW(14:213))),"")</f>
        <v>0</v>
      </c>
      <c r="S16" s="22">
        <f t="array" ref="S16">IFERROR(INDEX('Temp Hisfa'!S$3:S$200, SMALL(IF(ISERROR('Temp Hisfa'!S$3:S$200), "", ROW('Temp Hisfa'!S$3:S$200)-MIN(ROW('Temp Hisfa'!S$3:S$200))+1), ROW(14:213))),"")</f>
        <v>0</v>
      </c>
      <c r="T16" s="22">
        <f t="array" ref="T16">IFERROR(INDEX('Temp Hisfa'!T$3:T$200, SMALL(IF(ISERROR('Temp Hisfa'!T$3:T$200), "", ROW('Temp Hisfa'!T$3:T$200)-MIN(ROW('Temp Hisfa'!T$3:T$200))+1), ROW(14:213))),"")</f>
        <v>0</v>
      </c>
      <c r="U16" s="22">
        <f t="array" ref="U16">IFERROR(INDEX('Temp Hisfa'!U$3:U$200, SMALL(IF(ISERROR('Temp Hisfa'!U$3:U$200), "", ROW('Temp Hisfa'!U$3:U$200)-MIN(ROW('Temp Hisfa'!U$3:U$200))+1), ROW(14:213))),"")</f>
        <v>0</v>
      </c>
      <c r="V16" s="22">
        <f t="array" ref="V16">IFERROR(INDEX('Temp Hisfa'!V$3:V$200, SMALL(IF(ISERROR('Temp Hisfa'!V$3:V$200), "", ROW('Temp Hisfa'!V$3:V$200)-MIN(ROW('Temp Hisfa'!V$3:V$200))+1), ROW(14:213))),"")</f>
        <v>0</v>
      </c>
      <c r="W16" s="22">
        <f t="array" ref="W16">IFERROR(INDEX('Temp Hisfa'!W$3:W$200, SMALL(IF(ISERROR('Temp Hisfa'!W$3:W$200), "", ROW('Temp Hisfa'!W$3:W$200)-MIN(ROW('Temp Hisfa'!W$3:W$200))+1), ROW(14:213))),"")</f>
        <v>0</v>
      </c>
      <c r="X16" s="22">
        <f t="array" ref="X16">IFERROR(INDEX('Temp Hisfa'!X$3:X$200, SMALL(IF(ISERROR('Temp Hisfa'!X$3:X$200), "", ROW('Temp Hisfa'!X$3:X$200)-MIN(ROW('Temp Hisfa'!X$3:X$200))+1), ROW(14:213))),"")</f>
        <v>0</v>
      </c>
      <c r="Y16" s="22">
        <f t="array" ref="Y16">IFERROR(INDEX('Temp Hisfa'!Y$3:Y$200, SMALL(IF(ISERROR('Temp Hisfa'!Y$3:Y$200), "", ROW('Temp Hisfa'!Y$3:Y$200)-MIN(ROW('Temp Hisfa'!Y$3:Y$200))+1), ROW(14:213))),"")</f>
        <v>0</v>
      </c>
      <c r="Z16" s="22">
        <f t="array" ref="Z16">IFERROR(INDEX('Temp Hisfa'!Z$3:Z$200, SMALL(IF(ISERROR('Temp Hisfa'!Z$3:Z$200), "", ROW('Temp Hisfa'!Z$3:Z$200)-MIN(ROW('Temp Hisfa'!Z$3:Z$200))+1), ROW(14:213))),"")</f>
        <v>0</v>
      </c>
      <c r="AA16" s="22">
        <f t="array" ref="AA16">IFERROR(INDEX('Temp Hisfa'!AA$3:AA$200, SMALL(IF(ISERROR('Temp Hisfa'!AA$3:AA$200), "", ROW('Temp Hisfa'!AA$3:AA$200)-MIN(ROW('Temp Hisfa'!AA$3:AA$200))+1), ROW(14:213))),"")</f>
        <v>0</v>
      </c>
      <c r="AB16" s="22">
        <f t="array" ref="AB16">IFERROR(INDEX('Temp Hisfa'!AB$3:AB$200, SMALL(IF(ISERROR('Temp Hisfa'!AB$3:AB$200), "", ROW('Temp Hisfa'!AB$3:AB$200)-MIN(ROW('Temp Hisfa'!AB$3:AB$200))+1), ROW(14:213))),"")</f>
        <v>0</v>
      </c>
    </row>
    <row r="17" spans="1:28" x14ac:dyDescent="0.3">
      <c r="A17" s="4">
        <f t="array" ref="A17">IFERROR(INDEX('Temp Hisfa'!A$3:A$200, SMALL(IF(ISERROR('Temp Hisfa'!A$3:A$200), "", ROW('Temp Hisfa'!A$3:A$200)-MIN(ROW('Temp Hisfa'!A$3:A$200))+1), ROW(15:213))),"")</f>
        <v>0</v>
      </c>
      <c r="B17" s="4">
        <f t="array" ref="B17">IFERROR(INDEX('Temp Hisfa'!B$3:B$200, SMALL(IF(ISERROR('Temp Hisfa'!B$3:B$200), "", ROW('Temp Hisfa'!B$3:B$200)-MIN(ROW('Temp Hisfa'!B$3:B$200))+1), ROW(15:213))),"")</f>
        <v>0</v>
      </c>
      <c r="C17" s="3">
        <f t="array" ref="C17">IFERROR(INDEX('Temp Hisfa'!C$3:C$200, SMALL(IF(ISERROR('Temp Hisfa'!C$3:C$200), "", ROW('Temp Hisfa'!C$3:C$200)-MIN(ROW('Temp Hisfa'!C$3:C$200))+1), ROW(15:213))),"")</f>
        <v>0</v>
      </c>
      <c r="D17" s="3">
        <f t="array" ref="D17">IFERROR(INDEX('Temp Hisfa'!D$3:D$200, SMALL(IF(ISERROR('Temp Hisfa'!D$3:D$200), "", ROW('Temp Hisfa'!D$3:D$200)-MIN(ROW('Temp Hisfa'!D$3:D$200))+1), ROW(15:213))),"")</f>
        <v>0</v>
      </c>
      <c r="E17" s="29">
        <f t="array" ref="E17">IFERROR(INDEX('Temp Hisfa'!E$3:E$200, SMALL(IF(ISERROR('Temp Hisfa'!E$3:E$200), "", ROW('Temp Hisfa'!E$3:E$200)-MIN(ROW('Temp Hisfa'!E$3:E$200))+1), ROW(15:214))),"")</f>
        <v>0</v>
      </c>
      <c r="F17" s="22" t="str">
        <f t="array" ref="F17">IFERROR(INDEX('Temp Hisfa'!F$3:F$200, SMALL(IF(ISERROR('Temp Hisfa'!F$3:F$200), "", ROW('Temp Hisfa'!F$3:F$200)-MIN(ROW('Temp Hisfa'!F$3:F$200))+1), ROW(15:214))),"")</f>
        <v/>
      </c>
      <c r="G17" s="30">
        <f t="array" ref="G17">IFERROR(INDEX('Temp Hisfa'!G$3:G$200, SMALL(IF(ISERROR('Temp Hisfa'!G$3:G$200), "", ROW('Temp Hisfa'!G$3:G$200)-MIN(ROW('Temp Hisfa'!G$3:G$200))+1), ROW(15:214))),"")</f>
        <v>0</v>
      </c>
      <c r="H17" s="22" t="str">
        <f t="array" ref="H17">IFERROR(INDEX('Temp Hisfa'!H$3:H$200, SMALL(IF(ISERROR('Temp Hisfa'!H$3:H$200), "", ROW('Temp Hisfa'!H$3:H$200)-MIN(ROW('Temp Hisfa'!H$3:H$200))+1), ROW(15:214))),"")</f>
        <v/>
      </c>
      <c r="I17" s="22">
        <f t="array" ref="I17">IFERROR(INDEX('Temp Hisfa'!I$3:I$200, SMALL(IF(ISERROR('Temp Hisfa'!I$3:I$200), "", ROW('Temp Hisfa'!I$3:I$200)-MIN(ROW('Temp Hisfa'!I$3:I$200))+1), ROW(15:214))),"")</f>
        <v>0</v>
      </c>
      <c r="J17" s="22">
        <f t="array" ref="J17">IFERROR(INDEX('Temp Hisfa'!J$3:J$200, SMALL(IF(ISERROR('Temp Hisfa'!J$3:J$200), "", ROW('Temp Hisfa'!J$3:J$200)-MIN(ROW('Temp Hisfa'!J$3:J$200))+1), ROW(15:214))),"")</f>
        <v>0</v>
      </c>
      <c r="K17" s="30">
        <f t="array" ref="K17">IFERROR(INDEX('Temp Hisfa'!K$3:K$200, SMALL(IF(ISERROR('Temp Hisfa'!K$3:K$200), "", ROW('Temp Hisfa'!K$3:K$200)-MIN(ROW('Temp Hisfa'!K$3:K$200))+1), ROW(15:214))),"")</f>
        <v>0</v>
      </c>
      <c r="L17" s="22">
        <f t="array" ref="L17">IFERROR(INDEX('Temp Hisfa'!L$3:L$200, SMALL(IF(ISERROR('Temp Hisfa'!L$3:L$200), "", ROW('Temp Hisfa'!L$3:L$200)-MIN(ROW('Temp Hisfa'!L$3:L$200))+1), ROW(15:214))),"")</f>
        <v>0</v>
      </c>
      <c r="M17" s="22">
        <f t="array" ref="M17">IFERROR(INDEX('Temp Hisfa'!M$3:M$200, SMALL(IF(ISERROR('Temp Hisfa'!M$3:M$200), "", ROW('Temp Hisfa'!M$3:M$200)-MIN(ROW('Temp Hisfa'!M$3:M$200))+1), ROW(15:214))),"")</f>
        <v>0</v>
      </c>
      <c r="N17" s="22">
        <f t="array" ref="N17">IFERROR(INDEX('Temp Hisfa'!N$3:N$200, SMALL(IF(ISERROR('Temp Hisfa'!N$3:N$200), "", ROW('Temp Hisfa'!N$3:N$200)-MIN(ROW('Temp Hisfa'!N$3:N$200))+1), ROW(15:214))),"")</f>
        <v>1900</v>
      </c>
      <c r="O17" s="22" t="str">
        <f t="array" ref="O17">IFERROR(INDEX('Temp Hisfa'!O$3:O$200, SMALL(IF(ISERROR('Temp Hisfa'!O$3:O$200), "", ROW('Temp Hisfa'!O$3:O$200)-MIN(ROW('Temp Hisfa'!O$3:O$200))+1), ROW(15:214))),"")</f>
        <v>enero</v>
      </c>
      <c r="P17" s="22">
        <f t="array" ref="P17">IFERROR(INDEX('Temp Hisfa'!P$3:P$200, SMALL(IF(ISERROR('Temp Hisfa'!P$3:P$200), "", ROW('Temp Hisfa'!P$3:P$200)-MIN(ROW('Temp Hisfa'!P$3:P$200))+1), ROW(15:214))),"")</f>
        <v>0</v>
      </c>
      <c r="Q17" s="22">
        <f t="array" ref="Q17">IFERROR(INDEX('Temp Hisfa'!Q$3:Q$200, SMALL(IF(ISERROR('Temp Hisfa'!Q$3:Q$200), "", ROW('Temp Hisfa'!Q$3:Q$200)-MIN(ROW('Temp Hisfa'!Q$3:Q$200))+1), ROW(15:214))),"")</f>
        <v>0</v>
      </c>
      <c r="R17" s="22">
        <f t="array" ref="R17">IFERROR(INDEX('Temp Hisfa'!R$3:R$200, SMALL(IF(ISERROR('Temp Hisfa'!R$3:R$200), "", ROW('Temp Hisfa'!R$3:R$200)-MIN(ROW('Temp Hisfa'!R$3:R$200))+1), ROW(15:214))),"")</f>
        <v>0</v>
      </c>
      <c r="S17" s="22">
        <f t="array" ref="S17">IFERROR(INDEX('Temp Hisfa'!S$3:S$200, SMALL(IF(ISERROR('Temp Hisfa'!S$3:S$200), "", ROW('Temp Hisfa'!S$3:S$200)-MIN(ROW('Temp Hisfa'!S$3:S$200))+1), ROW(15:214))),"")</f>
        <v>0</v>
      </c>
      <c r="T17" s="22">
        <f t="array" ref="T17">IFERROR(INDEX('Temp Hisfa'!T$3:T$200, SMALL(IF(ISERROR('Temp Hisfa'!T$3:T$200), "", ROW('Temp Hisfa'!T$3:T$200)-MIN(ROW('Temp Hisfa'!T$3:T$200))+1), ROW(15:214))),"")</f>
        <v>0</v>
      </c>
      <c r="U17" s="22">
        <f t="array" ref="U17">IFERROR(INDEX('Temp Hisfa'!U$3:U$200, SMALL(IF(ISERROR('Temp Hisfa'!U$3:U$200), "", ROW('Temp Hisfa'!U$3:U$200)-MIN(ROW('Temp Hisfa'!U$3:U$200))+1), ROW(15:214))),"")</f>
        <v>0</v>
      </c>
      <c r="V17" s="22">
        <f t="array" ref="V17">IFERROR(INDEX('Temp Hisfa'!V$3:V$200, SMALL(IF(ISERROR('Temp Hisfa'!V$3:V$200), "", ROW('Temp Hisfa'!V$3:V$200)-MIN(ROW('Temp Hisfa'!V$3:V$200))+1), ROW(15:214))),"")</f>
        <v>0</v>
      </c>
      <c r="W17" s="22">
        <f t="array" ref="W17">IFERROR(INDEX('Temp Hisfa'!W$3:W$200, SMALL(IF(ISERROR('Temp Hisfa'!W$3:W$200), "", ROW('Temp Hisfa'!W$3:W$200)-MIN(ROW('Temp Hisfa'!W$3:W$200))+1), ROW(15:214))),"")</f>
        <v>0</v>
      </c>
      <c r="X17" s="22">
        <f t="array" ref="X17">IFERROR(INDEX('Temp Hisfa'!X$3:X$200, SMALL(IF(ISERROR('Temp Hisfa'!X$3:X$200), "", ROW('Temp Hisfa'!X$3:X$200)-MIN(ROW('Temp Hisfa'!X$3:X$200))+1), ROW(15:214))),"")</f>
        <v>0</v>
      </c>
      <c r="Y17" s="22">
        <f t="array" ref="Y17">IFERROR(INDEX('Temp Hisfa'!Y$3:Y$200, SMALL(IF(ISERROR('Temp Hisfa'!Y$3:Y$200), "", ROW('Temp Hisfa'!Y$3:Y$200)-MIN(ROW('Temp Hisfa'!Y$3:Y$200))+1), ROW(15:214))),"")</f>
        <v>0</v>
      </c>
      <c r="Z17" s="22">
        <f t="array" ref="Z17">IFERROR(INDEX('Temp Hisfa'!Z$3:Z$200, SMALL(IF(ISERROR('Temp Hisfa'!Z$3:Z$200), "", ROW('Temp Hisfa'!Z$3:Z$200)-MIN(ROW('Temp Hisfa'!Z$3:Z$200))+1), ROW(15:214))),"")</f>
        <v>0</v>
      </c>
      <c r="AA17" s="22">
        <f t="array" ref="AA17">IFERROR(INDEX('Temp Hisfa'!AA$3:AA$200, SMALL(IF(ISERROR('Temp Hisfa'!AA$3:AA$200), "", ROW('Temp Hisfa'!AA$3:AA$200)-MIN(ROW('Temp Hisfa'!AA$3:AA$200))+1), ROW(15:214))),"")</f>
        <v>0</v>
      </c>
      <c r="AB17" s="22">
        <f t="array" ref="AB17">IFERROR(INDEX('Temp Hisfa'!AB$3:AB$200, SMALL(IF(ISERROR('Temp Hisfa'!AB$3:AB$200), "", ROW('Temp Hisfa'!AB$3:AB$200)-MIN(ROW('Temp Hisfa'!AB$3:AB$200))+1), ROW(15:214))),"")</f>
        <v>0</v>
      </c>
    </row>
    <row r="18" spans="1:28" x14ac:dyDescent="0.3">
      <c r="A18" s="4">
        <f t="array" ref="A18">IFERROR(INDEX('Temp Hisfa'!A$3:A$200, SMALL(IF(ISERROR('Temp Hisfa'!A$3:A$200), "", ROW('Temp Hisfa'!A$3:A$200)-MIN(ROW('Temp Hisfa'!A$3:A$200))+1), ROW(16:214))),"")</f>
        <v>0</v>
      </c>
      <c r="B18" s="4">
        <f t="array" ref="B18">IFERROR(INDEX('Temp Hisfa'!B$3:B$200, SMALL(IF(ISERROR('Temp Hisfa'!B$3:B$200), "", ROW('Temp Hisfa'!B$3:B$200)-MIN(ROW('Temp Hisfa'!B$3:B$200))+1), ROW(16:214))),"")</f>
        <v>0</v>
      </c>
      <c r="C18" s="3">
        <f t="array" ref="C18">IFERROR(INDEX('Temp Hisfa'!C$3:C$200, SMALL(IF(ISERROR('Temp Hisfa'!C$3:C$200), "", ROW('Temp Hisfa'!C$3:C$200)-MIN(ROW('Temp Hisfa'!C$3:C$200))+1), ROW(16:214))),"")</f>
        <v>0</v>
      </c>
      <c r="D18" s="3">
        <f t="array" ref="D18">IFERROR(INDEX('Temp Hisfa'!D$3:D$200, SMALL(IF(ISERROR('Temp Hisfa'!D$3:D$200), "", ROW('Temp Hisfa'!D$3:D$200)-MIN(ROW('Temp Hisfa'!D$3:D$200))+1), ROW(16:214))),"")</f>
        <v>0</v>
      </c>
      <c r="E18" s="29">
        <f t="array" ref="E18">IFERROR(INDEX('Temp Hisfa'!E$3:E$200, SMALL(IF(ISERROR('Temp Hisfa'!E$3:E$200), "", ROW('Temp Hisfa'!E$3:E$200)-MIN(ROW('Temp Hisfa'!E$3:E$200))+1), ROW(16:215))),"")</f>
        <v>0</v>
      </c>
      <c r="F18" s="22" t="str">
        <f t="array" ref="F18">IFERROR(INDEX('Temp Hisfa'!F$3:F$200, SMALL(IF(ISERROR('Temp Hisfa'!F$3:F$200), "", ROW('Temp Hisfa'!F$3:F$200)-MIN(ROW('Temp Hisfa'!F$3:F$200))+1), ROW(16:215))),"")</f>
        <v/>
      </c>
      <c r="G18" s="30">
        <f t="array" ref="G18">IFERROR(INDEX('Temp Hisfa'!G$3:G$200, SMALL(IF(ISERROR('Temp Hisfa'!G$3:G$200), "", ROW('Temp Hisfa'!G$3:G$200)-MIN(ROW('Temp Hisfa'!G$3:G$200))+1), ROW(16:215))),"")</f>
        <v>0</v>
      </c>
      <c r="H18" s="22" t="str">
        <f t="array" ref="H18">IFERROR(INDEX('Temp Hisfa'!H$3:H$200, SMALL(IF(ISERROR('Temp Hisfa'!H$3:H$200), "", ROW('Temp Hisfa'!H$3:H$200)-MIN(ROW('Temp Hisfa'!H$3:H$200))+1), ROW(16:215))),"")</f>
        <v/>
      </c>
      <c r="I18" s="22">
        <f t="array" ref="I18">IFERROR(INDEX('Temp Hisfa'!I$3:I$200, SMALL(IF(ISERROR('Temp Hisfa'!I$3:I$200), "", ROW('Temp Hisfa'!I$3:I$200)-MIN(ROW('Temp Hisfa'!I$3:I$200))+1), ROW(16:215))),"")</f>
        <v>0</v>
      </c>
      <c r="J18" s="22">
        <f t="array" ref="J18">IFERROR(INDEX('Temp Hisfa'!J$3:J$200, SMALL(IF(ISERROR('Temp Hisfa'!J$3:J$200), "", ROW('Temp Hisfa'!J$3:J$200)-MIN(ROW('Temp Hisfa'!J$3:J$200))+1), ROW(16:215))),"")</f>
        <v>0</v>
      </c>
      <c r="K18" s="30">
        <f t="array" ref="K18">IFERROR(INDEX('Temp Hisfa'!K$3:K$200, SMALL(IF(ISERROR('Temp Hisfa'!K$3:K$200), "", ROW('Temp Hisfa'!K$3:K$200)-MIN(ROW('Temp Hisfa'!K$3:K$200))+1), ROW(16:215))),"")</f>
        <v>0</v>
      </c>
      <c r="L18" s="22">
        <f t="array" ref="L18">IFERROR(INDEX('Temp Hisfa'!L$3:L$200, SMALL(IF(ISERROR('Temp Hisfa'!L$3:L$200), "", ROW('Temp Hisfa'!L$3:L$200)-MIN(ROW('Temp Hisfa'!L$3:L$200))+1), ROW(16:215))),"")</f>
        <v>0</v>
      </c>
      <c r="M18" s="22">
        <f t="array" ref="M18">IFERROR(INDEX('Temp Hisfa'!M$3:M$200, SMALL(IF(ISERROR('Temp Hisfa'!M$3:M$200), "", ROW('Temp Hisfa'!M$3:M$200)-MIN(ROW('Temp Hisfa'!M$3:M$200))+1), ROW(16:215))),"")</f>
        <v>0</v>
      </c>
      <c r="N18" s="22">
        <f t="array" ref="N18">IFERROR(INDEX('Temp Hisfa'!N$3:N$200, SMALL(IF(ISERROR('Temp Hisfa'!N$3:N$200), "", ROW('Temp Hisfa'!N$3:N$200)-MIN(ROW('Temp Hisfa'!N$3:N$200))+1), ROW(16:215))),"")</f>
        <v>1900</v>
      </c>
      <c r="O18" s="22" t="str">
        <f t="array" ref="O18">IFERROR(INDEX('Temp Hisfa'!O$3:O$200, SMALL(IF(ISERROR('Temp Hisfa'!O$3:O$200), "", ROW('Temp Hisfa'!O$3:O$200)-MIN(ROW('Temp Hisfa'!O$3:O$200))+1), ROW(16:215))),"")</f>
        <v>enero</v>
      </c>
      <c r="P18" s="22">
        <f t="array" ref="P18">IFERROR(INDEX('Temp Hisfa'!P$3:P$200, SMALL(IF(ISERROR('Temp Hisfa'!P$3:P$200), "", ROW('Temp Hisfa'!P$3:P$200)-MIN(ROW('Temp Hisfa'!P$3:P$200))+1), ROW(16:215))),"")</f>
        <v>0</v>
      </c>
      <c r="Q18" s="22">
        <f t="array" ref="Q18">IFERROR(INDEX('Temp Hisfa'!Q$3:Q$200, SMALL(IF(ISERROR('Temp Hisfa'!Q$3:Q$200), "", ROW('Temp Hisfa'!Q$3:Q$200)-MIN(ROW('Temp Hisfa'!Q$3:Q$200))+1), ROW(16:215))),"")</f>
        <v>0</v>
      </c>
      <c r="R18" s="22">
        <f t="array" ref="R18">IFERROR(INDEX('Temp Hisfa'!R$3:R$200, SMALL(IF(ISERROR('Temp Hisfa'!R$3:R$200), "", ROW('Temp Hisfa'!R$3:R$200)-MIN(ROW('Temp Hisfa'!R$3:R$200))+1), ROW(16:215))),"")</f>
        <v>0</v>
      </c>
      <c r="S18" s="22">
        <f t="array" ref="S18">IFERROR(INDEX('Temp Hisfa'!S$3:S$200, SMALL(IF(ISERROR('Temp Hisfa'!S$3:S$200), "", ROW('Temp Hisfa'!S$3:S$200)-MIN(ROW('Temp Hisfa'!S$3:S$200))+1), ROW(16:215))),"")</f>
        <v>0</v>
      </c>
      <c r="T18" s="22">
        <f t="array" ref="T18">IFERROR(INDEX('Temp Hisfa'!T$3:T$200, SMALL(IF(ISERROR('Temp Hisfa'!T$3:T$200), "", ROW('Temp Hisfa'!T$3:T$200)-MIN(ROW('Temp Hisfa'!T$3:T$200))+1), ROW(16:215))),"")</f>
        <v>0</v>
      </c>
      <c r="U18" s="22">
        <f t="array" ref="U18">IFERROR(INDEX('Temp Hisfa'!U$3:U$200, SMALL(IF(ISERROR('Temp Hisfa'!U$3:U$200), "", ROW('Temp Hisfa'!U$3:U$200)-MIN(ROW('Temp Hisfa'!U$3:U$200))+1), ROW(16:215))),"")</f>
        <v>0</v>
      </c>
      <c r="V18" s="22">
        <f t="array" ref="V18">IFERROR(INDEX('Temp Hisfa'!V$3:V$200, SMALL(IF(ISERROR('Temp Hisfa'!V$3:V$200), "", ROW('Temp Hisfa'!V$3:V$200)-MIN(ROW('Temp Hisfa'!V$3:V$200))+1), ROW(16:215))),"")</f>
        <v>0</v>
      </c>
      <c r="W18" s="22">
        <f t="array" ref="W18">IFERROR(INDEX('Temp Hisfa'!W$3:W$200, SMALL(IF(ISERROR('Temp Hisfa'!W$3:W$200), "", ROW('Temp Hisfa'!W$3:W$200)-MIN(ROW('Temp Hisfa'!W$3:W$200))+1), ROW(16:215))),"")</f>
        <v>0</v>
      </c>
      <c r="X18" s="22">
        <f t="array" ref="X18">IFERROR(INDEX('Temp Hisfa'!X$3:X$200, SMALL(IF(ISERROR('Temp Hisfa'!X$3:X$200), "", ROW('Temp Hisfa'!X$3:X$200)-MIN(ROW('Temp Hisfa'!X$3:X$200))+1), ROW(16:215))),"")</f>
        <v>0</v>
      </c>
      <c r="Y18" s="22">
        <f t="array" ref="Y18">IFERROR(INDEX('Temp Hisfa'!Y$3:Y$200, SMALL(IF(ISERROR('Temp Hisfa'!Y$3:Y$200), "", ROW('Temp Hisfa'!Y$3:Y$200)-MIN(ROW('Temp Hisfa'!Y$3:Y$200))+1), ROW(16:215))),"")</f>
        <v>0</v>
      </c>
      <c r="Z18" s="22">
        <f t="array" ref="Z18">IFERROR(INDEX('Temp Hisfa'!Z$3:Z$200, SMALL(IF(ISERROR('Temp Hisfa'!Z$3:Z$200), "", ROW('Temp Hisfa'!Z$3:Z$200)-MIN(ROW('Temp Hisfa'!Z$3:Z$200))+1), ROW(16:215))),"")</f>
        <v>0</v>
      </c>
      <c r="AA18" s="22">
        <f t="array" ref="AA18">IFERROR(INDEX('Temp Hisfa'!AA$3:AA$200, SMALL(IF(ISERROR('Temp Hisfa'!AA$3:AA$200), "", ROW('Temp Hisfa'!AA$3:AA$200)-MIN(ROW('Temp Hisfa'!AA$3:AA$200))+1), ROW(16:215))),"")</f>
        <v>0</v>
      </c>
      <c r="AB18" s="22">
        <f t="array" ref="AB18">IFERROR(INDEX('Temp Hisfa'!AB$3:AB$200, SMALL(IF(ISERROR('Temp Hisfa'!AB$3:AB$200), "", ROW('Temp Hisfa'!AB$3:AB$200)-MIN(ROW('Temp Hisfa'!AB$3:AB$200))+1), ROW(16:215))),"")</f>
        <v>0</v>
      </c>
    </row>
    <row r="19" spans="1:28" x14ac:dyDescent="0.3">
      <c r="A19" s="4">
        <f t="array" ref="A19">IFERROR(INDEX('Temp Hisfa'!A$3:A$200, SMALL(IF(ISERROR('Temp Hisfa'!A$3:A$200), "", ROW('Temp Hisfa'!A$3:A$200)-MIN(ROW('Temp Hisfa'!A$3:A$200))+1), ROW(17:215))),"")</f>
        <v>0</v>
      </c>
      <c r="B19" s="4">
        <f t="array" ref="B19">IFERROR(INDEX('Temp Hisfa'!B$3:B$200, SMALL(IF(ISERROR('Temp Hisfa'!B$3:B$200), "", ROW('Temp Hisfa'!B$3:B$200)-MIN(ROW('Temp Hisfa'!B$3:B$200))+1), ROW(17:215))),"")</f>
        <v>0</v>
      </c>
      <c r="C19" s="3">
        <f t="array" ref="C19">IFERROR(INDEX('Temp Hisfa'!C$3:C$200, SMALL(IF(ISERROR('Temp Hisfa'!C$3:C$200), "", ROW('Temp Hisfa'!C$3:C$200)-MIN(ROW('Temp Hisfa'!C$3:C$200))+1), ROW(17:215))),"")</f>
        <v>0</v>
      </c>
      <c r="D19" s="3">
        <f t="array" ref="D19">IFERROR(INDEX('Temp Hisfa'!D$3:D$200, SMALL(IF(ISERROR('Temp Hisfa'!D$3:D$200), "", ROW('Temp Hisfa'!D$3:D$200)-MIN(ROW('Temp Hisfa'!D$3:D$200))+1), ROW(17:215))),"")</f>
        <v>0</v>
      </c>
      <c r="E19" s="29">
        <f t="array" ref="E19">IFERROR(INDEX('Temp Hisfa'!E$3:E$200, SMALL(IF(ISERROR('Temp Hisfa'!E$3:E$200), "", ROW('Temp Hisfa'!E$3:E$200)-MIN(ROW('Temp Hisfa'!E$3:E$200))+1), ROW(17:216))),"")</f>
        <v>0</v>
      </c>
      <c r="F19" s="22" t="str">
        <f t="array" ref="F19">IFERROR(INDEX('Temp Hisfa'!F$3:F$200, SMALL(IF(ISERROR('Temp Hisfa'!F$3:F$200), "", ROW('Temp Hisfa'!F$3:F$200)-MIN(ROW('Temp Hisfa'!F$3:F$200))+1), ROW(17:216))),"")</f>
        <v/>
      </c>
      <c r="G19" s="30">
        <f t="array" ref="G19">IFERROR(INDEX('Temp Hisfa'!G$3:G$200, SMALL(IF(ISERROR('Temp Hisfa'!G$3:G$200), "", ROW('Temp Hisfa'!G$3:G$200)-MIN(ROW('Temp Hisfa'!G$3:G$200))+1), ROW(17:216))),"")</f>
        <v>0</v>
      </c>
      <c r="H19" s="22" t="str">
        <f t="array" ref="H19">IFERROR(INDEX('Temp Hisfa'!H$3:H$200, SMALL(IF(ISERROR('Temp Hisfa'!H$3:H$200), "", ROW('Temp Hisfa'!H$3:H$200)-MIN(ROW('Temp Hisfa'!H$3:H$200))+1), ROW(17:216))),"")</f>
        <v/>
      </c>
      <c r="I19" s="22">
        <f t="array" ref="I19">IFERROR(INDEX('Temp Hisfa'!I$3:I$200, SMALL(IF(ISERROR('Temp Hisfa'!I$3:I$200), "", ROW('Temp Hisfa'!I$3:I$200)-MIN(ROW('Temp Hisfa'!I$3:I$200))+1), ROW(17:216))),"")</f>
        <v>0</v>
      </c>
      <c r="J19" s="22">
        <f t="array" ref="J19">IFERROR(INDEX('Temp Hisfa'!J$3:J$200, SMALL(IF(ISERROR('Temp Hisfa'!J$3:J$200), "", ROW('Temp Hisfa'!J$3:J$200)-MIN(ROW('Temp Hisfa'!J$3:J$200))+1), ROW(17:216))),"")</f>
        <v>0</v>
      </c>
      <c r="K19" s="30">
        <f t="array" ref="K19">IFERROR(INDEX('Temp Hisfa'!K$3:K$200, SMALL(IF(ISERROR('Temp Hisfa'!K$3:K$200), "", ROW('Temp Hisfa'!K$3:K$200)-MIN(ROW('Temp Hisfa'!K$3:K$200))+1), ROW(17:216))),"")</f>
        <v>0</v>
      </c>
      <c r="L19" s="22">
        <f t="array" ref="L19">IFERROR(INDEX('Temp Hisfa'!L$3:L$200, SMALL(IF(ISERROR('Temp Hisfa'!L$3:L$200), "", ROW('Temp Hisfa'!L$3:L$200)-MIN(ROW('Temp Hisfa'!L$3:L$200))+1), ROW(17:216))),"")</f>
        <v>0</v>
      </c>
      <c r="M19" s="22">
        <f t="array" ref="M19">IFERROR(INDEX('Temp Hisfa'!M$3:M$200, SMALL(IF(ISERROR('Temp Hisfa'!M$3:M$200), "", ROW('Temp Hisfa'!M$3:M$200)-MIN(ROW('Temp Hisfa'!M$3:M$200))+1), ROW(17:216))),"")</f>
        <v>0</v>
      </c>
      <c r="N19" s="22">
        <f t="array" ref="N19">IFERROR(INDEX('Temp Hisfa'!N$3:N$200, SMALL(IF(ISERROR('Temp Hisfa'!N$3:N$200), "", ROW('Temp Hisfa'!N$3:N$200)-MIN(ROW('Temp Hisfa'!N$3:N$200))+1), ROW(17:216))),"")</f>
        <v>1900</v>
      </c>
      <c r="O19" s="22" t="str">
        <f t="array" ref="O19">IFERROR(INDEX('Temp Hisfa'!O$3:O$200, SMALL(IF(ISERROR('Temp Hisfa'!O$3:O$200), "", ROW('Temp Hisfa'!O$3:O$200)-MIN(ROW('Temp Hisfa'!O$3:O$200))+1), ROW(17:216))),"")</f>
        <v>enero</v>
      </c>
      <c r="P19" s="22">
        <f t="array" ref="P19">IFERROR(INDEX('Temp Hisfa'!P$3:P$200, SMALL(IF(ISERROR('Temp Hisfa'!P$3:P$200), "", ROW('Temp Hisfa'!P$3:P$200)-MIN(ROW('Temp Hisfa'!P$3:P$200))+1), ROW(17:216))),"")</f>
        <v>0</v>
      </c>
      <c r="Q19" s="22">
        <f t="array" ref="Q19">IFERROR(INDEX('Temp Hisfa'!Q$3:Q$200, SMALL(IF(ISERROR('Temp Hisfa'!Q$3:Q$200), "", ROW('Temp Hisfa'!Q$3:Q$200)-MIN(ROW('Temp Hisfa'!Q$3:Q$200))+1), ROW(17:216))),"")</f>
        <v>0</v>
      </c>
      <c r="R19" s="22">
        <f t="array" ref="R19">IFERROR(INDEX('Temp Hisfa'!R$3:R$200, SMALL(IF(ISERROR('Temp Hisfa'!R$3:R$200), "", ROW('Temp Hisfa'!R$3:R$200)-MIN(ROW('Temp Hisfa'!R$3:R$200))+1), ROW(17:216))),"")</f>
        <v>0</v>
      </c>
      <c r="S19" s="22">
        <f t="array" ref="S19">IFERROR(INDEX('Temp Hisfa'!S$3:S$200, SMALL(IF(ISERROR('Temp Hisfa'!S$3:S$200), "", ROW('Temp Hisfa'!S$3:S$200)-MIN(ROW('Temp Hisfa'!S$3:S$200))+1), ROW(17:216))),"")</f>
        <v>0</v>
      </c>
      <c r="T19" s="22">
        <f t="array" ref="T19">IFERROR(INDEX('Temp Hisfa'!T$3:T$200, SMALL(IF(ISERROR('Temp Hisfa'!T$3:T$200), "", ROW('Temp Hisfa'!T$3:T$200)-MIN(ROW('Temp Hisfa'!T$3:T$200))+1), ROW(17:216))),"")</f>
        <v>0</v>
      </c>
      <c r="U19" s="22">
        <f t="array" ref="U19">IFERROR(INDEX('Temp Hisfa'!U$3:U$200, SMALL(IF(ISERROR('Temp Hisfa'!U$3:U$200), "", ROW('Temp Hisfa'!U$3:U$200)-MIN(ROW('Temp Hisfa'!U$3:U$200))+1), ROW(17:216))),"")</f>
        <v>0</v>
      </c>
      <c r="V19" s="22">
        <f t="array" ref="V19">IFERROR(INDEX('Temp Hisfa'!V$3:V$200, SMALL(IF(ISERROR('Temp Hisfa'!V$3:V$200), "", ROW('Temp Hisfa'!V$3:V$200)-MIN(ROW('Temp Hisfa'!V$3:V$200))+1), ROW(17:216))),"")</f>
        <v>0</v>
      </c>
      <c r="W19" s="22">
        <f t="array" ref="W19">IFERROR(INDEX('Temp Hisfa'!W$3:W$200, SMALL(IF(ISERROR('Temp Hisfa'!W$3:W$200), "", ROW('Temp Hisfa'!W$3:W$200)-MIN(ROW('Temp Hisfa'!W$3:W$200))+1), ROW(17:216))),"")</f>
        <v>0</v>
      </c>
      <c r="X19" s="22">
        <f t="array" ref="X19">IFERROR(INDEX('Temp Hisfa'!X$3:X$200, SMALL(IF(ISERROR('Temp Hisfa'!X$3:X$200), "", ROW('Temp Hisfa'!X$3:X$200)-MIN(ROW('Temp Hisfa'!X$3:X$200))+1), ROW(17:216))),"")</f>
        <v>0</v>
      </c>
      <c r="Y19" s="22">
        <f t="array" ref="Y19">IFERROR(INDEX('Temp Hisfa'!Y$3:Y$200, SMALL(IF(ISERROR('Temp Hisfa'!Y$3:Y$200), "", ROW('Temp Hisfa'!Y$3:Y$200)-MIN(ROW('Temp Hisfa'!Y$3:Y$200))+1), ROW(17:216))),"")</f>
        <v>0</v>
      </c>
      <c r="Z19" s="22">
        <f t="array" ref="Z19">IFERROR(INDEX('Temp Hisfa'!Z$3:Z$200, SMALL(IF(ISERROR('Temp Hisfa'!Z$3:Z$200), "", ROW('Temp Hisfa'!Z$3:Z$200)-MIN(ROW('Temp Hisfa'!Z$3:Z$200))+1), ROW(17:216))),"")</f>
        <v>0</v>
      </c>
      <c r="AA19" s="22">
        <f t="array" ref="AA19">IFERROR(INDEX('Temp Hisfa'!AA$3:AA$200, SMALL(IF(ISERROR('Temp Hisfa'!AA$3:AA$200), "", ROW('Temp Hisfa'!AA$3:AA$200)-MIN(ROW('Temp Hisfa'!AA$3:AA$200))+1), ROW(17:216))),"")</f>
        <v>0</v>
      </c>
      <c r="AB19" s="22">
        <f t="array" ref="AB19">IFERROR(INDEX('Temp Hisfa'!AB$3:AB$200, SMALL(IF(ISERROR('Temp Hisfa'!AB$3:AB$200), "", ROW('Temp Hisfa'!AB$3:AB$200)-MIN(ROW('Temp Hisfa'!AB$3:AB$200))+1), ROW(17:216))),"")</f>
        <v>0</v>
      </c>
    </row>
    <row r="20" spans="1:28" x14ac:dyDescent="0.3">
      <c r="A20" s="4">
        <f t="array" ref="A20">IFERROR(INDEX('Temp Hisfa'!A$3:A$200, SMALL(IF(ISERROR('Temp Hisfa'!A$3:A$200), "", ROW('Temp Hisfa'!A$3:A$200)-MIN(ROW('Temp Hisfa'!A$3:A$200))+1), ROW(18:216))),"")</f>
        <v>0</v>
      </c>
      <c r="B20" s="4">
        <f t="array" ref="B20">IFERROR(INDEX('Temp Hisfa'!B$3:B$200, SMALL(IF(ISERROR('Temp Hisfa'!B$3:B$200), "", ROW('Temp Hisfa'!B$3:B$200)-MIN(ROW('Temp Hisfa'!B$3:B$200))+1), ROW(18:216))),"")</f>
        <v>0</v>
      </c>
      <c r="C20" s="3">
        <f t="array" ref="C20">IFERROR(INDEX('Temp Hisfa'!C$3:C$200, SMALL(IF(ISERROR('Temp Hisfa'!C$3:C$200), "", ROW('Temp Hisfa'!C$3:C$200)-MIN(ROW('Temp Hisfa'!C$3:C$200))+1), ROW(18:216))),"")</f>
        <v>0</v>
      </c>
      <c r="D20" s="3">
        <f t="array" ref="D20">IFERROR(INDEX('Temp Hisfa'!D$3:D$200, SMALL(IF(ISERROR('Temp Hisfa'!D$3:D$200), "", ROW('Temp Hisfa'!D$3:D$200)-MIN(ROW('Temp Hisfa'!D$3:D$200))+1), ROW(18:216))),"")</f>
        <v>0</v>
      </c>
      <c r="E20" s="29">
        <f t="array" ref="E20">IFERROR(INDEX('Temp Hisfa'!E$3:E$200, SMALL(IF(ISERROR('Temp Hisfa'!E$3:E$200), "", ROW('Temp Hisfa'!E$3:E$200)-MIN(ROW('Temp Hisfa'!E$3:E$200))+1), ROW(18:217))),"")</f>
        <v>0</v>
      </c>
      <c r="F20" s="22" t="str">
        <f t="array" ref="F20">IFERROR(INDEX('Temp Hisfa'!F$3:F$200, SMALL(IF(ISERROR('Temp Hisfa'!F$3:F$200), "", ROW('Temp Hisfa'!F$3:F$200)-MIN(ROW('Temp Hisfa'!F$3:F$200))+1), ROW(18:217))),"")</f>
        <v/>
      </c>
      <c r="G20" s="30">
        <f t="array" ref="G20">IFERROR(INDEX('Temp Hisfa'!G$3:G$200, SMALL(IF(ISERROR('Temp Hisfa'!G$3:G$200), "", ROW('Temp Hisfa'!G$3:G$200)-MIN(ROW('Temp Hisfa'!G$3:G$200))+1), ROW(18:217))),"")</f>
        <v>0</v>
      </c>
      <c r="H20" s="22" t="str">
        <f t="array" ref="H20">IFERROR(INDEX('Temp Hisfa'!H$3:H$200, SMALL(IF(ISERROR('Temp Hisfa'!H$3:H$200), "", ROW('Temp Hisfa'!H$3:H$200)-MIN(ROW('Temp Hisfa'!H$3:H$200))+1), ROW(18:217))),"")</f>
        <v/>
      </c>
      <c r="I20" s="22">
        <f t="array" ref="I20">IFERROR(INDEX('Temp Hisfa'!I$3:I$200, SMALL(IF(ISERROR('Temp Hisfa'!I$3:I$200), "", ROW('Temp Hisfa'!I$3:I$200)-MIN(ROW('Temp Hisfa'!I$3:I$200))+1), ROW(18:217))),"")</f>
        <v>0</v>
      </c>
      <c r="J20" s="22">
        <f t="array" ref="J20">IFERROR(INDEX('Temp Hisfa'!J$3:J$200, SMALL(IF(ISERROR('Temp Hisfa'!J$3:J$200), "", ROW('Temp Hisfa'!J$3:J$200)-MIN(ROW('Temp Hisfa'!J$3:J$200))+1), ROW(18:217))),"")</f>
        <v>0</v>
      </c>
      <c r="K20" s="30">
        <f t="array" ref="K20">IFERROR(INDEX('Temp Hisfa'!K$3:K$200, SMALL(IF(ISERROR('Temp Hisfa'!K$3:K$200), "", ROW('Temp Hisfa'!K$3:K$200)-MIN(ROW('Temp Hisfa'!K$3:K$200))+1), ROW(18:217))),"")</f>
        <v>0</v>
      </c>
      <c r="L20" s="22">
        <f t="array" ref="L20">IFERROR(INDEX('Temp Hisfa'!L$3:L$200, SMALL(IF(ISERROR('Temp Hisfa'!L$3:L$200), "", ROW('Temp Hisfa'!L$3:L$200)-MIN(ROW('Temp Hisfa'!L$3:L$200))+1), ROW(18:217))),"")</f>
        <v>0</v>
      </c>
      <c r="M20" s="22">
        <f t="array" ref="M20">IFERROR(INDEX('Temp Hisfa'!M$3:M$200, SMALL(IF(ISERROR('Temp Hisfa'!M$3:M$200), "", ROW('Temp Hisfa'!M$3:M$200)-MIN(ROW('Temp Hisfa'!M$3:M$200))+1), ROW(18:217))),"")</f>
        <v>0</v>
      </c>
      <c r="N20" s="22">
        <f t="array" ref="N20">IFERROR(INDEX('Temp Hisfa'!N$3:N$200, SMALL(IF(ISERROR('Temp Hisfa'!N$3:N$200), "", ROW('Temp Hisfa'!N$3:N$200)-MIN(ROW('Temp Hisfa'!N$3:N$200))+1), ROW(18:217))),"")</f>
        <v>1900</v>
      </c>
      <c r="O20" s="22" t="str">
        <f t="array" ref="O20">IFERROR(INDEX('Temp Hisfa'!O$3:O$200, SMALL(IF(ISERROR('Temp Hisfa'!O$3:O$200), "", ROW('Temp Hisfa'!O$3:O$200)-MIN(ROW('Temp Hisfa'!O$3:O$200))+1), ROW(18:217))),"")</f>
        <v>enero</v>
      </c>
      <c r="P20" s="22">
        <f t="array" ref="P20">IFERROR(INDEX('Temp Hisfa'!P$3:P$200, SMALL(IF(ISERROR('Temp Hisfa'!P$3:P$200), "", ROW('Temp Hisfa'!P$3:P$200)-MIN(ROW('Temp Hisfa'!P$3:P$200))+1), ROW(18:217))),"")</f>
        <v>0</v>
      </c>
      <c r="Q20" s="22">
        <f t="array" ref="Q20">IFERROR(INDEX('Temp Hisfa'!Q$3:Q$200, SMALL(IF(ISERROR('Temp Hisfa'!Q$3:Q$200), "", ROW('Temp Hisfa'!Q$3:Q$200)-MIN(ROW('Temp Hisfa'!Q$3:Q$200))+1), ROW(18:217))),"")</f>
        <v>0</v>
      </c>
      <c r="R20" s="22">
        <f t="array" ref="R20">IFERROR(INDEX('Temp Hisfa'!R$3:R$200, SMALL(IF(ISERROR('Temp Hisfa'!R$3:R$200), "", ROW('Temp Hisfa'!R$3:R$200)-MIN(ROW('Temp Hisfa'!R$3:R$200))+1), ROW(18:217))),"")</f>
        <v>0</v>
      </c>
      <c r="S20" s="22">
        <f t="array" ref="S20">IFERROR(INDEX('Temp Hisfa'!S$3:S$200, SMALL(IF(ISERROR('Temp Hisfa'!S$3:S$200), "", ROW('Temp Hisfa'!S$3:S$200)-MIN(ROW('Temp Hisfa'!S$3:S$200))+1), ROW(18:217))),"")</f>
        <v>0</v>
      </c>
      <c r="T20" s="22">
        <f t="array" ref="T20">IFERROR(INDEX('Temp Hisfa'!T$3:T$200, SMALL(IF(ISERROR('Temp Hisfa'!T$3:T$200), "", ROW('Temp Hisfa'!T$3:T$200)-MIN(ROW('Temp Hisfa'!T$3:T$200))+1), ROW(18:217))),"")</f>
        <v>0</v>
      </c>
      <c r="U20" s="22">
        <f t="array" ref="U20">IFERROR(INDEX('Temp Hisfa'!U$3:U$200, SMALL(IF(ISERROR('Temp Hisfa'!U$3:U$200), "", ROW('Temp Hisfa'!U$3:U$200)-MIN(ROW('Temp Hisfa'!U$3:U$200))+1), ROW(18:217))),"")</f>
        <v>0</v>
      </c>
      <c r="V20" s="22">
        <f t="array" ref="V20">IFERROR(INDEX('Temp Hisfa'!V$3:V$200, SMALL(IF(ISERROR('Temp Hisfa'!V$3:V$200), "", ROW('Temp Hisfa'!V$3:V$200)-MIN(ROW('Temp Hisfa'!V$3:V$200))+1), ROW(18:217))),"")</f>
        <v>0</v>
      </c>
      <c r="W20" s="22">
        <f t="array" ref="W20">IFERROR(INDEX('Temp Hisfa'!W$3:W$200, SMALL(IF(ISERROR('Temp Hisfa'!W$3:W$200), "", ROW('Temp Hisfa'!W$3:W$200)-MIN(ROW('Temp Hisfa'!W$3:W$200))+1), ROW(18:217))),"")</f>
        <v>0</v>
      </c>
      <c r="X20" s="22">
        <f t="array" ref="X20">IFERROR(INDEX('Temp Hisfa'!X$3:X$200, SMALL(IF(ISERROR('Temp Hisfa'!X$3:X$200), "", ROW('Temp Hisfa'!X$3:X$200)-MIN(ROW('Temp Hisfa'!X$3:X$200))+1), ROW(18:217))),"")</f>
        <v>0</v>
      </c>
      <c r="Y20" s="22">
        <f t="array" ref="Y20">IFERROR(INDEX('Temp Hisfa'!Y$3:Y$200, SMALL(IF(ISERROR('Temp Hisfa'!Y$3:Y$200), "", ROW('Temp Hisfa'!Y$3:Y$200)-MIN(ROW('Temp Hisfa'!Y$3:Y$200))+1), ROW(18:217))),"")</f>
        <v>0</v>
      </c>
      <c r="Z20" s="22">
        <f t="array" ref="Z20">IFERROR(INDEX('Temp Hisfa'!Z$3:Z$200, SMALL(IF(ISERROR('Temp Hisfa'!Z$3:Z$200), "", ROW('Temp Hisfa'!Z$3:Z$200)-MIN(ROW('Temp Hisfa'!Z$3:Z$200))+1), ROW(18:217))),"")</f>
        <v>0</v>
      </c>
      <c r="AA20" s="22">
        <f t="array" ref="AA20">IFERROR(INDEX('Temp Hisfa'!AA$3:AA$200, SMALL(IF(ISERROR('Temp Hisfa'!AA$3:AA$200), "", ROW('Temp Hisfa'!AA$3:AA$200)-MIN(ROW('Temp Hisfa'!AA$3:AA$200))+1), ROW(18:217))),"")</f>
        <v>0</v>
      </c>
      <c r="AB20" s="22">
        <f t="array" ref="AB20">IFERROR(INDEX('Temp Hisfa'!AB$3:AB$200, SMALL(IF(ISERROR('Temp Hisfa'!AB$3:AB$200), "", ROW('Temp Hisfa'!AB$3:AB$200)-MIN(ROW('Temp Hisfa'!AB$3:AB$200))+1), ROW(18:217))),"")</f>
        <v>0</v>
      </c>
    </row>
    <row r="21" spans="1:28" x14ac:dyDescent="0.3">
      <c r="A21" s="4">
        <f t="array" ref="A21">IFERROR(INDEX('Temp Hisfa'!A$3:A$200, SMALL(IF(ISERROR('Temp Hisfa'!A$3:A$200), "", ROW('Temp Hisfa'!A$3:A$200)-MIN(ROW('Temp Hisfa'!A$3:A$200))+1), ROW(19:217))),"")</f>
        <v>0</v>
      </c>
      <c r="B21" s="4">
        <f t="array" ref="B21">IFERROR(INDEX('Temp Hisfa'!B$3:B$200, SMALL(IF(ISERROR('Temp Hisfa'!B$3:B$200), "", ROW('Temp Hisfa'!B$3:B$200)-MIN(ROW('Temp Hisfa'!B$3:B$200))+1), ROW(19:217))),"")</f>
        <v>0</v>
      </c>
      <c r="C21" s="3">
        <f t="array" ref="C21">IFERROR(INDEX('Temp Hisfa'!C$3:C$200, SMALL(IF(ISERROR('Temp Hisfa'!C$3:C$200), "", ROW('Temp Hisfa'!C$3:C$200)-MIN(ROW('Temp Hisfa'!C$3:C$200))+1), ROW(19:217))),"")</f>
        <v>0</v>
      </c>
      <c r="D21" s="3">
        <f t="array" ref="D21">IFERROR(INDEX('Temp Hisfa'!D$3:D$200, SMALL(IF(ISERROR('Temp Hisfa'!D$3:D$200), "", ROW('Temp Hisfa'!D$3:D$200)-MIN(ROW('Temp Hisfa'!D$3:D$200))+1), ROW(19:217))),"")</f>
        <v>0</v>
      </c>
      <c r="E21" s="29">
        <f t="array" ref="E21">IFERROR(INDEX('Temp Hisfa'!E$3:E$200, SMALL(IF(ISERROR('Temp Hisfa'!E$3:E$200), "", ROW('Temp Hisfa'!E$3:E$200)-MIN(ROW('Temp Hisfa'!E$3:E$200))+1), ROW(19:218))),"")</f>
        <v>0</v>
      </c>
      <c r="F21" s="22" t="str">
        <f t="array" ref="F21">IFERROR(INDEX('Temp Hisfa'!F$3:F$200, SMALL(IF(ISERROR('Temp Hisfa'!F$3:F$200), "", ROW('Temp Hisfa'!F$3:F$200)-MIN(ROW('Temp Hisfa'!F$3:F$200))+1), ROW(19:218))),"")</f>
        <v/>
      </c>
      <c r="G21" s="30">
        <f t="array" ref="G21">IFERROR(INDEX('Temp Hisfa'!G$3:G$200, SMALL(IF(ISERROR('Temp Hisfa'!G$3:G$200), "", ROW('Temp Hisfa'!G$3:G$200)-MIN(ROW('Temp Hisfa'!G$3:G$200))+1), ROW(19:218))),"")</f>
        <v>0</v>
      </c>
      <c r="H21" s="22" t="str">
        <f t="array" ref="H21">IFERROR(INDEX('Temp Hisfa'!H$3:H$200, SMALL(IF(ISERROR('Temp Hisfa'!H$3:H$200), "", ROW('Temp Hisfa'!H$3:H$200)-MIN(ROW('Temp Hisfa'!H$3:H$200))+1), ROW(19:218))),"")</f>
        <v/>
      </c>
      <c r="I21" s="22">
        <f t="array" ref="I21">IFERROR(INDEX('Temp Hisfa'!I$3:I$200, SMALL(IF(ISERROR('Temp Hisfa'!I$3:I$200), "", ROW('Temp Hisfa'!I$3:I$200)-MIN(ROW('Temp Hisfa'!I$3:I$200))+1), ROW(19:218))),"")</f>
        <v>0</v>
      </c>
      <c r="J21" s="22">
        <f t="array" ref="J21">IFERROR(INDEX('Temp Hisfa'!J$3:J$200, SMALL(IF(ISERROR('Temp Hisfa'!J$3:J$200), "", ROW('Temp Hisfa'!J$3:J$200)-MIN(ROW('Temp Hisfa'!J$3:J$200))+1), ROW(19:218))),"")</f>
        <v>0</v>
      </c>
      <c r="K21" s="30">
        <f t="array" ref="K21">IFERROR(INDEX('Temp Hisfa'!K$3:K$200, SMALL(IF(ISERROR('Temp Hisfa'!K$3:K$200), "", ROW('Temp Hisfa'!K$3:K$200)-MIN(ROW('Temp Hisfa'!K$3:K$200))+1), ROW(19:218))),"")</f>
        <v>0</v>
      </c>
      <c r="L21" s="22">
        <f t="array" ref="L21">IFERROR(INDEX('Temp Hisfa'!L$3:L$200, SMALL(IF(ISERROR('Temp Hisfa'!L$3:L$200), "", ROW('Temp Hisfa'!L$3:L$200)-MIN(ROW('Temp Hisfa'!L$3:L$200))+1), ROW(19:218))),"")</f>
        <v>0</v>
      </c>
      <c r="M21" s="22">
        <f t="array" ref="M21">IFERROR(INDEX('Temp Hisfa'!M$3:M$200, SMALL(IF(ISERROR('Temp Hisfa'!M$3:M$200), "", ROW('Temp Hisfa'!M$3:M$200)-MIN(ROW('Temp Hisfa'!M$3:M$200))+1), ROW(19:218))),"")</f>
        <v>0</v>
      </c>
      <c r="N21" s="22">
        <f t="array" ref="N21">IFERROR(INDEX('Temp Hisfa'!N$3:N$200, SMALL(IF(ISERROR('Temp Hisfa'!N$3:N$200), "", ROW('Temp Hisfa'!N$3:N$200)-MIN(ROW('Temp Hisfa'!N$3:N$200))+1), ROW(19:218))),"")</f>
        <v>1900</v>
      </c>
      <c r="O21" s="22" t="str">
        <f t="array" ref="O21">IFERROR(INDEX('Temp Hisfa'!O$3:O$200, SMALL(IF(ISERROR('Temp Hisfa'!O$3:O$200), "", ROW('Temp Hisfa'!O$3:O$200)-MIN(ROW('Temp Hisfa'!O$3:O$200))+1), ROW(19:218))),"")</f>
        <v>enero</v>
      </c>
      <c r="P21" s="22">
        <f t="array" ref="P21">IFERROR(INDEX('Temp Hisfa'!P$3:P$200, SMALL(IF(ISERROR('Temp Hisfa'!P$3:P$200), "", ROW('Temp Hisfa'!P$3:P$200)-MIN(ROW('Temp Hisfa'!P$3:P$200))+1), ROW(19:218))),"")</f>
        <v>0</v>
      </c>
      <c r="Q21" s="22">
        <f t="array" ref="Q21">IFERROR(INDEX('Temp Hisfa'!Q$3:Q$200, SMALL(IF(ISERROR('Temp Hisfa'!Q$3:Q$200), "", ROW('Temp Hisfa'!Q$3:Q$200)-MIN(ROW('Temp Hisfa'!Q$3:Q$200))+1), ROW(19:218))),"")</f>
        <v>0</v>
      </c>
      <c r="R21" s="22">
        <f t="array" ref="R21">IFERROR(INDEX('Temp Hisfa'!R$3:R$200, SMALL(IF(ISERROR('Temp Hisfa'!R$3:R$200), "", ROW('Temp Hisfa'!R$3:R$200)-MIN(ROW('Temp Hisfa'!R$3:R$200))+1), ROW(19:218))),"")</f>
        <v>0</v>
      </c>
      <c r="S21" s="22">
        <f t="array" ref="S21">IFERROR(INDEX('Temp Hisfa'!S$3:S$200, SMALL(IF(ISERROR('Temp Hisfa'!S$3:S$200), "", ROW('Temp Hisfa'!S$3:S$200)-MIN(ROW('Temp Hisfa'!S$3:S$200))+1), ROW(19:218))),"")</f>
        <v>0</v>
      </c>
      <c r="T21" s="22">
        <f t="array" ref="T21">IFERROR(INDEX('Temp Hisfa'!T$3:T$200, SMALL(IF(ISERROR('Temp Hisfa'!T$3:T$200), "", ROW('Temp Hisfa'!T$3:T$200)-MIN(ROW('Temp Hisfa'!T$3:T$200))+1), ROW(19:218))),"")</f>
        <v>0</v>
      </c>
      <c r="U21" s="22">
        <f t="array" ref="U21">IFERROR(INDEX('Temp Hisfa'!U$3:U$200, SMALL(IF(ISERROR('Temp Hisfa'!U$3:U$200), "", ROW('Temp Hisfa'!U$3:U$200)-MIN(ROW('Temp Hisfa'!U$3:U$200))+1), ROW(19:218))),"")</f>
        <v>0</v>
      </c>
      <c r="V21" s="22">
        <f t="array" ref="V21">IFERROR(INDEX('Temp Hisfa'!V$3:V$200, SMALL(IF(ISERROR('Temp Hisfa'!V$3:V$200), "", ROW('Temp Hisfa'!V$3:V$200)-MIN(ROW('Temp Hisfa'!V$3:V$200))+1), ROW(19:218))),"")</f>
        <v>0</v>
      </c>
      <c r="W21" s="22">
        <f t="array" ref="W21">IFERROR(INDEX('Temp Hisfa'!W$3:W$200, SMALL(IF(ISERROR('Temp Hisfa'!W$3:W$200), "", ROW('Temp Hisfa'!W$3:W$200)-MIN(ROW('Temp Hisfa'!W$3:W$200))+1), ROW(19:218))),"")</f>
        <v>0</v>
      </c>
      <c r="X21" s="22">
        <f t="array" ref="X21">IFERROR(INDEX('Temp Hisfa'!X$3:X$200, SMALL(IF(ISERROR('Temp Hisfa'!X$3:X$200), "", ROW('Temp Hisfa'!X$3:X$200)-MIN(ROW('Temp Hisfa'!X$3:X$200))+1), ROW(19:218))),"")</f>
        <v>0</v>
      </c>
      <c r="Y21" s="22">
        <f t="array" ref="Y21">IFERROR(INDEX('Temp Hisfa'!Y$3:Y$200, SMALL(IF(ISERROR('Temp Hisfa'!Y$3:Y$200), "", ROW('Temp Hisfa'!Y$3:Y$200)-MIN(ROW('Temp Hisfa'!Y$3:Y$200))+1), ROW(19:218))),"")</f>
        <v>0</v>
      </c>
      <c r="Z21" s="22">
        <f t="array" ref="Z21">IFERROR(INDEX('Temp Hisfa'!Z$3:Z$200, SMALL(IF(ISERROR('Temp Hisfa'!Z$3:Z$200), "", ROW('Temp Hisfa'!Z$3:Z$200)-MIN(ROW('Temp Hisfa'!Z$3:Z$200))+1), ROW(19:218))),"")</f>
        <v>0</v>
      </c>
      <c r="AA21" s="22">
        <f t="array" ref="AA21">IFERROR(INDEX('Temp Hisfa'!AA$3:AA$200, SMALL(IF(ISERROR('Temp Hisfa'!AA$3:AA$200), "", ROW('Temp Hisfa'!AA$3:AA$200)-MIN(ROW('Temp Hisfa'!AA$3:AA$200))+1), ROW(19:218))),"")</f>
        <v>0</v>
      </c>
      <c r="AB21" s="22">
        <f t="array" ref="AB21">IFERROR(INDEX('Temp Hisfa'!AB$3:AB$200, SMALL(IF(ISERROR('Temp Hisfa'!AB$3:AB$200), "", ROW('Temp Hisfa'!AB$3:AB$200)-MIN(ROW('Temp Hisfa'!AB$3:AB$200))+1), ROW(19:218))),"")</f>
        <v>0</v>
      </c>
    </row>
    <row r="22" spans="1:28" x14ac:dyDescent="0.3">
      <c r="A22" s="4">
        <f t="array" ref="A22">IFERROR(INDEX('Temp Hisfa'!A$3:A$200, SMALL(IF(ISERROR('Temp Hisfa'!A$3:A$200), "", ROW('Temp Hisfa'!A$3:A$200)-MIN(ROW('Temp Hisfa'!A$3:A$200))+1), ROW(20:218))),"")</f>
        <v>0</v>
      </c>
      <c r="B22" s="4">
        <f t="array" ref="B22">IFERROR(INDEX('Temp Hisfa'!B$3:B$200, SMALL(IF(ISERROR('Temp Hisfa'!B$3:B$200), "", ROW('Temp Hisfa'!B$3:B$200)-MIN(ROW('Temp Hisfa'!B$3:B$200))+1), ROW(20:218))),"")</f>
        <v>0</v>
      </c>
      <c r="C22" s="3">
        <f t="array" ref="C22">IFERROR(INDEX('Temp Hisfa'!C$3:C$200, SMALL(IF(ISERROR('Temp Hisfa'!C$3:C$200), "", ROW('Temp Hisfa'!C$3:C$200)-MIN(ROW('Temp Hisfa'!C$3:C$200))+1), ROW(20:218))),"")</f>
        <v>0</v>
      </c>
      <c r="D22" s="3">
        <f t="array" ref="D22">IFERROR(INDEX('Temp Hisfa'!D$3:D$200, SMALL(IF(ISERROR('Temp Hisfa'!D$3:D$200), "", ROW('Temp Hisfa'!D$3:D$200)-MIN(ROW('Temp Hisfa'!D$3:D$200))+1), ROW(20:218))),"")</f>
        <v>0</v>
      </c>
      <c r="E22" s="29">
        <f t="array" ref="E22">IFERROR(INDEX('Temp Hisfa'!E$3:E$200, SMALL(IF(ISERROR('Temp Hisfa'!E$3:E$200), "", ROW('Temp Hisfa'!E$3:E$200)-MIN(ROW('Temp Hisfa'!E$3:E$200))+1), ROW(20:219))),"")</f>
        <v>0</v>
      </c>
      <c r="F22" s="22" t="str">
        <f t="array" ref="F22">IFERROR(INDEX('Temp Hisfa'!F$3:F$200, SMALL(IF(ISERROR('Temp Hisfa'!F$3:F$200), "", ROW('Temp Hisfa'!F$3:F$200)-MIN(ROW('Temp Hisfa'!F$3:F$200))+1), ROW(20:219))),"")</f>
        <v/>
      </c>
      <c r="G22" s="30">
        <f t="array" ref="G22">IFERROR(INDEX('Temp Hisfa'!G$3:G$200, SMALL(IF(ISERROR('Temp Hisfa'!G$3:G$200), "", ROW('Temp Hisfa'!G$3:G$200)-MIN(ROW('Temp Hisfa'!G$3:G$200))+1), ROW(20:219))),"")</f>
        <v>0</v>
      </c>
      <c r="H22" s="22" t="str">
        <f t="array" ref="H22">IFERROR(INDEX('Temp Hisfa'!H$3:H$200, SMALL(IF(ISERROR('Temp Hisfa'!H$3:H$200), "", ROW('Temp Hisfa'!H$3:H$200)-MIN(ROW('Temp Hisfa'!H$3:H$200))+1), ROW(20:219))),"")</f>
        <v/>
      </c>
      <c r="I22" s="22">
        <f t="array" ref="I22">IFERROR(INDEX('Temp Hisfa'!I$3:I$200, SMALL(IF(ISERROR('Temp Hisfa'!I$3:I$200), "", ROW('Temp Hisfa'!I$3:I$200)-MIN(ROW('Temp Hisfa'!I$3:I$200))+1), ROW(20:219))),"")</f>
        <v>0</v>
      </c>
      <c r="J22" s="22">
        <f t="array" ref="J22">IFERROR(INDEX('Temp Hisfa'!J$3:J$200, SMALL(IF(ISERROR('Temp Hisfa'!J$3:J$200), "", ROW('Temp Hisfa'!J$3:J$200)-MIN(ROW('Temp Hisfa'!J$3:J$200))+1), ROW(20:219))),"")</f>
        <v>0</v>
      </c>
      <c r="K22" s="30">
        <f t="array" ref="K22">IFERROR(INDEX('Temp Hisfa'!K$3:K$200, SMALL(IF(ISERROR('Temp Hisfa'!K$3:K$200), "", ROW('Temp Hisfa'!K$3:K$200)-MIN(ROW('Temp Hisfa'!K$3:K$200))+1), ROW(20:219))),"")</f>
        <v>0</v>
      </c>
      <c r="L22" s="22">
        <f t="array" ref="L22">IFERROR(INDEX('Temp Hisfa'!L$3:L$200, SMALL(IF(ISERROR('Temp Hisfa'!L$3:L$200), "", ROW('Temp Hisfa'!L$3:L$200)-MIN(ROW('Temp Hisfa'!L$3:L$200))+1), ROW(20:219))),"")</f>
        <v>0</v>
      </c>
      <c r="M22" s="22">
        <f t="array" ref="M22">IFERROR(INDEX('Temp Hisfa'!M$3:M$200, SMALL(IF(ISERROR('Temp Hisfa'!M$3:M$200), "", ROW('Temp Hisfa'!M$3:M$200)-MIN(ROW('Temp Hisfa'!M$3:M$200))+1), ROW(20:219))),"")</f>
        <v>0</v>
      </c>
      <c r="N22" s="22">
        <f t="array" ref="N22">IFERROR(INDEX('Temp Hisfa'!N$3:N$200, SMALL(IF(ISERROR('Temp Hisfa'!N$3:N$200), "", ROW('Temp Hisfa'!N$3:N$200)-MIN(ROW('Temp Hisfa'!N$3:N$200))+1), ROW(20:219))),"")</f>
        <v>1900</v>
      </c>
      <c r="O22" s="22" t="str">
        <f t="array" ref="O22">IFERROR(INDEX('Temp Hisfa'!O$3:O$200, SMALL(IF(ISERROR('Temp Hisfa'!O$3:O$200), "", ROW('Temp Hisfa'!O$3:O$200)-MIN(ROW('Temp Hisfa'!O$3:O$200))+1), ROW(20:219))),"")</f>
        <v>enero</v>
      </c>
      <c r="P22" s="22">
        <f t="array" ref="P22">IFERROR(INDEX('Temp Hisfa'!P$3:P$200, SMALL(IF(ISERROR('Temp Hisfa'!P$3:P$200), "", ROW('Temp Hisfa'!P$3:P$200)-MIN(ROW('Temp Hisfa'!P$3:P$200))+1), ROW(20:219))),"")</f>
        <v>0</v>
      </c>
      <c r="Q22" s="22">
        <f t="array" ref="Q22">IFERROR(INDEX('Temp Hisfa'!Q$3:Q$200, SMALL(IF(ISERROR('Temp Hisfa'!Q$3:Q$200), "", ROW('Temp Hisfa'!Q$3:Q$200)-MIN(ROW('Temp Hisfa'!Q$3:Q$200))+1), ROW(20:219))),"")</f>
        <v>0</v>
      </c>
      <c r="R22" s="22">
        <f t="array" ref="R22">IFERROR(INDEX('Temp Hisfa'!R$3:R$200, SMALL(IF(ISERROR('Temp Hisfa'!R$3:R$200), "", ROW('Temp Hisfa'!R$3:R$200)-MIN(ROW('Temp Hisfa'!R$3:R$200))+1), ROW(20:219))),"")</f>
        <v>0</v>
      </c>
      <c r="S22" s="22">
        <f t="array" ref="S22">IFERROR(INDEX('Temp Hisfa'!S$3:S$200, SMALL(IF(ISERROR('Temp Hisfa'!S$3:S$200), "", ROW('Temp Hisfa'!S$3:S$200)-MIN(ROW('Temp Hisfa'!S$3:S$200))+1), ROW(20:219))),"")</f>
        <v>0</v>
      </c>
      <c r="T22" s="22">
        <f t="array" ref="T22">IFERROR(INDEX('Temp Hisfa'!T$3:T$200, SMALL(IF(ISERROR('Temp Hisfa'!T$3:T$200), "", ROW('Temp Hisfa'!T$3:T$200)-MIN(ROW('Temp Hisfa'!T$3:T$200))+1), ROW(20:219))),"")</f>
        <v>0</v>
      </c>
      <c r="U22" s="22">
        <f t="array" ref="U22">IFERROR(INDEX('Temp Hisfa'!U$3:U$200, SMALL(IF(ISERROR('Temp Hisfa'!U$3:U$200), "", ROW('Temp Hisfa'!U$3:U$200)-MIN(ROW('Temp Hisfa'!U$3:U$200))+1), ROW(20:219))),"")</f>
        <v>0</v>
      </c>
      <c r="V22" s="22">
        <f t="array" ref="V22">IFERROR(INDEX('Temp Hisfa'!V$3:V$200, SMALL(IF(ISERROR('Temp Hisfa'!V$3:V$200), "", ROW('Temp Hisfa'!V$3:V$200)-MIN(ROW('Temp Hisfa'!V$3:V$200))+1), ROW(20:219))),"")</f>
        <v>0</v>
      </c>
      <c r="W22" s="22">
        <f t="array" ref="W22">IFERROR(INDEX('Temp Hisfa'!W$3:W$200, SMALL(IF(ISERROR('Temp Hisfa'!W$3:W$200), "", ROW('Temp Hisfa'!W$3:W$200)-MIN(ROW('Temp Hisfa'!W$3:W$200))+1), ROW(20:219))),"")</f>
        <v>0</v>
      </c>
      <c r="X22" s="22">
        <f t="array" ref="X22">IFERROR(INDEX('Temp Hisfa'!X$3:X$200, SMALL(IF(ISERROR('Temp Hisfa'!X$3:X$200), "", ROW('Temp Hisfa'!X$3:X$200)-MIN(ROW('Temp Hisfa'!X$3:X$200))+1), ROW(20:219))),"")</f>
        <v>0</v>
      </c>
      <c r="Y22" s="22">
        <f t="array" ref="Y22">IFERROR(INDEX('Temp Hisfa'!Y$3:Y$200, SMALL(IF(ISERROR('Temp Hisfa'!Y$3:Y$200), "", ROW('Temp Hisfa'!Y$3:Y$200)-MIN(ROW('Temp Hisfa'!Y$3:Y$200))+1), ROW(20:219))),"")</f>
        <v>0</v>
      </c>
      <c r="Z22" s="22">
        <f t="array" ref="Z22">IFERROR(INDEX('Temp Hisfa'!Z$3:Z$200, SMALL(IF(ISERROR('Temp Hisfa'!Z$3:Z$200), "", ROW('Temp Hisfa'!Z$3:Z$200)-MIN(ROW('Temp Hisfa'!Z$3:Z$200))+1), ROW(20:219))),"")</f>
        <v>0</v>
      </c>
      <c r="AA22" s="22">
        <f t="array" ref="AA22">IFERROR(INDEX('Temp Hisfa'!AA$3:AA$200, SMALL(IF(ISERROR('Temp Hisfa'!AA$3:AA$200), "", ROW('Temp Hisfa'!AA$3:AA$200)-MIN(ROW('Temp Hisfa'!AA$3:AA$200))+1), ROW(20:219))),"")</f>
        <v>0</v>
      </c>
      <c r="AB22" s="22">
        <f t="array" ref="AB22">IFERROR(INDEX('Temp Hisfa'!AB$3:AB$200, SMALL(IF(ISERROR('Temp Hisfa'!AB$3:AB$200), "", ROW('Temp Hisfa'!AB$3:AB$200)-MIN(ROW('Temp Hisfa'!AB$3:AB$200))+1), ROW(20:219))),"")</f>
        <v>0</v>
      </c>
    </row>
    <row r="23" spans="1:28" x14ac:dyDescent="0.3">
      <c r="A23" s="4">
        <f t="array" ref="A23">IFERROR(INDEX('Temp Hisfa'!A$3:A$200, SMALL(IF(ISERROR('Temp Hisfa'!A$3:A$200), "", ROW('Temp Hisfa'!A$3:A$200)-MIN(ROW('Temp Hisfa'!A$3:A$200))+1), ROW(21:219))),"")</f>
        <v>0</v>
      </c>
      <c r="B23" s="4">
        <f t="array" ref="B23">IFERROR(INDEX('Temp Hisfa'!B$3:B$200, SMALL(IF(ISERROR('Temp Hisfa'!B$3:B$200), "", ROW('Temp Hisfa'!B$3:B$200)-MIN(ROW('Temp Hisfa'!B$3:B$200))+1), ROW(21:219))),"")</f>
        <v>0</v>
      </c>
      <c r="C23" s="3">
        <f t="array" ref="C23">IFERROR(INDEX('Temp Hisfa'!C$3:C$200, SMALL(IF(ISERROR('Temp Hisfa'!C$3:C$200), "", ROW('Temp Hisfa'!C$3:C$200)-MIN(ROW('Temp Hisfa'!C$3:C$200))+1), ROW(21:219))),"")</f>
        <v>0</v>
      </c>
      <c r="D23" s="3">
        <f t="array" ref="D23">IFERROR(INDEX('Temp Hisfa'!D$3:D$200, SMALL(IF(ISERROR('Temp Hisfa'!D$3:D$200), "", ROW('Temp Hisfa'!D$3:D$200)-MIN(ROW('Temp Hisfa'!D$3:D$200))+1), ROW(21:219))),"")</f>
        <v>0</v>
      </c>
      <c r="E23" s="29">
        <f t="array" ref="E23">IFERROR(INDEX('Temp Hisfa'!E$3:E$200, SMALL(IF(ISERROR('Temp Hisfa'!E$3:E$200), "", ROW('Temp Hisfa'!E$3:E$200)-MIN(ROW('Temp Hisfa'!E$3:E$200))+1), ROW(21:220))),"")</f>
        <v>0</v>
      </c>
      <c r="F23" s="22" t="str">
        <f t="array" ref="F23">IFERROR(INDEX('Temp Hisfa'!F$3:F$200, SMALL(IF(ISERROR('Temp Hisfa'!F$3:F$200), "", ROW('Temp Hisfa'!F$3:F$200)-MIN(ROW('Temp Hisfa'!F$3:F$200))+1), ROW(21:220))),"")</f>
        <v/>
      </c>
      <c r="G23" s="30">
        <f t="array" ref="G23">IFERROR(INDEX('Temp Hisfa'!G$3:G$200, SMALL(IF(ISERROR('Temp Hisfa'!G$3:G$200), "", ROW('Temp Hisfa'!G$3:G$200)-MIN(ROW('Temp Hisfa'!G$3:G$200))+1), ROW(21:220))),"")</f>
        <v>0</v>
      </c>
      <c r="H23" s="22" t="str">
        <f t="array" ref="H23">IFERROR(INDEX('Temp Hisfa'!H$3:H$200, SMALL(IF(ISERROR('Temp Hisfa'!H$3:H$200), "", ROW('Temp Hisfa'!H$3:H$200)-MIN(ROW('Temp Hisfa'!H$3:H$200))+1), ROW(21:220))),"")</f>
        <v/>
      </c>
      <c r="I23" s="22">
        <f t="array" ref="I23">IFERROR(INDEX('Temp Hisfa'!I$3:I$200, SMALL(IF(ISERROR('Temp Hisfa'!I$3:I$200), "", ROW('Temp Hisfa'!I$3:I$200)-MIN(ROW('Temp Hisfa'!I$3:I$200))+1), ROW(21:220))),"")</f>
        <v>0</v>
      </c>
      <c r="J23" s="22">
        <f t="array" ref="J23">IFERROR(INDEX('Temp Hisfa'!J$3:J$200, SMALL(IF(ISERROR('Temp Hisfa'!J$3:J$200), "", ROW('Temp Hisfa'!J$3:J$200)-MIN(ROW('Temp Hisfa'!J$3:J$200))+1), ROW(21:220))),"")</f>
        <v>0</v>
      </c>
      <c r="K23" s="30">
        <f t="array" ref="K23">IFERROR(INDEX('Temp Hisfa'!K$3:K$200, SMALL(IF(ISERROR('Temp Hisfa'!K$3:K$200), "", ROW('Temp Hisfa'!K$3:K$200)-MIN(ROW('Temp Hisfa'!K$3:K$200))+1), ROW(21:220))),"")</f>
        <v>0</v>
      </c>
      <c r="L23" s="22">
        <f t="array" ref="L23">IFERROR(INDEX('Temp Hisfa'!L$3:L$200, SMALL(IF(ISERROR('Temp Hisfa'!L$3:L$200), "", ROW('Temp Hisfa'!L$3:L$200)-MIN(ROW('Temp Hisfa'!L$3:L$200))+1), ROW(21:220))),"")</f>
        <v>0</v>
      </c>
      <c r="M23" s="22">
        <f t="array" ref="M23">IFERROR(INDEX('Temp Hisfa'!M$3:M$200, SMALL(IF(ISERROR('Temp Hisfa'!M$3:M$200), "", ROW('Temp Hisfa'!M$3:M$200)-MIN(ROW('Temp Hisfa'!M$3:M$200))+1), ROW(21:220))),"")</f>
        <v>0</v>
      </c>
      <c r="N23" s="22">
        <f t="array" ref="N23">IFERROR(INDEX('Temp Hisfa'!N$3:N$200, SMALL(IF(ISERROR('Temp Hisfa'!N$3:N$200), "", ROW('Temp Hisfa'!N$3:N$200)-MIN(ROW('Temp Hisfa'!N$3:N$200))+1), ROW(21:220))),"")</f>
        <v>1900</v>
      </c>
      <c r="O23" s="22" t="str">
        <f t="array" ref="O23">IFERROR(INDEX('Temp Hisfa'!O$3:O$200, SMALL(IF(ISERROR('Temp Hisfa'!O$3:O$200), "", ROW('Temp Hisfa'!O$3:O$200)-MIN(ROW('Temp Hisfa'!O$3:O$200))+1), ROW(21:220))),"")</f>
        <v>enero</v>
      </c>
      <c r="P23" s="22">
        <f t="array" ref="P23">IFERROR(INDEX('Temp Hisfa'!P$3:P$200, SMALL(IF(ISERROR('Temp Hisfa'!P$3:P$200), "", ROW('Temp Hisfa'!P$3:P$200)-MIN(ROW('Temp Hisfa'!P$3:P$200))+1), ROW(21:220))),"")</f>
        <v>0</v>
      </c>
      <c r="Q23" s="22">
        <f t="array" ref="Q23">IFERROR(INDEX('Temp Hisfa'!Q$3:Q$200, SMALL(IF(ISERROR('Temp Hisfa'!Q$3:Q$200), "", ROW('Temp Hisfa'!Q$3:Q$200)-MIN(ROW('Temp Hisfa'!Q$3:Q$200))+1), ROW(21:220))),"")</f>
        <v>0</v>
      </c>
      <c r="R23" s="22">
        <f t="array" ref="R23">IFERROR(INDEX('Temp Hisfa'!R$3:R$200, SMALL(IF(ISERROR('Temp Hisfa'!R$3:R$200), "", ROW('Temp Hisfa'!R$3:R$200)-MIN(ROW('Temp Hisfa'!R$3:R$200))+1), ROW(21:220))),"")</f>
        <v>0</v>
      </c>
      <c r="S23" s="22">
        <f t="array" ref="S23">IFERROR(INDEX('Temp Hisfa'!S$3:S$200, SMALL(IF(ISERROR('Temp Hisfa'!S$3:S$200), "", ROW('Temp Hisfa'!S$3:S$200)-MIN(ROW('Temp Hisfa'!S$3:S$200))+1), ROW(21:220))),"")</f>
        <v>0</v>
      </c>
      <c r="T23" s="22">
        <f t="array" ref="T23">IFERROR(INDEX('Temp Hisfa'!T$3:T$200, SMALL(IF(ISERROR('Temp Hisfa'!T$3:T$200), "", ROW('Temp Hisfa'!T$3:T$200)-MIN(ROW('Temp Hisfa'!T$3:T$200))+1), ROW(21:220))),"")</f>
        <v>0</v>
      </c>
      <c r="U23" s="22">
        <f t="array" ref="U23">IFERROR(INDEX('Temp Hisfa'!U$3:U$200, SMALL(IF(ISERROR('Temp Hisfa'!U$3:U$200), "", ROW('Temp Hisfa'!U$3:U$200)-MIN(ROW('Temp Hisfa'!U$3:U$200))+1), ROW(21:220))),"")</f>
        <v>0</v>
      </c>
      <c r="V23" s="22">
        <f t="array" ref="V23">IFERROR(INDEX('Temp Hisfa'!V$3:V$200, SMALL(IF(ISERROR('Temp Hisfa'!V$3:V$200), "", ROW('Temp Hisfa'!V$3:V$200)-MIN(ROW('Temp Hisfa'!V$3:V$200))+1), ROW(21:220))),"")</f>
        <v>0</v>
      </c>
      <c r="W23" s="22">
        <f t="array" ref="W23">IFERROR(INDEX('Temp Hisfa'!W$3:W$200, SMALL(IF(ISERROR('Temp Hisfa'!W$3:W$200), "", ROW('Temp Hisfa'!W$3:W$200)-MIN(ROW('Temp Hisfa'!W$3:W$200))+1), ROW(21:220))),"")</f>
        <v>0</v>
      </c>
      <c r="X23" s="22">
        <f t="array" ref="X23">IFERROR(INDEX('Temp Hisfa'!X$3:X$200, SMALL(IF(ISERROR('Temp Hisfa'!X$3:X$200), "", ROW('Temp Hisfa'!X$3:X$200)-MIN(ROW('Temp Hisfa'!X$3:X$200))+1), ROW(21:220))),"")</f>
        <v>0</v>
      </c>
      <c r="Y23" s="22">
        <f t="array" ref="Y23">IFERROR(INDEX('Temp Hisfa'!Y$3:Y$200, SMALL(IF(ISERROR('Temp Hisfa'!Y$3:Y$200), "", ROW('Temp Hisfa'!Y$3:Y$200)-MIN(ROW('Temp Hisfa'!Y$3:Y$200))+1), ROW(21:220))),"")</f>
        <v>0</v>
      </c>
      <c r="Z23" s="22">
        <f t="array" ref="Z23">IFERROR(INDEX('Temp Hisfa'!Z$3:Z$200, SMALL(IF(ISERROR('Temp Hisfa'!Z$3:Z$200), "", ROW('Temp Hisfa'!Z$3:Z$200)-MIN(ROW('Temp Hisfa'!Z$3:Z$200))+1), ROW(21:220))),"")</f>
        <v>0</v>
      </c>
      <c r="AA23" s="22">
        <f t="array" ref="AA23">IFERROR(INDEX('Temp Hisfa'!AA$3:AA$200, SMALL(IF(ISERROR('Temp Hisfa'!AA$3:AA$200), "", ROW('Temp Hisfa'!AA$3:AA$200)-MIN(ROW('Temp Hisfa'!AA$3:AA$200))+1), ROW(21:220))),"")</f>
        <v>0</v>
      </c>
      <c r="AB23" s="22">
        <f t="array" ref="AB23">IFERROR(INDEX('Temp Hisfa'!AB$3:AB$200, SMALL(IF(ISERROR('Temp Hisfa'!AB$3:AB$200), "", ROW('Temp Hisfa'!AB$3:AB$200)-MIN(ROW('Temp Hisfa'!AB$3:AB$200))+1), ROW(21:220))),"")</f>
        <v>0</v>
      </c>
    </row>
    <row r="24" spans="1:28" x14ac:dyDescent="0.3">
      <c r="A24" s="4">
        <f t="array" ref="A24">IFERROR(INDEX('Temp Hisfa'!A$3:A$200, SMALL(IF(ISERROR('Temp Hisfa'!A$3:A$200), "", ROW('Temp Hisfa'!A$3:A$200)-MIN(ROW('Temp Hisfa'!A$3:A$200))+1), ROW(22:220))),"")</f>
        <v>0</v>
      </c>
      <c r="B24" s="4">
        <f t="array" ref="B24">IFERROR(INDEX('Temp Hisfa'!B$3:B$200, SMALL(IF(ISERROR('Temp Hisfa'!B$3:B$200), "", ROW('Temp Hisfa'!B$3:B$200)-MIN(ROW('Temp Hisfa'!B$3:B$200))+1), ROW(22:220))),"")</f>
        <v>0</v>
      </c>
      <c r="C24" s="3">
        <f t="array" ref="C24">IFERROR(INDEX('Temp Hisfa'!C$3:C$200, SMALL(IF(ISERROR('Temp Hisfa'!C$3:C$200), "", ROW('Temp Hisfa'!C$3:C$200)-MIN(ROW('Temp Hisfa'!C$3:C$200))+1), ROW(22:220))),"")</f>
        <v>0</v>
      </c>
      <c r="D24" s="3">
        <f t="array" ref="D24">IFERROR(INDEX('Temp Hisfa'!D$3:D$200, SMALL(IF(ISERROR('Temp Hisfa'!D$3:D$200), "", ROW('Temp Hisfa'!D$3:D$200)-MIN(ROW('Temp Hisfa'!D$3:D$200))+1), ROW(22:220))),"")</f>
        <v>0</v>
      </c>
      <c r="E24" s="29">
        <f t="array" ref="E24">IFERROR(INDEX('Temp Hisfa'!E$3:E$200, SMALL(IF(ISERROR('Temp Hisfa'!E$3:E$200), "", ROW('Temp Hisfa'!E$3:E$200)-MIN(ROW('Temp Hisfa'!E$3:E$200))+1), ROW(22:221))),"")</f>
        <v>0</v>
      </c>
      <c r="F24" s="22" t="str">
        <f t="array" ref="F24">IFERROR(INDEX('Temp Hisfa'!F$3:F$200, SMALL(IF(ISERROR('Temp Hisfa'!F$3:F$200), "", ROW('Temp Hisfa'!F$3:F$200)-MIN(ROW('Temp Hisfa'!F$3:F$200))+1), ROW(22:221))),"")</f>
        <v/>
      </c>
      <c r="G24" s="30">
        <f t="array" ref="G24">IFERROR(INDEX('Temp Hisfa'!G$3:G$200, SMALL(IF(ISERROR('Temp Hisfa'!G$3:G$200), "", ROW('Temp Hisfa'!G$3:G$200)-MIN(ROW('Temp Hisfa'!G$3:G$200))+1), ROW(22:221))),"")</f>
        <v>0</v>
      </c>
      <c r="H24" s="22" t="str">
        <f t="array" ref="H24">IFERROR(INDEX('Temp Hisfa'!H$3:H$200, SMALL(IF(ISERROR('Temp Hisfa'!H$3:H$200), "", ROW('Temp Hisfa'!H$3:H$200)-MIN(ROW('Temp Hisfa'!H$3:H$200))+1), ROW(22:221))),"")</f>
        <v/>
      </c>
      <c r="I24" s="22">
        <f t="array" ref="I24">IFERROR(INDEX('Temp Hisfa'!I$3:I$200, SMALL(IF(ISERROR('Temp Hisfa'!I$3:I$200), "", ROW('Temp Hisfa'!I$3:I$200)-MIN(ROW('Temp Hisfa'!I$3:I$200))+1), ROW(22:221))),"")</f>
        <v>0</v>
      </c>
      <c r="J24" s="22">
        <f t="array" ref="J24">IFERROR(INDEX('Temp Hisfa'!J$3:J$200, SMALL(IF(ISERROR('Temp Hisfa'!J$3:J$200), "", ROW('Temp Hisfa'!J$3:J$200)-MIN(ROW('Temp Hisfa'!J$3:J$200))+1), ROW(22:221))),"")</f>
        <v>0</v>
      </c>
      <c r="K24" s="30">
        <f t="array" ref="K24">IFERROR(INDEX('Temp Hisfa'!K$3:K$200, SMALL(IF(ISERROR('Temp Hisfa'!K$3:K$200), "", ROW('Temp Hisfa'!K$3:K$200)-MIN(ROW('Temp Hisfa'!K$3:K$200))+1), ROW(22:221))),"")</f>
        <v>0</v>
      </c>
      <c r="L24" s="22">
        <f t="array" ref="L24">IFERROR(INDEX('Temp Hisfa'!L$3:L$200, SMALL(IF(ISERROR('Temp Hisfa'!L$3:L$200), "", ROW('Temp Hisfa'!L$3:L$200)-MIN(ROW('Temp Hisfa'!L$3:L$200))+1), ROW(22:221))),"")</f>
        <v>0</v>
      </c>
      <c r="M24" s="22">
        <f t="array" ref="M24">IFERROR(INDEX('Temp Hisfa'!M$3:M$200, SMALL(IF(ISERROR('Temp Hisfa'!M$3:M$200), "", ROW('Temp Hisfa'!M$3:M$200)-MIN(ROW('Temp Hisfa'!M$3:M$200))+1), ROW(22:221))),"")</f>
        <v>0</v>
      </c>
      <c r="N24" s="22">
        <f t="array" ref="N24">IFERROR(INDEX('Temp Hisfa'!N$3:N$200, SMALL(IF(ISERROR('Temp Hisfa'!N$3:N$200), "", ROW('Temp Hisfa'!N$3:N$200)-MIN(ROW('Temp Hisfa'!N$3:N$200))+1), ROW(22:221))),"")</f>
        <v>1900</v>
      </c>
      <c r="O24" s="22" t="str">
        <f t="array" ref="O24">IFERROR(INDEX('Temp Hisfa'!O$3:O$200, SMALL(IF(ISERROR('Temp Hisfa'!O$3:O$200), "", ROW('Temp Hisfa'!O$3:O$200)-MIN(ROW('Temp Hisfa'!O$3:O$200))+1), ROW(22:221))),"")</f>
        <v>enero</v>
      </c>
      <c r="P24" s="22">
        <f t="array" ref="P24">IFERROR(INDEX('Temp Hisfa'!P$3:P$200, SMALL(IF(ISERROR('Temp Hisfa'!P$3:P$200), "", ROW('Temp Hisfa'!P$3:P$200)-MIN(ROW('Temp Hisfa'!P$3:P$200))+1), ROW(22:221))),"")</f>
        <v>0</v>
      </c>
      <c r="Q24" s="22">
        <f t="array" ref="Q24">IFERROR(INDEX('Temp Hisfa'!Q$3:Q$200, SMALL(IF(ISERROR('Temp Hisfa'!Q$3:Q$200), "", ROW('Temp Hisfa'!Q$3:Q$200)-MIN(ROW('Temp Hisfa'!Q$3:Q$200))+1), ROW(22:221))),"")</f>
        <v>0</v>
      </c>
      <c r="R24" s="22">
        <f t="array" ref="R24">IFERROR(INDEX('Temp Hisfa'!R$3:R$200, SMALL(IF(ISERROR('Temp Hisfa'!R$3:R$200), "", ROW('Temp Hisfa'!R$3:R$200)-MIN(ROW('Temp Hisfa'!R$3:R$200))+1), ROW(22:221))),"")</f>
        <v>0</v>
      </c>
      <c r="S24" s="22">
        <f t="array" ref="S24">IFERROR(INDEX('Temp Hisfa'!S$3:S$200, SMALL(IF(ISERROR('Temp Hisfa'!S$3:S$200), "", ROW('Temp Hisfa'!S$3:S$200)-MIN(ROW('Temp Hisfa'!S$3:S$200))+1), ROW(22:221))),"")</f>
        <v>0</v>
      </c>
      <c r="T24" s="22">
        <f t="array" ref="T24">IFERROR(INDEX('Temp Hisfa'!T$3:T$200, SMALL(IF(ISERROR('Temp Hisfa'!T$3:T$200), "", ROW('Temp Hisfa'!T$3:T$200)-MIN(ROW('Temp Hisfa'!T$3:T$200))+1), ROW(22:221))),"")</f>
        <v>0</v>
      </c>
      <c r="U24" s="22">
        <f t="array" ref="U24">IFERROR(INDEX('Temp Hisfa'!U$3:U$200, SMALL(IF(ISERROR('Temp Hisfa'!U$3:U$200), "", ROW('Temp Hisfa'!U$3:U$200)-MIN(ROW('Temp Hisfa'!U$3:U$200))+1), ROW(22:221))),"")</f>
        <v>0</v>
      </c>
      <c r="V24" s="22">
        <f t="array" ref="V24">IFERROR(INDEX('Temp Hisfa'!V$3:V$200, SMALL(IF(ISERROR('Temp Hisfa'!V$3:V$200), "", ROW('Temp Hisfa'!V$3:V$200)-MIN(ROW('Temp Hisfa'!V$3:V$200))+1), ROW(22:221))),"")</f>
        <v>0</v>
      </c>
      <c r="W24" s="22">
        <f t="array" ref="W24">IFERROR(INDEX('Temp Hisfa'!W$3:W$200, SMALL(IF(ISERROR('Temp Hisfa'!W$3:W$200), "", ROW('Temp Hisfa'!W$3:W$200)-MIN(ROW('Temp Hisfa'!W$3:W$200))+1), ROW(22:221))),"")</f>
        <v>0</v>
      </c>
      <c r="X24" s="22">
        <f t="array" ref="X24">IFERROR(INDEX('Temp Hisfa'!X$3:X$200, SMALL(IF(ISERROR('Temp Hisfa'!X$3:X$200), "", ROW('Temp Hisfa'!X$3:X$200)-MIN(ROW('Temp Hisfa'!X$3:X$200))+1), ROW(22:221))),"")</f>
        <v>0</v>
      </c>
      <c r="Y24" s="22">
        <f t="array" ref="Y24">IFERROR(INDEX('Temp Hisfa'!Y$3:Y$200, SMALL(IF(ISERROR('Temp Hisfa'!Y$3:Y$200), "", ROW('Temp Hisfa'!Y$3:Y$200)-MIN(ROW('Temp Hisfa'!Y$3:Y$200))+1), ROW(22:221))),"")</f>
        <v>0</v>
      </c>
      <c r="Z24" s="22">
        <f t="array" ref="Z24">IFERROR(INDEX('Temp Hisfa'!Z$3:Z$200, SMALL(IF(ISERROR('Temp Hisfa'!Z$3:Z$200), "", ROW('Temp Hisfa'!Z$3:Z$200)-MIN(ROW('Temp Hisfa'!Z$3:Z$200))+1), ROW(22:221))),"")</f>
        <v>0</v>
      </c>
      <c r="AA24" s="22">
        <f t="array" ref="AA24">IFERROR(INDEX('Temp Hisfa'!AA$3:AA$200, SMALL(IF(ISERROR('Temp Hisfa'!AA$3:AA$200), "", ROW('Temp Hisfa'!AA$3:AA$200)-MIN(ROW('Temp Hisfa'!AA$3:AA$200))+1), ROW(22:221))),"")</f>
        <v>0</v>
      </c>
      <c r="AB24" s="22">
        <f t="array" ref="AB24">IFERROR(INDEX('Temp Hisfa'!AB$3:AB$200, SMALL(IF(ISERROR('Temp Hisfa'!AB$3:AB$200), "", ROW('Temp Hisfa'!AB$3:AB$200)-MIN(ROW('Temp Hisfa'!AB$3:AB$200))+1), ROW(22:221))),"")</f>
        <v>0</v>
      </c>
    </row>
    <row r="25" spans="1:28" x14ac:dyDescent="0.3">
      <c r="A25" s="4">
        <f t="array" ref="A25">IFERROR(INDEX('Temp Hisfa'!A$3:A$200, SMALL(IF(ISERROR('Temp Hisfa'!A$3:A$200), "", ROW('Temp Hisfa'!A$3:A$200)-MIN(ROW('Temp Hisfa'!A$3:A$200))+1), ROW(23:221))),"")</f>
        <v>0</v>
      </c>
      <c r="B25" s="4">
        <f t="array" ref="B25">IFERROR(INDEX('Temp Hisfa'!B$3:B$200, SMALL(IF(ISERROR('Temp Hisfa'!B$3:B$200), "", ROW('Temp Hisfa'!B$3:B$200)-MIN(ROW('Temp Hisfa'!B$3:B$200))+1), ROW(23:221))),"")</f>
        <v>0</v>
      </c>
      <c r="C25" s="3">
        <f t="array" ref="C25">IFERROR(INDEX('Temp Hisfa'!C$3:C$200, SMALL(IF(ISERROR('Temp Hisfa'!C$3:C$200), "", ROW('Temp Hisfa'!C$3:C$200)-MIN(ROW('Temp Hisfa'!C$3:C$200))+1), ROW(23:221))),"")</f>
        <v>0</v>
      </c>
      <c r="D25" s="3">
        <f t="array" ref="D25">IFERROR(INDEX('Temp Hisfa'!D$3:D$200, SMALL(IF(ISERROR('Temp Hisfa'!D$3:D$200), "", ROW('Temp Hisfa'!D$3:D$200)-MIN(ROW('Temp Hisfa'!D$3:D$200))+1), ROW(23:221))),"")</f>
        <v>0</v>
      </c>
      <c r="E25" s="29">
        <f t="array" ref="E25">IFERROR(INDEX('Temp Hisfa'!E$3:E$200, SMALL(IF(ISERROR('Temp Hisfa'!E$3:E$200), "", ROW('Temp Hisfa'!E$3:E$200)-MIN(ROW('Temp Hisfa'!E$3:E$200))+1), ROW(23:222))),"")</f>
        <v>0</v>
      </c>
      <c r="F25" s="22" t="str">
        <f t="array" ref="F25">IFERROR(INDEX('Temp Hisfa'!F$3:F$200, SMALL(IF(ISERROR('Temp Hisfa'!F$3:F$200), "", ROW('Temp Hisfa'!F$3:F$200)-MIN(ROW('Temp Hisfa'!F$3:F$200))+1), ROW(23:222))),"")</f>
        <v/>
      </c>
      <c r="G25" s="30">
        <f t="array" ref="G25">IFERROR(INDEX('Temp Hisfa'!G$3:G$200, SMALL(IF(ISERROR('Temp Hisfa'!G$3:G$200), "", ROW('Temp Hisfa'!G$3:G$200)-MIN(ROW('Temp Hisfa'!G$3:G$200))+1), ROW(23:222))),"")</f>
        <v>0</v>
      </c>
      <c r="H25" s="22" t="str">
        <f t="array" ref="H25">IFERROR(INDEX('Temp Hisfa'!H$3:H$200, SMALL(IF(ISERROR('Temp Hisfa'!H$3:H$200), "", ROW('Temp Hisfa'!H$3:H$200)-MIN(ROW('Temp Hisfa'!H$3:H$200))+1), ROW(23:222))),"")</f>
        <v/>
      </c>
      <c r="I25" s="22">
        <f t="array" ref="I25">IFERROR(INDEX('Temp Hisfa'!I$3:I$200, SMALL(IF(ISERROR('Temp Hisfa'!I$3:I$200), "", ROW('Temp Hisfa'!I$3:I$200)-MIN(ROW('Temp Hisfa'!I$3:I$200))+1), ROW(23:222))),"")</f>
        <v>0</v>
      </c>
      <c r="J25" s="22">
        <f t="array" ref="J25">IFERROR(INDEX('Temp Hisfa'!J$3:J$200, SMALL(IF(ISERROR('Temp Hisfa'!J$3:J$200), "", ROW('Temp Hisfa'!J$3:J$200)-MIN(ROW('Temp Hisfa'!J$3:J$200))+1), ROW(23:222))),"")</f>
        <v>0</v>
      </c>
      <c r="K25" s="30">
        <f t="array" ref="K25">IFERROR(INDEX('Temp Hisfa'!K$3:K$200, SMALL(IF(ISERROR('Temp Hisfa'!K$3:K$200), "", ROW('Temp Hisfa'!K$3:K$200)-MIN(ROW('Temp Hisfa'!K$3:K$200))+1), ROW(23:222))),"")</f>
        <v>0</v>
      </c>
      <c r="L25" s="22">
        <f t="array" ref="L25">IFERROR(INDEX('Temp Hisfa'!L$3:L$200, SMALL(IF(ISERROR('Temp Hisfa'!L$3:L$200), "", ROW('Temp Hisfa'!L$3:L$200)-MIN(ROW('Temp Hisfa'!L$3:L$200))+1), ROW(23:222))),"")</f>
        <v>0</v>
      </c>
      <c r="M25" s="22">
        <f t="array" ref="M25">IFERROR(INDEX('Temp Hisfa'!M$3:M$200, SMALL(IF(ISERROR('Temp Hisfa'!M$3:M$200), "", ROW('Temp Hisfa'!M$3:M$200)-MIN(ROW('Temp Hisfa'!M$3:M$200))+1), ROW(23:222))),"")</f>
        <v>0</v>
      </c>
      <c r="N25" s="22">
        <f t="array" ref="N25">IFERROR(INDEX('Temp Hisfa'!N$3:N$200, SMALL(IF(ISERROR('Temp Hisfa'!N$3:N$200), "", ROW('Temp Hisfa'!N$3:N$200)-MIN(ROW('Temp Hisfa'!N$3:N$200))+1), ROW(23:222))),"")</f>
        <v>1900</v>
      </c>
      <c r="O25" s="22" t="str">
        <f t="array" ref="O25">IFERROR(INDEX('Temp Hisfa'!O$3:O$200, SMALL(IF(ISERROR('Temp Hisfa'!O$3:O$200), "", ROW('Temp Hisfa'!O$3:O$200)-MIN(ROW('Temp Hisfa'!O$3:O$200))+1), ROW(23:222))),"")</f>
        <v>enero</v>
      </c>
      <c r="P25" s="22">
        <f t="array" ref="P25">IFERROR(INDEX('Temp Hisfa'!P$3:P$200, SMALL(IF(ISERROR('Temp Hisfa'!P$3:P$200), "", ROW('Temp Hisfa'!P$3:P$200)-MIN(ROW('Temp Hisfa'!P$3:P$200))+1), ROW(23:222))),"")</f>
        <v>0</v>
      </c>
      <c r="Q25" s="22">
        <f t="array" ref="Q25">IFERROR(INDEX('Temp Hisfa'!Q$3:Q$200, SMALL(IF(ISERROR('Temp Hisfa'!Q$3:Q$200), "", ROW('Temp Hisfa'!Q$3:Q$200)-MIN(ROW('Temp Hisfa'!Q$3:Q$200))+1), ROW(23:222))),"")</f>
        <v>0</v>
      </c>
      <c r="R25" s="22">
        <f t="array" ref="R25">IFERROR(INDEX('Temp Hisfa'!R$3:R$200, SMALL(IF(ISERROR('Temp Hisfa'!R$3:R$200), "", ROW('Temp Hisfa'!R$3:R$200)-MIN(ROW('Temp Hisfa'!R$3:R$200))+1), ROW(23:222))),"")</f>
        <v>0</v>
      </c>
      <c r="S25" s="22">
        <f t="array" ref="S25">IFERROR(INDEX('Temp Hisfa'!S$3:S$200, SMALL(IF(ISERROR('Temp Hisfa'!S$3:S$200), "", ROW('Temp Hisfa'!S$3:S$200)-MIN(ROW('Temp Hisfa'!S$3:S$200))+1), ROW(23:222))),"")</f>
        <v>0</v>
      </c>
      <c r="T25" s="22">
        <f t="array" ref="T25">IFERROR(INDEX('Temp Hisfa'!T$3:T$200, SMALL(IF(ISERROR('Temp Hisfa'!T$3:T$200), "", ROW('Temp Hisfa'!T$3:T$200)-MIN(ROW('Temp Hisfa'!T$3:T$200))+1), ROW(23:222))),"")</f>
        <v>0</v>
      </c>
      <c r="U25" s="22">
        <f t="array" ref="U25">IFERROR(INDEX('Temp Hisfa'!U$3:U$200, SMALL(IF(ISERROR('Temp Hisfa'!U$3:U$200), "", ROW('Temp Hisfa'!U$3:U$200)-MIN(ROW('Temp Hisfa'!U$3:U$200))+1), ROW(23:222))),"")</f>
        <v>0</v>
      </c>
      <c r="V25" s="22">
        <f t="array" ref="V25">IFERROR(INDEX('Temp Hisfa'!V$3:V$200, SMALL(IF(ISERROR('Temp Hisfa'!V$3:V$200), "", ROW('Temp Hisfa'!V$3:V$200)-MIN(ROW('Temp Hisfa'!V$3:V$200))+1), ROW(23:222))),"")</f>
        <v>0</v>
      </c>
      <c r="W25" s="22">
        <f t="array" ref="W25">IFERROR(INDEX('Temp Hisfa'!W$3:W$200, SMALL(IF(ISERROR('Temp Hisfa'!W$3:W$200), "", ROW('Temp Hisfa'!W$3:W$200)-MIN(ROW('Temp Hisfa'!W$3:W$200))+1), ROW(23:222))),"")</f>
        <v>0</v>
      </c>
      <c r="X25" s="22">
        <f t="array" ref="X25">IFERROR(INDEX('Temp Hisfa'!X$3:X$200, SMALL(IF(ISERROR('Temp Hisfa'!X$3:X$200), "", ROW('Temp Hisfa'!X$3:X$200)-MIN(ROW('Temp Hisfa'!X$3:X$200))+1), ROW(23:222))),"")</f>
        <v>0</v>
      </c>
      <c r="Y25" s="22">
        <f t="array" ref="Y25">IFERROR(INDEX('Temp Hisfa'!Y$3:Y$200, SMALL(IF(ISERROR('Temp Hisfa'!Y$3:Y$200), "", ROW('Temp Hisfa'!Y$3:Y$200)-MIN(ROW('Temp Hisfa'!Y$3:Y$200))+1), ROW(23:222))),"")</f>
        <v>0</v>
      </c>
      <c r="Z25" s="22">
        <f t="array" ref="Z25">IFERROR(INDEX('Temp Hisfa'!Z$3:Z$200, SMALL(IF(ISERROR('Temp Hisfa'!Z$3:Z$200), "", ROW('Temp Hisfa'!Z$3:Z$200)-MIN(ROW('Temp Hisfa'!Z$3:Z$200))+1), ROW(23:222))),"")</f>
        <v>0</v>
      </c>
      <c r="AA25" s="22">
        <f t="array" ref="AA25">IFERROR(INDEX('Temp Hisfa'!AA$3:AA$200, SMALL(IF(ISERROR('Temp Hisfa'!AA$3:AA$200), "", ROW('Temp Hisfa'!AA$3:AA$200)-MIN(ROW('Temp Hisfa'!AA$3:AA$200))+1), ROW(23:222))),"")</f>
        <v>0</v>
      </c>
      <c r="AB25" s="22">
        <f t="array" ref="AB25">IFERROR(INDEX('Temp Hisfa'!AB$3:AB$200, SMALL(IF(ISERROR('Temp Hisfa'!AB$3:AB$200), "", ROW('Temp Hisfa'!AB$3:AB$200)-MIN(ROW('Temp Hisfa'!AB$3:AB$200))+1), ROW(23:222))),"")</f>
        <v>0</v>
      </c>
    </row>
    <row r="26" spans="1:28" x14ac:dyDescent="0.3">
      <c r="A26" s="4">
        <f t="array" ref="A26">IFERROR(INDEX('Temp Hisfa'!A$3:A$200, SMALL(IF(ISERROR('Temp Hisfa'!A$3:A$200), "", ROW('Temp Hisfa'!A$3:A$200)-MIN(ROW('Temp Hisfa'!A$3:A$200))+1), ROW(24:222))),"")</f>
        <v>0</v>
      </c>
      <c r="B26" s="4">
        <f t="array" ref="B26">IFERROR(INDEX('Temp Hisfa'!B$3:B$200, SMALL(IF(ISERROR('Temp Hisfa'!B$3:B$200), "", ROW('Temp Hisfa'!B$3:B$200)-MIN(ROW('Temp Hisfa'!B$3:B$200))+1), ROW(24:222))),"")</f>
        <v>0</v>
      </c>
      <c r="C26" s="3">
        <f t="array" ref="C26">IFERROR(INDEX('Temp Hisfa'!C$3:C$200, SMALL(IF(ISERROR('Temp Hisfa'!C$3:C$200), "", ROW('Temp Hisfa'!C$3:C$200)-MIN(ROW('Temp Hisfa'!C$3:C$200))+1), ROW(24:222))),"")</f>
        <v>0</v>
      </c>
      <c r="D26" s="3">
        <f t="array" ref="D26">IFERROR(INDEX('Temp Hisfa'!D$3:D$200, SMALL(IF(ISERROR('Temp Hisfa'!D$3:D$200), "", ROW('Temp Hisfa'!D$3:D$200)-MIN(ROW('Temp Hisfa'!D$3:D$200))+1), ROW(24:222))),"")</f>
        <v>0</v>
      </c>
      <c r="E26" s="29">
        <f t="array" ref="E26">IFERROR(INDEX('Temp Hisfa'!E$3:E$200, SMALL(IF(ISERROR('Temp Hisfa'!E$3:E$200), "", ROW('Temp Hisfa'!E$3:E$200)-MIN(ROW('Temp Hisfa'!E$3:E$200))+1), ROW(24:223))),"")</f>
        <v>0</v>
      </c>
      <c r="F26" s="22" t="str">
        <f t="array" ref="F26">IFERROR(INDEX('Temp Hisfa'!F$3:F$200, SMALL(IF(ISERROR('Temp Hisfa'!F$3:F$200), "", ROW('Temp Hisfa'!F$3:F$200)-MIN(ROW('Temp Hisfa'!F$3:F$200))+1), ROW(24:223))),"")</f>
        <v/>
      </c>
      <c r="G26" s="30">
        <f t="array" ref="G26">IFERROR(INDEX('Temp Hisfa'!G$3:G$200, SMALL(IF(ISERROR('Temp Hisfa'!G$3:G$200), "", ROW('Temp Hisfa'!G$3:G$200)-MIN(ROW('Temp Hisfa'!G$3:G$200))+1), ROW(24:223))),"")</f>
        <v>0</v>
      </c>
      <c r="H26" s="22" t="str">
        <f t="array" ref="H26">IFERROR(INDEX('Temp Hisfa'!H$3:H$200, SMALL(IF(ISERROR('Temp Hisfa'!H$3:H$200), "", ROW('Temp Hisfa'!H$3:H$200)-MIN(ROW('Temp Hisfa'!H$3:H$200))+1), ROW(24:223))),"")</f>
        <v/>
      </c>
      <c r="I26" s="22">
        <f t="array" ref="I26">IFERROR(INDEX('Temp Hisfa'!I$3:I$200, SMALL(IF(ISERROR('Temp Hisfa'!I$3:I$200), "", ROW('Temp Hisfa'!I$3:I$200)-MIN(ROW('Temp Hisfa'!I$3:I$200))+1), ROW(24:223))),"")</f>
        <v>0</v>
      </c>
      <c r="J26" s="22">
        <f t="array" ref="J26">IFERROR(INDEX('Temp Hisfa'!J$3:J$200, SMALL(IF(ISERROR('Temp Hisfa'!J$3:J$200), "", ROW('Temp Hisfa'!J$3:J$200)-MIN(ROW('Temp Hisfa'!J$3:J$200))+1), ROW(24:223))),"")</f>
        <v>0</v>
      </c>
      <c r="K26" s="30">
        <f t="array" ref="K26">IFERROR(INDEX('Temp Hisfa'!K$3:K$200, SMALL(IF(ISERROR('Temp Hisfa'!K$3:K$200), "", ROW('Temp Hisfa'!K$3:K$200)-MIN(ROW('Temp Hisfa'!K$3:K$200))+1), ROW(24:223))),"")</f>
        <v>0</v>
      </c>
      <c r="L26" s="22">
        <f t="array" ref="L26">IFERROR(INDEX('Temp Hisfa'!L$3:L$200, SMALL(IF(ISERROR('Temp Hisfa'!L$3:L$200), "", ROW('Temp Hisfa'!L$3:L$200)-MIN(ROW('Temp Hisfa'!L$3:L$200))+1), ROW(24:223))),"")</f>
        <v>0</v>
      </c>
      <c r="M26" s="22">
        <f t="array" ref="M26">IFERROR(INDEX('Temp Hisfa'!M$3:M$200, SMALL(IF(ISERROR('Temp Hisfa'!M$3:M$200), "", ROW('Temp Hisfa'!M$3:M$200)-MIN(ROW('Temp Hisfa'!M$3:M$200))+1), ROW(24:223))),"")</f>
        <v>0</v>
      </c>
      <c r="N26" s="22">
        <f t="array" ref="N26">IFERROR(INDEX('Temp Hisfa'!N$3:N$200, SMALL(IF(ISERROR('Temp Hisfa'!N$3:N$200), "", ROW('Temp Hisfa'!N$3:N$200)-MIN(ROW('Temp Hisfa'!N$3:N$200))+1), ROW(24:223))),"")</f>
        <v>1900</v>
      </c>
      <c r="O26" s="22" t="str">
        <f t="array" ref="O26">IFERROR(INDEX('Temp Hisfa'!O$3:O$200, SMALL(IF(ISERROR('Temp Hisfa'!O$3:O$200), "", ROW('Temp Hisfa'!O$3:O$200)-MIN(ROW('Temp Hisfa'!O$3:O$200))+1), ROW(24:223))),"")</f>
        <v>enero</v>
      </c>
      <c r="P26" s="22">
        <f t="array" ref="P26">IFERROR(INDEX('Temp Hisfa'!P$3:P$200, SMALL(IF(ISERROR('Temp Hisfa'!P$3:P$200), "", ROW('Temp Hisfa'!P$3:P$200)-MIN(ROW('Temp Hisfa'!P$3:P$200))+1), ROW(24:223))),"")</f>
        <v>0</v>
      </c>
      <c r="Q26" s="22">
        <f t="array" ref="Q26">IFERROR(INDEX('Temp Hisfa'!Q$3:Q$200, SMALL(IF(ISERROR('Temp Hisfa'!Q$3:Q$200), "", ROW('Temp Hisfa'!Q$3:Q$200)-MIN(ROW('Temp Hisfa'!Q$3:Q$200))+1), ROW(24:223))),"")</f>
        <v>0</v>
      </c>
      <c r="R26" s="22">
        <f t="array" ref="R26">IFERROR(INDEX('Temp Hisfa'!R$3:R$200, SMALL(IF(ISERROR('Temp Hisfa'!R$3:R$200), "", ROW('Temp Hisfa'!R$3:R$200)-MIN(ROW('Temp Hisfa'!R$3:R$200))+1), ROW(24:223))),"")</f>
        <v>0</v>
      </c>
      <c r="S26" s="22">
        <f t="array" ref="S26">IFERROR(INDEX('Temp Hisfa'!S$3:S$200, SMALL(IF(ISERROR('Temp Hisfa'!S$3:S$200), "", ROW('Temp Hisfa'!S$3:S$200)-MIN(ROW('Temp Hisfa'!S$3:S$200))+1), ROW(24:223))),"")</f>
        <v>0</v>
      </c>
      <c r="T26" s="22">
        <f t="array" ref="T26">IFERROR(INDEX('Temp Hisfa'!T$3:T$200, SMALL(IF(ISERROR('Temp Hisfa'!T$3:T$200), "", ROW('Temp Hisfa'!T$3:T$200)-MIN(ROW('Temp Hisfa'!T$3:T$200))+1), ROW(24:223))),"")</f>
        <v>0</v>
      </c>
      <c r="U26" s="22">
        <f t="array" ref="U26">IFERROR(INDEX('Temp Hisfa'!U$3:U$200, SMALL(IF(ISERROR('Temp Hisfa'!U$3:U$200), "", ROW('Temp Hisfa'!U$3:U$200)-MIN(ROW('Temp Hisfa'!U$3:U$200))+1), ROW(24:223))),"")</f>
        <v>0</v>
      </c>
      <c r="V26" s="22">
        <f t="array" ref="V26">IFERROR(INDEX('Temp Hisfa'!V$3:V$200, SMALL(IF(ISERROR('Temp Hisfa'!V$3:V$200), "", ROW('Temp Hisfa'!V$3:V$200)-MIN(ROW('Temp Hisfa'!V$3:V$200))+1), ROW(24:223))),"")</f>
        <v>0</v>
      </c>
      <c r="W26" s="22">
        <f t="array" ref="W26">IFERROR(INDEX('Temp Hisfa'!W$3:W$200, SMALL(IF(ISERROR('Temp Hisfa'!W$3:W$200), "", ROW('Temp Hisfa'!W$3:W$200)-MIN(ROW('Temp Hisfa'!W$3:W$200))+1), ROW(24:223))),"")</f>
        <v>0</v>
      </c>
      <c r="X26" s="22">
        <f t="array" ref="X26">IFERROR(INDEX('Temp Hisfa'!X$3:X$200, SMALL(IF(ISERROR('Temp Hisfa'!X$3:X$200), "", ROW('Temp Hisfa'!X$3:X$200)-MIN(ROW('Temp Hisfa'!X$3:X$200))+1), ROW(24:223))),"")</f>
        <v>0</v>
      </c>
      <c r="Y26" s="22">
        <f t="array" ref="Y26">IFERROR(INDEX('Temp Hisfa'!Y$3:Y$200, SMALL(IF(ISERROR('Temp Hisfa'!Y$3:Y$200), "", ROW('Temp Hisfa'!Y$3:Y$200)-MIN(ROW('Temp Hisfa'!Y$3:Y$200))+1), ROW(24:223))),"")</f>
        <v>0</v>
      </c>
      <c r="Z26" s="22">
        <f t="array" ref="Z26">IFERROR(INDEX('Temp Hisfa'!Z$3:Z$200, SMALL(IF(ISERROR('Temp Hisfa'!Z$3:Z$200), "", ROW('Temp Hisfa'!Z$3:Z$200)-MIN(ROW('Temp Hisfa'!Z$3:Z$200))+1), ROW(24:223))),"")</f>
        <v>0</v>
      </c>
      <c r="AA26" s="22">
        <f t="array" ref="AA26">IFERROR(INDEX('Temp Hisfa'!AA$3:AA$200, SMALL(IF(ISERROR('Temp Hisfa'!AA$3:AA$200), "", ROW('Temp Hisfa'!AA$3:AA$200)-MIN(ROW('Temp Hisfa'!AA$3:AA$200))+1), ROW(24:223))),"")</f>
        <v>0</v>
      </c>
      <c r="AB26" s="22">
        <f t="array" ref="AB26">IFERROR(INDEX('Temp Hisfa'!AB$3:AB$200, SMALL(IF(ISERROR('Temp Hisfa'!AB$3:AB$200), "", ROW('Temp Hisfa'!AB$3:AB$200)-MIN(ROW('Temp Hisfa'!AB$3:AB$200))+1), ROW(24:223))),"")</f>
        <v>0</v>
      </c>
    </row>
    <row r="27" spans="1:28" x14ac:dyDescent="0.3">
      <c r="A27" s="4">
        <f t="array" ref="A27">IFERROR(INDEX('Temp Hisfa'!A$3:A$200, SMALL(IF(ISERROR('Temp Hisfa'!A$3:A$200), "", ROW('Temp Hisfa'!A$3:A$200)-MIN(ROW('Temp Hisfa'!A$3:A$200))+1), ROW(25:223))),"")</f>
        <v>0</v>
      </c>
      <c r="B27" s="4">
        <f t="array" ref="B27">IFERROR(INDEX('Temp Hisfa'!B$3:B$200, SMALL(IF(ISERROR('Temp Hisfa'!B$3:B$200), "", ROW('Temp Hisfa'!B$3:B$200)-MIN(ROW('Temp Hisfa'!B$3:B$200))+1), ROW(25:223))),"")</f>
        <v>0</v>
      </c>
      <c r="C27" s="3">
        <f t="array" ref="C27">IFERROR(INDEX('Temp Hisfa'!C$3:C$200, SMALL(IF(ISERROR('Temp Hisfa'!C$3:C$200), "", ROW('Temp Hisfa'!C$3:C$200)-MIN(ROW('Temp Hisfa'!C$3:C$200))+1), ROW(25:223))),"")</f>
        <v>0</v>
      </c>
      <c r="D27" s="3">
        <f t="array" ref="D27">IFERROR(INDEX('Temp Hisfa'!D$3:D$200, SMALL(IF(ISERROR('Temp Hisfa'!D$3:D$200), "", ROW('Temp Hisfa'!D$3:D$200)-MIN(ROW('Temp Hisfa'!D$3:D$200))+1), ROW(25:223))),"")</f>
        <v>0</v>
      </c>
      <c r="E27" s="29">
        <f t="array" ref="E27">IFERROR(INDEX('Temp Hisfa'!E$3:E$200, SMALL(IF(ISERROR('Temp Hisfa'!E$3:E$200), "", ROW('Temp Hisfa'!E$3:E$200)-MIN(ROW('Temp Hisfa'!E$3:E$200))+1), ROW(25:224))),"")</f>
        <v>0</v>
      </c>
      <c r="F27" s="22" t="str">
        <f t="array" ref="F27">IFERROR(INDEX('Temp Hisfa'!F$3:F$200, SMALL(IF(ISERROR('Temp Hisfa'!F$3:F$200), "", ROW('Temp Hisfa'!F$3:F$200)-MIN(ROW('Temp Hisfa'!F$3:F$200))+1), ROW(25:224))),"")</f>
        <v/>
      </c>
      <c r="G27" s="30">
        <f t="array" ref="G27">IFERROR(INDEX('Temp Hisfa'!G$3:G$200, SMALL(IF(ISERROR('Temp Hisfa'!G$3:G$200), "", ROW('Temp Hisfa'!G$3:G$200)-MIN(ROW('Temp Hisfa'!G$3:G$200))+1), ROW(25:224))),"")</f>
        <v>0</v>
      </c>
      <c r="H27" s="22" t="str">
        <f t="array" ref="H27">IFERROR(INDEX('Temp Hisfa'!H$3:H$200, SMALL(IF(ISERROR('Temp Hisfa'!H$3:H$200), "", ROW('Temp Hisfa'!H$3:H$200)-MIN(ROW('Temp Hisfa'!H$3:H$200))+1), ROW(25:224))),"")</f>
        <v/>
      </c>
      <c r="I27" s="22">
        <f t="array" ref="I27">IFERROR(INDEX('Temp Hisfa'!I$3:I$200, SMALL(IF(ISERROR('Temp Hisfa'!I$3:I$200), "", ROW('Temp Hisfa'!I$3:I$200)-MIN(ROW('Temp Hisfa'!I$3:I$200))+1), ROW(25:224))),"")</f>
        <v>0</v>
      </c>
      <c r="J27" s="22">
        <f t="array" ref="J27">IFERROR(INDEX('Temp Hisfa'!J$3:J$200, SMALL(IF(ISERROR('Temp Hisfa'!J$3:J$200), "", ROW('Temp Hisfa'!J$3:J$200)-MIN(ROW('Temp Hisfa'!J$3:J$200))+1), ROW(25:224))),"")</f>
        <v>0</v>
      </c>
      <c r="K27" s="30">
        <f t="array" ref="K27">IFERROR(INDEX('Temp Hisfa'!K$3:K$200, SMALL(IF(ISERROR('Temp Hisfa'!K$3:K$200), "", ROW('Temp Hisfa'!K$3:K$200)-MIN(ROW('Temp Hisfa'!K$3:K$200))+1), ROW(25:224))),"")</f>
        <v>0</v>
      </c>
      <c r="L27" s="22">
        <f t="array" ref="L27">IFERROR(INDEX('Temp Hisfa'!L$3:L$200, SMALL(IF(ISERROR('Temp Hisfa'!L$3:L$200), "", ROW('Temp Hisfa'!L$3:L$200)-MIN(ROW('Temp Hisfa'!L$3:L$200))+1), ROW(25:224))),"")</f>
        <v>0</v>
      </c>
      <c r="M27" s="22">
        <f t="array" ref="M27">IFERROR(INDEX('Temp Hisfa'!M$3:M$200, SMALL(IF(ISERROR('Temp Hisfa'!M$3:M$200), "", ROW('Temp Hisfa'!M$3:M$200)-MIN(ROW('Temp Hisfa'!M$3:M$200))+1), ROW(25:224))),"")</f>
        <v>0</v>
      </c>
      <c r="N27" s="22">
        <f t="array" ref="N27">IFERROR(INDEX('Temp Hisfa'!N$3:N$200, SMALL(IF(ISERROR('Temp Hisfa'!N$3:N$200), "", ROW('Temp Hisfa'!N$3:N$200)-MIN(ROW('Temp Hisfa'!N$3:N$200))+1), ROW(25:224))),"")</f>
        <v>1900</v>
      </c>
      <c r="O27" s="22" t="str">
        <f t="array" ref="O27">IFERROR(INDEX('Temp Hisfa'!O$3:O$200, SMALL(IF(ISERROR('Temp Hisfa'!O$3:O$200), "", ROW('Temp Hisfa'!O$3:O$200)-MIN(ROW('Temp Hisfa'!O$3:O$200))+1), ROW(25:224))),"")</f>
        <v>enero</v>
      </c>
      <c r="P27" s="22">
        <f t="array" ref="P27">IFERROR(INDEX('Temp Hisfa'!P$3:P$200, SMALL(IF(ISERROR('Temp Hisfa'!P$3:P$200), "", ROW('Temp Hisfa'!P$3:P$200)-MIN(ROW('Temp Hisfa'!P$3:P$200))+1), ROW(25:224))),"")</f>
        <v>0</v>
      </c>
      <c r="Q27" s="22">
        <f t="array" ref="Q27">IFERROR(INDEX('Temp Hisfa'!Q$3:Q$200, SMALL(IF(ISERROR('Temp Hisfa'!Q$3:Q$200), "", ROW('Temp Hisfa'!Q$3:Q$200)-MIN(ROW('Temp Hisfa'!Q$3:Q$200))+1), ROW(25:224))),"")</f>
        <v>0</v>
      </c>
      <c r="R27" s="22">
        <f t="array" ref="R27">IFERROR(INDEX('Temp Hisfa'!R$3:R$200, SMALL(IF(ISERROR('Temp Hisfa'!R$3:R$200), "", ROW('Temp Hisfa'!R$3:R$200)-MIN(ROW('Temp Hisfa'!R$3:R$200))+1), ROW(25:224))),"")</f>
        <v>0</v>
      </c>
      <c r="S27" s="22">
        <f t="array" ref="S27">IFERROR(INDEX('Temp Hisfa'!S$3:S$200, SMALL(IF(ISERROR('Temp Hisfa'!S$3:S$200), "", ROW('Temp Hisfa'!S$3:S$200)-MIN(ROW('Temp Hisfa'!S$3:S$200))+1), ROW(25:224))),"")</f>
        <v>0</v>
      </c>
      <c r="T27" s="22">
        <f t="array" ref="T27">IFERROR(INDEX('Temp Hisfa'!T$3:T$200, SMALL(IF(ISERROR('Temp Hisfa'!T$3:T$200), "", ROW('Temp Hisfa'!T$3:T$200)-MIN(ROW('Temp Hisfa'!T$3:T$200))+1), ROW(25:224))),"")</f>
        <v>0</v>
      </c>
      <c r="U27" s="22">
        <f t="array" ref="U27">IFERROR(INDEX('Temp Hisfa'!U$3:U$200, SMALL(IF(ISERROR('Temp Hisfa'!U$3:U$200), "", ROW('Temp Hisfa'!U$3:U$200)-MIN(ROW('Temp Hisfa'!U$3:U$200))+1), ROW(25:224))),"")</f>
        <v>0</v>
      </c>
      <c r="V27" s="22">
        <f t="array" ref="V27">IFERROR(INDEX('Temp Hisfa'!V$3:V$200, SMALL(IF(ISERROR('Temp Hisfa'!V$3:V$200), "", ROW('Temp Hisfa'!V$3:V$200)-MIN(ROW('Temp Hisfa'!V$3:V$200))+1), ROW(25:224))),"")</f>
        <v>0</v>
      </c>
      <c r="W27" s="22">
        <f t="array" ref="W27">IFERROR(INDEX('Temp Hisfa'!W$3:W$200, SMALL(IF(ISERROR('Temp Hisfa'!W$3:W$200), "", ROW('Temp Hisfa'!W$3:W$200)-MIN(ROW('Temp Hisfa'!W$3:W$200))+1), ROW(25:224))),"")</f>
        <v>0</v>
      </c>
      <c r="X27" s="22">
        <f t="array" ref="X27">IFERROR(INDEX('Temp Hisfa'!X$3:X$200, SMALL(IF(ISERROR('Temp Hisfa'!X$3:X$200), "", ROW('Temp Hisfa'!X$3:X$200)-MIN(ROW('Temp Hisfa'!X$3:X$200))+1), ROW(25:224))),"")</f>
        <v>0</v>
      </c>
      <c r="Y27" s="22">
        <f t="array" ref="Y27">IFERROR(INDEX('Temp Hisfa'!Y$3:Y$200, SMALL(IF(ISERROR('Temp Hisfa'!Y$3:Y$200), "", ROW('Temp Hisfa'!Y$3:Y$200)-MIN(ROW('Temp Hisfa'!Y$3:Y$200))+1), ROW(25:224))),"")</f>
        <v>0</v>
      </c>
      <c r="Z27" s="22">
        <f t="array" ref="Z27">IFERROR(INDEX('Temp Hisfa'!Z$3:Z$200, SMALL(IF(ISERROR('Temp Hisfa'!Z$3:Z$200), "", ROW('Temp Hisfa'!Z$3:Z$200)-MIN(ROW('Temp Hisfa'!Z$3:Z$200))+1), ROW(25:224))),"")</f>
        <v>0</v>
      </c>
      <c r="AA27" s="22">
        <f t="array" ref="AA27">IFERROR(INDEX('Temp Hisfa'!AA$3:AA$200, SMALL(IF(ISERROR('Temp Hisfa'!AA$3:AA$200), "", ROW('Temp Hisfa'!AA$3:AA$200)-MIN(ROW('Temp Hisfa'!AA$3:AA$200))+1), ROW(25:224))),"")</f>
        <v>0</v>
      </c>
      <c r="AB27" s="22">
        <f t="array" ref="AB27">IFERROR(INDEX('Temp Hisfa'!AB$3:AB$200, SMALL(IF(ISERROR('Temp Hisfa'!AB$3:AB$200), "", ROW('Temp Hisfa'!AB$3:AB$200)-MIN(ROW('Temp Hisfa'!AB$3:AB$200))+1), ROW(25:224))),"")</f>
        <v>0</v>
      </c>
    </row>
    <row r="28" spans="1:28" x14ac:dyDescent="0.3">
      <c r="A28" s="4">
        <f t="array" ref="A28">IFERROR(INDEX('Temp Hisfa'!A$3:A$200, SMALL(IF(ISERROR('Temp Hisfa'!A$3:A$200), "", ROW('Temp Hisfa'!A$3:A$200)-MIN(ROW('Temp Hisfa'!A$3:A$200))+1), ROW(26:224))),"")</f>
        <v>0</v>
      </c>
      <c r="B28" s="4">
        <f t="array" ref="B28">IFERROR(INDEX('Temp Hisfa'!B$3:B$200, SMALL(IF(ISERROR('Temp Hisfa'!B$3:B$200), "", ROW('Temp Hisfa'!B$3:B$200)-MIN(ROW('Temp Hisfa'!B$3:B$200))+1), ROW(26:224))),"")</f>
        <v>0</v>
      </c>
      <c r="C28" s="3">
        <f t="array" ref="C28">IFERROR(INDEX('Temp Hisfa'!C$3:C$200, SMALL(IF(ISERROR('Temp Hisfa'!C$3:C$200), "", ROW('Temp Hisfa'!C$3:C$200)-MIN(ROW('Temp Hisfa'!C$3:C$200))+1), ROW(26:224))),"")</f>
        <v>0</v>
      </c>
      <c r="D28" s="3">
        <f t="array" ref="D28">IFERROR(INDEX('Temp Hisfa'!D$3:D$200, SMALL(IF(ISERROR('Temp Hisfa'!D$3:D$200), "", ROW('Temp Hisfa'!D$3:D$200)-MIN(ROW('Temp Hisfa'!D$3:D$200))+1), ROW(26:224))),"")</f>
        <v>0</v>
      </c>
      <c r="E28" s="29">
        <f t="array" ref="E28">IFERROR(INDEX('Temp Hisfa'!E$3:E$200, SMALL(IF(ISERROR('Temp Hisfa'!E$3:E$200), "", ROW('Temp Hisfa'!E$3:E$200)-MIN(ROW('Temp Hisfa'!E$3:E$200))+1), ROW(26:225))),"")</f>
        <v>0</v>
      </c>
      <c r="F28" s="22" t="str">
        <f t="array" ref="F28">IFERROR(INDEX('Temp Hisfa'!F$3:F$200, SMALL(IF(ISERROR('Temp Hisfa'!F$3:F$200), "", ROW('Temp Hisfa'!F$3:F$200)-MIN(ROW('Temp Hisfa'!F$3:F$200))+1), ROW(26:225))),"")</f>
        <v/>
      </c>
      <c r="G28" s="30">
        <f t="array" ref="G28">IFERROR(INDEX('Temp Hisfa'!G$3:G$200, SMALL(IF(ISERROR('Temp Hisfa'!G$3:G$200), "", ROW('Temp Hisfa'!G$3:G$200)-MIN(ROW('Temp Hisfa'!G$3:G$200))+1), ROW(26:225))),"")</f>
        <v>0</v>
      </c>
      <c r="H28" s="22" t="str">
        <f t="array" ref="H28">IFERROR(INDEX('Temp Hisfa'!H$3:H$200, SMALL(IF(ISERROR('Temp Hisfa'!H$3:H$200), "", ROW('Temp Hisfa'!H$3:H$200)-MIN(ROW('Temp Hisfa'!H$3:H$200))+1), ROW(26:225))),"")</f>
        <v/>
      </c>
      <c r="I28" s="22">
        <f t="array" ref="I28">IFERROR(INDEX('Temp Hisfa'!I$3:I$200, SMALL(IF(ISERROR('Temp Hisfa'!I$3:I$200), "", ROW('Temp Hisfa'!I$3:I$200)-MIN(ROW('Temp Hisfa'!I$3:I$200))+1), ROW(26:225))),"")</f>
        <v>0</v>
      </c>
      <c r="J28" s="22">
        <f t="array" ref="J28">IFERROR(INDEX('Temp Hisfa'!J$3:J$200, SMALL(IF(ISERROR('Temp Hisfa'!J$3:J$200), "", ROW('Temp Hisfa'!J$3:J$200)-MIN(ROW('Temp Hisfa'!J$3:J$200))+1), ROW(26:225))),"")</f>
        <v>0</v>
      </c>
      <c r="K28" s="30">
        <f t="array" ref="K28">IFERROR(INDEX('Temp Hisfa'!K$3:K$200, SMALL(IF(ISERROR('Temp Hisfa'!K$3:K$200), "", ROW('Temp Hisfa'!K$3:K$200)-MIN(ROW('Temp Hisfa'!K$3:K$200))+1), ROW(26:225))),"")</f>
        <v>0</v>
      </c>
      <c r="L28" s="22">
        <f t="array" ref="L28">IFERROR(INDEX('Temp Hisfa'!L$3:L$200, SMALL(IF(ISERROR('Temp Hisfa'!L$3:L$200), "", ROW('Temp Hisfa'!L$3:L$200)-MIN(ROW('Temp Hisfa'!L$3:L$200))+1), ROW(26:225))),"")</f>
        <v>0</v>
      </c>
      <c r="M28" s="22">
        <f t="array" ref="M28">IFERROR(INDEX('Temp Hisfa'!M$3:M$200, SMALL(IF(ISERROR('Temp Hisfa'!M$3:M$200), "", ROW('Temp Hisfa'!M$3:M$200)-MIN(ROW('Temp Hisfa'!M$3:M$200))+1), ROW(26:225))),"")</f>
        <v>0</v>
      </c>
      <c r="N28" s="22">
        <f t="array" ref="N28">IFERROR(INDEX('Temp Hisfa'!N$3:N$200, SMALL(IF(ISERROR('Temp Hisfa'!N$3:N$200), "", ROW('Temp Hisfa'!N$3:N$200)-MIN(ROW('Temp Hisfa'!N$3:N$200))+1), ROW(26:225))),"")</f>
        <v>1900</v>
      </c>
      <c r="O28" s="22" t="str">
        <f t="array" ref="O28">IFERROR(INDEX('Temp Hisfa'!O$3:O$200, SMALL(IF(ISERROR('Temp Hisfa'!O$3:O$200), "", ROW('Temp Hisfa'!O$3:O$200)-MIN(ROW('Temp Hisfa'!O$3:O$200))+1), ROW(26:225))),"")</f>
        <v>enero</v>
      </c>
      <c r="P28" s="22">
        <f t="array" ref="P28">IFERROR(INDEX('Temp Hisfa'!P$3:P$200, SMALL(IF(ISERROR('Temp Hisfa'!P$3:P$200), "", ROW('Temp Hisfa'!P$3:P$200)-MIN(ROW('Temp Hisfa'!P$3:P$200))+1), ROW(26:225))),"")</f>
        <v>0</v>
      </c>
      <c r="Q28" s="22">
        <f t="array" ref="Q28">IFERROR(INDEX('Temp Hisfa'!Q$3:Q$200, SMALL(IF(ISERROR('Temp Hisfa'!Q$3:Q$200), "", ROW('Temp Hisfa'!Q$3:Q$200)-MIN(ROW('Temp Hisfa'!Q$3:Q$200))+1), ROW(26:225))),"")</f>
        <v>0</v>
      </c>
      <c r="R28" s="22">
        <f t="array" ref="R28">IFERROR(INDEX('Temp Hisfa'!R$3:R$200, SMALL(IF(ISERROR('Temp Hisfa'!R$3:R$200), "", ROW('Temp Hisfa'!R$3:R$200)-MIN(ROW('Temp Hisfa'!R$3:R$200))+1), ROW(26:225))),"")</f>
        <v>0</v>
      </c>
      <c r="S28" s="22">
        <f t="array" ref="S28">IFERROR(INDEX('Temp Hisfa'!S$3:S$200, SMALL(IF(ISERROR('Temp Hisfa'!S$3:S$200), "", ROW('Temp Hisfa'!S$3:S$200)-MIN(ROW('Temp Hisfa'!S$3:S$200))+1), ROW(26:225))),"")</f>
        <v>0</v>
      </c>
      <c r="T28" s="22">
        <f t="array" ref="T28">IFERROR(INDEX('Temp Hisfa'!T$3:T$200, SMALL(IF(ISERROR('Temp Hisfa'!T$3:T$200), "", ROW('Temp Hisfa'!T$3:T$200)-MIN(ROW('Temp Hisfa'!T$3:T$200))+1), ROW(26:225))),"")</f>
        <v>0</v>
      </c>
      <c r="U28" s="22">
        <f t="array" ref="U28">IFERROR(INDEX('Temp Hisfa'!U$3:U$200, SMALL(IF(ISERROR('Temp Hisfa'!U$3:U$200), "", ROW('Temp Hisfa'!U$3:U$200)-MIN(ROW('Temp Hisfa'!U$3:U$200))+1), ROW(26:225))),"")</f>
        <v>0</v>
      </c>
      <c r="V28" s="22">
        <f t="array" ref="V28">IFERROR(INDEX('Temp Hisfa'!V$3:V$200, SMALL(IF(ISERROR('Temp Hisfa'!V$3:V$200), "", ROW('Temp Hisfa'!V$3:V$200)-MIN(ROW('Temp Hisfa'!V$3:V$200))+1), ROW(26:225))),"")</f>
        <v>0</v>
      </c>
      <c r="W28" s="22">
        <f t="array" ref="W28">IFERROR(INDEX('Temp Hisfa'!W$3:W$200, SMALL(IF(ISERROR('Temp Hisfa'!W$3:W$200), "", ROW('Temp Hisfa'!W$3:W$200)-MIN(ROW('Temp Hisfa'!W$3:W$200))+1), ROW(26:225))),"")</f>
        <v>0</v>
      </c>
      <c r="X28" s="22">
        <f t="array" ref="X28">IFERROR(INDEX('Temp Hisfa'!X$3:X$200, SMALL(IF(ISERROR('Temp Hisfa'!X$3:X$200), "", ROW('Temp Hisfa'!X$3:X$200)-MIN(ROW('Temp Hisfa'!X$3:X$200))+1), ROW(26:225))),"")</f>
        <v>0</v>
      </c>
      <c r="Y28" s="22">
        <f t="array" ref="Y28">IFERROR(INDEX('Temp Hisfa'!Y$3:Y$200, SMALL(IF(ISERROR('Temp Hisfa'!Y$3:Y$200), "", ROW('Temp Hisfa'!Y$3:Y$200)-MIN(ROW('Temp Hisfa'!Y$3:Y$200))+1), ROW(26:225))),"")</f>
        <v>0</v>
      </c>
      <c r="Z28" s="22">
        <f t="array" ref="Z28">IFERROR(INDEX('Temp Hisfa'!Z$3:Z$200, SMALL(IF(ISERROR('Temp Hisfa'!Z$3:Z$200), "", ROW('Temp Hisfa'!Z$3:Z$200)-MIN(ROW('Temp Hisfa'!Z$3:Z$200))+1), ROW(26:225))),"")</f>
        <v>0</v>
      </c>
      <c r="AA28" s="22">
        <f t="array" ref="AA28">IFERROR(INDEX('Temp Hisfa'!AA$3:AA$200, SMALL(IF(ISERROR('Temp Hisfa'!AA$3:AA$200), "", ROW('Temp Hisfa'!AA$3:AA$200)-MIN(ROW('Temp Hisfa'!AA$3:AA$200))+1), ROW(26:225))),"")</f>
        <v>0</v>
      </c>
      <c r="AB28" s="22">
        <f t="array" ref="AB28">IFERROR(INDEX('Temp Hisfa'!AB$3:AB$200, SMALL(IF(ISERROR('Temp Hisfa'!AB$3:AB$200), "", ROW('Temp Hisfa'!AB$3:AB$200)-MIN(ROW('Temp Hisfa'!AB$3:AB$200))+1), ROW(26:225))),"")</f>
        <v>0</v>
      </c>
    </row>
    <row r="29" spans="1:28" x14ac:dyDescent="0.3">
      <c r="A29" s="4">
        <f t="array" ref="A29">IFERROR(INDEX('Temp Hisfa'!A$3:A$200, SMALL(IF(ISERROR('Temp Hisfa'!A$3:A$200), "", ROW('Temp Hisfa'!A$3:A$200)-MIN(ROW('Temp Hisfa'!A$3:A$200))+1), ROW(27:225))),"")</f>
        <v>0</v>
      </c>
      <c r="B29" s="4">
        <f t="array" ref="B29">IFERROR(INDEX('Temp Hisfa'!B$3:B$200, SMALL(IF(ISERROR('Temp Hisfa'!B$3:B$200), "", ROW('Temp Hisfa'!B$3:B$200)-MIN(ROW('Temp Hisfa'!B$3:B$200))+1), ROW(27:225))),"")</f>
        <v>0</v>
      </c>
      <c r="C29" s="3">
        <f t="array" ref="C29">IFERROR(INDEX('Temp Hisfa'!C$3:C$200, SMALL(IF(ISERROR('Temp Hisfa'!C$3:C$200), "", ROW('Temp Hisfa'!C$3:C$200)-MIN(ROW('Temp Hisfa'!C$3:C$200))+1), ROW(27:225))),"")</f>
        <v>0</v>
      </c>
      <c r="D29" s="3">
        <f t="array" ref="D29">IFERROR(INDEX('Temp Hisfa'!D$3:D$200, SMALL(IF(ISERROR('Temp Hisfa'!D$3:D$200), "", ROW('Temp Hisfa'!D$3:D$200)-MIN(ROW('Temp Hisfa'!D$3:D$200))+1), ROW(27:225))),"")</f>
        <v>0</v>
      </c>
      <c r="E29" s="29">
        <f t="array" ref="E29">IFERROR(INDEX('Temp Hisfa'!E$3:E$200, SMALL(IF(ISERROR('Temp Hisfa'!E$3:E$200), "", ROW('Temp Hisfa'!E$3:E$200)-MIN(ROW('Temp Hisfa'!E$3:E$200))+1), ROW(27:226))),"")</f>
        <v>0</v>
      </c>
      <c r="F29" s="22" t="str">
        <f t="array" ref="F29">IFERROR(INDEX('Temp Hisfa'!F$3:F$200, SMALL(IF(ISERROR('Temp Hisfa'!F$3:F$200), "", ROW('Temp Hisfa'!F$3:F$200)-MIN(ROW('Temp Hisfa'!F$3:F$200))+1), ROW(27:226))),"")</f>
        <v/>
      </c>
      <c r="G29" s="30">
        <f t="array" ref="G29">IFERROR(INDEX('Temp Hisfa'!G$3:G$200, SMALL(IF(ISERROR('Temp Hisfa'!G$3:G$200), "", ROW('Temp Hisfa'!G$3:G$200)-MIN(ROW('Temp Hisfa'!G$3:G$200))+1), ROW(27:226))),"")</f>
        <v>0</v>
      </c>
      <c r="H29" s="22" t="str">
        <f t="array" ref="H29">IFERROR(INDEX('Temp Hisfa'!H$3:H$200, SMALL(IF(ISERROR('Temp Hisfa'!H$3:H$200), "", ROW('Temp Hisfa'!H$3:H$200)-MIN(ROW('Temp Hisfa'!H$3:H$200))+1), ROW(27:226))),"")</f>
        <v/>
      </c>
      <c r="I29" s="22">
        <f t="array" ref="I29">IFERROR(INDEX('Temp Hisfa'!I$3:I$200, SMALL(IF(ISERROR('Temp Hisfa'!I$3:I$200), "", ROW('Temp Hisfa'!I$3:I$200)-MIN(ROW('Temp Hisfa'!I$3:I$200))+1), ROW(27:226))),"")</f>
        <v>0</v>
      </c>
      <c r="J29" s="22">
        <f t="array" ref="J29">IFERROR(INDEX('Temp Hisfa'!J$3:J$200, SMALL(IF(ISERROR('Temp Hisfa'!J$3:J$200), "", ROW('Temp Hisfa'!J$3:J$200)-MIN(ROW('Temp Hisfa'!J$3:J$200))+1), ROW(27:226))),"")</f>
        <v>0</v>
      </c>
      <c r="K29" s="30">
        <f t="array" ref="K29">IFERROR(INDEX('Temp Hisfa'!K$3:K$200, SMALL(IF(ISERROR('Temp Hisfa'!K$3:K$200), "", ROW('Temp Hisfa'!K$3:K$200)-MIN(ROW('Temp Hisfa'!K$3:K$200))+1), ROW(27:226))),"")</f>
        <v>0</v>
      </c>
      <c r="L29" s="22">
        <f t="array" ref="L29">IFERROR(INDEX('Temp Hisfa'!L$3:L$200, SMALL(IF(ISERROR('Temp Hisfa'!L$3:L$200), "", ROW('Temp Hisfa'!L$3:L$200)-MIN(ROW('Temp Hisfa'!L$3:L$200))+1), ROW(27:226))),"")</f>
        <v>0</v>
      </c>
      <c r="M29" s="22">
        <f t="array" ref="M29">IFERROR(INDEX('Temp Hisfa'!M$3:M$200, SMALL(IF(ISERROR('Temp Hisfa'!M$3:M$200), "", ROW('Temp Hisfa'!M$3:M$200)-MIN(ROW('Temp Hisfa'!M$3:M$200))+1), ROW(27:226))),"")</f>
        <v>0</v>
      </c>
      <c r="N29" s="22">
        <f t="array" ref="N29">IFERROR(INDEX('Temp Hisfa'!N$3:N$200, SMALL(IF(ISERROR('Temp Hisfa'!N$3:N$200), "", ROW('Temp Hisfa'!N$3:N$200)-MIN(ROW('Temp Hisfa'!N$3:N$200))+1), ROW(27:226))),"")</f>
        <v>1900</v>
      </c>
      <c r="O29" s="22" t="str">
        <f t="array" ref="O29">IFERROR(INDEX('Temp Hisfa'!O$3:O$200, SMALL(IF(ISERROR('Temp Hisfa'!O$3:O$200), "", ROW('Temp Hisfa'!O$3:O$200)-MIN(ROW('Temp Hisfa'!O$3:O$200))+1), ROW(27:226))),"")</f>
        <v>enero</v>
      </c>
      <c r="P29" s="22">
        <f t="array" ref="P29">IFERROR(INDEX('Temp Hisfa'!P$3:P$200, SMALL(IF(ISERROR('Temp Hisfa'!P$3:P$200), "", ROW('Temp Hisfa'!P$3:P$200)-MIN(ROW('Temp Hisfa'!P$3:P$200))+1), ROW(27:226))),"")</f>
        <v>0</v>
      </c>
      <c r="Q29" s="22">
        <f t="array" ref="Q29">IFERROR(INDEX('Temp Hisfa'!Q$3:Q$200, SMALL(IF(ISERROR('Temp Hisfa'!Q$3:Q$200), "", ROW('Temp Hisfa'!Q$3:Q$200)-MIN(ROW('Temp Hisfa'!Q$3:Q$200))+1), ROW(27:226))),"")</f>
        <v>0</v>
      </c>
      <c r="R29" s="22">
        <f t="array" ref="R29">IFERROR(INDEX('Temp Hisfa'!R$3:R$200, SMALL(IF(ISERROR('Temp Hisfa'!R$3:R$200), "", ROW('Temp Hisfa'!R$3:R$200)-MIN(ROW('Temp Hisfa'!R$3:R$200))+1), ROW(27:226))),"")</f>
        <v>0</v>
      </c>
      <c r="S29" s="22">
        <f t="array" ref="S29">IFERROR(INDEX('Temp Hisfa'!S$3:S$200, SMALL(IF(ISERROR('Temp Hisfa'!S$3:S$200), "", ROW('Temp Hisfa'!S$3:S$200)-MIN(ROW('Temp Hisfa'!S$3:S$200))+1), ROW(27:226))),"")</f>
        <v>0</v>
      </c>
      <c r="T29" s="22">
        <f t="array" ref="T29">IFERROR(INDEX('Temp Hisfa'!T$3:T$200, SMALL(IF(ISERROR('Temp Hisfa'!T$3:T$200), "", ROW('Temp Hisfa'!T$3:T$200)-MIN(ROW('Temp Hisfa'!T$3:T$200))+1), ROW(27:226))),"")</f>
        <v>0</v>
      </c>
      <c r="U29" s="22">
        <f t="array" ref="U29">IFERROR(INDEX('Temp Hisfa'!U$3:U$200, SMALL(IF(ISERROR('Temp Hisfa'!U$3:U$200), "", ROW('Temp Hisfa'!U$3:U$200)-MIN(ROW('Temp Hisfa'!U$3:U$200))+1), ROW(27:226))),"")</f>
        <v>0</v>
      </c>
      <c r="V29" s="22">
        <f t="array" ref="V29">IFERROR(INDEX('Temp Hisfa'!V$3:V$200, SMALL(IF(ISERROR('Temp Hisfa'!V$3:V$200), "", ROW('Temp Hisfa'!V$3:V$200)-MIN(ROW('Temp Hisfa'!V$3:V$200))+1), ROW(27:226))),"")</f>
        <v>0</v>
      </c>
      <c r="W29" s="22">
        <f t="array" ref="W29">IFERROR(INDEX('Temp Hisfa'!W$3:W$200, SMALL(IF(ISERROR('Temp Hisfa'!W$3:W$200), "", ROW('Temp Hisfa'!W$3:W$200)-MIN(ROW('Temp Hisfa'!W$3:W$200))+1), ROW(27:226))),"")</f>
        <v>0</v>
      </c>
      <c r="X29" s="22">
        <f t="array" ref="X29">IFERROR(INDEX('Temp Hisfa'!X$3:X$200, SMALL(IF(ISERROR('Temp Hisfa'!X$3:X$200), "", ROW('Temp Hisfa'!X$3:X$200)-MIN(ROW('Temp Hisfa'!X$3:X$200))+1), ROW(27:226))),"")</f>
        <v>0</v>
      </c>
      <c r="Y29" s="22">
        <f t="array" ref="Y29">IFERROR(INDEX('Temp Hisfa'!Y$3:Y$200, SMALL(IF(ISERROR('Temp Hisfa'!Y$3:Y$200), "", ROW('Temp Hisfa'!Y$3:Y$200)-MIN(ROW('Temp Hisfa'!Y$3:Y$200))+1), ROW(27:226))),"")</f>
        <v>0</v>
      </c>
      <c r="Z29" s="22">
        <f t="array" ref="Z29">IFERROR(INDEX('Temp Hisfa'!Z$3:Z$200, SMALL(IF(ISERROR('Temp Hisfa'!Z$3:Z$200), "", ROW('Temp Hisfa'!Z$3:Z$200)-MIN(ROW('Temp Hisfa'!Z$3:Z$200))+1), ROW(27:226))),"")</f>
        <v>0</v>
      </c>
      <c r="AA29" s="22">
        <f t="array" ref="AA29">IFERROR(INDEX('Temp Hisfa'!AA$3:AA$200, SMALL(IF(ISERROR('Temp Hisfa'!AA$3:AA$200), "", ROW('Temp Hisfa'!AA$3:AA$200)-MIN(ROW('Temp Hisfa'!AA$3:AA$200))+1), ROW(27:226))),"")</f>
        <v>0</v>
      </c>
      <c r="AB29" s="22">
        <f t="array" ref="AB29">IFERROR(INDEX('Temp Hisfa'!AB$3:AB$200, SMALL(IF(ISERROR('Temp Hisfa'!AB$3:AB$200), "", ROW('Temp Hisfa'!AB$3:AB$200)-MIN(ROW('Temp Hisfa'!AB$3:AB$200))+1), ROW(27:226))),"")</f>
        <v>0</v>
      </c>
    </row>
    <row r="30" spans="1:28" x14ac:dyDescent="0.3">
      <c r="A30" s="4">
        <f t="array" ref="A30">IFERROR(INDEX('Temp Hisfa'!A$3:A$200, SMALL(IF(ISERROR('Temp Hisfa'!A$3:A$200), "", ROW('Temp Hisfa'!A$3:A$200)-MIN(ROW('Temp Hisfa'!A$3:A$200))+1), ROW(28:226))),"")</f>
        <v>0</v>
      </c>
      <c r="B30" s="4">
        <f t="array" ref="B30">IFERROR(INDEX('Temp Hisfa'!B$3:B$200, SMALL(IF(ISERROR('Temp Hisfa'!B$3:B$200), "", ROW('Temp Hisfa'!B$3:B$200)-MIN(ROW('Temp Hisfa'!B$3:B$200))+1), ROW(28:226))),"")</f>
        <v>0</v>
      </c>
      <c r="C30" s="3">
        <f t="array" ref="C30">IFERROR(INDEX('Temp Hisfa'!C$3:C$200, SMALL(IF(ISERROR('Temp Hisfa'!C$3:C$200), "", ROW('Temp Hisfa'!C$3:C$200)-MIN(ROW('Temp Hisfa'!C$3:C$200))+1), ROW(28:226))),"")</f>
        <v>0</v>
      </c>
      <c r="D30" s="3">
        <f t="array" ref="D30">IFERROR(INDEX('Temp Hisfa'!D$3:D$200, SMALL(IF(ISERROR('Temp Hisfa'!D$3:D$200), "", ROW('Temp Hisfa'!D$3:D$200)-MIN(ROW('Temp Hisfa'!D$3:D$200))+1), ROW(28:226))),"")</f>
        <v>0</v>
      </c>
      <c r="E30" s="29">
        <f t="array" ref="E30">IFERROR(INDEX('Temp Hisfa'!E$3:E$200, SMALL(IF(ISERROR('Temp Hisfa'!E$3:E$200), "", ROW('Temp Hisfa'!E$3:E$200)-MIN(ROW('Temp Hisfa'!E$3:E$200))+1), ROW(28:227))),"")</f>
        <v>0</v>
      </c>
      <c r="F30" s="22" t="str">
        <f t="array" ref="F30">IFERROR(INDEX('Temp Hisfa'!F$3:F$200, SMALL(IF(ISERROR('Temp Hisfa'!F$3:F$200), "", ROW('Temp Hisfa'!F$3:F$200)-MIN(ROW('Temp Hisfa'!F$3:F$200))+1), ROW(28:227))),"")</f>
        <v/>
      </c>
      <c r="G30" s="30">
        <f t="array" ref="G30">IFERROR(INDEX('Temp Hisfa'!G$3:G$200, SMALL(IF(ISERROR('Temp Hisfa'!G$3:G$200), "", ROW('Temp Hisfa'!G$3:G$200)-MIN(ROW('Temp Hisfa'!G$3:G$200))+1), ROW(28:227))),"")</f>
        <v>0</v>
      </c>
      <c r="H30" s="22" t="str">
        <f t="array" ref="H30">IFERROR(INDEX('Temp Hisfa'!H$3:H$200, SMALL(IF(ISERROR('Temp Hisfa'!H$3:H$200), "", ROW('Temp Hisfa'!H$3:H$200)-MIN(ROW('Temp Hisfa'!H$3:H$200))+1), ROW(28:227))),"")</f>
        <v/>
      </c>
      <c r="I30" s="22">
        <f t="array" ref="I30">IFERROR(INDEX('Temp Hisfa'!I$3:I$200, SMALL(IF(ISERROR('Temp Hisfa'!I$3:I$200), "", ROW('Temp Hisfa'!I$3:I$200)-MIN(ROW('Temp Hisfa'!I$3:I$200))+1), ROW(28:227))),"")</f>
        <v>0</v>
      </c>
      <c r="J30" s="22">
        <f t="array" ref="J30">IFERROR(INDEX('Temp Hisfa'!J$3:J$200, SMALL(IF(ISERROR('Temp Hisfa'!J$3:J$200), "", ROW('Temp Hisfa'!J$3:J$200)-MIN(ROW('Temp Hisfa'!J$3:J$200))+1), ROW(28:227))),"")</f>
        <v>0</v>
      </c>
      <c r="K30" s="30">
        <f t="array" ref="K30">IFERROR(INDEX('Temp Hisfa'!K$3:K$200, SMALL(IF(ISERROR('Temp Hisfa'!K$3:K$200), "", ROW('Temp Hisfa'!K$3:K$200)-MIN(ROW('Temp Hisfa'!K$3:K$200))+1), ROW(28:227))),"")</f>
        <v>0</v>
      </c>
      <c r="L30" s="22">
        <f t="array" ref="L30">IFERROR(INDEX('Temp Hisfa'!L$3:L$200, SMALL(IF(ISERROR('Temp Hisfa'!L$3:L$200), "", ROW('Temp Hisfa'!L$3:L$200)-MIN(ROW('Temp Hisfa'!L$3:L$200))+1), ROW(28:227))),"")</f>
        <v>0</v>
      </c>
      <c r="M30" s="22">
        <f t="array" ref="M30">IFERROR(INDEX('Temp Hisfa'!M$3:M$200, SMALL(IF(ISERROR('Temp Hisfa'!M$3:M$200), "", ROW('Temp Hisfa'!M$3:M$200)-MIN(ROW('Temp Hisfa'!M$3:M$200))+1), ROW(28:227))),"")</f>
        <v>0</v>
      </c>
      <c r="N30" s="22">
        <f t="array" ref="N30">IFERROR(INDEX('Temp Hisfa'!N$3:N$200, SMALL(IF(ISERROR('Temp Hisfa'!N$3:N$200), "", ROW('Temp Hisfa'!N$3:N$200)-MIN(ROW('Temp Hisfa'!N$3:N$200))+1), ROW(28:227))),"")</f>
        <v>1900</v>
      </c>
      <c r="O30" s="22" t="str">
        <f t="array" ref="O30">IFERROR(INDEX('Temp Hisfa'!O$3:O$200, SMALL(IF(ISERROR('Temp Hisfa'!O$3:O$200), "", ROW('Temp Hisfa'!O$3:O$200)-MIN(ROW('Temp Hisfa'!O$3:O$200))+1), ROW(28:227))),"")</f>
        <v>enero</v>
      </c>
      <c r="P30" s="22">
        <f t="array" ref="P30">IFERROR(INDEX('Temp Hisfa'!P$3:P$200, SMALL(IF(ISERROR('Temp Hisfa'!P$3:P$200), "", ROW('Temp Hisfa'!P$3:P$200)-MIN(ROW('Temp Hisfa'!P$3:P$200))+1), ROW(28:227))),"")</f>
        <v>0</v>
      </c>
      <c r="Q30" s="22">
        <f t="array" ref="Q30">IFERROR(INDEX('Temp Hisfa'!Q$3:Q$200, SMALL(IF(ISERROR('Temp Hisfa'!Q$3:Q$200), "", ROW('Temp Hisfa'!Q$3:Q$200)-MIN(ROW('Temp Hisfa'!Q$3:Q$200))+1), ROW(28:227))),"")</f>
        <v>0</v>
      </c>
      <c r="R30" s="22">
        <f t="array" ref="R30">IFERROR(INDEX('Temp Hisfa'!R$3:R$200, SMALL(IF(ISERROR('Temp Hisfa'!R$3:R$200), "", ROW('Temp Hisfa'!R$3:R$200)-MIN(ROW('Temp Hisfa'!R$3:R$200))+1), ROW(28:227))),"")</f>
        <v>0</v>
      </c>
      <c r="S30" s="22">
        <f t="array" ref="S30">IFERROR(INDEX('Temp Hisfa'!S$3:S$200, SMALL(IF(ISERROR('Temp Hisfa'!S$3:S$200), "", ROW('Temp Hisfa'!S$3:S$200)-MIN(ROW('Temp Hisfa'!S$3:S$200))+1), ROW(28:227))),"")</f>
        <v>0</v>
      </c>
      <c r="T30" s="22">
        <f t="array" ref="T30">IFERROR(INDEX('Temp Hisfa'!T$3:T$200, SMALL(IF(ISERROR('Temp Hisfa'!T$3:T$200), "", ROW('Temp Hisfa'!T$3:T$200)-MIN(ROW('Temp Hisfa'!T$3:T$200))+1), ROW(28:227))),"")</f>
        <v>0</v>
      </c>
      <c r="U30" s="22">
        <f t="array" ref="U30">IFERROR(INDEX('Temp Hisfa'!U$3:U$200, SMALL(IF(ISERROR('Temp Hisfa'!U$3:U$200), "", ROW('Temp Hisfa'!U$3:U$200)-MIN(ROW('Temp Hisfa'!U$3:U$200))+1), ROW(28:227))),"")</f>
        <v>0</v>
      </c>
      <c r="V30" s="22">
        <f t="array" ref="V30">IFERROR(INDEX('Temp Hisfa'!V$3:V$200, SMALL(IF(ISERROR('Temp Hisfa'!V$3:V$200), "", ROW('Temp Hisfa'!V$3:V$200)-MIN(ROW('Temp Hisfa'!V$3:V$200))+1), ROW(28:227))),"")</f>
        <v>0</v>
      </c>
      <c r="W30" s="22">
        <f t="array" ref="W30">IFERROR(INDEX('Temp Hisfa'!W$3:W$200, SMALL(IF(ISERROR('Temp Hisfa'!W$3:W$200), "", ROW('Temp Hisfa'!W$3:W$200)-MIN(ROW('Temp Hisfa'!W$3:W$200))+1), ROW(28:227))),"")</f>
        <v>0</v>
      </c>
      <c r="X30" s="22">
        <f t="array" ref="X30">IFERROR(INDEX('Temp Hisfa'!X$3:X$200, SMALL(IF(ISERROR('Temp Hisfa'!X$3:X$200), "", ROW('Temp Hisfa'!X$3:X$200)-MIN(ROW('Temp Hisfa'!X$3:X$200))+1), ROW(28:227))),"")</f>
        <v>0</v>
      </c>
      <c r="Y30" s="22">
        <f t="array" ref="Y30">IFERROR(INDEX('Temp Hisfa'!Y$3:Y$200, SMALL(IF(ISERROR('Temp Hisfa'!Y$3:Y$200), "", ROW('Temp Hisfa'!Y$3:Y$200)-MIN(ROW('Temp Hisfa'!Y$3:Y$200))+1), ROW(28:227))),"")</f>
        <v>0</v>
      </c>
      <c r="Z30" s="22">
        <f t="array" ref="Z30">IFERROR(INDEX('Temp Hisfa'!Z$3:Z$200, SMALL(IF(ISERROR('Temp Hisfa'!Z$3:Z$200), "", ROW('Temp Hisfa'!Z$3:Z$200)-MIN(ROW('Temp Hisfa'!Z$3:Z$200))+1), ROW(28:227))),"")</f>
        <v>0</v>
      </c>
      <c r="AA30" s="22">
        <f t="array" ref="AA30">IFERROR(INDEX('Temp Hisfa'!AA$3:AA$200, SMALL(IF(ISERROR('Temp Hisfa'!AA$3:AA$200), "", ROW('Temp Hisfa'!AA$3:AA$200)-MIN(ROW('Temp Hisfa'!AA$3:AA$200))+1), ROW(28:227))),"")</f>
        <v>0</v>
      </c>
      <c r="AB30" s="22">
        <f t="array" ref="AB30">IFERROR(INDEX('Temp Hisfa'!AB$3:AB$200, SMALL(IF(ISERROR('Temp Hisfa'!AB$3:AB$200), "", ROW('Temp Hisfa'!AB$3:AB$200)-MIN(ROW('Temp Hisfa'!AB$3:AB$200))+1), ROW(28:227))),"")</f>
        <v>0</v>
      </c>
    </row>
    <row r="31" spans="1:28" x14ac:dyDescent="0.3">
      <c r="A31" s="4">
        <f t="array" ref="A31">IFERROR(INDEX('Temp Hisfa'!A$3:A$200, SMALL(IF(ISERROR('Temp Hisfa'!A$3:A$200), "", ROW('Temp Hisfa'!A$3:A$200)-MIN(ROW('Temp Hisfa'!A$3:A$200))+1), ROW(29:227))),"")</f>
        <v>0</v>
      </c>
      <c r="B31" s="4">
        <f t="array" ref="B31">IFERROR(INDEX('Temp Hisfa'!B$3:B$200, SMALL(IF(ISERROR('Temp Hisfa'!B$3:B$200), "", ROW('Temp Hisfa'!B$3:B$200)-MIN(ROW('Temp Hisfa'!B$3:B$200))+1), ROW(29:227))),"")</f>
        <v>0</v>
      </c>
      <c r="C31" s="3">
        <f t="array" ref="C31">IFERROR(INDEX('Temp Hisfa'!C$3:C$200, SMALL(IF(ISERROR('Temp Hisfa'!C$3:C$200), "", ROW('Temp Hisfa'!C$3:C$200)-MIN(ROW('Temp Hisfa'!C$3:C$200))+1), ROW(29:227))),"")</f>
        <v>0</v>
      </c>
      <c r="D31" s="3">
        <f t="array" ref="D31">IFERROR(INDEX('Temp Hisfa'!D$3:D$200, SMALL(IF(ISERROR('Temp Hisfa'!D$3:D$200), "", ROW('Temp Hisfa'!D$3:D$200)-MIN(ROW('Temp Hisfa'!D$3:D$200))+1), ROW(29:227))),"")</f>
        <v>0</v>
      </c>
      <c r="E31" s="29">
        <f t="array" ref="E31">IFERROR(INDEX('Temp Hisfa'!E$3:E$200, SMALL(IF(ISERROR('Temp Hisfa'!E$3:E$200), "", ROW('Temp Hisfa'!E$3:E$200)-MIN(ROW('Temp Hisfa'!E$3:E$200))+1), ROW(29:228))),"")</f>
        <v>0</v>
      </c>
      <c r="F31" s="22" t="str">
        <f t="array" ref="F31">IFERROR(INDEX('Temp Hisfa'!F$3:F$200, SMALL(IF(ISERROR('Temp Hisfa'!F$3:F$200), "", ROW('Temp Hisfa'!F$3:F$200)-MIN(ROW('Temp Hisfa'!F$3:F$200))+1), ROW(29:228))),"")</f>
        <v/>
      </c>
      <c r="G31" s="30">
        <f t="array" ref="G31">IFERROR(INDEX('Temp Hisfa'!G$3:G$200, SMALL(IF(ISERROR('Temp Hisfa'!G$3:G$200), "", ROW('Temp Hisfa'!G$3:G$200)-MIN(ROW('Temp Hisfa'!G$3:G$200))+1), ROW(29:228))),"")</f>
        <v>0</v>
      </c>
      <c r="H31" s="22" t="str">
        <f t="array" ref="H31">IFERROR(INDEX('Temp Hisfa'!H$3:H$200, SMALL(IF(ISERROR('Temp Hisfa'!H$3:H$200), "", ROW('Temp Hisfa'!H$3:H$200)-MIN(ROW('Temp Hisfa'!H$3:H$200))+1), ROW(29:228))),"")</f>
        <v/>
      </c>
      <c r="I31" s="22">
        <f t="array" ref="I31">IFERROR(INDEX('Temp Hisfa'!I$3:I$200, SMALL(IF(ISERROR('Temp Hisfa'!I$3:I$200), "", ROW('Temp Hisfa'!I$3:I$200)-MIN(ROW('Temp Hisfa'!I$3:I$200))+1), ROW(29:228))),"")</f>
        <v>0</v>
      </c>
      <c r="J31" s="22">
        <f t="array" ref="J31">IFERROR(INDEX('Temp Hisfa'!J$3:J$200, SMALL(IF(ISERROR('Temp Hisfa'!J$3:J$200), "", ROW('Temp Hisfa'!J$3:J$200)-MIN(ROW('Temp Hisfa'!J$3:J$200))+1), ROW(29:228))),"")</f>
        <v>0</v>
      </c>
      <c r="K31" s="30">
        <f t="array" ref="K31">IFERROR(INDEX('Temp Hisfa'!K$3:K$200, SMALL(IF(ISERROR('Temp Hisfa'!K$3:K$200), "", ROW('Temp Hisfa'!K$3:K$200)-MIN(ROW('Temp Hisfa'!K$3:K$200))+1), ROW(29:228))),"")</f>
        <v>0</v>
      </c>
      <c r="L31" s="22">
        <f t="array" ref="L31">IFERROR(INDEX('Temp Hisfa'!L$3:L$200, SMALL(IF(ISERROR('Temp Hisfa'!L$3:L$200), "", ROW('Temp Hisfa'!L$3:L$200)-MIN(ROW('Temp Hisfa'!L$3:L$200))+1), ROW(29:228))),"")</f>
        <v>0</v>
      </c>
      <c r="M31" s="22">
        <f t="array" ref="M31">IFERROR(INDEX('Temp Hisfa'!M$3:M$200, SMALL(IF(ISERROR('Temp Hisfa'!M$3:M$200), "", ROW('Temp Hisfa'!M$3:M$200)-MIN(ROW('Temp Hisfa'!M$3:M$200))+1), ROW(29:228))),"")</f>
        <v>0</v>
      </c>
      <c r="N31" s="22">
        <f t="array" ref="N31">IFERROR(INDEX('Temp Hisfa'!N$3:N$200, SMALL(IF(ISERROR('Temp Hisfa'!N$3:N$200), "", ROW('Temp Hisfa'!N$3:N$200)-MIN(ROW('Temp Hisfa'!N$3:N$200))+1), ROW(29:228))),"")</f>
        <v>1900</v>
      </c>
      <c r="O31" s="22" t="str">
        <f t="array" ref="O31">IFERROR(INDEX('Temp Hisfa'!O$3:O$200, SMALL(IF(ISERROR('Temp Hisfa'!O$3:O$200), "", ROW('Temp Hisfa'!O$3:O$200)-MIN(ROW('Temp Hisfa'!O$3:O$200))+1), ROW(29:228))),"")</f>
        <v>enero</v>
      </c>
      <c r="P31" s="22">
        <f t="array" ref="P31">IFERROR(INDEX('Temp Hisfa'!P$3:P$200, SMALL(IF(ISERROR('Temp Hisfa'!P$3:P$200), "", ROW('Temp Hisfa'!P$3:P$200)-MIN(ROW('Temp Hisfa'!P$3:P$200))+1), ROW(29:228))),"")</f>
        <v>0</v>
      </c>
      <c r="Q31" s="22">
        <f t="array" ref="Q31">IFERROR(INDEX('Temp Hisfa'!Q$3:Q$200, SMALL(IF(ISERROR('Temp Hisfa'!Q$3:Q$200), "", ROW('Temp Hisfa'!Q$3:Q$200)-MIN(ROW('Temp Hisfa'!Q$3:Q$200))+1), ROW(29:228))),"")</f>
        <v>0</v>
      </c>
      <c r="R31" s="22">
        <f t="array" ref="R31">IFERROR(INDEX('Temp Hisfa'!R$3:R$200, SMALL(IF(ISERROR('Temp Hisfa'!R$3:R$200), "", ROW('Temp Hisfa'!R$3:R$200)-MIN(ROW('Temp Hisfa'!R$3:R$200))+1), ROW(29:228))),"")</f>
        <v>0</v>
      </c>
      <c r="S31" s="22">
        <f t="array" ref="S31">IFERROR(INDEX('Temp Hisfa'!S$3:S$200, SMALL(IF(ISERROR('Temp Hisfa'!S$3:S$200), "", ROW('Temp Hisfa'!S$3:S$200)-MIN(ROW('Temp Hisfa'!S$3:S$200))+1), ROW(29:228))),"")</f>
        <v>0</v>
      </c>
      <c r="T31" s="22">
        <f t="array" ref="T31">IFERROR(INDEX('Temp Hisfa'!T$3:T$200, SMALL(IF(ISERROR('Temp Hisfa'!T$3:T$200), "", ROW('Temp Hisfa'!T$3:T$200)-MIN(ROW('Temp Hisfa'!T$3:T$200))+1), ROW(29:228))),"")</f>
        <v>0</v>
      </c>
      <c r="U31" s="22">
        <f t="array" ref="U31">IFERROR(INDEX('Temp Hisfa'!U$3:U$200, SMALL(IF(ISERROR('Temp Hisfa'!U$3:U$200), "", ROW('Temp Hisfa'!U$3:U$200)-MIN(ROW('Temp Hisfa'!U$3:U$200))+1), ROW(29:228))),"")</f>
        <v>0</v>
      </c>
      <c r="V31" s="22">
        <f t="array" ref="V31">IFERROR(INDEX('Temp Hisfa'!V$3:V$200, SMALL(IF(ISERROR('Temp Hisfa'!V$3:V$200), "", ROW('Temp Hisfa'!V$3:V$200)-MIN(ROW('Temp Hisfa'!V$3:V$200))+1), ROW(29:228))),"")</f>
        <v>0</v>
      </c>
      <c r="W31" s="22">
        <f t="array" ref="W31">IFERROR(INDEX('Temp Hisfa'!W$3:W$200, SMALL(IF(ISERROR('Temp Hisfa'!W$3:W$200), "", ROW('Temp Hisfa'!W$3:W$200)-MIN(ROW('Temp Hisfa'!W$3:W$200))+1), ROW(29:228))),"")</f>
        <v>0</v>
      </c>
      <c r="X31" s="22">
        <f t="array" ref="X31">IFERROR(INDEX('Temp Hisfa'!X$3:X$200, SMALL(IF(ISERROR('Temp Hisfa'!X$3:X$200), "", ROW('Temp Hisfa'!X$3:X$200)-MIN(ROW('Temp Hisfa'!X$3:X$200))+1), ROW(29:228))),"")</f>
        <v>0</v>
      </c>
      <c r="Y31" s="22">
        <f t="array" ref="Y31">IFERROR(INDEX('Temp Hisfa'!Y$3:Y$200, SMALL(IF(ISERROR('Temp Hisfa'!Y$3:Y$200), "", ROW('Temp Hisfa'!Y$3:Y$200)-MIN(ROW('Temp Hisfa'!Y$3:Y$200))+1), ROW(29:228))),"")</f>
        <v>0</v>
      </c>
      <c r="Z31" s="22">
        <f t="array" ref="Z31">IFERROR(INDEX('Temp Hisfa'!Z$3:Z$200, SMALL(IF(ISERROR('Temp Hisfa'!Z$3:Z$200), "", ROW('Temp Hisfa'!Z$3:Z$200)-MIN(ROW('Temp Hisfa'!Z$3:Z$200))+1), ROW(29:228))),"")</f>
        <v>0</v>
      </c>
      <c r="AA31" s="22">
        <f t="array" ref="AA31">IFERROR(INDEX('Temp Hisfa'!AA$3:AA$200, SMALL(IF(ISERROR('Temp Hisfa'!AA$3:AA$200), "", ROW('Temp Hisfa'!AA$3:AA$200)-MIN(ROW('Temp Hisfa'!AA$3:AA$200))+1), ROW(29:228))),"")</f>
        <v>0</v>
      </c>
      <c r="AB31" s="22">
        <f t="array" ref="AB31">IFERROR(INDEX('Temp Hisfa'!AB$3:AB$200, SMALL(IF(ISERROR('Temp Hisfa'!AB$3:AB$200), "", ROW('Temp Hisfa'!AB$3:AB$200)-MIN(ROW('Temp Hisfa'!AB$3:AB$200))+1), ROW(29:228))),"")</f>
        <v>0</v>
      </c>
    </row>
    <row r="32" spans="1:28" x14ac:dyDescent="0.3">
      <c r="A32" s="4">
        <f t="array" ref="A32">IFERROR(INDEX('Temp Hisfa'!A$3:A$200, SMALL(IF(ISERROR('Temp Hisfa'!A$3:A$200), "", ROW('Temp Hisfa'!A$3:A$200)-MIN(ROW('Temp Hisfa'!A$3:A$200))+1), ROW(30:228))),"")</f>
        <v>0</v>
      </c>
      <c r="B32" s="4">
        <f t="array" ref="B32">IFERROR(INDEX('Temp Hisfa'!B$3:B$200, SMALL(IF(ISERROR('Temp Hisfa'!B$3:B$200), "", ROW('Temp Hisfa'!B$3:B$200)-MIN(ROW('Temp Hisfa'!B$3:B$200))+1), ROW(30:228))),"")</f>
        <v>0</v>
      </c>
      <c r="C32" s="3">
        <f t="array" ref="C32">IFERROR(INDEX('Temp Hisfa'!C$3:C$200, SMALL(IF(ISERROR('Temp Hisfa'!C$3:C$200), "", ROW('Temp Hisfa'!C$3:C$200)-MIN(ROW('Temp Hisfa'!C$3:C$200))+1), ROW(30:228))),"")</f>
        <v>0</v>
      </c>
      <c r="D32" s="3">
        <f t="array" ref="D32">IFERROR(INDEX('Temp Hisfa'!D$3:D$200, SMALL(IF(ISERROR('Temp Hisfa'!D$3:D$200), "", ROW('Temp Hisfa'!D$3:D$200)-MIN(ROW('Temp Hisfa'!D$3:D$200))+1), ROW(30:228))),"")</f>
        <v>0</v>
      </c>
      <c r="E32" s="29">
        <f t="array" ref="E32">IFERROR(INDEX('Temp Hisfa'!E$3:E$200, SMALL(IF(ISERROR('Temp Hisfa'!E$3:E$200), "", ROW('Temp Hisfa'!E$3:E$200)-MIN(ROW('Temp Hisfa'!E$3:E$200))+1), ROW(30:229))),"")</f>
        <v>0</v>
      </c>
      <c r="F32" s="22" t="str">
        <f t="array" ref="F32">IFERROR(INDEX('Temp Hisfa'!F$3:F$200, SMALL(IF(ISERROR('Temp Hisfa'!F$3:F$200), "", ROW('Temp Hisfa'!F$3:F$200)-MIN(ROW('Temp Hisfa'!F$3:F$200))+1), ROW(30:229))),"")</f>
        <v/>
      </c>
      <c r="G32" s="30">
        <f t="array" ref="G32">IFERROR(INDEX('Temp Hisfa'!G$3:G$200, SMALL(IF(ISERROR('Temp Hisfa'!G$3:G$200), "", ROW('Temp Hisfa'!G$3:G$200)-MIN(ROW('Temp Hisfa'!G$3:G$200))+1), ROW(30:229))),"")</f>
        <v>0</v>
      </c>
      <c r="H32" s="22" t="str">
        <f t="array" ref="H32">IFERROR(INDEX('Temp Hisfa'!H$3:H$200, SMALL(IF(ISERROR('Temp Hisfa'!H$3:H$200), "", ROW('Temp Hisfa'!H$3:H$200)-MIN(ROW('Temp Hisfa'!H$3:H$200))+1), ROW(30:229))),"")</f>
        <v/>
      </c>
      <c r="I32" s="22">
        <f t="array" ref="I32">IFERROR(INDEX('Temp Hisfa'!I$3:I$200, SMALL(IF(ISERROR('Temp Hisfa'!I$3:I$200), "", ROW('Temp Hisfa'!I$3:I$200)-MIN(ROW('Temp Hisfa'!I$3:I$200))+1), ROW(30:229))),"")</f>
        <v>0</v>
      </c>
      <c r="J32" s="22">
        <f t="array" ref="J32">IFERROR(INDEX('Temp Hisfa'!J$3:J$200, SMALL(IF(ISERROR('Temp Hisfa'!J$3:J$200), "", ROW('Temp Hisfa'!J$3:J$200)-MIN(ROW('Temp Hisfa'!J$3:J$200))+1), ROW(30:229))),"")</f>
        <v>0</v>
      </c>
      <c r="K32" s="30">
        <f t="array" ref="K32">IFERROR(INDEX('Temp Hisfa'!K$3:K$200, SMALL(IF(ISERROR('Temp Hisfa'!K$3:K$200), "", ROW('Temp Hisfa'!K$3:K$200)-MIN(ROW('Temp Hisfa'!K$3:K$200))+1), ROW(30:229))),"")</f>
        <v>0</v>
      </c>
      <c r="L32" s="22">
        <f t="array" ref="L32">IFERROR(INDEX('Temp Hisfa'!L$3:L$200, SMALL(IF(ISERROR('Temp Hisfa'!L$3:L$200), "", ROW('Temp Hisfa'!L$3:L$200)-MIN(ROW('Temp Hisfa'!L$3:L$200))+1), ROW(30:229))),"")</f>
        <v>0</v>
      </c>
      <c r="M32" s="22">
        <f t="array" ref="M32">IFERROR(INDEX('Temp Hisfa'!M$3:M$200, SMALL(IF(ISERROR('Temp Hisfa'!M$3:M$200), "", ROW('Temp Hisfa'!M$3:M$200)-MIN(ROW('Temp Hisfa'!M$3:M$200))+1), ROW(30:229))),"")</f>
        <v>0</v>
      </c>
      <c r="N32" s="22">
        <f t="array" ref="N32">IFERROR(INDEX('Temp Hisfa'!N$3:N$200, SMALL(IF(ISERROR('Temp Hisfa'!N$3:N$200), "", ROW('Temp Hisfa'!N$3:N$200)-MIN(ROW('Temp Hisfa'!N$3:N$200))+1), ROW(30:229))),"")</f>
        <v>1900</v>
      </c>
      <c r="O32" s="22" t="str">
        <f t="array" ref="O32">IFERROR(INDEX('Temp Hisfa'!O$3:O$200, SMALL(IF(ISERROR('Temp Hisfa'!O$3:O$200), "", ROW('Temp Hisfa'!O$3:O$200)-MIN(ROW('Temp Hisfa'!O$3:O$200))+1), ROW(30:229))),"")</f>
        <v>enero</v>
      </c>
      <c r="P32" s="22">
        <f t="array" ref="P32">IFERROR(INDEX('Temp Hisfa'!P$3:P$200, SMALL(IF(ISERROR('Temp Hisfa'!P$3:P$200), "", ROW('Temp Hisfa'!P$3:P$200)-MIN(ROW('Temp Hisfa'!P$3:P$200))+1), ROW(30:229))),"")</f>
        <v>0</v>
      </c>
      <c r="Q32" s="22">
        <f t="array" ref="Q32">IFERROR(INDEX('Temp Hisfa'!Q$3:Q$200, SMALL(IF(ISERROR('Temp Hisfa'!Q$3:Q$200), "", ROW('Temp Hisfa'!Q$3:Q$200)-MIN(ROW('Temp Hisfa'!Q$3:Q$200))+1), ROW(30:229))),"")</f>
        <v>0</v>
      </c>
      <c r="R32" s="22">
        <f t="array" ref="R32">IFERROR(INDEX('Temp Hisfa'!R$3:R$200, SMALL(IF(ISERROR('Temp Hisfa'!R$3:R$200), "", ROW('Temp Hisfa'!R$3:R$200)-MIN(ROW('Temp Hisfa'!R$3:R$200))+1), ROW(30:229))),"")</f>
        <v>0</v>
      </c>
      <c r="S32" s="22">
        <f t="array" ref="S32">IFERROR(INDEX('Temp Hisfa'!S$3:S$200, SMALL(IF(ISERROR('Temp Hisfa'!S$3:S$200), "", ROW('Temp Hisfa'!S$3:S$200)-MIN(ROW('Temp Hisfa'!S$3:S$200))+1), ROW(30:229))),"")</f>
        <v>0</v>
      </c>
      <c r="T32" s="22">
        <f t="array" ref="T32">IFERROR(INDEX('Temp Hisfa'!T$3:T$200, SMALL(IF(ISERROR('Temp Hisfa'!T$3:T$200), "", ROW('Temp Hisfa'!T$3:T$200)-MIN(ROW('Temp Hisfa'!T$3:T$200))+1), ROW(30:229))),"")</f>
        <v>0</v>
      </c>
      <c r="U32" s="22">
        <f t="array" ref="U32">IFERROR(INDEX('Temp Hisfa'!U$3:U$200, SMALL(IF(ISERROR('Temp Hisfa'!U$3:U$200), "", ROW('Temp Hisfa'!U$3:U$200)-MIN(ROW('Temp Hisfa'!U$3:U$200))+1), ROW(30:229))),"")</f>
        <v>0</v>
      </c>
      <c r="V32" s="22">
        <f t="array" ref="V32">IFERROR(INDEX('Temp Hisfa'!V$3:V$200, SMALL(IF(ISERROR('Temp Hisfa'!V$3:V$200), "", ROW('Temp Hisfa'!V$3:V$200)-MIN(ROW('Temp Hisfa'!V$3:V$200))+1), ROW(30:229))),"")</f>
        <v>0</v>
      </c>
      <c r="W32" s="22">
        <f t="array" ref="W32">IFERROR(INDEX('Temp Hisfa'!W$3:W$200, SMALL(IF(ISERROR('Temp Hisfa'!W$3:W$200), "", ROW('Temp Hisfa'!W$3:W$200)-MIN(ROW('Temp Hisfa'!W$3:W$200))+1), ROW(30:229))),"")</f>
        <v>0</v>
      </c>
      <c r="X32" s="22">
        <f t="array" ref="X32">IFERROR(INDEX('Temp Hisfa'!X$3:X$200, SMALL(IF(ISERROR('Temp Hisfa'!X$3:X$200), "", ROW('Temp Hisfa'!X$3:X$200)-MIN(ROW('Temp Hisfa'!X$3:X$200))+1), ROW(30:229))),"")</f>
        <v>0</v>
      </c>
      <c r="Y32" s="22">
        <f t="array" ref="Y32">IFERROR(INDEX('Temp Hisfa'!Y$3:Y$200, SMALL(IF(ISERROR('Temp Hisfa'!Y$3:Y$200), "", ROW('Temp Hisfa'!Y$3:Y$200)-MIN(ROW('Temp Hisfa'!Y$3:Y$200))+1), ROW(30:229))),"")</f>
        <v>0</v>
      </c>
      <c r="Z32" s="22">
        <f t="array" ref="Z32">IFERROR(INDEX('Temp Hisfa'!Z$3:Z$200, SMALL(IF(ISERROR('Temp Hisfa'!Z$3:Z$200), "", ROW('Temp Hisfa'!Z$3:Z$200)-MIN(ROW('Temp Hisfa'!Z$3:Z$200))+1), ROW(30:229))),"")</f>
        <v>0</v>
      </c>
      <c r="AA32" s="22">
        <f t="array" ref="AA32">IFERROR(INDEX('Temp Hisfa'!AA$3:AA$200, SMALL(IF(ISERROR('Temp Hisfa'!AA$3:AA$200), "", ROW('Temp Hisfa'!AA$3:AA$200)-MIN(ROW('Temp Hisfa'!AA$3:AA$200))+1), ROW(30:229))),"")</f>
        <v>0</v>
      </c>
      <c r="AB32" s="22">
        <f t="array" ref="AB32">IFERROR(INDEX('Temp Hisfa'!AB$3:AB$200, SMALL(IF(ISERROR('Temp Hisfa'!AB$3:AB$200), "", ROW('Temp Hisfa'!AB$3:AB$200)-MIN(ROW('Temp Hisfa'!AB$3:AB$200))+1), ROW(30:229))),"")</f>
        <v>0</v>
      </c>
    </row>
    <row r="33" spans="1:28" x14ac:dyDescent="0.3">
      <c r="A33" s="4">
        <f t="array" ref="A33">IFERROR(INDEX('Temp Hisfa'!A$3:A$200, SMALL(IF(ISERROR('Temp Hisfa'!A$3:A$200), "", ROW('Temp Hisfa'!A$3:A$200)-MIN(ROW('Temp Hisfa'!A$3:A$200))+1), ROW(31:229))),"")</f>
        <v>0</v>
      </c>
      <c r="B33" s="4">
        <f t="array" ref="B33">IFERROR(INDEX('Temp Hisfa'!B$3:B$200, SMALL(IF(ISERROR('Temp Hisfa'!B$3:B$200), "", ROW('Temp Hisfa'!B$3:B$200)-MIN(ROW('Temp Hisfa'!B$3:B$200))+1), ROW(31:229))),"")</f>
        <v>0</v>
      </c>
      <c r="C33" s="3">
        <f t="array" ref="C33">IFERROR(INDEX('Temp Hisfa'!C$3:C$200, SMALL(IF(ISERROR('Temp Hisfa'!C$3:C$200), "", ROW('Temp Hisfa'!C$3:C$200)-MIN(ROW('Temp Hisfa'!C$3:C$200))+1), ROW(31:229))),"")</f>
        <v>0</v>
      </c>
      <c r="D33" s="3">
        <f t="array" ref="D33">IFERROR(INDEX('Temp Hisfa'!D$3:D$200, SMALL(IF(ISERROR('Temp Hisfa'!D$3:D$200), "", ROW('Temp Hisfa'!D$3:D$200)-MIN(ROW('Temp Hisfa'!D$3:D$200))+1), ROW(31:229))),"")</f>
        <v>0</v>
      </c>
      <c r="E33" s="29">
        <f t="array" ref="E33">IFERROR(INDEX('Temp Hisfa'!E$3:E$200, SMALL(IF(ISERROR('Temp Hisfa'!E$3:E$200), "", ROW('Temp Hisfa'!E$3:E$200)-MIN(ROW('Temp Hisfa'!E$3:E$200))+1), ROW(31:230))),"")</f>
        <v>0</v>
      </c>
      <c r="F33" s="22" t="str">
        <f t="array" ref="F33">IFERROR(INDEX('Temp Hisfa'!F$3:F$200, SMALL(IF(ISERROR('Temp Hisfa'!F$3:F$200), "", ROW('Temp Hisfa'!F$3:F$200)-MIN(ROW('Temp Hisfa'!F$3:F$200))+1), ROW(31:230))),"")</f>
        <v/>
      </c>
      <c r="G33" s="30">
        <f t="array" ref="G33">IFERROR(INDEX('Temp Hisfa'!G$3:G$200, SMALL(IF(ISERROR('Temp Hisfa'!G$3:G$200), "", ROW('Temp Hisfa'!G$3:G$200)-MIN(ROW('Temp Hisfa'!G$3:G$200))+1), ROW(31:230))),"")</f>
        <v>0</v>
      </c>
      <c r="H33" s="22" t="str">
        <f t="array" ref="H33">IFERROR(INDEX('Temp Hisfa'!H$3:H$200, SMALL(IF(ISERROR('Temp Hisfa'!H$3:H$200), "", ROW('Temp Hisfa'!H$3:H$200)-MIN(ROW('Temp Hisfa'!H$3:H$200))+1), ROW(31:230))),"")</f>
        <v/>
      </c>
      <c r="I33" s="22">
        <f t="array" ref="I33">IFERROR(INDEX('Temp Hisfa'!I$3:I$200, SMALL(IF(ISERROR('Temp Hisfa'!I$3:I$200), "", ROW('Temp Hisfa'!I$3:I$200)-MIN(ROW('Temp Hisfa'!I$3:I$200))+1), ROW(31:230))),"")</f>
        <v>0</v>
      </c>
      <c r="J33" s="22">
        <f t="array" ref="J33">IFERROR(INDEX('Temp Hisfa'!J$3:J$200, SMALL(IF(ISERROR('Temp Hisfa'!J$3:J$200), "", ROW('Temp Hisfa'!J$3:J$200)-MIN(ROW('Temp Hisfa'!J$3:J$200))+1), ROW(31:230))),"")</f>
        <v>0</v>
      </c>
      <c r="K33" s="30">
        <f t="array" ref="K33">IFERROR(INDEX('Temp Hisfa'!K$3:K$200, SMALL(IF(ISERROR('Temp Hisfa'!K$3:K$200), "", ROW('Temp Hisfa'!K$3:K$200)-MIN(ROW('Temp Hisfa'!K$3:K$200))+1), ROW(31:230))),"")</f>
        <v>0</v>
      </c>
      <c r="L33" s="22">
        <f t="array" ref="L33">IFERROR(INDEX('Temp Hisfa'!L$3:L$200, SMALL(IF(ISERROR('Temp Hisfa'!L$3:L$200), "", ROW('Temp Hisfa'!L$3:L$200)-MIN(ROW('Temp Hisfa'!L$3:L$200))+1), ROW(31:230))),"")</f>
        <v>0</v>
      </c>
      <c r="M33" s="22">
        <f t="array" ref="M33">IFERROR(INDEX('Temp Hisfa'!M$3:M$200, SMALL(IF(ISERROR('Temp Hisfa'!M$3:M$200), "", ROW('Temp Hisfa'!M$3:M$200)-MIN(ROW('Temp Hisfa'!M$3:M$200))+1), ROW(31:230))),"")</f>
        <v>0</v>
      </c>
      <c r="N33" s="22">
        <f t="array" ref="N33">IFERROR(INDEX('Temp Hisfa'!N$3:N$200, SMALL(IF(ISERROR('Temp Hisfa'!N$3:N$200), "", ROW('Temp Hisfa'!N$3:N$200)-MIN(ROW('Temp Hisfa'!N$3:N$200))+1), ROW(31:230))),"")</f>
        <v>1900</v>
      </c>
      <c r="O33" s="22" t="str">
        <f t="array" ref="O33">IFERROR(INDEX('Temp Hisfa'!O$3:O$200, SMALL(IF(ISERROR('Temp Hisfa'!O$3:O$200), "", ROW('Temp Hisfa'!O$3:O$200)-MIN(ROW('Temp Hisfa'!O$3:O$200))+1), ROW(31:230))),"")</f>
        <v>enero</v>
      </c>
      <c r="P33" s="22">
        <f t="array" ref="P33">IFERROR(INDEX('Temp Hisfa'!P$3:P$200, SMALL(IF(ISERROR('Temp Hisfa'!P$3:P$200), "", ROW('Temp Hisfa'!P$3:P$200)-MIN(ROW('Temp Hisfa'!P$3:P$200))+1), ROW(31:230))),"")</f>
        <v>0</v>
      </c>
      <c r="Q33" s="22">
        <f t="array" ref="Q33">IFERROR(INDEX('Temp Hisfa'!Q$3:Q$200, SMALL(IF(ISERROR('Temp Hisfa'!Q$3:Q$200), "", ROW('Temp Hisfa'!Q$3:Q$200)-MIN(ROW('Temp Hisfa'!Q$3:Q$200))+1), ROW(31:230))),"")</f>
        <v>0</v>
      </c>
      <c r="R33" s="22">
        <f t="array" ref="R33">IFERROR(INDEX('Temp Hisfa'!R$3:R$200, SMALL(IF(ISERROR('Temp Hisfa'!R$3:R$200), "", ROW('Temp Hisfa'!R$3:R$200)-MIN(ROW('Temp Hisfa'!R$3:R$200))+1), ROW(31:230))),"")</f>
        <v>0</v>
      </c>
      <c r="S33" s="22">
        <f t="array" ref="S33">IFERROR(INDEX('Temp Hisfa'!S$3:S$200, SMALL(IF(ISERROR('Temp Hisfa'!S$3:S$200), "", ROW('Temp Hisfa'!S$3:S$200)-MIN(ROW('Temp Hisfa'!S$3:S$200))+1), ROW(31:230))),"")</f>
        <v>0</v>
      </c>
      <c r="T33" s="22">
        <f t="array" ref="T33">IFERROR(INDEX('Temp Hisfa'!T$3:T$200, SMALL(IF(ISERROR('Temp Hisfa'!T$3:T$200), "", ROW('Temp Hisfa'!T$3:T$200)-MIN(ROW('Temp Hisfa'!T$3:T$200))+1), ROW(31:230))),"")</f>
        <v>0</v>
      </c>
      <c r="U33" s="22">
        <f t="array" ref="U33">IFERROR(INDEX('Temp Hisfa'!U$3:U$200, SMALL(IF(ISERROR('Temp Hisfa'!U$3:U$200), "", ROW('Temp Hisfa'!U$3:U$200)-MIN(ROW('Temp Hisfa'!U$3:U$200))+1), ROW(31:230))),"")</f>
        <v>0</v>
      </c>
      <c r="V33" s="22">
        <f t="array" ref="V33">IFERROR(INDEX('Temp Hisfa'!V$3:V$200, SMALL(IF(ISERROR('Temp Hisfa'!V$3:V$200), "", ROW('Temp Hisfa'!V$3:V$200)-MIN(ROW('Temp Hisfa'!V$3:V$200))+1), ROW(31:230))),"")</f>
        <v>0</v>
      </c>
      <c r="W33" s="22">
        <f t="array" ref="W33">IFERROR(INDEX('Temp Hisfa'!W$3:W$200, SMALL(IF(ISERROR('Temp Hisfa'!W$3:W$200), "", ROW('Temp Hisfa'!W$3:W$200)-MIN(ROW('Temp Hisfa'!W$3:W$200))+1), ROW(31:230))),"")</f>
        <v>0</v>
      </c>
      <c r="X33" s="22">
        <f t="array" ref="X33">IFERROR(INDEX('Temp Hisfa'!X$3:X$200, SMALL(IF(ISERROR('Temp Hisfa'!X$3:X$200), "", ROW('Temp Hisfa'!X$3:X$200)-MIN(ROW('Temp Hisfa'!X$3:X$200))+1), ROW(31:230))),"")</f>
        <v>0</v>
      </c>
      <c r="Y33" s="22">
        <f t="array" ref="Y33">IFERROR(INDEX('Temp Hisfa'!Y$3:Y$200, SMALL(IF(ISERROR('Temp Hisfa'!Y$3:Y$200), "", ROW('Temp Hisfa'!Y$3:Y$200)-MIN(ROW('Temp Hisfa'!Y$3:Y$200))+1), ROW(31:230))),"")</f>
        <v>0</v>
      </c>
      <c r="Z33" s="22">
        <f t="array" ref="Z33">IFERROR(INDEX('Temp Hisfa'!Z$3:Z$200, SMALL(IF(ISERROR('Temp Hisfa'!Z$3:Z$200), "", ROW('Temp Hisfa'!Z$3:Z$200)-MIN(ROW('Temp Hisfa'!Z$3:Z$200))+1), ROW(31:230))),"")</f>
        <v>0</v>
      </c>
      <c r="AA33" s="22">
        <f t="array" ref="AA33">IFERROR(INDEX('Temp Hisfa'!AA$3:AA$200, SMALL(IF(ISERROR('Temp Hisfa'!AA$3:AA$200), "", ROW('Temp Hisfa'!AA$3:AA$200)-MIN(ROW('Temp Hisfa'!AA$3:AA$200))+1), ROW(31:230))),"")</f>
        <v>0</v>
      </c>
      <c r="AB33" s="22">
        <f t="array" ref="AB33">IFERROR(INDEX('Temp Hisfa'!AB$3:AB$200, SMALL(IF(ISERROR('Temp Hisfa'!AB$3:AB$200), "", ROW('Temp Hisfa'!AB$3:AB$200)-MIN(ROW('Temp Hisfa'!AB$3:AB$200))+1), ROW(31:230))),"")</f>
        <v>0</v>
      </c>
    </row>
    <row r="34" spans="1:28" x14ac:dyDescent="0.3">
      <c r="A34" s="4">
        <f t="array" ref="A34">IFERROR(INDEX('Temp Hisfa'!A$3:A$200, SMALL(IF(ISERROR('Temp Hisfa'!A$3:A$200), "", ROW('Temp Hisfa'!A$3:A$200)-MIN(ROW('Temp Hisfa'!A$3:A$200))+1), ROW(32:230))),"")</f>
        <v>0</v>
      </c>
      <c r="B34" s="4">
        <f t="array" ref="B34">IFERROR(INDEX('Temp Hisfa'!B$3:B$200, SMALL(IF(ISERROR('Temp Hisfa'!B$3:B$200), "", ROW('Temp Hisfa'!B$3:B$200)-MIN(ROW('Temp Hisfa'!B$3:B$200))+1), ROW(32:230))),"")</f>
        <v>0</v>
      </c>
      <c r="C34" s="3">
        <f t="array" ref="C34">IFERROR(INDEX('Temp Hisfa'!C$3:C$200, SMALL(IF(ISERROR('Temp Hisfa'!C$3:C$200), "", ROW('Temp Hisfa'!C$3:C$200)-MIN(ROW('Temp Hisfa'!C$3:C$200))+1), ROW(32:230))),"")</f>
        <v>0</v>
      </c>
      <c r="D34" s="3">
        <f t="array" ref="D34">IFERROR(INDEX('Temp Hisfa'!D$3:D$200, SMALL(IF(ISERROR('Temp Hisfa'!D$3:D$200), "", ROW('Temp Hisfa'!D$3:D$200)-MIN(ROW('Temp Hisfa'!D$3:D$200))+1), ROW(32:230))),"")</f>
        <v>0</v>
      </c>
      <c r="E34" s="29">
        <f t="array" ref="E34">IFERROR(INDEX('Temp Hisfa'!E$3:E$200, SMALL(IF(ISERROR('Temp Hisfa'!E$3:E$200), "", ROW('Temp Hisfa'!E$3:E$200)-MIN(ROW('Temp Hisfa'!E$3:E$200))+1), ROW(32:231))),"")</f>
        <v>0</v>
      </c>
      <c r="F34" s="22" t="str">
        <f t="array" ref="F34">IFERROR(INDEX('Temp Hisfa'!F$3:F$200, SMALL(IF(ISERROR('Temp Hisfa'!F$3:F$200), "", ROW('Temp Hisfa'!F$3:F$200)-MIN(ROW('Temp Hisfa'!F$3:F$200))+1), ROW(32:231))),"")</f>
        <v/>
      </c>
      <c r="G34" s="30">
        <f t="array" ref="G34">IFERROR(INDEX('Temp Hisfa'!G$3:G$200, SMALL(IF(ISERROR('Temp Hisfa'!G$3:G$200), "", ROW('Temp Hisfa'!G$3:G$200)-MIN(ROW('Temp Hisfa'!G$3:G$200))+1), ROW(32:231))),"")</f>
        <v>0</v>
      </c>
      <c r="H34" s="22" t="str">
        <f t="array" ref="H34">IFERROR(INDEX('Temp Hisfa'!H$3:H$200, SMALL(IF(ISERROR('Temp Hisfa'!H$3:H$200), "", ROW('Temp Hisfa'!H$3:H$200)-MIN(ROW('Temp Hisfa'!H$3:H$200))+1), ROW(32:231))),"")</f>
        <v/>
      </c>
      <c r="I34" s="22">
        <f t="array" ref="I34">IFERROR(INDEX('Temp Hisfa'!I$3:I$200, SMALL(IF(ISERROR('Temp Hisfa'!I$3:I$200), "", ROW('Temp Hisfa'!I$3:I$200)-MIN(ROW('Temp Hisfa'!I$3:I$200))+1), ROW(32:231))),"")</f>
        <v>0</v>
      </c>
      <c r="J34" s="22">
        <f t="array" ref="J34">IFERROR(INDEX('Temp Hisfa'!J$3:J$200, SMALL(IF(ISERROR('Temp Hisfa'!J$3:J$200), "", ROW('Temp Hisfa'!J$3:J$200)-MIN(ROW('Temp Hisfa'!J$3:J$200))+1), ROW(32:231))),"")</f>
        <v>0</v>
      </c>
      <c r="K34" s="30">
        <f t="array" ref="K34">IFERROR(INDEX('Temp Hisfa'!K$3:K$200, SMALL(IF(ISERROR('Temp Hisfa'!K$3:K$200), "", ROW('Temp Hisfa'!K$3:K$200)-MIN(ROW('Temp Hisfa'!K$3:K$200))+1), ROW(32:231))),"")</f>
        <v>0</v>
      </c>
      <c r="L34" s="22">
        <f t="array" ref="L34">IFERROR(INDEX('Temp Hisfa'!L$3:L$200, SMALL(IF(ISERROR('Temp Hisfa'!L$3:L$200), "", ROW('Temp Hisfa'!L$3:L$200)-MIN(ROW('Temp Hisfa'!L$3:L$200))+1), ROW(32:231))),"")</f>
        <v>0</v>
      </c>
      <c r="M34" s="22">
        <f t="array" ref="M34">IFERROR(INDEX('Temp Hisfa'!M$3:M$200, SMALL(IF(ISERROR('Temp Hisfa'!M$3:M$200), "", ROW('Temp Hisfa'!M$3:M$200)-MIN(ROW('Temp Hisfa'!M$3:M$200))+1), ROW(32:231))),"")</f>
        <v>0</v>
      </c>
      <c r="N34" s="22">
        <f t="array" ref="N34">IFERROR(INDEX('Temp Hisfa'!N$3:N$200, SMALL(IF(ISERROR('Temp Hisfa'!N$3:N$200), "", ROW('Temp Hisfa'!N$3:N$200)-MIN(ROW('Temp Hisfa'!N$3:N$200))+1), ROW(32:231))),"")</f>
        <v>1900</v>
      </c>
      <c r="O34" s="22" t="str">
        <f t="array" ref="O34">IFERROR(INDEX('Temp Hisfa'!O$3:O$200, SMALL(IF(ISERROR('Temp Hisfa'!O$3:O$200), "", ROW('Temp Hisfa'!O$3:O$200)-MIN(ROW('Temp Hisfa'!O$3:O$200))+1), ROW(32:231))),"")</f>
        <v>enero</v>
      </c>
      <c r="P34" s="22">
        <f t="array" ref="P34">IFERROR(INDEX('Temp Hisfa'!P$3:P$200, SMALL(IF(ISERROR('Temp Hisfa'!P$3:P$200), "", ROW('Temp Hisfa'!P$3:P$200)-MIN(ROW('Temp Hisfa'!P$3:P$200))+1), ROW(32:231))),"")</f>
        <v>0</v>
      </c>
      <c r="Q34" s="22">
        <f t="array" ref="Q34">IFERROR(INDEX('Temp Hisfa'!Q$3:Q$200, SMALL(IF(ISERROR('Temp Hisfa'!Q$3:Q$200), "", ROW('Temp Hisfa'!Q$3:Q$200)-MIN(ROW('Temp Hisfa'!Q$3:Q$200))+1), ROW(32:231))),"")</f>
        <v>0</v>
      </c>
      <c r="R34" s="22">
        <f t="array" ref="R34">IFERROR(INDEX('Temp Hisfa'!R$3:R$200, SMALL(IF(ISERROR('Temp Hisfa'!R$3:R$200), "", ROW('Temp Hisfa'!R$3:R$200)-MIN(ROW('Temp Hisfa'!R$3:R$200))+1), ROW(32:231))),"")</f>
        <v>0</v>
      </c>
      <c r="S34" s="22">
        <f t="array" ref="S34">IFERROR(INDEX('Temp Hisfa'!S$3:S$200, SMALL(IF(ISERROR('Temp Hisfa'!S$3:S$200), "", ROW('Temp Hisfa'!S$3:S$200)-MIN(ROW('Temp Hisfa'!S$3:S$200))+1), ROW(32:231))),"")</f>
        <v>0</v>
      </c>
      <c r="T34" s="22">
        <f t="array" ref="T34">IFERROR(INDEX('Temp Hisfa'!T$3:T$200, SMALL(IF(ISERROR('Temp Hisfa'!T$3:T$200), "", ROW('Temp Hisfa'!T$3:T$200)-MIN(ROW('Temp Hisfa'!T$3:T$200))+1), ROW(32:231))),"")</f>
        <v>0</v>
      </c>
      <c r="U34" s="22">
        <f t="array" ref="U34">IFERROR(INDEX('Temp Hisfa'!U$3:U$200, SMALL(IF(ISERROR('Temp Hisfa'!U$3:U$200), "", ROW('Temp Hisfa'!U$3:U$200)-MIN(ROW('Temp Hisfa'!U$3:U$200))+1), ROW(32:231))),"")</f>
        <v>0</v>
      </c>
      <c r="V34" s="22">
        <f t="array" ref="V34">IFERROR(INDEX('Temp Hisfa'!V$3:V$200, SMALL(IF(ISERROR('Temp Hisfa'!V$3:V$200), "", ROW('Temp Hisfa'!V$3:V$200)-MIN(ROW('Temp Hisfa'!V$3:V$200))+1), ROW(32:231))),"")</f>
        <v>0</v>
      </c>
      <c r="W34" s="22">
        <f t="array" ref="W34">IFERROR(INDEX('Temp Hisfa'!W$3:W$200, SMALL(IF(ISERROR('Temp Hisfa'!W$3:W$200), "", ROW('Temp Hisfa'!W$3:W$200)-MIN(ROW('Temp Hisfa'!W$3:W$200))+1), ROW(32:231))),"")</f>
        <v>0</v>
      </c>
      <c r="X34" s="22">
        <f t="array" ref="X34">IFERROR(INDEX('Temp Hisfa'!X$3:X$200, SMALL(IF(ISERROR('Temp Hisfa'!X$3:X$200), "", ROW('Temp Hisfa'!X$3:X$200)-MIN(ROW('Temp Hisfa'!X$3:X$200))+1), ROW(32:231))),"")</f>
        <v>0</v>
      </c>
      <c r="Y34" s="22">
        <f t="array" ref="Y34">IFERROR(INDEX('Temp Hisfa'!Y$3:Y$200, SMALL(IF(ISERROR('Temp Hisfa'!Y$3:Y$200), "", ROW('Temp Hisfa'!Y$3:Y$200)-MIN(ROW('Temp Hisfa'!Y$3:Y$200))+1), ROW(32:231))),"")</f>
        <v>0</v>
      </c>
      <c r="Z34" s="22">
        <f t="array" ref="Z34">IFERROR(INDEX('Temp Hisfa'!Z$3:Z$200, SMALL(IF(ISERROR('Temp Hisfa'!Z$3:Z$200), "", ROW('Temp Hisfa'!Z$3:Z$200)-MIN(ROW('Temp Hisfa'!Z$3:Z$200))+1), ROW(32:231))),"")</f>
        <v>0</v>
      </c>
      <c r="AA34" s="22">
        <f t="array" ref="AA34">IFERROR(INDEX('Temp Hisfa'!AA$3:AA$200, SMALL(IF(ISERROR('Temp Hisfa'!AA$3:AA$200), "", ROW('Temp Hisfa'!AA$3:AA$200)-MIN(ROW('Temp Hisfa'!AA$3:AA$200))+1), ROW(32:231))),"")</f>
        <v>0</v>
      </c>
      <c r="AB34" s="22">
        <f t="array" ref="AB34">IFERROR(INDEX('Temp Hisfa'!AB$3:AB$200, SMALL(IF(ISERROR('Temp Hisfa'!AB$3:AB$200), "", ROW('Temp Hisfa'!AB$3:AB$200)-MIN(ROW('Temp Hisfa'!AB$3:AB$200))+1), ROW(32:231))),"")</f>
        <v>0</v>
      </c>
    </row>
    <row r="35" spans="1:28" x14ac:dyDescent="0.3">
      <c r="A35" s="4">
        <f t="array" ref="A35">IFERROR(INDEX('Temp Hisfa'!A$3:A$200, SMALL(IF(ISERROR('Temp Hisfa'!A$3:A$200), "", ROW('Temp Hisfa'!A$3:A$200)-MIN(ROW('Temp Hisfa'!A$3:A$200))+1), ROW(33:231))),"")</f>
        <v>0</v>
      </c>
      <c r="B35" s="4">
        <f t="array" ref="B35">IFERROR(INDEX('Temp Hisfa'!B$3:B$200, SMALL(IF(ISERROR('Temp Hisfa'!B$3:B$200), "", ROW('Temp Hisfa'!B$3:B$200)-MIN(ROW('Temp Hisfa'!B$3:B$200))+1), ROW(33:231))),"")</f>
        <v>0</v>
      </c>
      <c r="C35" s="3">
        <f t="array" ref="C35">IFERROR(INDEX('Temp Hisfa'!C$3:C$200, SMALL(IF(ISERROR('Temp Hisfa'!C$3:C$200), "", ROW('Temp Hisfa'!C$3:C$200)-MIN(ROW('Temp Hisfa'!C$3:C$200))+1), ROW(33:231))),"")</f>
        <v>0</v>
      </c>
      <c r="D35" s="3">
        <f t="array" ref="D35">IFERROR(INDEX('Temp Hisfa'!D$3:D$200, SMALL(IF(ISERROR('Temp Hisfa'!D$3:D$200), "", ROW('Temp Hisfa'!D$3:D$200)-MIN(ROW('Temp Hisfa'!D$3:D$200))+1), ROW(33:231))),"")</f>
        <v>0</v>
      </c>
      <c r="E35" s="29">
        <f t="array" ref="E35">IFERROR(INDEX('Temp Hisfa'!E$3:E$200, SMALL(IF(ISERROR('Temp Hisfa'!E$3:E$200), "", ROW('Temp Hisfa'!E$3:E$200)-MIN(ROW('Temp Hisfa'!E$3:E$200))+1), ROW(33:232))),"")</f>
        <v>0</v>
      </c>
      <c r="F35" s="22" t="str">
        <f t="array" ref="F35">IFERROR(INDEX('Temp Hisfa'!F$3:F$200, SMALL(IF(ISERROR('Temp Hisfa'!F$3:F$200), "", ROW('Temp Hisfa'!F$3:F$200)-MIN(ROW('Temp Hisfa'!F$3:F$200))+1), ROW(33:232))),"")</f>
        <v/>
      </c>
      <c r="G35" s="30">
        <f t="array" ref="G35">IFERROR(INDEX('Temp Hisfa'!G$3:G$200, SMALL(IF(ISERROR('Temp Hisfa'!G$3:G$200), "", ROW('Temp Hisfa'!G$3:G$200)-MIN(ROW('Temp Hisfa'!G$3:G$200))+1), ROW(33:232))),"")</f>
        <v>0</v>
      </c>
      <c r="H35" s="22" t="str">
        <f t="array" ref="H35">IFERROR(INDEX('Temp Hisfa'!H$3:H$200, SMALL(IF(ISERROR('Temp Hisfa'!H$3:H$200), "", ROW('Temp Hisfa'!H$3:H$200)-MIN(ROW('Temp Hisfa'!H$3:H$200))+1), ROW(33:232))),"")</f>
        <v/>
      </c>
      <c r="I35" s="22">
        <f t="array" ref="I35">IFERROR(INDEX('Temp Hisfa'!I$3:I$200, SMALL(IF(ISERROR('Temp Hisfa'!I$3:I$200), "", ROW('Temp Hisfa'!I$3:I$200)-MIN(ROW('Temp Hisfa'!I$3:I$200))+1), ROW(33:232))),"")</f>
        <v>0</v>
      </c>
      <c r="J35" s="22">
        <f t="array" ref="J35">IFERROR(INDEX('Temp Hisfa'!J$3:J$200, SMALL(IF(ISERROR('Temp Hisfa'!J$3:J$200), "", ROW('Temp Hisfa'!J$3:J$200)-MIN(ROW('Temp Hisfa'!J$3:J$200))+1), ROW(33:232))),"")</f>
        <v>0</v>
      </c>
      <c r="K35" s="30">
        <f t="array" ref="K35">IFERROR(INDEX('Temp Hisfa'!K$3:K$200, SMALL(IF(ISERROR('Temp Hisfa'!K$3:K$200), "", ROW('Temp Hisfa'!K$3:K$200)-MIN(ROW('Temp Hisfa'!K$3:K$200))+1), ROW(33:232))),"")</f>
        <v>0</v>
      </c>
      <c r="L35" s="22">
        <f t="array" ref="L35">IFERROR(INDEX('Temp Hisfa'!L$3:L$200, SMALL(IF(ISERROR('Temp Hisfa'!L$3:L$200), "", ROW('Temp Hisfa'!L$3:L$200)-MIN(ROW('Temp Hisfa'!L$3:L$200))+1), ROW(33:232))),"")</f>
        <v>0</v>
      </c>
      <c r="M35" s="22">
        <f t="array" ref="M35">IFERROR(INDEX('Temp Hisfa'!M$3:M$200, SMALL(IF(ISERROR('Temp Hisfa'!M$3:M$200), "", ROW('Temp Hisfa'!M$3:M$200)-MIN(ROW('Temp Hisfa'!M$3:M$200))+1), ROW(33:232))),"")</f>
        <v>0</v>
      </c>
      <c r="N35" s="22">
        <f t="array" ref="N35">IFERROR(INDEX('Temp Hisfa'!N$3:N$200, SMALL(IF(ISERROR('Temp Hisfa'!N$3:N$200), "", ROW('Temp Hisfa'!N$3:N$200)-MIN(ROW('Temp Hisfa'!N$3:N$200))+1), ROW(33:232))),"")</f>
        <v>1900</v>
      </c>
      <c r="O35" s="22" t="str">
        <f t="array" ref="O35">IFERROR(INDEX('Temp Hisfa'!O$3:O$200, SMALL(IF(ISERROR('Temp Hisfa'!O$3:O$200), "", ROW('Temp Hisfa'!O$3:O$200)-MIN(ROW('Temp Hisfa'!O$3:O$200))+1), ROW(33:232))),"")</f>
        <v>enero</v>
      </c>
      <c r="P35" s="22">
        <f t="array" ref="P35">IFERROR(INDEX('Temp Hisfa'!P$3:P$200, SMALL(IF(ISERROR('Temp Hisfa'!P$3:P$200), "", ROW('Temp Hisfa'!P$3:P$200)-MIN(ROW('Temp Hisfa'!P$3:P$200))+1), ROW(33:232))),"")</f>
        <v>0</v>
      </c>
      <c r="Q35" s="22">
        <f t="array" ref="Q35">IFERROR(INDEX('Temp Hisfa'!Q$3:Q$200, SMALL(IF(ISERROR('Temp Hisfa'!Q$3:Q$200), "", ROW('Temp Hisfa'!Q$3:Q$200)-MIN(ROW('Temp Hisfa'!Q$3:Q$200))+1), ROW(33:232))),"")</f>
        <v>0</v>
      </c>
      <c r="R35" s="22">
        <f t="array" ref="R35">IFERROR(INDEX('Temp Hisfa'!R$3:R$200, SMALL(IF(ISERROR('Temp Hisfa'!R$3:R$200), "", ROW('Temp Hisfa'!R$3:R$200)-MIN(ROW('Temp Hisfa'!R$3:R$200))+1), ROW(33:232))),"")</f>
        <v>0</v>
      </c>
      <c r="S35" s="22">
        <f t="array" ref="S35">IFERROR(INDEX('Temp Hisfa'!S$3:S$200, SMALL(IF(ISERROR('Temp Hisfa'!S$3:S$200), "", ROW('Temp Hisfa'!S$3:S$200)-MIN(ROW('Temp Hisfa'!S$3:S$200))+1), ROW(33:232))),"")</f>
        <v>0</v>
      </c>
      <c r="T35" s="22">
        <f t="array" ref="T35">IFERROR(INDEX('Temp Hisfa'!T$3:T$200, SMALL(IF(ISERROR('Temp Hisfa'!T$3:T$200), "", ROW('Temp Hisfa'!T$3:T$200)-MIN(ROW('Temp Hisfa'!T$3:T$200))+1), ROW(33:232))),"")</f>
        <v>0</v>
      </c>
      <c r="U35" s="22">
        <f t="array" ref="U35">IFERROR(INDEX('Temp Hisfa'!U$3:U$200, SMALL(IF(ISERROR('Temp Hisfa'!U$3:U$200), "", ROW('Temp Hisfa'!U$3:U$200)-MIN(ROW('Temp Hisfa'!U$3:U$200))+1), ROW(33:232))),"")</f>
        <v>0</v>
      </c>
      <c r="V35" s="22">
        <f t="array" ref="V35">IFERROR(INDEX('Temp Hisfa'!V$3:V$200, SMALL(IF(ISERROR('Temp Hisfa'!V$3:V$200), "", ROW('Temp Hisfa'!V$3:V$200)-MIN(ROW('Temp Hisfa'!V$3:V$200))+1), ROW(33:232))),"")</f>
        <v>0</v>
      </c>
      <c r="W35" s="22">
        <f t="array" ref="W35">IFERROR(INDEX('Temp Hisfa'!W$3:W$200, SMALL(IF(ISERROR('Temp Hisfa'!W$3:W$200), "", ROW('Temp Hisfa'!W$3:W$200)-MIN(ROW('Temp Hisfa'!W$3:W$200))+1), ROW(33:232))),"")</f>
        <v>0</v>
      </c>
      <c r="X35" s="22">
        <f t="array" ref="X35">IFERROR(INDEX('Temp Hisfa'!X$3:X$200, SMALL(IF(ISERROR('Temp Hisfa'!X$3:X$200), "", ROW('Temp Hisfa'!X$3:X$200)-MIN(ROW('Temp Hisfa'!X$3:X$200))+1), ROW(33:232))),"")</f>
        <v>0</v>
      </c>
      <c r="Y35" s="22">
        <f t="array" ref="Y35">IFERROR(INDEX('Temp Hisfa'!Y$3:Y$200, SMALL(IF(ISERROR('Temp Hisfa'!Y$3:Y$200), "", ROW('Temp Hisfa'!Y$3:Y$200)-MIN(ROW('Temp Hisfa'!Y$3:Y$200))+1), ROW(33:232))),"")</f>
        <v>0</v>
      </c>
      <c r="Z35" s="22">
        <f t="array" ref="Z35">IFERROR(INDEX('Temp Hisfa'!Z$3:Z$200, SMALL(IF(ISERROR('Temp Hisfa'!Z$3:Z$200), "", ROW('Temp Hisfa'!Z$3:Z$200)-MIN(ROW('Temp Hisfa'!Z$3:Z$200))+1), ROW(33:232))),"")</f>
        <v>0</v>
      </c>
      <c r="AA35" s="22">
        <f t="array" ref="AA35">IFERROR(INDEX('Temp Hisfa'!AA$3:AA$200, SMALL(IF(ISERROR('Temp Hisfa'!AA$3:AA$200), "", ROW('Temp Hisfa'!AA$3:AA$200)-MIN(ROW('Temp Hisfa'!AA$3:AA$200))+1), ROW(33:232))),"")</f>
        <v>0</v>
      </c>
      <c r="AB35" s="22">
        <f t="array" ref="AB35">IFERROR(INDEX('Temp Hisfa'!AB$3:AB$200, SMALL(IF(ISERROR('Temp Hisfa'!AB$3:AB$200), "", ROW('Temp Hisfa'!AB$3:AB$200)-MIN(ROW('Temp Hisfa'!AB$3:AB$200))+1), ROW(33:232))),"")</f>
        <v>0</v>
      </c>
    </row>
    <row r="36" spans="1:28" x14ac:dyDescent="0.3">
      <c r="A36" s="4">
        <f t="array" ref="A36">IFERROR(INDEX('Temp Hisfa'!A$3:A$200, SMALL(IF(ISERROR('Temp Hisfa'!A$3:A$200), "", ROW('Temp Hisfa'!A$3:A$200)-MIN(ROW('Temp Hisfa'!A$3:A$200))+1), ROW(34:232))),"")</f>
        <v>0</v>
      </c>
      <c r="B36" s="4">
        <f t="array" ref="B36">IFERROR(INDEX('Temp Hisfa'!B$3:B$200, SMALL(IF(ISERROR('Temp Hisfa'!B$3:B$200), "", ROW('Temp Hisfa'!B$3:B$200)-MIN(ROW('Temp Hisfa'!B$3:B$200))+1), ROW(34:232))),"")</f>
        <v>0</v>
      </c>
      <c r="C36" s="3">
        <f t="array" ref="C36">IFERROR(INDEX('Temp Hisfa'!C$3:C$200, SMALL(IF(ISERROR('Temp Hisfa'!C$3:C$200), "", ROW('Temp Hisfa'!C$3:C$200)-MIN(ROW('Temp Hisfa'!C$3:C$200))+1), ROW(34:232))),"")</f>
        <v>0</v>
      </c>
      <c r="D36" s="3">
        <f t="array" ref="D36">IFERROR(INDEX('Temp Hisfa'!D$3:D$200, SMALL(IF(ISERROR('Temp Hisfa'!D$3:D$200), "", ROW('Temp Hisfa'!D$3:D$200)-MIN(ROW('Temp Hisfa'!D$3:D$200))+1), ROW(34:232))),"")</f>
        <v>0</v>
      </c>
      <c r="E36" s="29">
        <f t="array" ref="E36">IFERROR(INDEX('Temp Hisfa'!E$3:E$200, SMALL(IF(ISERROR('Temp Hisfa'!E$3:E$200), "", ROW('Temp Hisfa'!E$3:E$200)-MIN(ROW('Temp Hisfa'!E$3:E$200))+1), ROW(34:233))),"")</f>
        <v>0</v>
      </c>
      <c r="F36" s="22" t="str">
        <f t="array" ref="F36">IFERROR(INDEX('Temp Hisfa'!F$3:F$200, SMALL(IF(ISERROR('Temp Hisfa'!F$3:F$200), "", ROW('Temp Hisfa'!F$3:F$200)-MIN(ROW('Temp Hisfa'!F$3:F$200))+1), ROW(34:233))),"")</f>
        <v/>
      </c>
      <c r="G36" s="30">
        <f t="array" ref="G36">IFERROR(INDEX('Temp Hisfa'!G$3:G$200, SMALL(IF(ISERROR('Temp Hisfa'!G$3:G$200), "", ROW('Temp Hisfa'!G$3:G$200)-MIN(ROW('Temp Hisfa'!G$3:G$200))+1), ROW(34:233))),"")</f>
        <v>0</v>
      </c>
      <c r="H36" s="22" t="str">
        <f t="array" ref="H36">IFERROR(INDEX('Temp Hisfa'!H$3:H$200, SMALL(IF(ISERROR('Temp Hisfa'!H$3:H$200), "", ROW('Temp Hisfa'!H$3:H$200)-MIN(ROW('Temp Hisfa'!H$3:H$200))+1), ROW(34:233))),"")</f>
        <v/>
      </c>
      <c r="I36" s="22">
        <f t="array" ref="I36">IFERROR(INDEX('Temp Hisfa'!I$3:I$200, SMALL(IF(ISERROR('Temp Hisfa'!I$3:I$200), "", ROW('Temp Hisfa'!I$3:I$200)-MIN(ROW('Temp Hisfa'!I$3:I$200))+1), ROW(34:233))),"")</f>
        <v>0</v>
      </c>
      <c r="J36" s="22">
        <f t="array" ref="J36">IFERROR(INDEX('Temp Hisfa'!J$3:J$200, SMALL(IF(ISERROR('Temp Hisfa'!J$3:J$200), "", ROW('Temp Hisfa'!J$3:J$200)-MIN(ROW('Temp Hisfa'!J$3:J$200))+1), ROW(34:233))),"")</f>
        <v>0</v>
      </c>
      <c r="K36" s="30">
        <f t="array" ref="K36">IFERROR(INDEX('Temp Hisfa'!K$3:K$200, SMALL(IF(ISERROR('Temp Hisfa'!K$3:K$200), "", ROW('Temp Hisfa'!K$3:K$200)-MIN(ROW('Temp Hisfa'!K$3:K$200))+1), ROW(34:233))),"")</f>
        <v>0</v>
      </c>
      <c r="L36" s="22">
        <f t="array" ref="L36">IFERROR(INDEX('Temp Hisfa'!L$3:L$200, SMALL(IF(ISERROR('Temp Hisfa'!L$3:L$200), "", ROW('Temp Hisfa'!L$3:L$200)-MIN(ROW('Temp Hisfa'!L$3:L$200))+1), ROW(34:233))),"")</f>
        <v>0</v>
      </c>
      <c r="M36" s="22">
        <f t="array" ref="M36">IFERROR(INDEX('Temp Hisfa'!M$3:M$200, SMALL(IF(ISERROR('Temp Hisfa'!M$3:M$200), "", ROW('Temp Hisfa'!M$3:M$200)-MIN(ROW('Temp Hisfa'!M$3:M$200))+1), ROW(34:233))),"")</f>
        <v>0</v>
      </c>
      <c r="N36" s="22">
        <f t="array" ref="N36">IFERROR(INDEX('Temp Hisfa'!N$3:N$200, SMALL(IF(ISERROR('Temp Hisfa'!N$3:N$200), "", ROW('Temp Hisfa'!N$3:N$200)-MIN(ROW('Temp Hisfa'!N$3:N$200))+1), ROW(34:233))),"")</f>
        <v>1900</v>
      </c>
      <c r="O36" s="22" t="str">
        <f t="array" ref="O36">IFERROR(INDEX('Temp Hisfa'!O$3:O$200, SMALL(IF(ISERROR('Temp Hisfa'!O$3:O$200), "", ROW('Temp Hisfa'!O$3:O$200)-MIN(ROW('Temp Hisfa'!O$3:O$200))+1), ROW(34:233))),"")</f>
        <v>enero</v>
      </c>
      <c r="P36" s="22">
        <f t="array" ref="P36">IFERROR(INDEX('Temp Hisfa'!P$3:P$200, SMALL(IF(ISERROR('Temp Hisfa'!P$3:P$200), "", ROW('Temp Hisfa'!P$3:P$200)-MIN(ROW('Temp Hisfa'!P$3:P$200))+1), ROW(34:233))),"")</f>
        <v>0</v>
      </c>
      <c r="Q36" s="22">
        <f t="array" ref="Q36">IFERROR(INDEX('Temp Hisfa'!Q$3:Q$200, SMALL(IF(ISERROR('Temp Hisfa'!Q$3:Q$200), "", ROW('Temp Hisfa'!Q$3:Q$200)-MIN(ROW('Temp Hisfa'!Q$3:Q$200))+1), ROW(34:233))),"")</f>
        <v>0</v>
      </c>
      <c r="R36" s="22">
        <f t="array" ref="R36">IFERROR(INDEX('Temp Hisfa'!R$3:R$200, SMALL(IF(ISERROR('Temp Hisfa'!R$3:R$200), "", ROW('Temp Hisfa'!R$3:R$200)-MIN(ROW('Temp Hisfa'!R$3:R$200))+1), ROW(34:233))),"")</f>
        <v>0</v>
      </c>
      <c r="S36" s="22">
        <f t="array" ref="S36">IFERROR(INDEX('Temp Hisfa'!S$3:S$200, SMALL(IF(ISERROR('Temp Hisfa'!S$3:S$200), "", ROW('Temp Hisfa'!S$3:S$200)-MIN(ROW('Temp Hisfa'!S$3:S$200))+1), ROW(34:233))),"")</f>
        <v>0</v>
      </c>
      <c r="T36" s="22">
        <f t="array" ref="T36">IFERROR(INDEX('Temp Hisfa'!T$3:T$200, SMALL(IF(ISERROR('Temp Hisfa'!T$3:T$200), "", ROW('Temp Hisfa'!T$3:T$200)-MIN(ROW('Temp Hisfa'!T$3:T$200))+1), ROW(34:233))),"")</f>
        <v>0</v>
      </c>
      <c r="U36" s="22">
        <f t="array" ref="U36">IFERROR(INDEX('Temp Hisfa'!U$3:U$200, SMALL(IF(ISERROR('Temp Hisfa'!U$3:U$200), "", ROW('Temp Hisfa'!U$3:U$200)-MIN(ROW('Temp Hisfa'!U$3:U$200))+1), ROW(34:233))),"")</f>
        <v>0</v>
      </c>
      <c r="V36" s="22">
        <f t="array" ref="V36">IFERROR(INDEX('Temp Hisfa'!V$3:V$200, SMALL(IF(ISERROR('Temp Hisfa'!V$3:V$200), "", ROW('Temp Hisfa'!V$3:V$200)-MIN(ROW('Temp Hisfa'!V$3:V$200))+1), ROW(34:233))),"")</f>
        <v>0</v>
      </c>
      <c r="W36" s="22">
        <f t="array" ref="W36">IFERROR(INDEX('Temp Hisfa'!W$3:W$200, SMALL(IF(ISERROR('Temp Hisfa'!W$3:W$200), "", ROW('Temp Hisfa'!W$3:W$200)-MIN(ROW('Temp Hisfa'!W$3:W$200))+1), ROW(34:233))),"")</f>
        <v>0</v>
      </c>
      <c r="X36" s="22">
        <f t="array" ref="X36">IFERROR(INDEX('Temp Hisfa'!X$3:X$200, SMALL(IF(ISERROR('Temp Hisfa'!X$3:X$200), "", ROW('Temp Hisfa'!X$3:X$200)-MIN(ROW('Temp Hisfa'!X$3:X$200))+1), ROW(34:233))),"")</f>
        <v>0</v>
      </c>
      <c r="Y36" s="22">
        <f t="array" ref="Y36">IFERROR(INDEX('Temp Hisfa'!Y$3:Y$200, SMALL(IF(ISERROR('Temp Hisfa'!Y$3:Y$200), "", ROW('Temp Hisfa'!Y$3:Y$200)-MIN(ROW('Temp Hisfa'!Y$3:Y$200))+1), ROW(34:233))),"")</f>
        <v>0</v>
      </c>
      <c r="Z36" s="22">
        <f t="array" ref="Z36">IFERROR(INDEX('Temp Hisfa'!Z$3:Z$200, SMALL(IF(ISERROR('Temp Hisfa'!Z$3:Z$200), "", ROW('Temp Hisfa'!Z$3:Z$200)-MIN(ROW('Temp Hisfa'!Z$3:Z$200))+1), ROW(34:233))),"")</f>
        <v>0</v>
      </c>
      <c r="AA36" s="22">
        <f t="array" ref="AA36">IFERROR(INDEX('Temp Hisfa'!AA$3:AA$200, SMALL(IF(ISERROR('Temp Hisfa'!AA$3:AA$200), "", ROW('Temp Hisfa'!AA$3:AA$200)-MIN(ROW('Temp Hisfa'!AA$3:AA$200))+1), ROW(34:233))),"")</f>
        <v>0</v>
      </c>
      <c r="AB36" s="22">
        <f t="array" ref="AB36">IFERROR(INDEX('Temp Hisfa'!AB$3:AB$200, SMALL(IF(ISERROR('Temp Hisfa'!AB$3:AB$200), "", ROW('Temp Hisfa'!AB$3:AB$200)-MIN(ROW('Temp Hisfa'!AB$3:AB$200))+1), ROW(34:233))),"")</f>
        <v>0</v>
      </c>
    </row>
    <row r="37" spans="1:28" x14ac:dyDescent="0.3">
      <c r="A37" s="4">
        <f t="array" ref="A37">IFERROR(INDEX('Temp Hisfa'!A$3:A$200, SMALL(IF(ISERROR('Temp Hisfa'!A$3:A$200), "", ROW('Temp Hisfa'!A$3:A$200)-MIN(ROW('Temp Hisfa'!A$3:A$200))+1), ROW(35:233))),"")</f>
        <v>0</v>
      </c>
      <c r="B37" s="4">
        <f t="array" ref="B37">IFERROR(INDEX('Temp Hisfa'!B$3:B$200, SMALL(IF(ISERROR('Temp Hisfa'!B$3:B$200), "", ROW('Temp Hisfa'!B$3:B$200)-MIN(ROW('Temp Hisfa'!B$3:B$200))+1), ROW(35:233))),"")</f>
        <v>0</v>
      </c>
      <c r="C37" s="3">
        <f t="array" ref="C37">IFERROR(INDEX('Temp Hisfa'!C$3:C$200, SMALL(IF(ISERROR('Temp Hisfa'!C$3:C$200), "", ROW('Temp Hisfa'!C$3:C$200)-MIN(ROW('Temp Hisfa'!C$3:C$200))+1), ROW(35:233))),"")</f>
        <v>0</v>
      </c>
      <c r="D37" s="3">
        <f t="array" ref="D37">IFERROR(INDEX('Temp Hisfa'!D$3:D$200, SMALL(IF(ISERROR('Temp Hisfa'!D$3:D$200), "", ROW('Temp Hisfa'!D$3:D$200)-MIN(ROW('Temp Hisfa'!D$3:D$200))+1), ROW(35:233))),"")</f>
        <v>0</v>
      </c>
      <c r="E37" s="29">
        <f t="array" ref="E37">IFERROR(INDEX('Temp Hisfa'!E$3:E$200, SMALL(IF(ISERROR('Temp Hisfa'!E$3:E$200), "", ROW('Temp Hisfa'!E$3:E$200)-MIN(ROW('Temp Hisfa'!E$3:E$200))+1), ROW(35:234))),"")</f>
        <v>0</v>
      </c>
      <c r="F37" s="22" t="str">
        <f t="array" ref="F37">IFERROR(INDEX('Temp Hisfa'!F$3:F$200, SMALL(IF(ISERROR('Temp Hisfa'!F$3:F$200), "", ROW('Temp Hisfa'!F$3:F$200)-MIN(ROW('Temp Hisfa'!F$3:F$200))+1), ROW(35:234))),"")</f>
        <v/>
      </c>
      <c r="G37" s="30">
        <f t="array" ref="G37">IFERROR(INDEX('Temp Hisfa'!G$3:G$200, SMALL(IF(ISERROR('Temp Hisfa'!G$3:G$200), "", ROW('Temp Hisfa'!G$3:G$200)-MIN(ROW('Temp Hisfa'!G$3:G$200))+1), ROW(35:234))),"")</f>
        <v>0</v>
      </c>
      <c r="H37" s="22" t="str">
        <f t="array" ref="H37">IFERROR(INDEX('Temp Hisfa'!H$3:H$200, SMALL(IF(ISERROR('Temp Hisfa'!H$3:H$200), "", ROW('Temp Hisfa'!H$3:H$200)-MIN(ROW('Temp Hisfa'!H$3:H$200))+1), ROW(35:234))),"")</f>
        <v/>
      </c>
      <c r="I37" s="22">
        <f t="array" ref="I37">IFERROR(INDEX('Temp Hisfa'!I$3:I$200, SMALL(IF(ISERROR('Temp Hisfa'!I$3:I$200), "", ROW('Temp Hisfa'!I$3:I$200)-MIN(ROW('Temp Hisfa'!I$3:I$200))+1), ROW(35:234))),"")</f>
        <v>0</v>
      </c>
      <c r="J37" s="22">
        <f t="array" ref="J37">IFERROR(INDEX('Temp Hisfa'!J$3:J$200, SMALL(IF(ISERROR('Temp Hisfa'!J$3:J$200), "", ROW('Temp Hisfa'!J$3:J$200)-MIN(ROW('Temp Hisfa'!J$3:J$200))+1), ROW(35:234))),"")</f>
        <v>0</v>
      </c>
      <c r="K37" s="30">
        <f t="array" ref="K37">IFERROR(INDEX('Temp Hisfa'!K$3:K$200, SMALL(IF(ISERROR('Temp Hisfa'!K$3:K$200), "", ROW('Temp Hisfa'!K$3:K$200)-MIN(ROW('Temp Hisfa'!K$3:K$200))+1), ROW(35:234))),"")</f>
        <v>0</v>
      </c>
      <c r="L37" s="22">
        <f t="array" ref="L37">IFERROR(INDEX('Temp Hisfa'!L$3:L$200, SMALL(IF(ISERROR('Temp Hisfa'!L$3:L$200), "", ROW('Temp Hisfa'!L$3:L$200)-MIN(ROW('Temp Hisfa'!L$3:L$200))+1), ROW(35:234))),"")</f>
        <v>0</v>
      </c>
      <c r="M37" s="22">
        <f t="array" ref="M37">IFERROR(INDEX('Temp Hisfa'!M$3:M$200, SMALL(IF(ISERROR('Temp Hisfa'!M$3:M$200), "", ROW('Temp Hisfa'!M$3:M$200)-MIN(ROW('Temp Hisfa'!M$3:M$200))+1), ROW(35:234))),"")</f>
        <v>0</v>
      </c>
      <c r="N37" s="22">
        <f t="array" ref="N37">IFERROR(INDEX('Temp Hisfa'!N$3:N$200, SMALL(IF(ISERROR('Temp Hisfa'!N$3:N$200), "", ROW('Temp Hisfa'!N$3:N$200)-MIN(ROW('Temp Hisfa'!N$3:N$200))+1), ROW(35:234))),"")</f>
        <v>1900</v>
      </c>
      <c r="O37" s="22" t="str">
        <f t="array" ref="O37">IFERROR(INDEX('Temp Hisfa'!O$3:O$200, SMALL(IF(ISERROR('Temp Hisfa'!O$3:O$200), "", ROW('Temp Hisfa'!O$3:O$200)-MIN(ROW('Temp Hisfa'!O$3:O$200))+1), ROW(35:234))),"")</f>
        <v>enero</v>
      </c>
      <c r="P37" s="22">
        <f t="array" ref="P37">IFERROR(INDEX('Temp Hisfa'!P$3:P$200, SMALL(IF(ISERROR('Temp Hisfa'!P$3:P$200), "", ROW('Temp Hisfa'!P$3:P$200)-MIN(ROW('Temp Hisfa'!P$3:P$200))+1), ROW(35:234))),"")</f>
        <v>0</v>
      </c>
      <c r="Q37" s="22">
        <f t="array" ref="Q37">IFERROR(INDEX('Temp Hisfa'!Q$3:Q$200, SMALL(IF(ISERROR('Temp Hisfa'!Q$3:Q$200), "", ROW('Temp Hisfa'!Q$3:Q$200)-MIN(ROW('Temp Hisfa'!Q$3:Q$200))+1), ROW(35:234))),"")</f>
        <v>0</v>
      </c>
      <c r="R37" s="22">
        <f t="array" ref="R37">IFERROR(INDEX('Temp Hisfa'!R$3:R$200, SMALL(IF(ISERROR('Temp Hisfa'!R$3:R$200), "", ROW('Temp Hisfa'!R$3:R$200)-MIN(ROW('Temp Hisfa'!R$3:R$200))+1), ROW(35:234))),"")</f>
        <v>0</v>
      </c>
      <c r="S37" s="22">
        <f t="array" ref="S37">IFERROR(INDEX('Temp Hisfa'!S$3:S$200, SMALL(IF(ISERROR('Temp Hisfa'!S$3:S$200), "", ROW('Temp Hisfa'!S$3:S$200)-MIN(ROW('Temp Hisfa'!S$3:S$200))+1), ROW(35:234))),"")</f>
        <v>0</v>
      </c>
      <c r="T37" s="22">
        <f t="array" ref="T37">IFERROR(INDEX('Temp Hisfa'!T$3:T$200, SMALL(IF(ISERROR('Temp Hisfa'!T$3:T$200), "", ROW('Temp Hisfa'!T$3:T$200)-MIN(ROW('Temp Hisfa'!T$3:T$200))+1), ROW(35:234))),"")</f>
        <v>0</v>
      </c>
      <c r="U37" s="22">
        <f t="array" ref="U37">IFERROR(INDEX('Temp Hisfa'!U$3:U$200, SMALL(IF(ISERROR('Temp Hisfa'!U$3:U$200), "", ROW('Temp Hisfa'!U$3:U$200)-MIN(ROW('Temp Hisfa'!U$3:U$200))+1), ROW(35:234))),"")</f>
        <v>0</v>
      </c>
      <c r="V37" s="22">
        <f t="array" ref="V37">IFERROR(INDEX('Temp Hisfa'!V$3:V$200, SMALL(IF(ISERROR('Temp Hisfa'!V$3:V$200), "", ROW('Temp Hisfa'!V$3:V$200)-MIN(ROW('Temp Hisfa'!V$3:V$200))+1), ROW(35:234))),"")</f>
        <v>0</v>
      </c>
      <c r="W37" s="22">
        <f t="array" ref="W37">IFERROR(INDEX('Temp Hisfa'!W$3:W$200, SMALL(IF(ISERROR('Temp Hisfa'!W$3:W$200), "", ROW('Temp Hisfa'!W$3:W$200)-MIN(ROW('Temp Hisfa'!W$3:W$200))+1), ROW(35:234))),"")</f>
        <v>0</v>
      </c>
      <c r="X37" s="22">
        <f t="array" ref="X37">IFERROR(INDEX('Temp Hisfa'!X$3:X$200, SMALL(IF(ISERROR('Temp Hisfa'!X$3:X$200), "", ROW('Temp Hisfa'!X$3:X$200)-MIN(ROW('Temp Hisfa'!X$3:X$200))+1), ROW(35:234))),"")</f>
        <v>0</v>
      </c>
      <c r="Y37" s="22">
        <f t="array" ref="Y37">IFERROR(INDEX('Temp Hisfa'!Y$3:Y$200, SMALL(IF(ISERROR('Temp Hisfa'!Y$3:Y$200), "", ROW('Temp Hisfa'!Y$3:Y$200)-MIN(ROW('Temp Hisfa'!Y$3:Y$200))+1), ROW(35:234))),"")</f>
        <v>0</v>
      </c>
      <c r="Z37" s="22">
        <f t="array" ref="Z37">IFERROR(INDEX('Temp Hisfa'!Z$3:Z$200, SMALL(IF(ISERROR('Temp Hisfa'!Z$3:Z$200), "", ROW('Temp Hisfa'!Z$3:Z$200)-MIN(ROW('Temp Hisfa'!Z$3:Z$200))+1), ROW(35:234))),"")</f>
        <v>0</v>
      </c>
      <c r="AA37" s="22">
        <f t="array" ref="AA37">IFERROR(INDEX('Temp Hisfa'!AA$3:AA$200, SMALL(IF(ISERROR('Temp Hisfa'!AA$3:AA$200), "", ROW('Temp Hisfa'!AA$3:AA$200)-MIN(ROW('Temp Hisfa'!AA$3:AA$200))+1), ROW(35:234))),"")</f>
        <v>0</v>
      </c>
      <c r="AB37" s="22">
        <f t="array" ref="AB37">IFERROR(INDEX('Temp Hisfa'!AB$3:AB$200, SMALL(IF(ISERROR('Temp Hisfa'!AB$3:AB$200), "", ROW('Temp Hisfa'!AB$3:AB$200)-MIN(ROW('Temp Hisfa'!AB$3:AB$200))+1), ROW(35:234))),"")</f>
        <v>0</v>
      </c>
    </row>
    <row r="38" spans="1:28" x14ac:dyDescent="0.3">
      <c r="A38" s="4">
        <f t="array" ref="A38">IFERROR(INDEX('Temp Hisfa'!A$3:A$200, SMALL(IF(ISERROR('Temp Hisfa'!A$3:A$200), "", ROW('Temp Hisfa'!A$3:A$200)-MIN(ROW('Temp Hisfa'!A$3:A$200))+1), ROW(36:234))),"")</f>
        <v>0</v>
      </c>
      <c r="B38" s="4">
        <f t="array" ref="B38">IFERROR(INDEX('Temp Hisfa'!B$3:B$200, SMALL(IF(ISERROR('Temp Hisfa'!B$3:B$200), "", ROW('Temp Hisfa'!B$3:B$200)-MIN(ROW('Temp Hisfa'!B$3:B$200))+1), ROW(36:234))),"")</f>
        <v>0</v>
      </c>
      <c r="C38" s="3">
        <f t="array" ref="C38">IFERROR(INDEX('Temp Hisfa'!C$3:C$200, SMALL(IF(ISERROR('Temp Hisfa'!C$3:C$200), "", ROW('Temp Hisfa'!C$3:C$200)-MIN(ROW('Temp Hisfa'!C$3:C$200))+1), ROW(36:234))),"")</f>
        <v>0</v>
      </c>
      <c r="D38" s="3">
        <f t="array" ref="D38">IFERROR(INDEX('Temp Hisfa'!D$3:D$200, SMALL(IF(ISERROR('Temp Hisfa'!D$3:D$200), "", ROW('Temp Hisfa'!D$3:D$200)-MIN(ROW('Temp Hisfa'!D$3:D$200))+1), ROW(36:234))),"")</f>
        <v>0</v>
      </c>
      <c r="E38" s="29">
        <f t="array" ref="E38">IFERROR(INDEX('Temp Hisfa'!E$3:E$200, SMALL(IF(ISERROR('Temp Hisfa'!E$3:E$200), "", ROW('Temp Hisfa'!E$3:E$200)-MIN(ROW('Temp Hisfa'!E$3:E$200))+1), ROW(36:235))),"")</f>
        <v>0</v>
      </c>
      <c r="F38" s="22" t="str">
        <f t="array" ref="F38">IFERROR(INDEX('Temp Hisfa'!F$3:F$200, SMALL(IF(ISERROR('Temp Hisfa'!F$3:F$200), "", ROW('Temp Hisfa'!F$3:F$200)-MIN(ROW('Temp Hisfa'!F$3:F$200))+1), ROW(36:235))),"")</f>
        <v/>
      </c>
      <c r="G38" s="30">
        <f t="array" ref="G38">IFERROR(INDEX('Temp Hisfa'!G$3:G$200, SMALL(IF(ISERROR('Temp Hisfa'!G$3:G$200), "", ROW('Temp Hisfa'!G$3:G$200)-MIN(ROW('Temp Hisfa'!G$3:G$200))+1), ROW(36:235))),"")</f>
        <v>0</v>
      </c>
      <c r="H38" s="22" t="str">
        <f t="array" ref="H38">IFERROR(INDEX('Temp Hisfa'!H$3:H$200, SMALL(IF(ISERROR('Temp Hisfa'!H$3:H$200), "", ROW('Temp Hisfa'!H$3:H$200)-MIN(ROW('Temp Hisfa'!H$3:H$200))+1), ROW(36:235))),"")</f>
        <v/>
      </c>
      <c r="I38" s="22">
        <f t="array" ref="I38">IFERROR(INDEX('Temp Hisfa'!I$3:I$200, SMALL(IF(ISERROR('Temp Hisfa'!I$3:I$200), "", ROW('Temp Hisfa'!I$3:I$200)-MIN(ROW('Temp Hisfa'!I$3:I$200))+1), ROW(36:235))),"")</f>
        <v>0</v>
      </c>
      <c r="J38" s="22">
        <f t="array" ref="J38">IFERROR(INDEX('Temp Hisfa'!J$3:J$200, SMALL(IF(ISERROR('Temp Hisfa'!J$3:J$200), "", ROW('Temp Hisfa'!J$3:J$200)-MIN(ROW('Temp Hisfa'!J$3:J$200))+1), ROW(36:235))),"")</f>
        <v>0</v>
      </c>
      <c r="K38" s="30">
        <f t="array" ref="K38">IFERROR(INDEX('Temp Hisfa'!K$3:K$200, SMALL(IF(ISERROR('Temp Hisfa'!K$3:K$200), "", ROW('Temp Hisfa'!K$3:K$200)-MIN(ROW('Temp Hisfa'!K$3:K$200))+1), ROW(36:235))),"")</f>
        <v>0</v>
      </c>
      <c r="L38" s="22">
        <f t="array" ref="L38">IFERROR(INDEX('Temp Hisfa'!L$3:L$200, SMALL(IF(ISERROR('Temp Hisfa'!L$3:L$200), "", ROW('Temp Hisfa'!L$3:L$200)-MIN(ROW('Temp Hisfa'!L$3:L$200))+1), ROW(36:235))),"")</f>
        <v>0</v>
      </c>
      <c r="M38" s="22">
        <f t="array" ref="M38">IFERROR(INDEX('Temp Hisfa'!M$3:M$200, SMALL(IF(ISERROR('Temp Hisfa'!M$3:M$200), "", ROW('Temp Hisfa'!M$3:M$200)-MIN(ROW('Temp Hisfa'!M$3:M$200))+1), ROW(36:235))),"")</f>
        <v>0</v>
      </c>
      <c r="N38" s="22">
        <f t="array" ref="N38">IFERROR(INDEX('Temp Hisfa'!N$3:N$200, SMALL(IF(ISERROR('Temp Hisfa'!N$3:N$200), "", ROW('Temp Hisfa'!N$3:N$200)-MIN(ROW('Temp Hisfa'!N$3:N$200))+1), ROW(36:235))),"")</f>
        <v>1900</v>
      </c>
      <c r="O38" s="22" t="str">
        <f t="array" ref="O38">IFERROR(INDEX('Temp Hisfa'!O$3:O$200, SMALL(IF(ISERROR('Temp Hisfa'!O$3:O$200), "", ROW('Temp Hisfa'!O$3:O$200)-MIN(ROW('Temp Hisfa'!O$3:O$200))+1), ROW(36:235))),"")</f>
        <v>enero</v>
      </c>
      <c r="P38" s="22">
        <f t="array" ref="P38">IFERROR(INDEX('Temp Hisfa'!P$3:P$200, SMALL(IF(ISERROR('Temp Hisfa'!P$3:P$200), "", ROW('Temp Hisfa'!P$3:P$200)-MIN(ROW('Temp Hisfa'!P$3:P$200))+1), ROW(36:235))),"")</f>
        <v>0</v>
      </c>
      <c r="Q38" s="22">
        <f t="array" ref="Q38">IFERROR(INDEX('Temp Hisfa'!Q$3:Q$200, SMALL(IF(ISERROR('Temp Hisfa'!Q$3:Q$200), "", ROW('Temp Hisfa'!Q$3:Q$200)-MIN(ROW('Temp Hisfa'!Q$3:Q$200))+1), ROW(36:235))),"")</f>
        <v>0</v>
      </c>
      <c r="R38" s="22">
        <f t="array" ref="R38">IFERROR(INDEX('Temp Hisfa'!R$3:R$200, SMALL(IF(ISERROR('Temp Hisfa'!R$3:R$200), "", ROW('Temp Hisfa'!R$3:R$200)-MIN(ROW('Temp Hisfa'!R$3:R$200))+1), ROW(36:235))),"")</f>
        <v>0</v>
      </c>
      <c r="S38" s="22">
        <f t="array" ref="S38">IFERROR(INDEX('Temp Hisfa'!S$3:S$200, SMALL(IF(ISERROR('Temp Hisfa'!S$3:S$200), "", ROW('Temp Hisfa'!S$3:S$200)-MIN(ROW('Temp Hisfa'!S$3:S$200))+1), ROW(36:235))),"")</f>
        <v>0</v>
      </c>
      <c r="T38" s="22">
        <f t="array" ref="T38">IFERROR(INDEX('Temp Hisfa'!T$3:T$200, SMALL(IF(ISERROR('Temp Hisfa'!T$3:T$200), "", ROW('Temp Hisfa'!T$3:T$200)-MIN(ROW('Temp Hisfa'!T$3:T$200))+1), ROW(36:235))),"")</f>
        <v>0</v>
      </c>
      <c r="U38" s="22">
        <f t="array" ref="U38">IFERROR(INDEX('Temp Hisfa'!U$3:U$200, SMALL(IF(ISERROR('Temp Hisfa'!U$3:U$200), "", ROW('Temp Hisfa'!U$3:U$200)-MIN(ROW('Temp Hisfa'!U$3:U$200))+1), ROW(36:235))),"")</f>
        <v>0</v>
      </c>
      <c r="V38" s="22">
        <f t="array" ref="V38">IFERROR(INDEX('Temp Hisfa'!V$3:V$200, SMALL(IF(ISERROR('Temp Hisfa'!V$3:V$200), "", ROW('Temp Hisfa'!V$3:V$200)-MIN(ROW('Temp Hisfa'!V$3:V$200))+1), ROW(36:235))),"")</f>
        <v>0</v>
      </c>
      <c r="W38" s="22">
        <f t="array" ref="W38">IFERROR(INDEX('Temp Hisfa'!W$3:W$200, SMALL(IF(ISERROR('Temp Hisfa'!W$3:W$200), "", ROW('Temp Hisfa'!W$3:W$200)-MIN(ROW('Temp Hisfa'!W$3:W$200))+1), ROW(36:235))),"")</f>
        <v>0</v>
      </c>
      <c r="X38" s="22">
        <f t="array" ref="X38">IFERROR(INDEX('Temp Hisfa'!X$3:X$200, SMALL(IF(ISERROR('Temp Hisfa'!X$3:X$200), "", ROW('Temp Hisfa'!X$3:X$200)-MIN(ROW('Temp Hisfa'!X$3:X$200))+1), ROW(36:235))),"")</f>
        <v>0</v>
      </c>
      <c r="Y38" s="22">
        <f t="array" ref="Y38">IFERROR(INDEX('Temp Hisfa'!Y$3:Y$200, SMALL(IF(ISERROR('Temp Hisfa'!Y$3:Y$200), "", ROW('Temp Hisfa'!Y$3:Y$200)-MIN(ROW('Temp Hisfa'!Y$3:Y$200))+1), ROW(36:235))),"")</f>
        <v>0</v>
      </c>
      <c r="Z38" s="22">
        <f t="array" ref="Z38">IFERROR(INDEX('Temp Hisfa'!Z$3:Z$200, SMALL(IF(ISERROR('Temp Hisfa'!Z$3:Z$200), "", ROW('Temp Hisfa'!Z$3:Z$200)-MIN(ROW('Temp Hisfa'!Z$3:Z$200))+1), ROW(36:235))),"")</f>
        <v>0</v>
      </c>
      <c r="AA38" s="22">
        <f t="array" ref="AA38">IFERROR(INDEX('Temp Hisfa'!AA$3:AA$200, SMALL(IF(ISERROR('Temp Hisfa'!AA$3:AA$200), "", ROW('Temp Hisfa'!AA$3:AA$200)-MIN(ROW('Temp Hisfa'!AA$3:AA$200))+1), ROW(36:235))),"")</f>
        <v>0</v>
      </c>
      <c r="AB38" s="22">
        <f t="array" ref="AB38">IFERROR(INDEX('Temp Hisfa'!AB$3:AB$200, SMALL(IF(ISERROR('Temp Hisfa'!AB$3:AB$200), "", ROW('Temp Hisfa'!AB$3:AB$200)-MIN(ROW('Temp Hisfa'!AB$3:AB$200))+1), ROW(36:235))),"")</f>
        <v>0</v>
      </c>
    </row>
    <row r="39" spans="1:28" x14ac:dyDescent="0.3">
      <c r="A39" s="4">
        <f t="array" ref="A39">IFERROR(INDEX('Temp Hisfa'!A$3:A$200, SMALL(IF(ISERROR('Temp Hisfa'!A$3:A$200), "", ROW('Temp Hisfa'!A$3:A$200)-MIN(ROW('Temp Hisfa'!A$3:A$200))+1), ROW(37:235))),"")</f>
        <v>0</v>
      </c>
      <c r="B39" s="4">
        <f t="array" ref="B39">IFERROR(INDEX('Temp Hisfa'!B$3:B$200, SMALL(IF(ISERROR('Temp Hisfa'!B$3:B$200), "", ROW('Temp Hisfa'!B$3:B$200)-MIN(ROW('Temp Hisfa'!B$3:B$200))+1), ROW(37:235))),"")</f>
        <v>0</v>
      </c>
      <c r="C39" s="3">
        <f t="array" ref="C39">IFERROR(INDEX('Temp Hisfa'!C$3:C$200, SMALL(IF(ISERROR('Temp Hisfa'!C$3:C$200), "", ROW('Temp Hisfa'!C$3:C$200)-MIN(ROW('Temp Hisfa'!C$3:C$200))+1), ROW(37:235))),"")</f>
        <v>0</v>
      </c>
      <c r="D39" s="3">
        <f t="array" ref="D39">IFERROR(INDEX('Temp Hisfa'!D$3:D$200, SMALL(IF(ISERROR('Temp Hisfa'!D$3:D$200), "", ROW('Temp Hisfa'!D$3:D$200)-MIN(ROW('Temp Hisfa'!D$3:D$200))+1), ROW(37:235))),"")</f>
        <v>0</v>
      </c>
      <c r="E39" s="29">
        <f t="array" ref="E39">IFERROR(INDEX('Temp Hisfa'!E$3:E$200, SMALL(IF(ISERROR('Temp Hisfa'!E$3:E$200), "", ROW('Temp Hisfa'!E$3:E$200)-MIN(ROW('Temp Hisfa'!E$3:E$200))+1), ROW(37:236))),"")</f>
        <v>0</v>
      </c>
      <c r="F39" s="22" t="str">
        <f t="array" ref="F39">IFERROR(INDEX('Temp Hisfa'!F$3:F$200, SMALL(IF(ISERROR('Temp Hisfa'!F$3:F$200), "", ROW('Temp Hisfa'!F$3:F$200)-MIN(ROW('Temp Hisfa'!F$3:F$200))+1), ROW(37:236))),"")</f>
        <v/>
      </c>
      <c r="G39" s="30">
        <f t="array" ref="G39">IFERROR(INDEX('Temp Hisfa'!G$3:G$200, SMALL(IF(ISERROR('Temp Hisfa'!G$3:G$200), "", ROW('Temp Hisfa'!G$3:G$200)-MIN(ROW('Temp Hisfa'!G$3:G$200))+1), ROW(37:236))),"")</f>
        <v>0</v>
      </c>
      <c r="H39" s="22" t="str">
        <f t="array" ref="H39">IFERROR(INDEX('Temp Hisfa'!H$3:H$200, SMALL(IF(ISERROR('Temp Hisfa'!H$3:H$200), "", ROW('Temp Hisfa'!H$3:H$200)-MIN(ROW('Temp Hisfa'!H$3:H$200))+1), ROW(37:236))),"")</f>
        <v/>
      </c>
      <c r="I39" s="22">
        <f t="array" ref="I39">IFERROR(INDEX('Temp Hisfa'!I$3:I$200, SMALL(IF(ISERROR('Temp Hisfa'!I$3:I$200), "", ROW('Temp Hisfa'!I$3:I$200)-MIN(ROW('Temp Hisfa'!I$3:I$200))+1), ROW(37:236))),"")</f>
        <v>0</v>
      </c>
      <c r="J39" s="22">
        <f t="array" ref="J39">IFERROR(INDEX('Temp Hisfa'!J$3:J$200, SMALL(IF(ISERROR('Temp Hisfa'!J$3:J$200), "", ROW('Temp Hisfa'!J$3:J$200)-MIN(ROW('Temp Hisfa'!J$3:J$200))+1), ROW(37:236))),"")</f>
        <v>0</v>
      </c>
      <c r="K39" s="30">
        <f t="array" ref="K39">IFERROR(INDEX('Temp Hisfa'!K$3:K$200, SMALL(IF(ISERROR('Temp Hisfa'!K$3:K$200), "", ROW('Temp Hisfa'!K$3:K$200)-MIN(ROW('Temp Hisfa'!K$3:K$200))+1), ROW(37:236))),"")</f>
        <v>0</v>
      </c>
      <c r="L39" s="22">
        <f t="array" ref="L39">IFERROR(INDEX('Temp Hisfa'!L$3:L$200, SMALL(IF(ISERROR('Temp Hisfa'!L$3:L$200), "", ROW('Temp Hisfa'!L$3:L$200)-MIN(ROW('Temp Hisfa'!L$3:L$200))+1), ROW(37:236))),"")</f>
        <v>0</v>
      </c>
      <c r="M39" s="22">
        <f t="array" ref="M39">IFERROR(INDEX('Temp Hisfa'!M$3:M$200, SMALL(IF(ISERROR('Temp Hisfa'!M$3:M$200), "", ROW('Temp Hisfa'!M$3:M$200)-MIN(ROW('Temp Hisfa'!M$3:M$200))+1), ROW(37:236))),"")</f>
        <v>0</v>
      </c>
      <c r="N39" s="22">
        <f t="array" ref="N39">IFERROR(INDEX('Temp Hisfa'!N$3:N$200, SMALL(IF(ISERROR('Temp Hisfa'!N$3:N$200), "", ROW('Temp Hisfa'!N$3:N$200)-MIN(ROW('Temp Hisfa'!N$3:N$200))+1), ROW(37:236))),"")</f>
        <v>1900</v>
      </c>
      <c r="O39" s="22" t="str">
        <f t="array" ref="O39">IFERROR(INDEX('Temp Hisfa'!O$3:O$200, SMALL(IF(ISERROR('Temp Hisfa'!O$3:O$200), "", ROW('Temp Hisfa'!O$3:O$200)-MIN(ROW('Temp Hisfa'!O$3:O$200))+1), ROW(37:236))),"")</f>
        <v>enero</v>
      </c>
      <c r="P39" s="22">
        <f t="array" ref="P39">IFERROR(INDEX('Temp Hisfa'!P$3:P$200, SMALL(IF(ISERROR('Temp Hisfa'!P$3:P$200), "", ROW('Temp Hisfa'!P$3:P$200)-MIN(ROW('Temp Hisfa'!P$3:P$200))+1), ROW(37:236))),"")</f>
        <v>0</v>
      </c>
      <c r="Q39" s="22">
        <f t="array" ref="Q39">IFERROR(INDEX('Temp Hisfa'!Q$3:Q$200, SMALL(IF(ISERROR('Temp Hisfa'!Q$3:Q$200), "", ROW('Temp Hisfa'!Q$3:Q$200)-MIN(ROW('Temp Hisfa'!Q$3:Q$200))+1), ROW(37:236))),"")</f>
        <v>0</v>
      </c>
      <c r="R39" s="22">
        <f t="array" ref="R39">IFERROR(INDEX('Temp Hisfa'!R$3:R$200, SMALL(IF(ISERROR('Temp Hisfa'!R$3:R$200), "", ROW('Temp Hisfa'!R$3:R$200)-MIN(ROW('Temp Hisfa'!R$3:R$200))+1), ROW(37:236))),"")</f>
        <v>0</v>
      </c>
      <c r="S39" s="22">
        <f t="array" ref="S39">IFERROR(INDEX('Temp Hisfa'!S$3:S$200, SMALL(IF(ISERROR('Temp Hisfa'!S$3:S$200), "", ROW('Temp Hisfa'!S$3:S$200)-MIN(ROW('Temp Hisfa'!S$3:S$200))+1), ROW(37:236))),"")</f>
        <v>0</v>
      </c>
      <c r="T39" s="22">
        <f t="array" ref="T39">IFERROR(INDEX('Temp Hisfa'!T$3:T$200, SMALL(IF(ISERROR('Temp Hisfa'!T$3:T$200), "", ROW('Temp Hisfa'!T$3:T$200)-MIN(ROW('Temp Hisfa'!T$3:T$200))+1), ROW(37:236))),"")</f>
        <v>0</v>
      </c>
      <c r="U39" s="22">
        <f t="array" ref="U39">IFERROR(INDEX('Temp Hisfa'!U$3:U$200, SMALL(IF(ISERROR('Temp Hisfa'!U$3:U$200), "", ROW('Temp Hisfa'!U$3:U$200)-MIN(ROW('Temp Hisfa'!U$3:U$200))+1), ROW(37:236))),"")</f>
        <v>0</v>
      </c>
      <c r="V39" s="22">
        <f t="array" ref="V39">IFERROR(INDEX('Temp Hisfa'!V$3:V$200, SMALL(IF(ISERROR('Temp Hisfa'!V$3:V$200), "", ROW('Temp Hisfa'!V$3:V$200)-MIN(ROW('Temp Hisfa'!V$3:V$200))+1), ROW(37:236))),"")</f>
        <v>0</v>
      </c>
      <c r="W39" s="22">
        <f t="array" ref="W39">IFERROR(INDEX('Temp Hisfa'!W$3:W$200, SMALL(IF(ISERROR('Temp Hisfa'!W$3:W$200), "", ROW('Temp Hisfa'!W$3:W$200)-MIN(ROW('Temp Hisfa'!W$3:W$200))+1), ROW(37:236))),"")</f>
        <v>0</v>
      </c>
      <c r="X39" s="22">
        <f t="array" ref="X39">IFERROR(INDEX('Temp Hisfa'!X$3:X$200, SMALL(IF(ISERROR('Temp Hisfa'!X$3:X$200), "", ROW('Temp Hisfa'!X$3:X$200)-MIN(ROW('Temp Hisfa'!X$3:X$200))+1), ROW(37:236))),"")</f>
        <v>0</v>
      </c>
      <c r="Y39" s="22">
        <f t="array" ref="Y39">IFERROR(INDEX('Temp Hisfa'!Y$3:Y$200, SMALL(IF(ISERROR('Temp Hisfa'!Y$3:Y$200), "", ROW('Temp Hisfa'!Y$3:Y$200)-MIN(ROW('Temp Hisfa'!Y$3:Y$200))+1), ROW(37:236))),"")</f>
        <v>0</v>
      </c>
      <c r="Z39" s="22">
        <f t="array" ref="Z39">IFERROR(INDEX('Temp Hisfa'!Z$3:Z$200, SMALL(IF(ISERROR('Temp Hisfa'!Z$3:Z$200), "", ROW('Temp Hisfa'!Z$3:Z$200)-MIN(ROW('Temp Hisfa'!Z$3:Z$200))+1), ROW(37:236))),"")</f>
        <v>0</v>
      </c>
      <c r="AA39" s="22">
        <f t="array" ref="AA39">IFERROR(INDEX('Temp Hisfa'!AA$3:AA$200, SMALL(IF(ISERROR('Temp Hisfa'!AA$3:AA$200), "", ROW('Temp Hisfa'!AA$3:AA$200)-MIN(ROW('Temp Hisfa'!AA$3:AA$200))+1), ROW(37:236))),"")</f>
        <v>0</v>
      </c>
      <c r="AB39" s="22">
        <f t="array" ref="AB39">IFERROR(INDEX('Temp Hisfa'!AB$3:AB$200, SMALL(IF(ISERROR('Temp Hisfa'!AB$3:AB$200), "", ROW('Temp Hisfa'!AB$3:AB$200)-MIN(ROW('Temp Hisfa'!AB$3:AB$200))+1), ROW(37:236))),"")</f>
        <v>0</v>
      </c>
    </row>
    <row r="40" spans="1:28" x14ac:dyDescent="0.3">
      <c r="A40" s="4">
        <f t="array" ref="A40">IFERROR(INDEX('Temp Hisfa'!A$3:A$200, SMALL(IF(ISERROR('Temp Hisfa'!A$3:A$200), "", ROW('Temp Hisfa'!A$3:A$200)-MIN(ROW('Temp Hisfa'!A$3:A$200))+1), ROW(38:236))),"")</f>
        <v>0</v>
      </c>
      <c r="B40" s="4">
        <f t="array" ref="B40">IFERROR(INDEX('Temp Hisfa'!B$3:B$200, SMALL(IF(ISERROR('Temp Hisfa'!B$3:B$200), "", ROW('Temp Hisfa'!B$3:B$200)-MIN(ROW('Temp Hisfa'!B$3:B$200))+1), ROW(38:236))),"")</f>
        <v>0</v>
      </c>
      <c r="C40" s="3">
        <f t="array" ref="C40">IFERROR(INDEX('Temp Hisfa'!C$3:C$200, SMALL(IF(ISERROR('Temp Hisfa'!C$3:C$200), "", ROW('Temp Hisfa'!C$3:C$200)-MIN(ROW('Temp Hisfa'!C$3:C$200))+1), ROW(38:236))),"")</f>
        <v>0</v>
      </c>
      <c r="D40" s="3">
        <f t="array" ref="D40">IFERROR(INDEX('Temp Hisfa'!D$3:D$200, SMALL(IF(ISERROR('Temp Hisfa'!D$3:D$200), "", ROW('Temp Hisfa'!D$3:D$200)-MIN(ROW('Temp Hisfa'!D$3:D$200))+1), ROW(38:236))),"")</f>
        <v>0</v>
      </c>
      <c r="E40" s="29">
        <f t="array" ref="E40">IFERROR(INDEX('Temp Hisfa'!E$3:E$200, SMALL(IF(ISERROR('Temp Hisfa'!E$3:E$200), "", ROW('Temp Hisfa'!E$3:E$200)-MIN(ROW('Temp Hisfa'!E$3:E$200))+1), ROW(38:237))),"")</f>
        <v>0</v>
      </c>
      <c r="F40" s="22" t="str">
        <f t="array" ref="F40">IFERROR(INDEX('Temp Hisfa'!F$3:F$200, SMALL(IF(ISERROR('Temp Hisfa'!F$3:F$200), "", ROW('Temp Hisfa'!F$3:F$200)-MIN(ROW('Temp Hisfa'!F$3:F$200))+1), ROW(38:237))),"")</f>
        <v/>
      </c>
      <c r="G40" s="30">
        <f t="array" ref="G40">IFERROR(INDEX('Temp Hisfa'!G$3:G$200, SMALL(IF(ISERROR('Temp Hisfa'!G$3:G$200), "", ROW('Temp Hisfa'!G$3:G$200)-MIN(ROW('Temp Hisfa'!G$3:G$200))+1), ROW(38:237))),"")</f>
        <v>0</v>
      </c>
      <c r="H40" s="22" t="str">
        <f t="array" ref="H40">IFERROR(INDEX('Temp Hisfa'!H$3:H$200, SMALL(IF(ISERROR('Temp Hisfa'!H$3:H$200), "", ROW('Temp Hisfa'!H$3:H$200)-MIN(ROW('Temp Hisfa'!H$3:H$200))+1), ROW(38:237))),"")</f>
        <v/>
      </c>
      <c r="I40" s="22">
        <f t="array" ref="I40">IFERROR(INDEX('Temp Hisfa'!I$3:I$200, SMALL(IF(ISERROR('Temp Hisfa'!I$3:I$200), "", ROW('Temp Hisfa'!I$3:I$200)-MIN(ROW('Temp Hisfa'!I$3:I$200))+1), ROW(38:237))),"")</f>
        <v>0</v>
      </c>
      <c r="J40" s="22">
        <f t="array" ref="J40">IFERROR(INDEX('Temp Hisfa'!J$3:J$200, SMALL(IF(ISERROR('Temp Hisfa'!J$3:J$200), "", ROW('Temp Hisfa'!J$3:J$200)-MIN(ROW('Temp Hisfa'!J$3:J$200))+1), ROW(38:237))),"")</f>
        <v>0</v>
      </c>
      <c r="K40" s="30">
        <f t="array" ref="K40">IFERROR(INDEX('Temp Hisfa'!K$3:K$200, SMALL(IF(ISERROR('Temp Hisfa'!K$3:K$200), "", ROW('Temp Hisfa'!K$3:K$200)-MIN(ROW('Temp Hisfa'!K$3:K$200))+1), ROW(38:237))),"")</f>
        <v>0</v>
      </c>
      <c r="L40" s="22">
        <f t="array" ref="L40">IFERROR(INDEX('Temp Hisfa'!L$3:L$200, SMALL(IF(ISERROR('Temp Hisfa'!L$3:L$200), "", ROW('Temp Hisfa'!L$3:L$200)-MIN(ROW('Temp Hisfa'!L$3:L$200))+1), ROW(38:237))),"")</f>
        <v>0</v>
      </c>
      <c r="M40" s="22">
        <f t="array" ref="M40">IFERROR(INDEX('Temp Hisfa'!M$3:M$200, SMALL(IF(ISERROR('Temp Hisfa'!M$3:M$200), "", ROW('Temp Hisfa'!M$3:M$200)-MIN(ROW('Temp Hisfa'!M$3:M$200))+1), ROW(38:237))),"")</f>
        <v>0</v>
      </c>
      <c r="N40" s="22">
        <f t="array" ref="N40">IFERROR(INDEX('Temp Hisfa'!N$3:N$200, SMALL(IF(ISERROR('Temp Hisfa'!N$3:N$200), "", ROW('Temp Hisfa'!N$3:N$200)-MIN(ROW('Temp Hisfa'!N$3:N$200))+1), ROW(38:237))),"")</f>
        <v>1900</v>
      </c>
      <c r="O40" s="22" t="str">
        <f t="array" ref="O40">IFERROR(INDEX('Temp Hisfa'!O$3:O$200, SMALL(IF(ISERROR('Temp Hisfa'!O$3:O$200), "", ROW('Temp Hisfa'!O$3:O$200)-MIN(ROW('Temp Hisfa'!O$3:O$200))+1), ROW(38:237))),"")</f>
        <v>enero</v>
      </c>
      <c r="P40" s="22">
        <f t="array" ref="P40">IFERROR(INDEX('Temp Hisfa'!P$3:P$200, SMALL(IF(ISERROR('Temp Hisfa'!P$3:P$200), "", ROW('Temp Hisfa'!P$3:P$200)-MIN(ROW('Temp Hisfa'!P$3:P$200))+1), ROW(38:237))),"")</f>
        <v>0</v>
      </c>
      <c r="Q40" s="22">
        <f t="array" ref="Q40">IFERROR(INDEX('Temp Hisfa'!Q$3:Q$200, SMALL(IF(ISERROR('Temp Hisfa'!Q$3:Q$200), "", ROW('Temp Hisfa'!Q$3:Q$200)-MIN(ROW('Temp Hisfa'!Q$3:Q$200))+1), ROW(38:237))),"")</f>
        <v>0</v>
      </c>
      <c r="R40" s="22">
        <f t="array" ref="R40">IFERROR(INDEX('Temp Hisfa'!R$3:R$200, SMALL(IF(ISERROR('Temp Hisfa'!R$3:R$200), "", ROW('Temp Hisfa'!R$3:R$200)-MIN(ROW('Temp Hisfa'!R$3:R$200))+1), ROW(38:237))),"")</f>
        <v>0</v>
      </c>
      <c r="S40" s="22">
        <f t="array" ref="S40">IFERROR(INDEX('Temp Hisfa'!S$3:S$200, SMALL(IF(ISERROR('Temp Hisfa'!S$3:S$200), "", ROW('Temp Hisfa'!S$3:S$200)-MIN(ROW('Temp Hisfa'!S$3:S$200))+1), ROW(38:237))),"")</f>
        <v>0</v>
      </c>
      <c r="T40" s="22">
        <f t="array" ref="T40">IFERROR(INDEX('Temp Hisfa'!T$3:T$200, SMALL(IF(ISERROR('Temp Hisfa'!T$3:T$200), "", ROW('Temp Hisfa'!T$3:T$200)-MIN(ROW('Temp Hisfa'!T$3:T$200))+1), ROW(38:237))),"")</f>
        <v>0</v>
      </c>
      <c r="U40" s="22">
        <f t="array" ref="U40">IFERROR(INDEX('Temp Hisfa'!U$3:U$200, SMALL(IF(ISERROR('Temp Hisfa'!U$3:U$200), "", ROW('Temp Hisfa'!U$3:U$200)-MIN(ROW('Temp Hisfa'!U$3:U$200))+1), ROW(38:237))),"")</f>
        <v>0</v>
      </c>
      <c r="V40" s="22">
        <f t="array" ref="V40">IFERROR(INDEX('Temp Hisfa'!V$3:V$200, SMALL(IF(ISERROR('Temp Hisfa'!V$3:V$200), "", ROW('Temp Hisfa'!V$3:V$200)-MIN(ROW('Temp Hisfa'!V$3:V$200))+1), ROW(38:237))),"")</f>
        <v>0</v>
      </c>
      <c r="W40" s="22">
        <f t="array" ref="W40">IFERROR(INDEX('Temp Hisfa'!W$3:W$200, SMALL(IF(ISERROR('Temp Hisfa'!W$3:W$200), "", ROW('Temp Hisfa'!W$3:W$200)-MIN(ROW('Temp Hisfa'!W$3:W$200))+1), ROW(38:237))),"")</f>
        <v>0</v>
      </c>
      <c r="X40" s="22">
        <f t="array" ref="X40">IFERROR(INDEX('Temp Hisfa'!X$3:X$200, SMALL(IF(ISERROR('Temp Hisfa'!X$3:X$200), "", ROW('Temp Hisfa'!X$3:X$200)-MIN(ROW('Temp Hisfa'!X$3:X$200))+1), ROW(38:237))),"")</f>
        <v>0</v>
      </c>
      <c r="Y40" s="22">
        <f t="array" ref="Y40">IFERROR(INDEX('Temp Hisfa'!Y$3:Y$200, SMALL(IF(ISERROR('Temp Hisfa'!Y$3:Y$200), "", ROW('Temp Hisfa'!Y$3:Y$200)-MIN(ROW('Temp Hisfa'!Y$3:Y$200))+1), ROW(38:237))),"")</f>
        <v>0</v>
      </c>
      <c r="Z40" s="22">
        <f t="array" ref="Z40">IFERROR(INDEX('Temp Hisfa'!Z$3:Z$200, SMALL(IF(ISERROR('Temp Hisfa'!Z$3:Z$200), "", ROW('Temp Hisfa'!Z$3:Z$200)-MIN(ROW('Temp Hisfa'!Z$3:Z$200))+1), ROW(38:237))),"")</f>
        <v>0</v>
      </c>
      <c r="AA40" s="22">
        <f t="array" ref="AA40">IFERROR(INDEX('Temp Hisfa'!AA$3:AA$200, SMALL(IF(ISERROR('Temp Hisfa'!AA$3:AA$200), "", ROW('Temp Hisfa'!AA$3:AA$200)-MIN(ROW('Temp Hisfa'!AA$3:AA$200))+1), ROW(38:237))),"")</f>
        <v>0</v>
      </c>
      <c r="AB40" s="22">
        <f t="array" ref="AB40">IFERROR(INDEX('Temp Hisfa'!AB$3:AB$200, SMALL(IF(ISERROR('Temp Hisfa'!AB$3:AB$200), "", ROW('Temp Hisfa'!AB$3:AB$200)-MIN(ROW('Temp Hisfa'!AB$3:AB$200))+1), ROW(38:237))),"")</f>
        <v>0</v>
      </c>
    </row>
    <row r="41" spans="1:28" x14ac:dyDescent="0.3">
      <c r="A41" s="4">
        <f t="array" ref="A41">IFERROR(INDEX('Temp Hisfa'!A$3:A$200, SMALL(IF(ISERROR('Temp Hisfa'!A$3:A$200), "", ROW('Temp Hisfa'!A$3:A$200)-MIN(ROW('Temp Hisfa'!A$3:A$200))+1), ROW(39:237))),"")</f>
        <v>0</v>
      </c>
      <c r="B41" s="4">
        <f t="array" ref="B41">IFERROR(INDEX('Temp Hisfa'!B$3:B$200, SMALL(IF(ISERROR('Temp Hisfa'!B$3:B$200), "", ROW('Temp Hisfa'!B$3:B$200)-MIN(ROW('Temp Hisfa'!B$3:B$200))+1), ROW(39:237))),"")</f>
        <v>0</v>
      </c>
      <c r="C41" s="3">
        <f t="array" ref="C41">IFERROR(INDEX('Temp Hisfa'!C$3:C$200, SMALL(IF(ISERROR('Temp Hisfa'!C$3:C$200), "", ROW('Temp Hisfa'!C$3:C$200)-MIN(ROW('Temp Hisfa'!C$3:C$200))+1), ROW(39:237))),"")</f>
        <v>0</v>
      </c>
      <c r="D41" s="3">
        <f t="array" ref="D41">IFERROR(INDEX('Temp Hisfa'!D$3:D$200, SMALL(IF(ISERROR('Temp Hisfa'!D$3:D$200), "", ROW('Temp Hisfa'!D$3:D$200)-MIN(ROW('Temp Hisfa'!D$3:D$200))+1), ROW(39:237))),"")</f>
        <v>0</v>
      </c>
      <c r="E41" s="29">
        <f t="array" ref="E41">IFERROR(INDEX('Temp Hisfa'!E$3:E$200, SMALL(IF(ISERROR('Temp Hisfa'!E$3:E$200), "", ROW('Temp Hisfa'!E$3:E$200)-MIN(ROW('Temp Hisfa'!E$3:E$200))+1), ROW(39:238))),"")</f>
        <v>0</v>
      </c>
      <c r="F41" s="22" t="str">
        <f t="array" ref="F41">IFERROR(INDEX('Temp Hisfa'!F$3:F$200, SMALL(IF(ISERROR('Temp Hisfa'!F$3:F$200), "", ROW('Temp Hisfa'!F$3:F$200)-MIN(ROW('Temp Hisfa'!F$3:F$200))+1), ROW(39:238))),"")</f>
        <v/>
      </c>
      <c r="G41" s="30">
        <f t="array" ref="G41">IFERROR(INDEX('Temp Hisfa'!G$3:G$200, SMALL(IF(ISERROR('Temp Hisfa'!G$3:G$200), "", ROW('Temp Hisfa'!G$3:G$200)-MIN(ROW('Temp Hisfa'!G$3:G$200))+1), ROW(39:238))),"")</f>
        <v>0</v>
      </c>
      <c r="H41" s="22" t="str">
        <f t="array" ref="H41">IFERROR(INDEX('Temp Hisfa'!H$3:H$200, SMALL(IF(ISERROR('Temp Hisfa'!H$3:H$200), "", ROW('Temp Hisfa'!H$3:H$200)-MIN(ROW('Temp Hisfa'!H$3:H$200))+1), ROW(39:238))),"")</f>
        <v/>
      </c>
      <c r="I41" s="22">
        <f t="array" ref="I41">IFERROR(INDEX('Temp Hisfa'!I$3:I$200, SMALL(IF(ISERROR('Temp Hisfa'!I$3:I$200), "", ROW('Temp Hisfa'!I$3:I$200)-MIN(ROW('Temp Hisfa'!I$3:I$200))+1), ROW(39:238))),"")</f>
        <v>0</v>
      </c>
      <c r="J41" s="22">
        <f t="array" ref="J41">IFERROR(INDEX('Temp Hisfa'!J$3:J$200, SMALL(IF(ISERROR('Temp Hisfa'!J$3:J$200), "", ROW('Temp Hisfa'!J$3:J$200)-MIN(ROW('Temp Hisfa'!J$3:J$200))+1), ROW(39:238))),"")</f>
        <v>0</v>
      </c>
      <c r="K41" s="30">
        <f t="array" ref="K41">IFERROR(INDEX('Temp Hisfa'!K$3:K$200, SMALL(IF(ISERROR('Temp Hisfa'!K$3:K$200), "", ROW('Temp Hisfa'!K$3:K$200)-MIN(ROW('Temp Hisfa'!K$3:K$200))+1), ROW(39:238))),"")</f>
        <v>0</v>
      </c>
      <c r="L41" s="22">
        <f t="array" ref="L41">IFERROR(INDEX('Temp Hisfa'!L$3:L$200, SMALL(IF(ISERROR('Temp Hisfa'!L$3:L$200), "", ROW('Temp Hisfa'!L$3:L$200)-MIN(ROW('Temp Hisfa'!L$3:L$200))+1), ROW(39:238))),"")</f>
        <v>0</v>
      </c>
      <c r="M41" s="22">
        <f t="array" ref="M41">IFERROR(INDEX('Temp Hisfa'!M$3:M$200, SMALL(IF(ISERROR('Temp Hisfa'!M$3:M$200), "", ROW('Temp Hisfa'!M$3:M$200)-MIN(ROW('Temp Hisfa'!M$3:M$200))+1), ROW(39:238))),"")</f>
        <v>0</v>
      </c>
      <c r="N41" s="22">
        <f t="array" ref="N41">IFERROR(INDEX('Temp Hisfa'!N$3:N$200, SMALL(IF(ISERROR('Temp Hisfa'!N$3:N$200), "", ROW('Temp Hisfa'!N$3:N$200)-MIN(ROW('Temp Hisfa'!N$3:N$200))+1), ROW(39:238))),"")</f>
        <v>1900</v>
      </c>
      <c r="O41" s="22" t="str">
        <f t="array" ref="O41">IFERROR(INDEX('Temp Hisfa'!O$3:O$200, SMALL(IF(ISERROR('Temp Hisfa'!O$3:O$200), "", ROW('Temp Hisfa'!O$3:O$200)-MIN(ROW('Temp Hisfa'!O$3:O$200))+1), ROW(39:238))),"")</f>
        <v>enero</v>
      </c>
      <c r="P41" s="22">
        <f t="array" ref="P41">IFERROR(INDEX('Temp Hisfa'!P$3:P$200, SMALL(IF(ISERROR('Temp Hisfa'!P$3:P$200), "", ROW('Temp Hisfa'!P$3:P$200)-MIN(ROW('Temp Hisfa'!P$3:P$200))+1), ROW(39:238))),"")</f>
        <v>0</v>
      </c>
      <c r="Q41" s="22">
        <f t="array" ref="Q41">IFERROR(INDEX('Temp Hisfa'!Q$3:Q$200, SMALL(IF(ISERROR('Temp Hisfa'!Q$3:Q$200), "", ROW('Temp Hisfa'!Q$3:Q$200)-MIN(ROW('Temp Hisfa'!Q$3:Q$200))+1), ROW(39:238))),"")</f>
        <v>0</v>
      </c>
      <c r="R41" s="22">
        <f t="array" ref="R41">IFERROR(INDEX('Temp Hisfa'!R$3:R$200, SMALL(IF(ISERROR('Temp Hisfa'!R$3:R$200), "", ROW('Temp Hisfa'!R$3:R$200)-MIN(ROW('Temp Hisfa'!R$3:R$200))+1), ROW(39:238))),"")</f>
        <v>0</v>
      </c>
      <c r="S41" s="22">
        <f t="array" ref="S41">IFERROR(INDEX('Temp Hisfa'!S$3:S$200, SMALL(IF(ISERROR('Temp Hisfa'!S$3:S$200), "", ROW('Temp Hisfa'!S$3:S$200)-MIN(ROW('Temp Hisfa'!S$3:S$200))+1), ROW(39:238))),"")</f>
        <v>0</v>
      </c>
      <c r="T41" s="22">
        <f t="array" ref="T41">IFERROR(INDEX('Temp Hisfa'!T$3:T$200, SMALL(IF(ISERROR('Temp Hisfa'!T$3:T$200), "", ROW('Temp Hisfa'!T$3:T$200)-MIN(ROW('Temp Hisfa'!T$3:T$200))+1), ROW(39:238))),"")</f>
        <v>0</v>
      </c>
      <c r="U41" s="22">
        <f t="array" ref="U41">IFERROR(INDEX('Temp Hisfa'!U$3:U$200, SMALL(IF(ISERROR('Temp Hisfa'!U$3:U$200), "", ROW('Temp Hisfa'!U$3:U$200)-MIN(ROW('Temp Hisfa'!U$3:U$200))+1), ROW(39:238))),"")</f>
        <v>0</v>
      </c>
      <c r="V41" s="22">
        <f t="array" ref="V41">IFERROR(INDEX('Temp Hisfa'!V$3:V$200, SMALL(IF(ISERROR('Temp Hisfa'!V$3:V$200), "", ROW('Temp Hisfa'!V$3:V$200)-MIN(ROW('Temp Hisfa'!V$3:V$200))+1), ROW(39:238))),"")</f>
        <v>0</v>
      </c>
      <c r="W41" s="22">
        <f t="array" ref="W41">IFERROR(INDEX('Temp Hisfa'!W$3:W$200, SMALL(IF(ISERROR('Temp Hisfa'!W$3:W$200), "", ROW('Temp Hisfa'!W$3:W$200)-MIN(ROW('Temp Hisfa'!W$3:W$200))+1), ROW(39:238))),"")</f>
        <v>0</v>
      </c>
      <c r="X41" s="22">
        <f t="array" ref="X41">IFERROR(INDEX('Temp Hisfa'!X$3:X$200, SMALL(IF(ISERROR('Temp Hisfa'!X$3:X$200), "", ROW('Temp Hisfa'!X$3:X$200)-MIN(ROW('Temp Hisfa'!X$3:X$200))+1), ROW(39:238))),"")</f>
        <v>0</v>
      </c>
      <c r="Y41" s="22">
        <f t="array" ref="Y41">IFERROR(INDEX('Temp Hisfa'!Y$3:Y$200, SMALL(IF(ISERROR('Temp Hisfa'!Y$3:Y$200), "", ROW('Temp Hisfa'!Y$3:Y$200)-MIN(ROW('Temp Hisfa'!Y$3:Y$200))+1), ROW(39:238))),"")</f>
        <v>0</v>
      </c>
      <c r="Z41" s="22">
        <f t="array" ref="Z41">IFERROR(INDEX('Temp Hisfa'!Z$3:Z$200, SMALL(IF(ISERROR('Temp Hisfa'!Z$3:Z$200), "", ROW('Temp Hisfa'!Z$3:Z$200)-MIN(ROW('Temp Hisfa'!Z$3:Z$200))+1), ROW(39:238))),"")</f>
        <v>0</v>
      </c>
      <c r="AA41" s="22">
        <f t="array" ref="AA41">IFERROR(INDEX('Temp Hisfa'!AA$3:AA$200, SMALL(IF(ISERROR('Temp Hisfa'!AA$3:AA$200), "", ROW('Temp Hisfa'!AA$3:AA$200)-MIN(ROW('Temp Hisfa'!AA$3:AA$200))+1), ROW(39:238))),"")</f>
        <v>0</v>
      </c>
      <c r="AB41" s="22">
        <f t="array" ref="AB41">IFERROR(INDEX('Temp Hisfa'!AB$3:AB$200, SMALL(IF(ISERROR('Temp Hisfa'!AB$3:AB$200), "", ROW('Temp Hisfa'!AB$3:AB$200)-MIN(ROW('Temp Hisfa'!AB$3:AB$200))+1), ROW(39:238))),"")</f>
        <v>0</v>
      </c>
    </row>
    <row r="42" spans="1:28" x14ac:dyDescent="0.3">
      <c r="A42" s="4">
        <f t="array" ref="A42">IFERROR(INDEX('Temp Hisfa'!A$3:A$200, SMALL(IF(ISERROR('Temp Hisfa'!A$3:A$200), "", ROW('Temp Hisfa'!A$3:A$200)-MIN(ROW('Temp Hisfa'!A$3:A$200))+1), ROW(40:238))),"")</f>
        <v>0</v>
      </c>
      <c r="B42" s="4">
        <f t="array" ref="B42">IFERROR(INDEX('Temp Hisfa'!B$3:B$200, SMALL(IF(ISERROR('Temp Hisfa'!B$3:B$200), "", ROW('Temp Hisfa'!B$3:B$200)-MIN(ROW('Temp Hisfa'!B$3:B$200))+1), ROW(40:238))),"")</f>
        <v>0</v>
      </c>
      <c r="C42" s="3">
        <f t="array" ref="C42">IFERROR(INDEX('Temp Hisfa'!C$3:C$200, SMALL(IF(ISERROR('Temp Hisfa'!C$3:C$200), "", ROW('Temp Hisfa'!C$3:C$200)-MIN(ROW('Temp Hisfa'!C$3:C$200))+1), ROW(40:238))),"")</f>
        <v>0</v>
      </c>
      <c r="D42" s="3">
        <f t="array" ref="D42">IFERROR(INDEX('Temp Hisfa'!D$3:D$200, SMALL(IF(ISERROR('Temp Hisfa'!D$3:D$200), "", ROW('Temp Hisfa'!D$3:D$200)-MIN(ROW('Temp Hisfa'!D$3:D$200))+1), ROW(40:238))),"")</f>
        <v>0</v>
      </c>
      <c r="E42" s="29">
        <f t="array" ref="E42">IFERROR(INDEX('Temp Hisfa'!E$3:E$200, SMALL(IF(ISERROR('Temp Hisfa'!E$3:E$200), "", ROW('Temp Hisfa'!E$3:E$200)-MIN(ROW('Temp Hisfa'!E$3:E$200))+1), ROW(40:239))),"")</f>
        <v>0</v>
      </c>
      <c r="F42" s="22" t="str">
        <f t="array" ref="F42">IFERROR(INDEX('Temp Hisfa'!F$3:F$200, SMALL(IF(ISERROR('Temp Hisfa'!F$3:F$200), "", ROW('Temp Hisfa'!F$3:F$200)-MIN(ROW('Temp Hisfa'!F$3:F$200))+1), ROW(40:239))),"")</f>
        <v/>
      </c>
      <c r="G42" s="30">
        <f t="array" ref="G42">IFERROR(INDEX('Temp Hisfa'!G$3:G$200, SMALL(IF(ISERROR('Temp Hisfa'!G$3:G$200), "", ROW('Temp Hisfa'!G$3:G$200)-MIN(ROW('Temp Hisfa'!G$3:G$200))+1), ROW(40:239))),"")</f>
        <v>0</v>
      </c>
      <c r="H42" s="22" t="str">
        <f t="array" ref="H42">IFERROR(INDEX('Temp Hisfa'!H$3:H$200, SMALL(IF(ISERROR('Temp Hisfa'!H$3:H$200), "", ROW('Temp Hisfa'!H$3:H$200)-MIN(ROW('Temp Hisfa'!H$3:H$200))+1), ROW(40:239))),"")</f>
        <v/>
      </c>
      <c r="I42" s="22">
        <f t="array" ref="I42">IFERROR(INDEX('Temp Hisfa'!I$3:I$200, SMALL(IF(ISERROR('Temp Hisfa'!I$3:I$200), "", ROW('Temp Hisfa'!I$3:I$200)-MIN(ROW('Temp Hisfa'!I$3:I$200))+1), ROW(40:239))),"")</f>
        <v>0</v>
      </c>
      <c r="J42" s="22">
        <f t="array" ref="J42">IFERROR(INDEX('Temp Hisfa'!J$3:J$200, SMALL(IF(ISERROR('Temp Hisfa'!J$3:J$200), "", ROW('Temp Hisfa'!J$3:J$200)-MIN(ROW('Temp Hisfa'!J$3:J$200))+1), ROW(40:239))),"")</f>
        <v>0</v>
      </c>
      <c r="K42" s="30">
        <f t="array" ref="K42">IFERROR(INDEX('Temp Hisfa'!K$3:K$200, SMALL(IF(ISERROR('Temp Hisfa'!K$3:K$200), "", ROW('Temp Hisfa'!K$3:K$200)-MIN(ROW('Temp Hisfa'!K$3:K$200))+1), ROW(40:239))),"")</f>
        <v>0</v>
      </c>
      <c r="L42" s="22">
        <f t="array" ref="L42">IFERROR(INDEX('Temp Hisfa'!L$3:L$200, SMALL(IF(ISERROR('Temp Hisfa'!L$3:L$200), "", ROW('Temp Hisfa'!L$3:L$200)-MIN(ROW('Temp Hisfa'!L$3:L$200))+1), ROW(40:239))),"")</f>
        <v>0</v>
      </c>
      <c r="M42" s="22">
        <f t="array" ref="M42">IFERROR(INDEX('Temp Hisfa'!M$3:M$200, SMALL(IF(ISERROR('Temp Hisfa'!M$3:M$200), "", ROW('Temp Hisfa'!M$3:M$200)-MIN(ROW('Temp Hisfa'!M$3:M$200))+1), ROW(40:239))),"")</f>
        <v>0</v>
      </c>
      <c r="N42" s="22">
        <f t="array" ref="N42">IFERROR(INDEX('Temp Hisfa'!N$3:N$200, SMALL(IF(ISERROR('Temp Hisfa'!N$3:N$200), "", ROW('Temp Hisfa'!N$3:N$200)-MIN(ROW('Temp Hisfa'!N$3:N$200))+1), ROW(40:239))),"")</f>
        <v>1900</v>
      </c>
      <c r="O42" s="22" t="str">
        <f t="array" ref="O42">IFERROR(INDEX('Temp Hisfa'!O$3:O$200, SMALL(IF(ISERROR('Temp Hisfa'!O$3:O$200), "", ROW('Temp Hisfa'!O$3:O$200)-MIN(ROW('Temp Hisfa'!O$3:O$200))+1), ROW(40:239))),"")</f>
        <v>enero</v>
      </c>
      <c r="P42" s="22">
        <f t="array" ref="P42">IFERROR(INDEX('Temp Hisfa'!P$3:P$200, SMALL(IF(ISERROR('Temp Hisfa'!P$3:P$200), "", ROW('Temp Hisfa'!P$3:P$200)-MIN(ROW('Temp Hisfa'!P$3:P$200))+1), ROW(40:239))),"")</f>
        <v>0</v>
      </c>
      <c r="Q42" s="22">
        <f t="array" ref="Q42">IFERROR(INDEX('Temp Hisfa'!Q$3:Q$200, SMALL(IF(ISERROR('Temp Hisfa'!Q$3:Q$200), "", ROW('Temp Hisfa'!Q$3:Q$200)-MIN(ROW('Temp Hisfa'!Q$3:Q$200))+1), ROW(40:239))),"")</f>
        <v>0</v>
      </c>
      <c r="R42" s="22">
        <f t="array" ref="R42">IFERROR(INDEX('Temp Hisfa'!R$3:R$200, SMALL(IF(ISERROR('Temp Hisfa'!R$3:R$200), "", ROW('Temp Hisfa'!R$3:R$200)-MIN(ROW('Temp Hisfa'!R$3:R$200))+1), ROW(40:239))),"")</f>
        <v>0</v>
      </c>
      <c r="S42" s="22">
        <f t="array" ref="S42">IFERROR(INDEX('Temp Hisfa'!S$3:S$200, SMALL(IF(ISERROR('Temp Hisfa'!S$3:S$200), "", ROW('Temp Hisfa'!S$3:S$200)-MIN(ROW('Temp Hisfa'!S$3:S$200))+1), ROW(40:239))),"")</f>
        <v>0</v>
      </c>
      <c r="T42" s="22">
        <f t="array" ref="T42">IFERROR(INDEX('Temp Hisfa'!T$3:T$200, SMALL(IF(ISERROR('Temp Hisfa'!T$3:T$200), "", ROW('Temp Hisfa'!T$3:T$200)-MIN(ROW('Temp Hisfa'!T$3:T$200))+1), ROW(40:239))),"")</f>
        <v>0</v>
      </c>
      <c r="U42" s="22">
        <f t="array" ref="U42">IFERROR(INDEX('Temp Hisfa'!U$3:U$200, SMALL(IF(ISERROR('Temp Hisfa'!U$3:U$200), "", ROW('Temp Hisfa'!U$3:U$200)-MIN(ROW('Temp Hisfa'!U$3:U$200))+1), ROW(40:239))),"")</f>
        <v>0</v>
      </c>
      <c r="V42" s="22">
        <f t="array" ref="V42">IFERROR(INDEX('Temp Hisfa'!V$3:V$200, SMALL(IF(ISERROR('Temp Hisfa'!V$3:V$200), "", ROW('Temp Hisfa'!V$3:V$200)-MIN(ROW('Temp Hisfa'!V$3:V$200))+1), ROW(40:239))),"")</f>
        <v>0</v>
      </c>
      <c r="W42" s="22">
        <f t="array" ref="W42">IFERROR(INDEX('Temp Hisfa'!W$3:W$200, SMALL(IF(ISERROR('Temp Hisfa'!W$3:W$200), "", ROW('Temp Hisfa'!W$3:W$200)-MIN(ROW('Temp Hisfa'!W$3:W$200))+1), ROW(40:239))),"")</f>
        <v>0</v>
      </c>
      <c r="X42" s="22">
        <f t="array" ref="X42">IFERROR(INDEX('Temp Hisfa'!X$3:X$200, SMALL(IF(ISERROR('Temp Hisfa'!X$3:X$200), "", ROW('Temp Hisfa'!X$3:X$200)-MIN(ROW('Temp Hisfa'!X$3:X$200))+1), ROW(40:239))),"")</f>
        <v>0</v>
      </c>
      <c r="Y42" s="22">
        <f t="array" ref="Y42">IFERROR(INDEX('Temp Hisfa'!Y$3:Y$200, SMALL(IF(ISERROR('Temp Hisfa'!Y$3:Y$200), "", ROW('Temp Hisfa'!Y$3:Y$200)-MIN(ROW('Temp Hisfa'!Y$3:Y$200))+1), ROW(40:239))),"")</f>
        <v>0</v>
      </c>
      <c r="Z42" s="22">
        <f t="array" ref="Z42">IFERROR(INDEX('Temp Hisfa'!Z$3:Z$200, SMALL(IF(ISERROR('Temp Hisfa'!Z$3:Z$200), "", ROW('Temp Hisfa'!Z$3:Z$200)-MIN(ROW('Temp Hisfa'!Z$3:Z$200))+1), ROW(40:239))),"")</f>
        <v>0</v>
      </c>
      <c r="AA42" s="22">
        <f t="array" ref="AA42">IFERROR(INDEX('Temp Hisfa'!AA$3:AA$200, SMALL(IF(ISERROR('Temp Hisfa'!AA$3:AA$200), "", ROW('Temp Hisfa'!AA$3:AA$200)-MIN(ROW('Temp Hisfa'!AA$3:AA$200))+1), ROW(40:239))),"")</f>
        <v>0</v>
      </c>
      <c r="AB42" s="22">
        <f t="array" ref="AB42">IFERROR(INDEX('Temp Hisfa'!AB$3:AB$200, SMALL(IF(ISERROR('Temp Hisfa'!AB$3:AB$200), "", ROW('Temp Hisfa'!AB$3:AB$200)-MIN(ROW('Temp Hisfa'!AB$3:AB$200))+1), ROW(40:239))),"")</f>
        <v>0</v>
      </c>
    </row>
    <row r="43" spans="1:28" x14ac:dyDescent="0.3">
      <c r="A43" s="4">
        <f t="array" ref="A43">IFERROR(INDEX('Temp Hisfa'!A$3:A$200, SMALL(IF(ISERROR('Temp Hisfa'!A$3:A$200), "", ROW('Temp Hisfa'!A$3:A$200)-MIN(ROW('Temp Hisfa'!A$3:A$200))+1), ROW(41:239))),"")</f>
        <v>0</v>
      </c>
      <c r="B43" s="4">
        <f t="array" ref="B43">IFERROR(INDEX('Temp Hisfa'!B$3:B$200, SMALL(IF(ISERROR('Temp Hisfa'!B$3:B$200), "", ROW('Temp Hisfa'!B$3:B$200)-MIN(ROW('Temp Hisfa'!B$3:B$200))+1), ROW(41:239))),"")</f>
        <v>0</v>
      </c>
      <c r="C43" s="3">
        <f t="array" ref="C43">IFERROR(INDEX('Temp Hisfa'!C$3:C$200, SMALL(IF(ISERROR('Temp Hisfa'!C$3:C$200), "", ROW('Temp Hisfa'!C$3:C$200)-MIN(ROW('Temp Hisfa'!C$3:C$200))+1), ROW(41:239))),"")</f>
        <v>0</v>
      </c>
      <c r="D43" s="3">
        <f t="array" ref="D43">IFERROR(INDEX('Temp Hisfa'!D$3:D$200, SMALL(IF(ISERROR('Temp Hisfa'!D$3:D$200), "", ROW('Temp Hisfa'!D$3:D$200)-MIN(ROW('Temp Hisfa'!D$3:D$200))+1), ROW(41:239))),"")</f>
        <v>0</v>
      </c>
      <c r="E43" s="29">
        <f t="array" ref="E43">IFERROR(INDEX('Temp Hisfa'!E$3:E$200, SMALL(IF(ISERROR('Temp Hisfa'!E$3:E$200), "", ROW('Temp Hisfa'!E$3:E$200)-MIN(ROW('Temp Hisfa'!E$3:E$200))+1), ROW(41:240))),"")</f>
        <v>0</v>
      </c>
      <c r="F43" s="22" t="str">
        <f t="array" ref="F43">IFERROR(INDEX('Temp Hisfa'!F$3:F$200, SMALL(IF(ISERROR('Temp Hisfa'!F$3:F$200), "", ROW('Temp Hisfa'!F$3:F$200)-MIN(ROW('Temp Hisfa'!F$3:F$200))+1), ROW(41:240))),"")</f>
        <v/>
      </c>
      <c r="G43" s="30">
        <f t="array" ref="G43">IFERROR(INDEX('Temp Hisfa'!G$3:G$200, SMALL(IF(ISERROR('Temp Hisfa'!G$3:G$200), "", ROW('Temp Hisfa'!G$3:G$200)-MIN(ROW('Temp Hisfa'!G$3:G$200))+1), ROW(41:240))),"")</f>
        <v>0</v>
      </c>
      <c r="H43" s="22" t="str">
        <f t="array" ref="H43">IFERROR(INDEX('Temp Hisfa'!H$3:H$200, SMALL(IF(ISERROR('Temp Hisfa'!H$3:H$200), "", ROW('Temp Hisfa'!H$3:H$200)-MIN(ROW('Temp Hisfa'!H$3:H$200))+1), ROW(41:240))),"")</f>
        <v/>
      </c>
      <c r="I43" s="22">
        <f t="array" ref="I43">IFERROR(INDEX('Temp Hisfa'!I$3:I$200, SMALL(IF(ISERROR('Temp Hisfa'!I$3:I$200), "", ROW('Temp Hisfa'!I$3:I$200)-MIN(ROW('Temp Hisfa'!I$3:I$200))+1), ROW(41:240))),"")</f>
        <v>0</v>
      </c>
      <c r="J43" s="22">
        <f t="array" ref="J43">IFERROR(INDEX('Temp Hisfa'!J$3:J$200, SMALL(IF(ISERROR('Temp Hisfa'!J$3:J$200), "", ROW('Temp Hisfa'!J$3:J$200)-MIN(ROW('Temp Hisfa'!J$3:J$200))+1), ROW(41:240))),"")</f>
        <v>0</v>
      </c>
      <c r="K43" s="30">
        <f t="array" ref="K43">IFERROR(INDEX('Temp Hisfa'!K$3:K$200, SMALL(IF(ISERROR('Temp Hisfa'!K$3:K$200), "", ROW('Temp Hisfa'!K$3:K$200)-MIN(ROW('Temp Hisfa'!K$3:K$200))+1), ROW(41:240))),"")</f>
        <v>0</v>
      </c>
      <c r="L43" s="22">
        <f t="array" ref="L43">IFERROR(INDEX('Temp Hisfa'!L$3:L$200, SMALL(IF(ISERROR('Temp Hisfa'!L$3:L$200), "", ROW('Temp Hisfa'!L$3:L$200)-MIN(ROW('Temp Hisfa'!L$3:L$200))+1), ROW(41:240))),"")</f>
        <v>0</v>
      </c>
      <c r="M43" s="22">
        <f t="array" ref="M43">IFERROR(INDEX('Temp Hisfa'!M$3:M$200, SMALL(IF(ISERROR('Temp Hisfa'!M$3:M$200), "", ROW('Temp Hisfa'!M$3:M$200)-MIN(ROW('Temp Hisfa'!M$3:M$200))+1), ROW(41:240))),"")</f>
        <v>0</v>
      </c>
      <c r="N43" s="22">
        <f t="array" ref="N43">IFERROR(INDEX('Temp Hisfa'!N$3:N$200, SMALL(IF(ISERROR('Temp Hisfa'!N$3:N$200), "", ROW('Temp Hisfa'!N$3:N$200)-MIN(ROW('Temp Hisfa'!N$3:N$200))+1), ROW(41:240))),"")</f>
        <v>1900</v>
      </c>
      <c r="O43" s="22" t="str">
        <f t="array" ref="O43">IFERROR(INDEX('Temp Hisfa'!O$3:O$200, SMALL(IF(ISERROR('Temp Hisfa'!O$3:O$200), "", ROW('Temp Hisfa'!O$3:O$200)-MIN(ROW('Temp Hisfa'!O$3:O$200))+1), ROW(41:240))),"")</f>
        <v>enero</v>
      </c>
      <c r="P43" s="22">
        <f t="array" ref="P43">IFERROR(INDEX('Temp Hisfa'!P$3:P$200, SMALL(IF(ISERROR('Temp Hisfa'!P$3:P$200), "", ROW('Temp Hisfa'!P$3:P$200)-MIN(ROW('Temp Hisfa'!P$3:P$200))+1), ROW(41:240))),"")</f>
        <v>0</v>
      </c>
      <c r="Q43" s="22">
        <f t="array" ref="Q43">IFERROR(INDEX('Temp Hisfa'!Q$3:Q$200, SMALL(IF(ISERROR('Temp Hisfa'!Q$3:Q$200), "", ROW('Temp Hisfa'!Q$3:Q$200)-MIN(ROW('Temp Hisfa'!Q$3:Q$200))+1), ROW(41:240))),"")</f>
        <v>0</v>
      </c>
      <c r="R43" s="22">
        <f t="array" ref="R43">IFERROR(INDEX('Temp Hisfa'!R$3:R$200, SMALL(IF(ISERROR('Temp Hisfa'!R$3:R$200), "", ROW('Temp Hisfa'!R$3:R$200)-MIN(ROW('Temp Hisfa'!R$3:R$200))+1), ROW(41:240))),"")</f>
        <v>0</v>
      </c>
      <c r="S43" s="22">
        <f t="array" ref="S43">IFERROR(INDEX('Temp Hisfa'!S$3:S$200, SMALL(IF(ISERROR('Temp Hisfa'!S$3:S$200), "", ROW('Temp Hisfa'!S$3:S$200)-MIN(ROW('Temp Hisfa'!S$3:S$200))+1), ROW(41:240))),"")</f>
        <v>0</v>
      </c>
      <c r="T43" s="22">
        <f t="array" ref="T43">IFERROR(INDEX('Temp Hisfa'!T$3:T$200, SMALL(IF(ISERROR('Temp Hisfa'!T$3:T$200), "", ROW('Temp Hisfa'!T$3:T$200)-MIN(ROW('Temp Hisfa'!T$3:T$200))+1), ROW(41:240))),"")</f>
        <v>0</v>
      </c>
      <c r="U43" s="22">
        <f t="array" ref="U43">IFERROR(INDEX('Temp Hisfa'!U$3:U$200, SMALL(IF(ISERROR('Temp Hisfa'!U$3:U$200), "", ROW('Temp Hisfa'!U$3:U$200)-MIN(ROW('Temp Hisfa'!U$3:U$200))+1), ROW(41:240))),"")</f>
        <v>0</v>
      </c>
      <c r="V43" s="22">
        <f t="array" ref="V43">IFERROR(INDEX('Temp Hisfa'!V$3:V$200, SMALL(IF(ISERROR('Temp Hisfa'!V$3:V$200), "", ROW('Temp Hisfa'!V$3:V$200)-MIN(ROW('Temp Hisfa'!V$3:V$200))+1), ROW(41:240))),"")</f>
        <v>0</v>
      </c>
      <c r="W43" s="22">
        <f t="array" ref="W43">IFERROR(INDEX('Temp Hisfa'!W$3:W$200, SMALL(IF(ISERROR('Temp Hisfa'!W$3:W$200), "", ROW('Temp Hisfa'!W$3:W$200)-MIN(ROW('Temp Hisfa'!W$3:W$200))+1), ROW(41:240))),"")</f>
        <v>0</v>
      </c>
      <c r="X43" s="22">
        <f t="array" ref="X43">IFERROR(INDEX('Temp Hisfa'!X$3:X$200, SMALL(IF(ISERROR('Temp Hisfa'!X$3:X$200), "", ROW('Temp Hisfa'!X$3:X$200)-MIN(ROW('Temp Hisfa'!X$3:X$200))+1), ROW(41:240))),"")</f>
        <v>0</v>
      </c>
      <c r="Y43" s="22">
        <f t="array" ref="Y43">IFERROR(INDEX('Temp Hisfa'!Y$3:Y$200, SMALL(IF(ISERROR('Temp Hisfa'!Y$3:Y$200), "", ROW('Temp Hisfa'!Y$3:Y$200)-MIN(ROW('Temp Hisfa'!Y$3:Y$200))+1), ROW(41:240))),"")</f>
        <v>0</v>
      </c>
      <c r="Z43" s="22">
        <f t="array" ref="Z43">IFERROR(INDEX('Temp Hisfa'!Z$3:Z$200, SMALL(IF(ISERROR('Temp Hisfa'!Z$3:Z$200), "", ROW('Temp Hisfa'!Z$3:Z$200)-MIN(ROW('Temp Hisfa'!Z$3:Z$200))+1), ROW(41:240))),"")</f>
        <v>0</v>
      </c>
      <c r="AA43" s="22">
        <f t="array" ref="AA43">IFERROR(INDEX('Temp Hisfa'!AA$3:AA$200, SMALL(IF(ISERROR('Temp Hisfa'!AA$3:AA$200), "", ROW('Temp Hisfa'!AA$3:AA$200)-MIN(ROW('Temp Hisfa'!AA$3:AA$200))+1), ROW(41:240))),"")</f>
        <v>0</v>
      </c>
      <c r="AB43" s="22">
        <f t="array" ref="AB43">IFERROR(INDEX('Temp Hisfa'!AB$3:AB$200, SMALL(IF(ISERROR('Temp Hisfa'!AB$3:AB$200), "", ROW('Temp Hisfa'!AB$3:AB$200)-MIN(ROW('Temp Hisfa'!AB$3:AB$200))+1), ROW(41:240))),"")</f>
        <v>0</v>
      </c>
    </row>
    <row r="44" spans="1:28" x14ac:dyDescent="0.3">
      <c r="A44" s="4">
        <f t="array" ref="A44">IFERROR(INDEX('Temp Hisfa'!A$3:A$200, SMALL(IF(ISERROR('Temp Hisfa'!A$3:A$200), "", ROW('Temp Hisfa'!A$3:A$200)-MIN(ROW('Temp Hisfa'!A$3:A$200))+1), ROW(42:240))),"")</f>
        <v>0</v>
      </c>
      <c r="B44" s="4">
        <f t="array" ref="B44">IFERROR(INDEX('Temp Hisfa'!B$3:B$200, SMALL(IF(ISERROR('Temp Hisfa'!B$3:B$200), "", ROW('Temp Hisfa'!B$3:B$200)-MIN(ROW('Temp Hisfa'!B$3:B$200))+1), ROW(42:240))),"")</f>
        <v>0</v>
      </c>
      <c r="C44" s="3">
        <f t="array" ref="C44">IFERROR(INDEX('Temp Hisfa'!C$3:C$200, SMALL(IF(ISERROR('Temp Hisfa'!C$3:C$200), "", ROW('Temp Hisfa'!C$3:C$200)-MIN(ROW('Temp Hisfa'!C$3:C$200))+1), ROW(42:240))),"")</f>
        <v>0</v>
      </c>
      <c r="D44" s="3">
        <f t="array" ref="D44">IFERROR(INDEX('Temp Hisfa'!D$3:D$200, SMALL(IF(ISERROR('Temp Hisfa'!D$3:D$200), "", ROW('Temp Hisfa'!D$3:D$200)-MIN(ROW('Temp Hisfa'!D$3:D$200))+1), ROW(42:240))),"")</f>
        <v>0</v>
      </c>
      <c r="E44" s="29">
        <f t="array" ref="E44">IFERROR(INDEX('Temp Hisfa'!E$3:E$200, SMALL(IF(ISERROR('Temp Hisfa'!E$3:E$200), "", ROW('Temp Hisfa'!E$3:E$200)-MIN(ROW('Temp Hisfa'!E$3:E$200))+1), ROW(42:241))),"")</f>
        <v>0</v>
      </c>
      <c r="F44" s="22" t="str">
        <f t="array" ref="F44">IFERROR(INDEX('Temp Hisfa'!F$3:F$200, SMALL(IF(ISERROR('Temp Hisfa'!F$3:F$200), "", ROW('Temp Hisfa'!F$3:F$200)-MIN(ROW('Temp Hisfa'!F$3:F$200))+1), ROW(42:241))),"")</f>
        <v/>
      </c>
      <c r="G44" s="30">
        <f t="array" ref="G44">IFERROR(INDEX('Temp Hisfa'!G$3:G$200, SMALL(IF(ISERROR('Temp Hisfa'!G$3:G$200), "", ROW('Temp Hisfa'!G$3:G$200)-MIN(ROW('Temp Hisfa'!G$3:G$200))+1), ROW(42:241))),"")</f>
        <v>0</v>
      </c>
      <c r="H44" s="22" t="str">
        <f t="array" ref="H44">IFERROR(INDEX('Temp Hisfa'!H$3:H$200, SMALL(IF(ISERROR('Temp Hisfa'!H$3:H$200), "", ROW('Temp Hisfa'!H$3:H$200)-MIN(ROW('Temp Hisfa'!H$3:H$200))+1), ROW(42:241))),"")</f>
        <v/>
      </c>
      <c r="I44" s="22">
        <f t="array" ref="I44">IFERROR(INDEX('Temp Hisfa'!I$3:I$200, SMALL(IF(ISERROR('Temp Hisfa'!I$3:I$200), "", ROW('Temp Hisfa'!I$3:I$200)-MIN(ROW('Temp Hisfa'!I$3:I$200))+1), ROW(42:241))),"")</f>
        <v>0</v>
      </c>
      <c r="J44" s="22">
        <f t="array" ref="J44">IFERROR(INDEX('Temp Hisfa'!J$3:J$200, SMALL(IF(ISERROR('Temp Hisfa'!J$3:J$200), "", ROW('Temp Hisfa'!J$3:J$200)-MIN(ROW('Temp Hisfa'!J$3:J$200))+1), ROW(42:241))),"")</f>
        <v>0</v>
      </c>
      <c r="K44" s="30">
        <f t="array" ref="K44">IFERROR(INDEX('Temp Hisfa'!K$3:K$200, SMALL(IF(ISERROR('Temp Hisfa'!K$3:K$200), "", ROW('Temp Hisfa'!K$3:K$200)-MIN(ROW('Temp Hisfa'!K$3:K$200))+1), ROW(42:241))),"")</f>
        <v>0</v>
      </c>
      <c r="L44" s="22">
        <f t="array" ref="L44">IFERROR(INDEX('Temp Hisfa'!L$3:L$200, SMALL(IF(ISERROR('Temp Hisfa'!L$3:L$200), "", ROW('Temp Hisfa'!L$3:L$200)-MIN(ROW('Temp Hisfa'!L$3:L$200))+1), ROW(42:241))),"")</f>
        <v>0</v>
      </c>
      <c r="M44" s="22">
        <f t="array" ref="M44">IFERROR(INDEX('Temp Hisfa'!M$3:M$200, SMALL(IF(ISERROR('Temp Hisfa'!M$3:M$200), "", ROW('Temp Hisfa'!M$3:M$200)-MIN(ROW('Temp Hisfa'!M$3:M$200))+1), ROW(42:241))),"")</f>
        <v>0</v>
      </c>
      <c r="N44" s="22">
        <f t="array" ref="N44">IFERROR(INDEX('Temp Hisfa'!N$3:N$200, SMALL(IF(ISERROR('Temp Hisfa'!N$3:N$200), "", ROW('Temp Hisfa'!N$3:N$200)-MIN(ROW('Temp Hisfa'!N$3:N$200))+1), ROW(42:241))),"")</f>
        <v>1900</v>
      </c>
      <c r="O44" s="22" t="str">
        <f t="array" ref="O44">IFERROR(INDEX('Temp Hisfa'!O$3:O$200, SMALL(IF(ISERROR('Temp Hisfa'!O$3:O$200), "", ROW('Temp Hisfa'!O$3:O$200)-MIN(ROW('Temp Hisfa'!O$3:O$200))+1), ROW(42:241))),"")</f>
        <v>enero</v>
      </c>
      <c r="P44" s="22">
        <f t="array" ref="P44">IFERROR(INDEX('Temp Hisfa'!P$3:P$200, SMALL(IF(ISERROR('Temp Hisfa'!P$3:P$200), "", ROW('Temp Hisfa'!P$3:P$200)-MIN(ROW('Temp Hisfa'!P$3:P$200))+1), ROW(42:241))),"")</f>
        <v>0</v>
      </c>
      <c r="Q44" s="22">
        <f t="array" ref="Q44">IFERROR(INDEX('Temp Hisfa'!Q$3:Q$200, SMALL(IF(ISERROR('Temp Hisfa'!Q$3:Q$200), "", ROW('Temp Hisfa'!Q$3:Q$200)-MIN(ROW('Temp Hisfa'!Q$3:Q$200))+1), ROW(42:241))),"")</f>
        <v>0</v>
      </c>
      <c r="R44" s="22">
        <f t="array" ref="R44">IFERROR(INDEX('Temp Hisfa'!R$3:R$200, SMALL(IF(ISERROR('Temp Hisfa'!R$3:R$200), "", ROW('Temp Hisfa'!R$3:R$200)-MIN(ROW('Temp Hisfa'!R$3:R$200))+1), ROW(42:241))),"")</f>
        <v>0</v>
      </c>
      <c r="S44" s="22">
        <f t="array" ref="S44">IFERROR(INDEX('Temp Hisfa'!S$3:S$200, SMALL(IF(ISERROR('Temp Hisfa'!S$3:S$200), "", ROW('Temp Hisfa'!S$3:S$200)-MIN(ROW('Temp Hisfa'!S$3:S$200))+1), ROW(42:241))),"")</f>
        <v>0</v>
      </c>
      <c r="T44" s="22">
        <f t="array" ref="T44">IFERROR(INDEX('Temp Hisfa'!T$3:T$200, SMALL(IF(ISERROR('Temp Hisfa'!T$3:T$200), "", ROW('Temp Hisfa'!T$3:T$200)-MIN(ROW('Temp Hisfa'!T$3:T$200))+1), ROW(42:241))),"")</f>
        <v>0</v>
      </c>
      <c r="U44" s="22">
        <f t="array" ref="U44">IFERROR(INDEX('Temp Hisfa'!U$3:U$200, SMALL(IF(ISERROR('Temp Hisfa'!U$3:U$200), "", ROW('Temp Hisfa'!U$3:U$200)-MIN(ROW('Temp Hisfa'!U$3:U$200))+1), ROW(42:241))),"")</f>
        <v>0</v>
      </c>
      <c r="V44" s="22">
        <f t="array" ref="V44">IFERROR(INDEX('Temp Hisfa'!V$3:V$200, SMALL(IF(ISERROR('Temp Hisfa'!V$3:V$200), "", ROW('Temp Hisfa'!V$3:V$200)-MIN(ROW('Temp Hisfa'!V$3:V$200))+1), ROW(42:241))),"")</f>
        <v>0</v>
      </c>
      <c r="W44" s="22">
        <f t="array" ref="W44">IFERROR(INDEX('Temp Hisfa'!W$3:W$200, SMALL(IF(ISERROR('Temp Hisfa'!W$3:W$200), "", ROW('Temp Hisfa'!W$3:W$200)-MIN(ROW('Temp Hisfa'!W$3:W$200))+1), ROW(42:241))),"")</f>
        <v>0</v>
      </c>
      <c r="X44" s="22">
        <f t="array" ref="X44">IFERROR(INDEX('Temp Hisfa'!X$3:X$200, SMALL(IF(ISERROR('Temp Hisfa'!X$3:X$200), "", ROW('Temp Hisfa'!X$3:X$200)-MIN(ROW('Temp Hisfa'!X$3:X$200))+1), ROW(42:241))),"")</f>
        <v>0</v>
      </c>
      <c r="Y44" s="22">
        <f t="array" ref="Y44">IFERROR(INDEX('Temp Hisfa'!Y$3:Y$200, SMALL(IF(ISERROR('Temp Hisfa'!Y$3:Y$200), "", ROW('Temp Hisfa'!Y$3:Y$200)-MIN(ROW('Temp Hisfa'!Y$3:Y$200))+1), ROW(42:241))),"")</f>
        <v>0</v>
      </c>
      <c r="Z44" s="22">
        <f t="array" ref="Z44">IFERROR(INDEX('Temp Hisfa'!Z$3:Z$200, SMALL(IF(ISERROR('Temp Hisfa'!Z$3:Z$200), "", ROW('Temp Hisfa'!Z$3:Z$200)-MIN(ROW('Temp Hisfa'!Z$3:Z$200))+1), ROW(42:241))),"")</f>
        <v>0</v>
      </c>
      <c r="AA44" s="22">
        <f t="array" ref="AA44">IFERROR(INDEX('Temp Hisfa'!AA$3:AA$200, SMALL(IF(ISERROR('Temp Hisfa'!AA$3:AA$200), "", ROW('Temp Hisfa'!AA$3:AA$200)-MIN(ROW('Temp Hisfa'!AA$3:AA$200))+1), ROW(42:241))),"")</f>
        <v>0</v>
      </c>
      <c r="AB44" s="22">
        <f t="array" ref="AB44">IFERROR(INDEX('Temp Hisfa'!AB$3:AB$200, SMALL(IF(ISERROR('Temp Hisfa'!AB$3:AB$200), "", ROW('Temp Hisfa'!AB$3:AB$200)-MIN(ROW('Temp Hisfa'!AB$3:AB$200))+1), ROW(42:241))),"")</f>
        <v>0</v>
      </c>
    </row>
    <row r="45" spans="1:28" x14ac:dyDescent="0.3">
      <c r="A45" s="4">
        <f t="array" ref="A45">IFERROR(INDEX('Temp Hisfa'!A$3:A$200, SMALL(IF(ISERROR('Temp Hisfa'!A$3:A$200), "", ROW('Temp Hisfa'!A$3:A$200)-MIN(ROW('Temp Hisfa'!A$3:A$200))+1), ROW(43:241))),"")</f>
        <v>0</v>
      </c>
      <c r="B45" s="4">
        <f t="array" ref="B45">IFERROR(INDEX('Temp Hisfa'!B$3:B$200, SMALL(IF(ISERROR('Temp Hisfa'!B$3:B$200), "", ROW('Temp Hisfa'!B$3:B$200)-MIN(ROW('Temp Hisfa'!B$3:B$200))+1), ROW(43:241))),"")</f>
        <v>0</v>
      </c>
      <c r="C45" s="3">
        <f t="array" ref="C45">IFERROR(INDEX('Temp Hisfa'!C$3:C$200, SMALL(IF(ISERROR('Temp Hisfa'!C$3:C$200), "", ROW('Temp Hisfa'!C$3:C$200)-MIN(ROW('Temp Hisfa'!C$3:C$200))+1), ROW(43:241))),"")</f>
        <v>0</v>
      </c>
      <c r="D45" s="3">
        <f t="array" ref="D45">IFERROR(INDEX('Temp Hisfa'!D$3:D$200, SMALL(IF(ISERROR('Temp Hisfa'!D$3:D$200), "", ROW('Temp Hisfa'!D$3:D$200)-MIN(ROW('Temp Hisfa'!D$3:D$200))+1), ROW(43:241))),"")</f>
        <v>0</v>
      </c>
      <c r="E45" s="29">
        <f t="array" ref="E45">IFERROR(INDEX('Temp Hisfa'!E$3:E$200, SMALL(IF(ISERROR('Temp Hisfa'!E$3:E$200), "", ROW('Temp Hisfa'!E$3:E$200)-MIN(ROW('Temp Hisfa'!E$3:E$200))+1), ROW(43:242))),"")</f>
        <v>0</v>
      </c>
      <c r="F45" s="22" t="str">
        <f t="array" ref="F45">IFERROR(INDEX('Temp Hisfa'!F$3:F$200, SMALL(IF(ISERROR('Temp Hisfa'!F$3:F$200), "", ROW('Temp Hisfa'!F$3:F$200)-MIN(ROW('Temp Hisfa'!F$3:F$200))+1), ROW(43:242))),"")</f>
        <v/>
      </c>
      <c r="G45" s="30">
        <f t="array" ref="G45">IFERROR(INDEX('Temp Hisfa'!G$3:G$200, SMALL(IF(ISERROR('Temp Hisfa'!G$3:G$200), "", ROW('Temp Hisfa'!G$3:G$200)-MIN(ROW('Temp Hisfa'!G$3:G$200))+1), ROW(43:242))),"")</f>
        <v>0</v>
      </c>
      <c r="H45" s="22" t="str">
        <f t="array" ref="H45">IFERROR(INDEX('Temp Hisfa'!H$3:H$200, SMALL(IF(ISERROR('Temp Hisfa'!H$3:H$200), "", ROW('Temp Hisfa'!H$3:H$200)-MIN(ROW('Temp Hisfa'!H$3:H$200))+1), ROW(43:242))),"")</f>
        <v/>
      </c>
      <c r="I45" s="22">
        <f t="array" ref="I45">IFERROR(INDEX('Temp Hisfa'!I$3:I$200, SMALL(IF(ISERROR('Temp Hisfa'!I$3:I$200), "", ROW('Temp Hisfa'!I$3:I$200)-MIN(ROW('Temp Hisfa'!I$3:I$200))+1), ROW(43:242))),"")</f>
        <v>0</v>
      </c>
      <c r="J45" s="22">
        <f t="array" ref="J45">IFERROR(INDEX('Temp Hisfa'!J$3:J$200, SMALL(IF(ISERROR('Temp Hisfa'!J$3:J$200), "", ROW('Temp Hisfa'!J$3:J$200)-MIN(ROW('Temp Hisfa'!J$3:J$200))+1), ROW(43:242))),"")</f>
        <v>0</v>
      </c>
      <c r="K45" s="30">
        <f t="array" ref="K45">IFERROR(INDEX('Temp Hisfa'!K$3:K$200, SMALL(IF(ISERROR('Temp Hisfa'!K$3:K$200), "", ROW('Temp Hisfa'!K$3:K$200)-MIN(ROW('Temp Hisfa'!K$3:K$200))+1), ROW(43:242))),"")</f>
        <v>0</v>
      </c>
      <c r="L45" s="22">
        <f t="array" ref="L45">IFERROR(INDEX('Temp Hisfa'!L$3:L$200, SMALL(IF(ISERROR('Temp Hisfa'!L$3:L$200), "", ROW('Temp Hisfa'!L$3:L$200)-MIN(ROW('Temp Hisfa'!L$3:L$200))+1), ROW(43:242))),"")</f>
        <v>0</v>
      </c>
      <c r="M45" s="22">
        <f t="array" ref="M45">IFERROR(INDEX('Temp Hisfa'!M$3:M$200, SMALL(IF(ISERROR('Temp Hisfa'!M$3:M$200), "", ROW('Temp Hisfa'!M$3:M$200)-MIN(ROW('Temp Hisfa'!M$3:M$200))+1), ROW(43:242))),"")</f>
        <v>0</v>
      </c>
      <c r="N45" s="22">
        <f t="array" ref="N45">IFERROR(INDEX('Temp Hisfa'!N$3:N$200, SMALL(IF(ISERROR('Temp Hisfa'!N$3:N$200), "", ROW('Temp Hisfa'!N$3:N$200)-MIN(ROW('Temp Hisfa'!N$3:N$200))+1), ROW(43:242))),"")</f>
        <v>1900</v>
      </c>
      <c r="O45" s="22" t="str">
        <f t="array" ref="O45">IFERROR(INDEX('Temp Hisfa'!O$3:O$200, SMALL(IF(ISERROR('Temp Hisfa'!O$3:O$200), "", ROW('Temp Hisfa'!O$3:O$200)-MIN(ROW('Temp Hisfa'!O$3:O$200))+1), ROW(43:242))),"")</f>
        <v>enero</v>
      </c>
      <c r="P45" s="22">
        <f t="array" ref="P45">IFERROR(INDEX('Temp Hisfa'!P$3:P$200, SMALL(IF(ISERROR('Temp Hisfa'!P$3:P$200), "", ROW('Temp Hisfa'!P$3:P$200)-MIN(ROW('Temp Hisfa'!P$3:P$200))+1), ROW(43:242))),"")</f>
        <v>0</v>
      </c>
      <c r="Q45" s="22">
        <f t="array" ref="Q45">IFERROR(INDEX('Temp Hisfa'!Q$3:Q$200, SMALL(IF(ISERROR('Temp Hisfa'!Q$3:Q$200), "", ROW('Temp Hisfa'!Q$3:Q$200)-MIN(ROW('Temp Hisfa'!Q$3:Q$200))+1), ROW(43:242))),"")</f>
        <v>0</v>
      </c>
      <c r="R45" s="22">
        <f t="array" ref="R45">IFERROR(INDEX('Temp Hisfa'!R$3:R$200, SMALL(IF(ISERROR('Temp Hisfa'!R$3:R$200), "", ROW('Temp Hisfa'!R$3:R$200)-MIN(ROW('Temp Hisfa'!R$3:R$200))+1), ROW(43:242))),"")</f>
        <v>0</v>
      </c>
      <c r="S45" s="22">
        <f t="array" ref="S45">IFERROR(INDEX('Temp Hisfa'!S$3:S$200, SMALL(IF(ISERROR('Temp Hisfa'!S$3:S$200), "", ROW('Temp Hisfa'!S$3:S$200)-MIN(ROW('Temp Hisfa'!S$3:S$200))+1), ROW(43:242))),"")</f>
        <v>0</v>
      </c>
      <c r="T45" s="22">
        <f t="array" ref="T45">IFERROR(INDEX('Temp Hisfa'!T$3:T$200, SMALL(IF(ISERROR('Temp Hisfa'!T$3:T$200), "", ROW('Temp Hisfa'!T$3:T$200)-MIN(ROW('Temp Hisfa'!T$3:T$200))+1), ROW(43:242))),"")</f>
        <v>0</v>
      </c>
      <c r="U45" s="22">
        <f t="array" ref="U45">IFERROR(INDEX('Temp Hisfa'!U$3:U$200, SMALL(IF(ISERROR('Temp Hisfa'!U$3:U$200), "", ROW('Temp Hisfa'!U$3:U$200)-MIN(ROW('Temp Hisfa'!U$3:U$200))+1), ROW(43:242))),"")</f>
        <v>0</v>
      </c>
      <c r="V45" s="22">
        <f t="array" ref="V45">IFERROR(INDEX('Temp Hisfa'!V$3:V$200, SMALL(IF(ISERROR('Temp Hisfa'!V$3:V$200), "", ROW('Temp Hisfa'!V$3:V$200)-MIN(ROW('Temp Hisfa'!V$3:V$200))+1), ROW(43:242))),"")</f>
        <v>0</v>
      </c>
      <c r="W45" s="22">
        <f t="array" ref="W45">IFERROR(INDEX('Temp Hisfa'!W$3:W$200, SMALL(IF(ISERROR('Temp Hisfa'!W$3:W$200), "", ROW('Temp Hisfa'!W$3:W$200)-MIN(ROW('Temp Hisfa'!W$3:W$200))+1), ROW(43:242))),"")</f>
        <v>0</v>
      </c>
      <c r="X45" s="22">
        <f t="array" ref="X45">IFERROR(INDEX('Temp Hisfa'!X$3:X$200, SMALL(IF(ISERROR('Temp Hisfa'!X$3:X$200), "", ROW('Temp Hisfa'!X$3:X$200)-MIN(ROW('Temp Hisfa'!X$3:X$200))+1), ROW(43:242))),"")</f>
        <v>0</v>
      </c>
      <c r="Y45" s="22">
        <f t="array" ref="Y45">IFERROR(INDEX('Temp Hisfa'!Y$3:Y$200, SMALL(IF(ISERROR('Temp Hisfa'!Y$3:Y$200), "", ROW('Temp Hisfa'!Y$3:Y$200)-MIN(ROW('Temp Hisfa'!Y$3:Y$200))+1), ROW(43:242))),"")</f>
        <v>0</v>
      </c>
      <c r="Z45" s="22">
        <f t="array" ref="Z45">IFERROR(INDEX('Temp Hisfa'!Z$3:Z$200, SMALL(IF(ISERROR('Temp Hisfa'!Z$3:Z$200), "", ROW('Temp Hisfa'!Z$3:Z$200)-MIN(ROW('Temp Hisfa'!Z$3:Z$200))+1), ROW(43:242))),"")</f>
        <v>0</v>
      </c>
      <c r="AA45" s="22">
        <f t="array" ref="AA45">IFERROR(INDEX('Temp Hisfa'!AA$3:AA$200, SMALL(IF(ISERROR('Temp Hisfa'!AA$3:AA$200), "", ROW('Temp Hisfa'!AA$3:AA$200)-MIN(ROW('Temp Hisfa'!AA$3:AA$200))+1), ROW(43:242))),"")</f>
        <v>0</v>
      </c>
      <c r="AB45" s="22">
        <f t="array" ref="AB45">IFERROR(INDEX('Temp Hisfa'!AB$3:AB$200, SMALL(IF(ISERROR('Temp Hisfa'!AB$3:AB$200), "", ROW('Temp Hisfa'!AB$3:AB$200)-MIN(ROW('Temp Hisfa'!AB$3:AB$200))+1), ROW(43:242))),"")</f>
        <v>0</v>
      </c>
    </row>
    <row r="46" spans="1:28" x14ac:dyDescent="0.3">
      <c r="A46" s="4">
        <f t="array" ref="A46">IFERROR(INDEX('Temp Hisfa'!A$3:A$200, SMALL(IF(ISERROR('Temp Hisfa'!A$3:A$200), "", ROW('Temp Hisfa'!A$3:A$200)-MIN(ROW('Temp Hisfa'!A$3:A$200))+1), ROW(44:242))),"")</f>
        <v>0</v>
      </c>
      <c r="B46" s="4">
        <f t="array" ref="B46">IFERROR(INDEX('Temp Hisfa'!B$3:B$200, SMALL(IF(ISERROR('Temp Hisfa'!B$3:B$200), "", ROW('Temp Hisfa'!B$3:B$200)-MIN(ROW('Temp Hisfa'!B$3:B$200))+1), ROW(44:242))),"")</f>
        <v>0</v>
      </c>
      <c r="C46" s="3">
        <f t="array" ref="C46">IFERROR(INDEX('Temp Hisfa'!C$3:C$200, SMALL(IF(ISERROR('Temp Hisfa'!C$3:C$200), "", ROW('Temp Hisfa'!C$3:C$200)-MIN(ROW('Temp Hisfa'!C$3:C$200))+1), ROW(44:242))),"")</f>
        <v>0</v>
      </c>
      <c r="D46" s="3">
        <f t="array" ref="D46">IFERROR(INDEX('Temp Hisfa'!D$3:D$200, SMALL(IF(ISERROR('Temp Hisfa'!D$3:D$200), "", ROW('Temp Hisfa'!D$3:D$200)-MIN(ROW('Temp Hisfa'!D$3:D$200))+1), ROW(44:242))),"")</f>
        <v>0</v>
      </c>
      <c r="E46" s="29">
        <f t="array" ref="E46">IFERROR(INDEX('Temp Hisfa'!E$3:E$200, SMALL(IF(ISERROR('Temp Hisfa'!E$3:E$200), "", ROW('Temp Hisfa'!E$3:E$200)-MIN(ROW('Temp Hisfa'!E$3:E$200))+1), ROW(44:243))),"")</f>
        <v>0</v>
      </c>
      <c r="F46" s="22" t="str">
        <f t="array" ref="F46">IFERROR(INDEX('Temp Hisfa'!F$3:F$200, SMALL(IF(ISERROR('Temp Hisfa'!F$3:F$200), "", ROW('Temp Hisfa'!F$3:F$200)-MIN(ROW('Temp Hisfa'!F$3:F$200))+1), ROW(44:243))),"")</f>
        <v/>
      </c>
      <c r="G46" s="30">
        <f t="array" ref="G46">IFERROR(INDEX('Temp Hisfa'!G$3:G$200, SMALL(IF(ISERROR('Temp Hisfa'!G$3:G$200), "", ROW('Temp Hisfa'!G$3:G$200)-MIN(ROW('Temp Hisfa'!G$3:G$200))+1), ROW(44:243))),"")</f>
        <v>0</v>
      </c>
      <c r="H46" s="22" t="str">
        <f t="array" ref="H46">IFERROR(INDEX('Temp Hisfa'!H$3:H$200, SMALL(IF(ISERROR('Temp Hisfa'!H$3:H$200), "", ROW('Temp Hisfa'!H$3:H$200)-MIN(ROW('Temp Hisfa'!H$3:H$200))+1), ROW(44:243))),"")</f>
        <v/>
      </c>
      <c r="I46" s="22">
        <f t="array" ref="I46">IFERROR(INDEX('Temp Hisfa'!I$3:I$200, SMALL(IF(ISERROR('Temp Hisfa'!I$3:I$200), "", ROW('Temp Hisfa'!I$3:I$200)-MIN(ROW('Temp Hisfa'!I$3:I$200))+1), ROW(44:243))),"")</f>
        <v>0</v>
      </c>
      <c r="J46" s="22">
        <f t="array" ref="J46">IFERROR(INDEX('Temp Hisfa'!J$3:J$200, SMALL(IF(ISERROR('Temp Hisfa'!J$3:J$200), "", ROW('Temp Hisfa'!J$3:J$200)-MIN(ROW('Temp Hisfa'!J$3:J$200))+1), ROW(44:243))),"")</f>
        <v>0</v>
      </c>
      <c r="K46" s="30">
        <f t="array" ref="K46">IFERROR(INDEX('Temp Hisfa'!K$3:K$200, SMALL(IF(ISERROR('Temp Hisfa'!K$3:K$200), "", ROW('Temp Hisfa'!K$3:K$200)-MIN(ROW('Temp Hisfa'!K$3:K$200))+1), ROW(44:243))),"")</f>
        <v>0</v>
      </c>
      <c r="L46" s="22">
        <f t="array" ref="L46">IFERROR(INDEX('Temp Hisfa'!L$3:L$200, SMALL(IF(ISERROR('Temp Hisfa'!L$3:L$200), "", ROW('Temp Hisfa'!L$3:L$200)-MIN(ROW('Temp Hisfa'!L$3:L$200))+1), ROW(44:243))),"")</f>
        <v>0</v>
      </c>
      <c r="M46" s="22">
        <f t="array" ref="M46">IFERROR(INDEX('Temp Hisfa'!M$3:M$200, SMALL(IF(ISERROR('Temp Hisfa'!M$3:M$200), "", ROW('Temp Hisfa'!M$3:M$200)-MIN(ROW('Temp Hisfa'!M$3:M$200))+1), ROW(44:243))),"")</f>
        <v>0</v>
      </c>
      <c r="N46" s="22">
        <f t="array" ref="N46">IFERROR(INDEX('Temp Hisfa'!N$3:N$200, SMALL(IF(ISERROR('Temp Hisfa'!N$3:N$200), "", ROW('Temp Hisfa'!N$3:N$200)-MIN(ROW('Temp Hisfa'!N$3:N$200))+1), ROW(44:243))),"")</f>
        <v>1900</v>
      </c>
      <c r="O46" s="22" t="str">
        <f t="array" ref="O46">IFERROR(INDEX('Temp Hisfa'!O$3:O$200, SMALL(IF(ISERROR('Temp Hisfa'!O$3:O$200), "", ROW('Temp Hisfa'!O$3:O$200)-MIN(ROW('Temp Hisfa'!O$3:O$200))+1), ROW(44:243))),"")</f>
        <v>enero</v>
      </c>
      <c r="P46" s="22">
        <f t="array" ref="P46">IFERROR(INDEX('Temp Hisfa'!P$3:P$200, SMALL(IF(ISERROR('Temp Hisfa'!P$3:P$200), "", ROW('Temp Hisfa'!P$3:P$200)-MIN(ROW('Temp Hisfa'!P$3:P$200))+1), ROW(44:243))),"")</f>
        <v>0</v>
      </c>
      <c r="Q46" s="22">
        <f t="array" ref="Q46">IFERROR(INDEX('Temp Hisfa'!Q$3:Q$200, SMALL(IF(ISERROR('Temp Hisfa'!Q$3:Q$200), "", ROW('Temp Hisfa'!Q$3:Q$200)-MIN(ROW('Temp Hisfa'!Q$3:Q$200))+1), ROW(44:243))),"")</f>
        <v>0</v>
      </c>
      <c r="R46" s="22">
        <f t="array" ref="R46">IFERROR(INDEX('Temp Hisfa'!R$3:R$200, SMALL(IF(ISERROR('Temp Hisfa'!R$3:R$200), "", ROW('Temp Hisfa'!R$3:R$200)-MIN(ROW('Temp Hisfa'!R$3:R$200))+1), ROW(44:243))),"")</f>
        <v>0</v>
      </c>
      <c r="S46" s="22">
        <f t="array" ref="S46">IFERROR(INDEX('Temp Hisfa'!S$3:S$200, SMALL(IF(ISERROR('Temp Hisfa'!S$3:S$200), "", ROW('Temp Hisfa'!S$3:S$200)-MIN(ROW('Temp Hisfa'!S$3:S$200))+1), ROW(44:243))),"")</f>
        <v>0</v>
      </c>
      <c r="T46" s="22">
        <f t="array" ref="T46">IFERROR(INDEX('Temp Hisfa'!T$3:T$200, SMALL(IF(ISERROR('Temp Hisfa'!T$3:T$200), "", ROW('Temp Hisfa'!T$3:T$200)-MIN(ROW('Temp Hisfa'!T$3:T$200))+1), ROW(44:243))),"")</f>
        <v>0</v>
      </c>
      <c r="U46" s="22">
        <f t="array" ref="U46">IFERROR(INDEX('Temp Hisfa'!U$3:U$200, SMALL(IF(ISERROR('Temp Hisfa'!U$3:U$200), "", ROW('Temp Hisfa'!U$3:U$200)-MIN(ROW('Temp Hisfa'!U$3:U$200))+1), ROW(44:243))),"")</f>
        <v>0</v>
      </c>
      <c r="V46" s="22">
        <f t="array" ref="V46">IFERROR(INDEX('Temp Hisfa'!V$3:V$200, SMALL(IF(ISERROR('Temp Hisfa'!V$3:V$200), "", ROW('Temp Hisfa'!V$3:V$200)-MIN(ROW('Temp Hisfa'!V$3:V$200))+1), ROW(44:243))),"")</f>
        <v>0</v>
      </c>
      <c r="W46" s="22">
        <f t="array" ref="W46">IFERROR(INDEX('Temp Hisfa'!W$3:W$200, SMALL(IF(ISERROR('Temp Hisfa'!W$3:W$200), "", ROW('Temp Hisfa'!W$3:W$200)-MIN(ROW('Temp Hisfa'!W$3:W$200))+1), ROW(44:243))),"")</f>
        <v>0</v>
      </c>
      <c r="X46" s="22">
        <f t="array" ref="X46">IFERROR(INDEX('Temp Hisfa'!X$3:X$200, SMALL(IF(ISERROR('Temp Hisfa'!X$3:X$200), "", ROW('Temp Hisfa'!X$3:X$200)-MIN(ROW('Temp Hisfa'!X$3:X$200))+1), ROW(44:243))),"")</f>
        <v>0</v>
      </c>
      <c r="Y46" s="22">
        <f t="array" ref="Y46">IFERROR(INDEX('Temp Hisfa'!Y$3:Y$200, SMALL(IF(ISERROR('Temp Hisfa'!Y$3:Y$200), "", ROW('Temp Hisfa'!Y$3:Y$200)-MIN(ROW('Temp Hisfa'!Y$3:Y$200))+1), ROW(44:243))),"")</f>
        <v>0</v>
      </c>
      <c r="Z46" s="22">
        <f t="array" ref="Z46">IFERROR(INDEX('Temp Hisfa'!Z$3:Z$200, SMALL(IF(ISERROR('Temp Hisfa'!Z$3:Z$200), "", ROW('Temp Hisfa'!Z$3:Z$200)-MIN(ROW('Temp Hisfa'!Z$3:Z$200))+1), ROW(44:243))),"")</f>
        <v>0</v>
      </c>
      <c r="AA46" s="22">
        <f t="array" ref="AA46">IFERROR(INDEX('Temp Hisfa'!AA$3:AA$200, SMALL(IF(ISERROR('Temp Hisfa'!AA$3:AA$200), "", ROW('Temp Hisfa'!AA$3:AA$200)-MIN(ROW('Temp Hisfa'!AA$3:AA$200))+1), ROW(44:243))),"")</f>
        <v>0</v>
      </c>
      <c r="AB46" s="22">
        <f t="array" ref="AB46">IFERROR(INDEX('Temp Hisfa'!AB$3:AB$200, SMALL(IF(ISERROR('Temp Hisfa'!AB$3:AB$200), "", ROW('Temp Hisfa'!AB$3:AB$200)-MIN(ROW('Temp Hisfa'!AB$3:AB$200))+1), ROW(44:243))),"")</f>
        <v>0</v>
      </c>
    </row>
    <row r="47" spans="1:28" x14ac:dyDescent="0.3">
      <c r="A47" s="4">
        <f t="array" ref="A47">IFERROR(INDEX('Temp Hisfa'!A$3:A$200, SMALL(IF(ISERROR('Temp Hisfa'!A$3:A$200), "", ROW('Temp Hisfa'!A$3:A$200)-MIN(ROW('Temp Hisfa'!A$3:A$200))+1), ROW(45:243))),"")</f>
        <v>0</v>
      </c>
      <c r="B47" s="4">
        <f t="array" ref="B47">IFERROR(INDEX('Temp Hisfa'!B$3:B$200, SMALL(IF(ISERROR('Temp Hisfa'!B$3:B$200), "", ROW('Temp Hisfa'!B$3:B$200)-MIN(ROW('Temp Hisfa'!B$3:B$200))+1), ROW(45:243))),"")</f>
        <v>0</v>
      </c>
      <c r="C47" s="3">
        <f t="array" ref="C47">IFERROR(INDEX('Temp Hisfa'!C$3:C$200, SMALL(IF(ISERROR('Temp Hisfa'!C$3:C$200), "", ROW('Temp Hisfa'!C$3:C$200)-MIN(ROW('Temp Hisfa'!C$3:C$200))+1), ROW(45:243))),"")</f>
        <v>0</v>
      </c>
      <c r="D47" s="3">
        <f t="array" ref="D47">IFERROR(INDEX('Temp Hisfa'!D$3:D$200, SMALL(IF(ISERROR('Temp Hisfa'!D$3:D$200), "", ROW('Temp Hisfa'!D$3:D$200)-MIN(ROW('Temp Hisfa'!D$3:D$200))+1), ROW(45:243))),"")</f>
        <v>0</v>
      </c>
      <c r="E47" s="29">
        <f t="array" ref="E47">IFERROR(INDEX('Temp Hisfa'!E$3:E$200, SMALL(IF(ISERROR('Temp Hisfa'!E$3:E$200), "", ROW('Temp Hisfa'!E$3:E$200)-MIN(ROW('Temp Hisfa'!E$3:E$200))+1), ROW(45:244))),"")</f>
        <v>0</v>
      </c>
      <c r="F47" s="22" t="str">
        <f t="array" ref="F47">IFERROR(INDEX('Temp Hisfa'!F$3:F$200, SMALL(IF(ISERROR('Temp Hisfa'!F$3:F$200), "", ROW('Temp Hisfa'!F$3:F$200)-MIN(ROW('Temp Hisfa'!F$3:F$200))+1), ROW(45:244))),"")</f>
        <v/>
      </c>
      <c r="G47" s="30">
        <f t="array" ref="G47">IFERROR(INDEX('Temp Hisfa'!G$3:G$200, SMALL(IF(ISERROR('Temp Hisfa'!G$3:G$200), "", ROW('Temp Hisfa'!G$3:G$200)-MIN(ROW('Temp Hisfa'!G$3:G$200))+1), ROW(45:244))),"")</f>
        <v>0</v>
      </c>
      <c r="H47" s="22" t="str">
        <f t="array" ref="H47">IFERROR(INDEX('Temp Hisfa'!H$3:H$200, SMALL(IF(ISERROR('Temp Hisfa'!H$3:H$200), "", ROW('Temp Hisfa'!H$3:H$200)-MIN(ROW('Temp Hisfa'!H$3:H$200))+1), ROW(45:244))),"")</f>
        <v/>
      </c>
      <c r="I47" s="22">
        <f t="array" ref="I47">IFERROR(INDEX('Temp Hisfa'!I$3:I$200, SMALL(IF(ISERROR('Temp Hisfa'!I$3:I$200), "", ROW('Temp Hisfa'!I$3:I$200)-MIN(ROW('Temp Hisfa'!I$3:I$200))+1), ROW(45:244))),"")</f>
        <v>0</v>
      </c>
      <c r="J47" s="22">
        <f t="array" ref="J47">IFERROR(INDEX('Temp Hisfa'!J$3:J$200, SMALL(IF(ISERROR('Temp Hisfa'!J$3:J$200), "", ROW('Temp Hisfa'!J$3:J$200)-MIN(ROW('Temp Hisfa'!J$3:J$200))+1), ROW(45:244))),"")</f>
        <v>0</v>
      </c>
      <c r="K47" s="30">
        <f t="array" ref="K47">IFERROR(INDEX('Temp Hisfa'!K$3:K$200, SMALL(IF(ISERROR('Temp Hisfa'!K$3:K$200), "", ROW('Temp Hisfa'!K$3:K$200)-MIN(ROW('Temp Hisfa'!K$3:K$200))+1), ROW(45:244))),"")</f>
        <v>0</v>
      </c>
      <c r="L47" s="22">
        <f t="array" ref="L47">IFERROR(INDEX('Temp Hisfa'!L$3:L$200, SMALL(IF(ISERROR('Temp Hisfa'!L$3:L$200), "", ROW('Temp Hisfa'!L$3:L$200)-MIN(ROW('Temp Hisfa'!L$3:L$200))+1), ROW(45:244))),"")</f>
        <v>0</v>
      </c>
      <c r="M47" s="22">
        <f t="array" ref="M47">IFERROR(INDEX('Temp Hisfa'!M$3:M$200, SMALL(IF(ISERROR('Temp Hisfa'!M$3:M$200), "", ROW('Temp Hisfa'!M$3:M$200)-MIN(ROW('Temp Hisfa'!M$3:M$200))+1), ROW(45:244))),"")</f>
        <v>0</v>
      </c>
      <c r="N47" s="22">
        <f t="array" ref="N47">IFERROR(INDEX('Temp Hisfa'!N$3:N$200, SMALL(IF(ISERROR('Temp Hisfa'!N$3:N$200), "", ROW('Temp Hisfa'!N$3:N$200)-MIN(ROW('Temp Hisfa'!N$3:N$200))+1), ROW(45:244))),"")</f>
        <v>1900</v>
      </c>
      <c r="O47" s="22" t="str">
        <f t="array" ref="O47">IFERROR(INDEX('Temp Hisfa'!O$3:O$200, SMALL(IF(ISERROR('Temp Hisfa'!O$3:O$200), "", ROW('Temp Hisfa'!O$3:O$200)-MIN(ROW('Temp Hisfa'!O$3:O$200))+1), ROW(45:244))),"")</f>
        <v>enero</v>
      </c>
      <c r="P47" s="22">
        <f t="array" ref="P47">IFERROR(INDEX('Temp Hisfa'!P$3:P$200, SMALL(IF(ISERROR('Temp Hisfa'!P$3:P$200), "", ROW('Temp Hisfa'!P$3:P$200)-MIN(ROW('Temp Hisfa'!P$3:P$200))+1), ROW(45:244))),"")</f>
        <v>0</v>
      </c>
      <c r="Q47" s="22">
        <f t="array" ref="Q47">IFERROR(INDEX('Temp Hisfa'!Q$3:Q$200, SMALL(IF(ISERROR('Temp Hisfa'!Q$3:Q$200), "", ROW('Temp Hisfa'!Q$3:Q$200)-MIN(ROW('Temp Hisfa'!Q$3:Q$200))+1), ROW(45:244))),"")</f>
        <v>0</v>
      </c>
      <c r="R47" s="22">
        <f t="array" ref="R47">IFERROR(INDEX('Temp Hisfa'!R$3:R$200, SMALL(IF(ISERROR('Temp Hisfa'!R$3:R$200), "", ROW('Temp Hisfa'!R$3:R$200)-MIN(ROW('Temp Hisfa'!R$3:R$200))+1), ROW(45:244))),"")</f>
        <v>0</v>
      </c>
      <c r="S47" s="22">
        <f t="array" ref="S47">IFERROR(INDEX('Temp Hisfa'!S$3:S$200, SMALL(IF(ISERROR('Temp Hisfa'!S$3:S$200), "", ROW('Temp Hisfa'!S$3:S$200)-MIN(ROW('Temp Hisfa'!S$3:S$200))+1), ROW(45:244))),"")</f>
        <v>0</v>
      </c>
      <c r="T47" s="22">
        <f t="array" ref="T47">IFERROR(INDEX('Temp Hisfa'!T$3:T$200, SMALL(IF(ISERROR('Temp Hisfa'!T$3:T$200), "", ROW('Temp Hisfa'!T$3:T$200)-MIN(ROW('Temp Hisfa'!T$3:T$200))+1), ROW(45:244))),"")</f>
        <v>0</v>
      </c>
      <c r="U47" s="22">
        <f t="array" ref="U47">IFERROR(INDEX('Temp Hisfa'!U$3:U$200, SMALL(IF(ISERROR('Temp Hisfa'!U$3:U$200), "", ROW('Temp Hisfa'!U$3:U$200)-MIN(ROW('Temp Hisfa'!U$3:U$200))+1), ROW(45:244))),"")</f>
        <v>0</v>
      </c>
      <c r="V47" s="22">
        <f t="array" ref="V47">IFERROR(INDEX('Temp Hisfa'!V$3:V$200, SMALL(IF(ISERROR('Temp Hisfa'!V$3:V$200), "", ROW('Temp Hisfa'!V$3:V$200)-MIN(ROW('Temp Hisfa'!V$3:V$200))+1), ROW(45:244))),"")</f>
        <v>0</v>
      </c>
      <c r="W47" s="22">
        <f t="array" ref="W47">IFERROR(INDEX('Temp Hisfa'!W$3:W$200, SMALL(IF(ISERROR('Temp Hisfa'!W$3:W$200), "", ROW('Temp Hisfa'!W$3:W$200)-MIN(ROW('Temp Hisfa'!W$3:W$200))+1), ROW(45:244))),"")</f>
        <v>0</v>
      </c>
      <c r="X47" s="22">
        <f t="array" ref="X47">IFERROR(INDEX('Temp Hisfa'!X$3:X$200, SMALL(IF(ISERROR('Temp Hisfa'!X$3:X$200), "", ROW('Temp Hisfa'!X$3:X$200)-MIN(ROW('Temp Hisfa'!X$3:X$200))+1), ROW(45:244))),"")</f>
        <v>0</v>
      </c>
      <c r="Y47" s="22">
        <f t="array" ref="Y47">IFERROR(INDEX('Temp Hisfa'!Y$3:Y$200, SMALL(IF(ISERROR('Temp Hisfa'!Y$3:Y$200), "", ROW('Temp Hisfa'!Y$3:Y$200)-MIN(ROW('Temp Hisfa'!Y$3:Y$200))+1), ROW(45:244))),"")</f>
        <v>0</v>
      </c>
      <c r="Z47" s="22">
        <f t="array" ref="Z47">IFERROR(INDEX('Temp Hisfa'!Z$3:Z$200, SMALL(IF(ISERROR('Temp Hisfa'!Z$3:Z$200), "", ROW('Temp Hisfa'!Z$3:Z$200)-MIN(ROW('Temp Hisfa'!Z$3:Z$200))+1), ROW(45:244))),"")</f>
        <v>0</v>
      </c>
      <c r="AA47" s="22">
        <f t="array" ref="AA47">IFERROR(INDEX('Temp Hisfa'!AA$3:AA$200, SMALL(IF(ISERROR('Temp Hisfa'!AA$3:AA$200), "", ROW('Temp Hisfa'!AA$3:AA$200)-MIN(ROW('Temp Hisfa'!AA$3:AA$200))+1), ROW(45:244))),"")</f>
        <v>0</v>
      </c>
      <c r="AB47" s="22">
        <f t="array" ref="AB47">IFERROR(INDEX('Temp Hisfa'!AB$3:AB$200, SMALL(IF(ISERROR('Temp Hisfa'!AB$3:AB$200), "", ROW('Temp Hisfa'!AB$3:AB$200)-MIN(ROW('Temp Hisfa'!AB$3:AB$200))+1), ROW(45:244))),"")</f>
        <v>0</v>
      </c>
    </row>
    <row r="48" spans="1:28" x14ac:dyDescent="0.3">
      <c r="A48" s="4">
        <f t="array" ref="A48">IFERROR(INDEX('Temp Hisfa'!A$3:A$200, SMALL(IF(ISERROR('Temp Hisfa'!A$3:A$200), "", ROW('Temp Hisfa'!A$3:A$200)-MIN(ROW('Temp Hisfa'!A$3:A$200))+1), ROW(46:244))),"")</f>
        <v>0</v>
      </c>
      <c r="B48" s="4">
        <f t="array" ref="B48">IFERROR(INDEX('Temp Hisfa'!B$3:B$200, SMALL(IF(ISERROR('Temp Hisfa'!B$3:B$200), "", ROW('Temp Hisfa'!B$3:B$200)-MIN(ROW('Temp Hisfa'!B$3:B$200))+1), ROW(46:244))),"")</f>
        <v>0</v>
      </c>
      <c r="C48" s="3">
        <f t="array" ref="C48">IFERROR(INDEX('Temp Hisfa'!C$3:C$200, SMALL(IF(ISERROR('Temp Hisfa'!C$3:C$200), "", ROW('Temp Hisfa'!C$3:C$200)-MIN(ROW('Temp Hisfa'!C$3:C$200))+1), ROW(46:244))),"")</f>
        <v>0</v>
      </c>
      <c r="D48" s="3">
        <f t="array" ref="D48">IFERROR(INDEX('Temp Hisfa'!D$3:D$200, SMALL(IF(ISERROR('Temp Hisfa'!D$3:D$200), "", ROW('Temp Hisfa'!D$3:D$200)-MIN(ROW('Temp Hisfa'!D$3:D$200))+1), ROW(46:244))),"")</f>
        <v>0</v>
      </c>
      <c r="E48" s="29">
        <f t="array" ref="E48">IFERROR(INDEX('Temp Hisfa'!E$3:E$200, SMALL(IF(ISERROR('Temp Hisfa'!E$3:E$200), "", ROW('Temp Hisfa'!E$3:E$200)-MIN(ROW('Temp Hisfa'!E$3:E$200))+1), ROW(46:245))),"")</f>
        <v>0</v>
      </c>
      <c r="F48" s="22" t="str">
        <f t="array" ref="F48">IFERROR(INDEX('Temp Hisfa'!F$3:F$200, SMALL(IF(ISERROR('Temp Hisfa'!F$3:F$200), "", ROW('Temp Hisfa'!F$3:F$200)-MIN(ROW('Temp Hisfa'!F$3:F$200))+1), ROW(46:245))),"")</f>
        <v/>
      </c>
      <c r="G48" s="30">
        <f t="array" ref="G48">IFERROR(INDEX('Temp Hisfa'!G$3:G$200, SMALL(IF(ISERROR('Temp Hisfa'!G$3:G$200), "", ROW('Temp Hisfa'!G$3:G$200)-MIN(ROW('Temp Hisfa'!G$3:G$200))+1), ROW(46:245))),"")</f>
        <v>0</v>
      </c>
      <c r="H48" s="22" t="str">
        <f t="array" ref="H48">IFERROR(INDEX('Temp Hisfa'!H$3:H$200, SMALL(IF(ISERROR('Temp Hisfa'!H$3:H$200), "", ROW('Temp Hisfa'!H$3:H$200)-MIN(ROW('Temp Hisfa'!H$3:H$200))+1), ROW(46:245))),"")</f>
        <v/>
      </c>
      <c r="I48" s="22">
        <f t="array" ref="I48">IFERROR(INDEX('Temp Hisfa'!I$3:I$200, SMALL(IF(ISERROR('Temp Hisfa'!I$3:I$200), "", ROW('Temp Hisfa'!I$3:I$200)-MIN(ROW('Temp Hisfa'!I$3:I$200))+1), ROW(46:245))),"")</f>
        <v>0</v>
      </c>
      <c r="J48" s="22">
        <f t="array" ref="J48">IFERROR(INDEX('Temp Hisfa'!J$3:J$200, SMALL(IF(ISERROR('Temp Hisfa'!J$3:J$200), "", ROW('Temp Hisfa'!J$3:J$200)-MIN(ROW('Temp Hisfa'!J$3:J$200))+1), ROW(46:245))),"")</f>
        <v>0</v>
      </c>
      <c r="K48" s="30">
        <f t="array" ref="K48">IFERROR(INDEX('Temp Hisfa'!K$3:K$200, SMALL(IF(ISERROR('Temp Hisfa'!K$3:K$200), "", ROW('Temp Hisfa'!K$3:K$200)-MIN(ROW('Temp Hisfa'!K$3:K$200))+1), ROW(46:245))),"")</f>
        <v>0</v>
      </c>
      <c r="L48" s="22">
        <f t="array" ref="L48">IFERROR(INDEX('Temp Hisfa'!L$3:L$200, SMALL(IF(ISERROR('Temp Hisfa'!L$3:L$200), "", ROW('Temp Hisfa'!L$3:L$200)-MIN(ROW('Temp Hisfa'!L$3:L$200))+1), ROW(46:245))),"")</f>
        <v>0</v>
      </c>
      <c r="M48" s="22">
        <f t="array" ref="M48">IFERROR(INDEX('Temp Hisfa'!M$3:M$200, SMALL(IF(ISERROR('Temp Hisfa'!M$3:M$200), "", ROW('Temp Hisfa'!M$3:M$200)-MIN(ROW('Temp Hisfa'!M$3:M$200))+1), ROW(46:245))),"")</f>
        <v>0</v>
      </c>
      <c r="N48" s="22">
        <f t="array" ref="N48">IFERROR(INDEX('Temp Hisfa'!N$3:N$200, SMALL(IF(ISERROR('Temp Hisfa'!N$3:N$200), "", ROW('Temp Hisfa'!N$3:N$200)-MIN(ROW('Temp Hisfa'!N$3:N$200))+1), ROW(46:245))),"")</f>
        <v>1900</v>
      </c>
      <c r="O48" s="22" t="str">
        <f t="array" ref="O48">IFERROR(INDEX('Temp Hisfa'!O$3:O$200, SMALL(IF(ISERROR('Temp Hisfa'!O$3:O$200), "", ROW('Temp Hisfa'!O$3:O$200)-MIN(ROW('Temp Hisfa'!O$3:O$200))+1), ROW(46:245))),"")</f>
        <v>enero</v>
      </c>
      <c r="P48" s="22">
        <f t="array" ref="P48">IFERROR(INDEX('Temp Hisfa'!P$3:P$200, SMALL(IF(ISERROR('Temp Hisfa'!P$3:P$200), "", ROW('Temp Hisfa'!P$3:P$200)-MIN(ROW('Temp Hisfa'!P$3:P$200))+1), ROW(46:245))),"")</f>
        <v>0</v>
      </c>
      <c r="Q48" s="22">
        <f t="array" ref="Q48">IFERROR(INDEX('Temp Hisfa'!Q$3:Q$200, SMALL(IF(ISERROR('Temp Hisfa'!Q$3:Q$200), "", ROW('Temp Hisfa'!Q$3:Q$200)-MIN(ROW('Temp Hisfa'!Q$3:Q$200))+1), ROW(46:245))),"")</f>
        <v>0</v>
      </c>
      <c r="R48" s="22">
        <f t="array" ref="R48">IFERROR(INDEX('Temp Hisfa'!R$3:R$200, SMALL(IF(ISERROR('Temp Hisfa'!R$3:R$200), "", ROW('Temp Hisfa'!R$3:R$200)-MIN(ROW('Temp Hisfa'!R$3:R$200))+1), ROW(46:245))),"")</f>
        <v>0</v>
      </c>
      <c r="S48" s="22">
        <f t="array" ref="S48">IFERROR(INDEX('Temp Hisfa'!S$3:S$200, SMALL(IF(ISERROR('Temp Hisfa'!S$3:S$200), "", ROW('Temp Hisfa'!S$3:S$200)-MIN(ROW('Temp Hisfa'!S$3:S$200))+1), ROW(46:245))),"")</f>
        <v>0</v>
      </c>
      <c r="T48" s="22">
        <f t="array" ref="T48">IFERROR(INDEX('Temp Hisfa'!T$3:T$200, SMALL(IF(ISERROR('Temp Hisfa'!T$3:T$200), "", ROW('Temp Hisfa'!T$3:T$200)-MIN(ROW('Temp Hisfa'!T$3:T$200))+1), ROW(46:245))),"")</f>
        <v>0</v>
      </c>
      <c r="U48" s="22">
        <f t="array" ref="U48">IFERROR(INDEX('Temp Hisfa'!U$3:U$200, SMALL(IF(ISERROR('Temp Hisfa'!U$3:U$200), "", ROW('Temp Hisfa'!U$3:U$200)-MIN(ROW('Temp Hisfa'!U$3:U$200))+1), ROW(46:245))),"")</f>
        <v>0</v>
      </c>
      <c r="V48" s="22">
        <f t="array" ref="V48">IFERROR(INDEX('Temp Hisfa'!V$3:V$200, SMALL(IF(ISERROR('Temp Hisfa'!V$3:V$200), "", ROW('Temp Hisfa'!V$3:V$200)-MIN(ROW('Temp Hisfa'!V$3:V$200))+1), ROW(46:245))),"")</f>
        <v>0</v>
      </c>
      <c r="W48" s="22">
        <f t="array" ref="W48">IFERROR(INDEX('Temp Hisfa'!W$3:W$200, SMALL(IF(ISERROR('Temp Hisfa'!W$3:W$200), "", ROW('Temp Hisfa'!W$3:W$200)-MIN(ROW('Temp Hisfa'!W$3:W$200))+1), ROW(46:245))),"")</f>
        <v>0</v>
      </c>
      <c r="X48" s="22">
        <f t="array" ref="X48">IFERROR(INDEX('Temp Hisfa'!X$3:X$200, SMALL(IF(ISERROR('Temp Hisfa'!X$3:X$200), "", ROW('Temp Hisfa'!X$3:X$200)-MIN(ROW('Temp Hisfa'!X$3:X$200))+1), ROW(46:245))),"")</f>
        <v>0</v>
      </c>
      <c r="Y48" s="22">
        <f t="array" ref="Y48">IFERROR(INDEX('Temp Hisfa'!Y$3:Y$200, SMALL(IF(ISERROR('Temp Hisfa'!Y$3:Y$200), "", ROW('Temp Hisfa'!Y$3:Y$200)-MIN(ROW('Temp Hisfa'!Y$3:Y$200))+1), ROW(46:245))),"")</f>
        <v>0</v>
      </c>
      <c r="Z48" s="22">
        <f t="array" ref="Z48">IFERROR(INDEX('Temp Hisfa'!Z$3:Z$200, SMALL(IF(ISERROR('Temp Hisfa'!Z$3:Z$200), "", ROW('Temp Hisfa'!Z$3:Z$200)-MIN(ROW('Temp Hisfa'!Z$3:Z$200))+1), ROW(46:245))),"")</f>
        <v>0</v>
      </c>
      <c r="AA48" s="22">
        <f t="array" ref="AA48">IFERROR(INDEX('Temp Hisfa'!AA$3:AA$200, SMALL(IF(ISERROR('Temp Hisfa'!AA$3:AA$200), "", ROW('Temp Hisfa'!AA$3:AA$200)-MIN(ROW('Temp Hisfa'!AA$3:AA$200))+1), ROW(46:245))),"")</f>
        <v>0</v>
      </c>
      <c r="AB48" s="22">
        <f t="array" ref="AB48">IFERROR(INDEX('Temp Hisfa'!AB$3:AB$200, SMALL(IF(ISERROR('Temp Hisfa'!AB$3:AB$200), "", ROW('Temp Hisfa'!AB$3:AB$200)-MIN(ROW('Temp Hisfa'!AB$3:AB$200))+1), ROW(46:245))),"")</f>
        <v>0</v>
      </c>
    </row>
    <row r="49" spans="1:31" x14ac:dyDescent="0.3">
      <c r="A49" s="4">
        <f t="array" ref="A49">IFERROR(INDEX('Temp Hisfa'!A$3:A$200, SMALL(IF(ISERROR('Temp Hisfa'!A$3:A$200), "", ROW('Temp Hisfa'!A$3:A$200)-MIN(ROW('Temp Hisfa'!A$3:A$200))+1), ROW(47:245))),"")</f>
        <v>0</v>
      </c>
      <c r="B49" s="4">
        <f t="array" ref="B49">IFERROR(INDEX('Temp Hisfa'!B$3:B$200, SMALL(IF(ISERROR('Temp Hisfa'!B$3:B$200), "", ROW('Temp Hisfa'!B$3:B$200)-MIN(ROW('Temp Hisfa'!B$3:B$200))+1), ROW(47:245))),"")</f>
        <v>0</v>
      </c>
      <c r="C49" s="3">
        <f t="array" ref="C49">IFERROR(INDEX('Temp Hisfa'!C$3:C$200, SMALL(IF(ISERROR('Temp Hisfa'!C$3:C$200), "", ROW('Temp Hisfa'!C$3:C$200)-MIN(ROW('Temp Hisfa'!C$3:C$200))+1), ROW(47:245))),"")</f>
        <v>0</v>
      </c>
      <c r="D49" s="3">
        <f t="array" ref="D49">IFERROR(INDEX('Temp Hisfa'!D$3:D$200, SMALL(IF(ISERROR('Temp Hisfa'!D$3:D$200), "", ROW('Temp Hisfa'!D$3:D$200)-MIN(ROW('Temp Hisfa'!D$3:D$200))+1), ROW(47:245))),"")</f>
        <v>0</v>
      </c>
      <c r="E49" s="29">
        <f t="array" ref="E49">IFERROR(INDEX('Temp Hisfa'!E$3:E$200, SMALL(IF(ISERROR('Temp Hisfa'!E$3:E$200), "", ROW('Temp Hisfa'!E$3:E$200)-MIN(ROW('Temp Hisfa'!E$3:E$200))+1), ROW(47:246))),"")</f>
        <v>0</v>
      </c>
      <c r="F49" s="22" t="str">
        <f t="array" ref="F49">IFERROR(INDEX('Temp Hisfa'!F$3:F$200, SMALL(IF(ISERROR('Temp Hisfa'!F$3:F$200), "", ROW('Temp Hisfa'!F$3:F$200)-MIN(ROW('Temp Hisfa'!F$3:F$200))+1), ROW(47:246))),"")</f>
        <v/>
      </c>
      <c r="G49" s="30">
        <f t="array" ref="G49">IFERROR(INDEX('Temp Hisfa'!G$3:G$200, SMALL(IF(ISERROR('Temp Hisfa'!G$3:G$200), "", ROW('Temp Hisfa'!G$3:G$200)-MIN(ROW('Temp Hisfa'!G$3:G$200))+1), ROW(47:246))),"")</f>
        <v>0</v>
      </c>
      <c r="H49" s="22" t="str">
        <f t="array" ref="H49">IFERROR(INDEX('Temp Hisfa'!H$3:H$200, SMALL(IF(ISERROR('Temp Hisfa'!H$3:H$200), "", ROW('Temp Hisfa'!H$3:H$200)-MIN(ROW('Temp Hisfa'!H$3:H$200))+1), ROW(47:246))),"")</f>
        <v/>
      </c>
      <c r="I49" s="22">
        <f t="array" ref="I49">IFERROR(INDEX('Temp Hisfa'!I$3:I$200, SMALL(IF(ISERROR('Temp Hisfa'!I$3:I$200), "", ROW('Temp Hisfa'!I$3:I$200)-MIN(ROW('Temp Hisfa'!I$3:I$200))+1), ROW(47:246))),"")</f>
        <v>0</v>
      </c>
      <c r="J49" s="22">
        <f t="array" ref="J49">IFERROR(INDEX('Temp Hisfa'!J$3:J$200, SMALL(IF(ISERROR('Temp Hisfa'!J$3:J$200), "", ROW('Temp Hisfa'!J$3:J$200)-MIN(ROW('Temp Hisfa'!J$3:J$200))+1), ROW(47:246))),"")</f>
        <v>0</v>
      </c>
      <c r="K49" s="30">
        <f t="array" ref="K49">IFERROR(INDEX('Temp Hisfa'!K$3:K$200, SMALL(IF(ISERROR('Temp Hisfa'!K$3:K$200), "", ROW('Temp Hisfa'!K$3:K$200)-MIN(ROW('Temp Hisfa'!K$3:K$200))+1), ROW(47:246))),"")</f>
        <v>0</v>
      </c>
      <c r="L49" s="22">
        <f t="array" ref="L49">IFERROR(INDEX('Temp Hisfa'!L$3:L$200, SMALL(IF(ISERROR('Temp Hisfa'!L$3:L$200), "", ROW('Temp Hisfa'!L$3:L$200)-MIN(ROW('Temp Hisfa'!L$3:L$200))+1), ROW(47:246))),"")</f>
        <v>0</v>
      </c>
      <c r="M49" s="22">
        <f t="array" ref="M49">IFERROR(INDEX('Temp Hisfa'!M$3:M$200, SMALL(IF(ISERROR('Temp Hisfa'!M$3:M$200), "", ROW('Temp Hisfa'!M$3:M$200)-MIN(ROW('Temp Hisfa'!M$3:M$200))+1), ROW(47:246))),"")</f>
        <v>0</v>
      </c>
      <c r="N49" s="22">
        <f t="array" ref="N49">IFERROR(INDEX('Temp Hisfa'!N$3:N$200, SMALL(IF(ISERROR('Temp Hisfa'!N$3:N$200), "", ROW('Temp Hisfa'!N$3:N$200)-MIN(ROW('Temp Hisfa'!N$3:N$200))+1), ROW(47:246))),"")</f>
        <v>1900</v>
      </c>
      <c r="O49" s="22" t="str">
        <f t="array" ref="O49">IFERROR(INDEX('Temp Hisfa'!O$3:O$200, SMALL(IF(ISERROR('Temp Hisfa'!O$3:O$200), "", ROW('Temp Hisfa'!O$3:O$200)-MIN(ROW('Temp Hisfa'!O$3:O$200))+1), ROW(47:246))),"")</f>
        <v>enero</v>
      </c>
      <c r="P49" s="22">
        <f t="array" ref="P49">IFERROR(INDEX('Temp Hisfa'!P$3:P$200, SMALL(IF(ISERROR('Temp Hisfa'!P$3:P$200), "", ROW('Temp Hisfa'!P$3:P$200)-MIN(ROW('Temp Hisfa'!P$3:P$200))+1), ROW(47:246))),"")</f>
        <v>0</v>
      </c>
      <c r="Q49" s="22">
        <f t="array" ref="Q49">IFERROR(INDEX('Temp Hisfa'!Q$3:Q$200, SMALL(IF(ISERROR('Temp Hisfa'!Q$3:Q$200), "", ROW('Temp Hisfa'!Q$3:Q$200)-MIN(ROW('Temp Hisfa'!Q$3:Q$200))+1), ROW(47:246))),"")</f>
        <v>0</v>
      </c>
      <c r="R49" s="22">
        <f t="array" ref="R49">IFERROR(INDEX('Temp Hisfa'!R$3:R$200, SMALL(IF(ISERROR('Temp Hisfa'!R$3:R$200), "", ROW('Temp Hisfa'!R$3:R$200)-MIN(ROW('Temp Hisfa'!R$3:R$200))+1), ROW(47:246))),"")</f>
        <v>0</v>
      </c>
      <c r="S49" s="22">
        <f t="array" ref="S49">IFERROR(INDEX('Temp Hisfa'!S$3:S$200, SMALL(IF(ISERROR('Temp Hisfa'!S$3:S$200), "", ROW('Temp Hisfa'!S$3:S$200)-MIN(ROW('Temp Hisfa'!S$3:S$200))+1), ROW(47:246))),"")</f>
        <v>0</v>
      </c>
      <c r="T49" s="22">
        <f t="array" ref="T49">IFERROR(INDEX('Temp Hisfa'!T$3:T$200, SMALL(IF(ISERROR('Temp Hisfa'!T$3:T$200), "", ROW('Temp Hisfa'!T$3:T$200)-MIN(ROW('Temp Hisfa'!T$3:T$200))+1), ROW(47:246))),"")</f>
        <v>0</v>
      </c>
      <c r="U49" s="22">
        <f t="array" ref="U49">IFERROR(INDEX('Temp Hisfa'!U$3:U$200, SMALL(IF(ISERROR('Temp Hisfa'!U$3:U$200), "", ROW('Temp Hisfa'!U$3:U$200)-MIN(ROW('Temp Hisfa'!U$3:U$200))+1), ROW(47:246))),"")</f>
        <v>0</v>
      </c>
      <c r="V49" s="22">
        <f t="array" ref="V49">IFERROR(INDEX('Temp Hisfa'!V$3:V$200, SMALL(IF(ISERROR('Temp Hisfa'!V$3:V$200), "", ROW('Temp Hisfa'!V$3:V$200)-MIN(ROW('Temp Hisfa'!V$3:V$200))+1), ROW(47:246))),"")</f>
        <v>0</v>
      </c>
      <c r="W49" s="22">
        <f t="array" ref="W49">IFERROR(INDEX('Temp Hisfa'!W$3:W$200, SMALL(IF(ISERROR('Temp Hisfa'!W$3:W$200), "", ROW('Temp Hisfa'!W$3:W$200)-MIN(ROW('Temp Hisfa'!W$3:W$200))+1), ROW(47:246))),"")</f>
        <v>0</v>
      </c>
      <c r="X49" s="22">
        <f t="array" ref="X49">IFERROR(INDEX('Temp Hisfa'!X$3:X$200, SMALL(IF(ISERROR('Temp Hisfa'!X$3:X$200), "", ROW('Temp Hisfa'!X$3:X$200)-MIN(ROW('Temp Hisfa'!X$3:X$200))+1), ROW(47:246))),"")</f>
        <v>0</v>
      </c>
      <c r="Y49" s="22">
        <f t="array" ref="Y49">IFERROR(INDEX('Temp Hisfa'!Y$3:Y$200, SMALL(IF(ISERROR('Temp Hisfa'!Y$3:Y$200), "", ROW('Temp Hisfa'!Y$3:Y$200)-MIN(ROW('Temp Hisfa'!Y$3:Y$200))+1), ROW(47:246))),"")</f>
        <v>0</v>
      </c>
      <c r="Z49" s="22">
        <f t="array" ref="Z49">IFERROR(INDEX('Temp Hisfa'!Z$3:Z$200, SMALL(IF(ISERROR('Temp Hisfa'!Z$3:Z$200), "", ROW('Temp Hisfa'!Z$3:Z$200)-MIN(ROW('Temp Hisfa'!Z$3:Z$200))+1), ROW(47:246))),"")</f>
        <v>0</v>
      </c>
      <c r="AA49" s="22">
        <f t="array" ref="AA49">IFERROR(INDEX('Temp Hisfa'!AA$3:AA$200, SMALL(IF(ISERROR('Temp Hisfa'!AA$3:AA$200), "", ROW('Temp Hisfa'!AA$3:AA$200)-MIN(ROW('Temp Hisfa'!AA$3:AA$200))+1), ROW(47:246))),"")</f>
        <v>0</v>
      </c>
      <c r="AB49" s="22">
        <f t="array" ref="AB49">IFERROR(INDEX('Temp Hisfa'!AB$3:AB$200, SMALL(IF(ISERROR('Temp Hisfa'!AB$3:AB$200), "", ROW('Temp Hisfa'!AB$3:AB$200)-MIN(ROW('Temp Hisfa'!AB$3:AB$200))+1), ROW(47:246))),"")</f>
        <v>0</v>
      </c>
    </row>
    <row r="50" spans="1:31" x14ac:dyDescent="0.3">
      <c r="A50" s="4">
        <f t="array" ref="A50">IFERROR(INDEX('Temp Hisfa'!A$3:A$200, SMALL(IF(ISERROR('Temp Hisfa'!A$3:A$200), "", ROW('Temp Hisfa'!A$3:A$200)-MIN(ROW('Temp Hisfa'!A$3:A$200))+1), ROW(48:246))),"")</f>
        <v>0</v>
      </c>
      <c r="B50" s="4">
        <f t="array" ref="B50">IFERROR(INDEX('Temp Hisfa'!B$3:B$200, SMALL(IF(ISERROR('Temp Hisfa'!B$3:B$200), "", ROW('Temp Hisfa'!B$3:B$200)-MIN(ROW('Temp Hisfa'!B$3:B$200))+1), ROW(48:246))),"")</f>
        <v>0</v>
      </c>
      <c r="C50" s="3">
        <f t="array" ref="C50">IFERROR(INDEX('Temp Hisfa'!C$3:C$200, SMALL(IF(ISERROR('Temp Hisfa'!C$3:C$200), "", ROW('Temp Hisfa'!C$3:C$200)-MIN(ROW('Temp Hisfa'!C$3:C$200))+1), ROW(48:246))),"")</f>
        <v>0</v>
      </c>
      <c r="D50" s="3">
        <f t="array" ref="D50">IFERROR(INDEX('Temp Hisfa'!D$3:D$200, SMALL(IF(ISERROR('Temp Hisfa'!D$3:D$200), "", ROW('Temp Hisfa'!D$3:D$200)-MIN(ROW('Temp Hisfa'!D$3:D$200))+1), ROW(48:246))),"")</f>
        <v>0</v>
      </c>
      <c r="E50" s="29">
        <f t="array" ref="E50">IFERROR(INDEX('Temp Hisfa'!E$3:E$200, SMALL(IF(ISERROR('Temp Hisfa'!E$3:E$200), "", ROW('Temp Hisfa'!E$3:E$200)-MIN(ROW('Temp Hisfa'!E$3:E$200))+1), ROW(48:247))),"")</f>
        <v>0</v>
      </c>
      <c r="F50" s="22" t="str">
        <f t="array" ref="F50">IFERROR(INDEX('Temp Hisfa'!F$3:F$200, SMALL(IF(ISERROR('Temp Hisfa'!F$3:F$200), "", ROW('Temp Hisfa'!F$3:F$200)-MIN(ROW('Temp Hisfa'!F$3:F$200))+1), ROW(48:247))),"")</f>
        <v/>
      </c>
      <c r="G50" s="30">
        <f t="array" ref="G50">IFERROR(INDEX('Temp Hisfa'!G$3:G$200, SMALL(IF(ISERROR('Temp Hisfa'!G$3:G$200), "", ROW('Temp Hisfa'!G$3:G$200)-MIN(ROW('Temp Hisfa'!G$3:G$200))+1), ROW(48:247))),"")</f>
        <v>0</v>
      </c>
      <c r="H50" s="22" t="str">
        <f t="array" ref="H50">IFERROR(INDEX('Temp Hisfa'!H$3:H$200, SMALL(IF(ISERROR('Temp Hisfa'!H$3:H$200), "", ROW('Temp Hisfa'!H$3:H$200)-MIN(ROW('Temp Hisfa'!H$3:H$200))+1), ROW(48:247))),"")</f>
        <v/>
      </c>
      <c r="I50" s="22">
        <f t="array" ref="I50">IFERROR(INDEX('Temp Hisfa'!I$3:I$200, SMALL(IF(ISERROR('Temp Hisfa'!I$3:I$200), "", ROW('Temp Hisfa'!I$3:I$200)-MIN(ROW('Temp Hisfa'!I$3:I$200))+1), ROW(48:247))),"")</f>
        <v>0</v>
      </c>
      <c r="J50" s="22">
        <f t="array" ref="J50">IFERROR(INDEX('Temp Hisfa'!J$3:J$200, SMALL(IF(ISERROR('Temp Hisfa'!J$3:J$200), "", ROW('Temp Hisfa'!J$3:J$200)-MIN(ROW('Temp Hisfa'!J$3:J$200))+1), ROW(48:247))),"")</f>
        <v>0</v>
      </c>
      <c r="K50" s="30">
        <f t="array" ref="K50">IFERROR(INDEX('Temp Hisfa'!K$3:K$200, SMALL(IF(ISERROR('Temp Hisfa'!K$3:K$200), "", ROW('Temp Hisfa'!K$3:K$200)-MIN(ROW('Temp Hisfa'!K$3:K$200))+1), ROW(48:247))),"")</f>
        <v>0</v>
      </c>
      <c r="L50" s="22">
        <f t="array" ref="L50">IFERROR(INDEX('Temp Hisfa'!L$3:L$200, SMALL(IF(ISERROR('Temp Hisfa'!L$3:L$200), "", ROW('Temp Hisfa'!L$3:L$200)-MIN(ROW('Temp Hisfa'!L$3:L$200))+1), ROW(48:247))),"")</f>
        <v>0</v>
      </c>
      <c r="M50" s="22">
        <f t="array" ref="M50">IFERROR(INDEX('Temp Hisfa'!M$3:M$200, SMALL(IF(ISERROR('Temp Hisfa'!M$3:M$200), "", ROW('Temp Hisfa'!M$3:M$200)-MIN(ROW('Temp Hisfa'!M$3:M$200))+1), ROW(48:247))),"")</f>
        <v>0</v>
      </c>
      <c r="N50" s="22">
        <f t="array" ref="N50">IFERROR(INDEX('Temp Hisfa'!N$3:N$200, SMALL(IF(ISERROR('Temp Hisfa'!N$3:N$200), "", ROW('Temp Hisfa'!N$3:N$200)-MIN(ROW('Temp Hisfa'!N$3:N$200))+1), ROW(48:247))),"")</f>
        <v>1900</v>
      </c>
      <c r="O50" s="22" t="str">
        <f t="array" ref="O50">IFERROR(INDEX('Temp Hisfa'!O$3:O$200, SMALL(IF(ISERROR('Temp Hisfa'!O$3:O$200), "", ROW('Temp Hisfa'!O$3:O$200)-MIN(ROW('Temp Hisfa'!O$3:O$200))+1), ROW(48:247))),"")</f>
        <v>enero</v>
      </c>
      <c r="P50" s="22">
        <f t="array" ref="P50">IFERROR(INDEX('Temp Hisfa'!P$3:P$200, SMALL(IF(ISERROR('Temp Hisfa'!P$3:P$200), "", ROW('Temp Hisfa'!P$3:P$200)-MIN(ROW('Temp Hisfa'!P$3:P$200))+1), ROW(48:247))),"")</f>
        <v>0</v>
      </c>
      <c r="Q50" s="22">
        <f t="array" ref="Q50">IFERROR(INDEX('Temp Hisfa'!Q$3:Q$200, SMALL(IF(ISERROR('Temp Hisfa'!Q$3:Q$200), "", ROW('Temp Hisfa'!Q$3:Q$200)-MIN(ROW('Temp Hisfa'!Q$3:Q$200))+1), ROW(48:247))),"")</f>
        <v>0</v>
      </c>
      <c r="R50" s="22">
        <f t="array" ref="R50">IFERROR(INDEX('Temp Hisfa'!R$3:R$200, SMALL(IF(ISERROR('Temp Hisfa'!R$3:R$200), "", ROW('Temp Hisfa'!R$3:R$200)-MIN(ROW('Temp Hisfa'!R$3:R$200))+1), ROW(48:247))),"")</f>
        <v>0</v>
      </c>
      <c r="S50" s="22">
        <f t="array" ref="S50">IFERROR(INDEX('Temp Hisfa'!S$3:S$200, SMALL(IF(ISERROR('Temp Hisfa'!S$3:S$200), "", ROW('Temp Hisfa'!S$3:S$200)-MIN(ROW('Temp Hisfa'!S$3:S$200))+1), ROW(48:247))),"")</f>
        <v>0</v>
      </c>
      <c r="T50" s="22">
        <f t="array" ref="T50">IFERROR(INDEX('Temp Hisfa'!T$3:T$200, SMALL(IF(ISERROR('Temp Hisfa'!T$3:T$200), "", ROW('Temp Hisfa'!T$3:T$200)-MIN(ROW('Temp Hisfa'!T$3:T$200))+1), ROW(48:247))),"")</f>
        <v>0</v>
      </c>
      <c r="U50" s="22">
        <f t="array" ref="U50">IFERROR(INDEX('Temp Hisfa'!U$3:U$200, SMALL(IF(ISERROR('Temp Hisfa'!U$3:U$200), "", ROW('Temp Hisfa'!U$3:U$200)-MIN(ROW('Temp Hisfa'!U$3:U$200))+1), ROW(48:247))),"")</f>
        <v>0</v>
      </c>
      <c r="V50" s="22">
        <f t="array" ref="V50">IFERROR(INDEX('Temp Hisfa'!V$3:V$200, SMALL(IF(ISERROR('Temp Hisfa'!V$3:V$200), "", ROW('Temp Hisfa'!V$3:V$200)-MIN(ROW('Temp Hisfa'!V$3:V$200))+1), ROW(48:247))),"")</f>
        <v>0</v>
      </c>
      <c r="W50" s="22">
        <f t="array" ref="W50">IFERROR(INDEX('Temp Hisfa'!W$3:W$200, SMALL(IF(ISERROR('Temp Hisfa'!W$3:W$200), "", ROW('Temp Hisfa'!W$3:W$200)-MIN(ROW('Temp Hisfa'!W$3:W$200))+1), ROW(48:247))),"")</f>
        <v>0</v>
      </c>
      <c r="X50" s="22">
        <f t="array" ref="X50">IFERROR(INDEX('Temp Hisfa'!X$3:X$200, SMALL(IF(ISERROR('Temp Hisfa'!X$3:X$200), "", ROW('Temp Hisfa'!X$3:X$200)-MIN(ROW('Temp Hisfa'!X$3:X$200))+1), ROW(48:247))),"")</f>
        <v>0</v>
      </c>
      <c r="Y50" s="22">
        <f t="array" ref="Y50">IFERROR(INDEX('Temp Hisfa'!Y$3:Y$200, SMALL(IF(ISERROR('Temp Hisfa'!Y$3:Y$200), "", ROW('Temp Hisfa'!Y$3:Y$200)-MIN(ROW('Temp Hisfa'!Y$3:Y$200))+1), ROW(48:247))),"")</f>
        <v>0</v>
      </c>
      <c r="Z50" s="22">
        <f t="array" ref="Z50">IFERROR(INDEX('Temp Hisfa'!Z$3:Z$200, SMALL(IF(ISERROR('Temp Hisfa'!Z$3:Z$200), "", ROW('Temp Hisfa'!Z$3:Z$200)-MIN(ROW('Temp Hisfa'!Z$3:Z$200))+1), ROW(48:247))),"")</f>
        <v>0</v>
      </c>
      <c r="AA50" s="22">
        <f t="array" ref="AA50">IFERROR(INDEX('Temp Hisfa'!AA$3:AA$200, SMALL(IF(ISERROR('Temp Hisfa'!AA$3:AA$200), "", ROW('Temp Hisfa'!AA$3:AA$200)-MIN(ROW('Temp Hisfa'!AA$3:AA$200))+1), ROW(48:247))),"")</f>
        <v>0</v>
      </c>
      <c r="AB50" s="22">
        <f t="array" ref="AB50">IFERROR(INDEX('Temp Hisfa'!AB$3:AB$200, SMALL(IF(ISERROR('Temp Hisfa'!AB$3:AB$200), "", ROW('Temp Hisfa'!AB$3:AB$200)-MIN(ROW('Temp Hisfa'!AB$3:AB$200))+1), ROW(48:247))),"")</f>
        <v>0</v>
      </c>
    </row>
    <row r="51" spans="1:31" x14ac:dyDescent="0.3">
      <c r="A51" s="4">
        <f t="array" ref="A51">IFERROR(INDEX('Temp Hisfa'!A$3:A$200, SMALL(IF(ISERROR('Temp Hisfa'!A$3:A$200), "", ROW('Temp Hisfa'!A$3:A$200)-MIN(ROW('Temp Hisfa'!A$3:A$200))+1), ROW(49:247))),"")</f>
        <v>0</v>
      </c>
      <c r="B51" s="4">
        <f t="array" ref="B51">IFERROR(INDEX('Temp Hisfa'!B$3:B$200, SMALL(IF(ISERROR('Temp Hisfa'!B$3:B$200), "", ROW('Temp Hisfa'!B$3:B$200)-MIN(ROW('Temp Hisfa'!B$3:B$200))+1), ROW(49:247))),"")</f>
        <v>0</v>
      </c>
      <c r="C51" s="3">
        <f t="array" ref="C51">IFERROR(INDEX('Temp Hisfa'!C$3:C$200, SMALL(IF(ISERROR('Temp Hisfa'!C$3:C$200), "", ROW('Temp Hisfa'!C$3:C$200)-MIN(ROW('Temp Hisfa'!C$3:C$200))+1), ROW(49:247))),"")</f>
        <v>0</v>
      </c>
      <c r="D51" s="3">
        <f t="array" ref="D51">IFERROR(INDEX('Temp Hisfa'!D$3:D$200, SMALL(IF(ISERROR('Temp Hisfa'!D$3:D$200), "", ROW('Temp Hisfa'!D$3:D$200)-MIN(ROW('Temp Hisfa'!D$3:D$200))+1), ROW(49:247))),"")</f>
        <v>0</v>
      </c>
      <c r="E51" s="29">
        <f t="array" ref="E51">IFERROR(INDEX('Temp Hisfa'!E$3:E$200, SMALL(IF(ISERROR('Temp Hisfa'!E$3:E$200), "", ROW('Temp Hisfa'!E$3:E$200)-MIN(ROW('Temp Hisfa'!E$3:E$200))+1), ROW(49:248))),"")</f>
        <v>0</v>
      </c>
      <c r="F51" s="22" t="str">
        <f t="array" ref="F51">IFERROR(INDEX('Temp Hisfa'!F$3:F$200, SMALL(IF(ISERROR('Temp Hisfa'!F$3:F$200), "", ROW('Temp Hisfa'!F$3:F$200)-MIN(ROW('Temp Hisfa'!F$3:F$200))+1), ROW(49:248))),"")</f>
        <v/>
      </c>
      <c r="G51" s="30">
        <f t="array" ref="G51">IFERROR(INDEX('Temp Hisfa'!G$3:G$200, SMALL(IF(ISERROR('Temp Hisfa'!G$3:G$200), "", ROW('Temp Hisfa'!G$3:G$200)-MIN(ROW('Temp Hisfa'!G$3:G$200))+1), ROW(49:248))),"")</f>
        <v>0</v>
      </c>
      <c r="H51" s="22" t="str">
        <f t="array" ref="H51">IFERROR(INDEX('Temp Hisfa'!H$3:H$200, SMALL(IF(ISERROR('Temp Hisfa'!H$3:H$200), "", ROW('Temp Hisfa'!H$3:H$200)-MIN(ROW('Temp Hisfa'!H$3:H$200))+1), ROW(49:248))),"")</f>
        <v/>
      </c>
      <c r="I51" s="22">
        <f t="array" ref="I51">IFERROR(INDEX('Temp Hisfa'!I$3:I$200, SMALL(IF(ISERROR('Temp Hisfa'!I$3:I$200), "", ROW('Temp Hisfa'!I$3:I$200)-MIN(ROW('Temp Hisfa'!I$3:I$200))+1), ROW(49:248))),"")</f>
        <v>0</v>
      </c>
      <c r="J51" s="22">
        <f t="array" ref="J51">IFERROR(INDEX('Temp Hisfa'!J$3:J$200, SMALL(IF(ISERROR('Temp Hisfa'!J$3:J$200), "", ROW('Temp Hisfa'!J$3:J$200)-MIN(ROW('Temp Hisfa'!J$3:J$200))+1), ROW(49:248))),"")</f>
        <v>0</v>
      </c>
      <c r="K51" s="30">
        <f t="array" ref="K51">IFERROR(INDEX('Temp Hisfa'!K$3:K$200, SMALL(IF(ISERROR('Temp Hisfa'!K$3:K$200), "", ROW('Temp Hisfa'!K$3:K$200)-MIN(ROW('Temp Hisfa'!K$3:K$200))+1), ROW(49:248))),"")</f>
        <v>0</v>
      </c>
      <c r="L51" s="22">
        <f t="array" ref="L51">IFERROR(INDEX('Temp Hisfa'!L$3:L$200, SMALL(IF(ISERROR('Temp Hisfa'!L$3:L$200), "", ROW('Temp Hisfa'!L$3:L$200)-MIN(ROW('Temp Hisfa'!L$3:L$200))+1), ROW(49:248))),"")</f>
        <v>0</v>
      </c>
      <c r="M51" s="22">
        <f t="array" ref="M51">IFERROR(INDEX('Temp Hisfa'!M$3:M$200, SMALL(IF(ISERROR('Temp Hisfa'!M$3:M$200), "", ROW('Temp Hisfa'!M$3:M$200)-MIN(ROW('Temp Hisfa'!M$3:M$200))+1), ROW(49:248))),"")</f>
        <v>0</v>
      </c>
      <c r="N51" s="22">
        <f t="array" ref="N51">IFERROR(INDEX('Temp Hisfa'!N$3:N$200, SMALL(IF(ISERROR('Temp Hisfa'!N$3:N$200), "", ROW('Temp Hisfa'!N$3:N$200)-MIN(ROW('Temp Hisfa'!N$3:N$200))+1), ROW(49:248))),"")</f>
        <v>1900</v>
      </c>
      <c r="O51" s="22" t="str">
        <f t="array" ref="O51">IFERROR(INDEX('Temp Hisfa'!O$3:O$200, SMALL(IF(ISERROR('Temp Hisfa'!O$3:O$200), "", ROW('Temp Hisfa'!O$3:O$200)-MIN(ROW('Temp Hisfa'!O$3:O$200))+1), ROW(49:248))),"")</f>
        <v>enero</v>
      </c>
      <c r="P51" s="22">
        <f t="array" ref="P51">IFERROR(INDEX('Temp Hisfa'!P$3:P$200, SMALL(IF(ISERROR('Temp Hisfa'!P$3:P$200), "", ROW('Temp Hisfa'!P$3:P$200)-MIN(ROW('Temp Hisfa'!P$3:P$200))+1), ROW(49:248))),"")</f>
        <v>0</v>
      </c>
      <c r="Q51" s="22">
        <f t="array" ref="Q51">IFERROR(INDEX('Temp Hisfa'!Q$3:Q$200, SMALL(IF(ISERROR('Temp Hisfa'!Q$3:Q$200), "", ROW('Temp Hisfa'!Q$3:Q$200)-MIN(ROW('Temp Hisfa'!Q$3:Q$200))+1), ROW(49:248))),"")</f>
        <v>0</v>
      </c>
      <c r="R51" s="22">
        <f t="array" ref="R51">IFERROR(INDEX('Temp Hisfa'!R$3:R$200, SMALL(IF(ISERROR('Temp Hisfa'!R$3:R$200), "", ROW('Temp Hisfa'!R$3:R$200)-MIN(ROW('Temp Hisfa'!R$3:R$200))+1), ROW(49:248))),"")</f>
        <v>0</v>
      </c>
      <c r="S51" s="22">
        <f t="array" ref="S51">IFERROR(INDEX('Temp Hisfa'!S$3:S$200, SMALL(IF(ISERROR('Temp Hisfa'!S$3:S$200), "", ROW('Temp Hisfa'!S$3:S$200)-MIN(ROW('Temp Hisfa'!S$3:S$200))+1), ROW(49:248))),"")</f>
        <v>0</v>
      </c>
      <c r="T51" s="22">
        <f t="array" ref="T51">IFERROR(INDEX('Temp Hisfa'!T$3:T$200, SMALL(IF(ISERROR('Temp Hisfa'!T$3:T$200), "", ROW('Temp Hisfa'!T$3:T$200)-MIN(ROW('Temp Hisfa'!T$3:T$200))+1), ROW(49:248))),"")</f>
        <v>0</v>
      </c>
      <c r="U51" s="22">
        <f t="array" ref="U51">IFERROR(INDEX('Temp Hisfa'!U$3:U$200, SMALL(IF(ISERROR('Temp Hisfa'!U$3:U$200), "", ROW('Temp Hisfa'!U$3:U$200)-MIN(ROW('Temp Hisfa'!U$3:U$200))+1), ROW(49:248))),"")</f>
        <v>0</v>
      </c>
      <c r="V51" s="22">
        <f t="array" ref="V51">IFERROR(INDEX('Temp Hisfa'!V$3:V$200, SMALL(IF(ISERROR('Temp Hisfa'!V$3:V$200), "", ROW('Temp Hisfa'!V$3:V$200)-MIN(ROW('Temp Hisfa'!V$3:V$200))+1), ROW(49:248))),"")</f>
        <v>0</v>
      </c>
      <c r="W51" s="22">
        <f t="array" ref="W51">IFERROR(INDEX('Temp Hisfa'!W$3:W$200, SMALL(IF(ISERROR('Temp Hisfa'!W$3:W$200), "", ROW('Temp Hisfa'!W$3:W$200)-MIN(ROW('Temp Hisfa'!W$3:W$200))+1), ROW(49:248))),"")</f>
        <v>0</v>
      </c>
      <c r="X51" s="22">
        <f t="array" ref="X51">IFERROR(INDEX('Temp Hisfa'!X$3:X$200, SMALL(IF(ISERROR('Temp Hisfa'!X$3:X$200), "", ROW('Temp Hisfa'!X$3:X$200)-MIN(ROW('Temp Hisfa'!X$3:X$200))+1), ROW(49:248))),"")</f>
        <v>0</v>
      </c>
      <c r="Y51" s="22">
        <f t="array" ref="Y51">IFERROR(INDEX('Temp Hisfa'!Y$3:Y$200, SMALL(IF(ISERROR('Temp Hisfa'!Y$3:Y$200), "", ROW('Temp Hisfa'!Y$3:Y$200)-MIN(ROW('Temp Hisfa'!Y$3:Y$200))+1), ROW(49:248))),"")</f>
        <v>0</v>
      </c>
      <c r="Z51" s="22">
        <f t="array" ref="Z51">IFERROR(INDEX('Temp Hisfa'!Z$3:Z$200, SMALL(IF(ISERROR('Temp Hisfa'!Z$3:Z$200), "", ROW('Temp Hisfa'!Z$3:Z$200)-MIN(ROW('Temp Hisfa'!Z$3:Z$200))+1), ROW(49:248))),"")</f>
        <v>0</v>
      </c>
      <c r="AA51" s="22">
        <f t="array" ref="AA51">IFERROR(INDEX('Temp Hisfa'!AA$3:AA$200, SMALL(IF(ISERROR('Temp Hisfa'!AA$3:AA$200), "", ROW('Temp Hisfa'!AA$3:AA$200)-MIN(ROW('Temp Hisfa'!AA$3:AA$200))+1), ROW(49:248))),"")</f>
        <v>0</v>
      </c>
      <c r="AB51" s="22">
        <f t="array" ref="AB51">IFERROR(INDEX('Temp Hisfa'!AB$3:AB$200, SMALL(IF(ISERROR('Temp Hisfa'!AB$3:AB$200), "", ROW('Temp Hisfa'!AB$3:AB$200)-MIN(ROW('Temp Hisfa'!AB$3:AB$200))+1), ROW(49:248))),"")</f>
        <v>0</v>
      </c>
    </row>
    <row r="52" spans="1:31" x14ac:dyDescent="0.3">
      <c r="A52" s="4">
        <f t="array" ref="A52">IFERROR(INDEX('Temp Hisfa'!A$3:A$200, SMALL(IF(ISERROR('Temp Hisfa'!A$3:A$200), "", ROW('Temp Hisfa'!A$3:A$200)-MIN(ROW('Temp Hisfa'!A$3:A$200))+1), ROW(50:248))),"")</f>
        <v>0</v>
      </c>
      <c r="B52" s="4">
        <f t="array" ref="B52">IFERROR(INDEX('Temp Hisfa'!B$3:B$200, SMALL(IF(ISERROR('Temp Hisfa'!B$3:B$200), "", ROW('Temp Hisfa'!B$3:B$200)-MIN(ROW('Temp Hisfa'!B$3:B$200))+1), ROW(50:248))),"")</f>
        <v>0</v>
      </c>
      <c r="C52" s="3">
        <f t="array" ref="C52">IFERROR(INDEX('Temp Hisfa'!C$3:C$200, SMALL(IF(ISERROR('Temp Hisfa'!C$3:C$200), "", ROW('Temp Hisfa'!C$3:C$200)-MIN(ROW('Temp Hisfa'!C$3:C$200))+1), ROW(50:248))),"")</f>
        <v>0</v>
      </c>
      <c r="D52" s="3">
        <f t="array" ref="D52">IFERROR(INDEX('Temp Hisfa'!D$3:D$200, SMALL(IF(ISERROR('Temp Hisfa'!D$3:D$200), "", ROW('Temp Hisfa'!D$3:D$200)-MIN(ROW('Temp Hisfa'!D$3:D$200))+1), ROW(50:248))),"")</f>
        <v>0</v>
      </c>
      <c r="E52" s="29">
        <f t="array" ref="E52">IFERROR(INDEX('Temp Hisfa'!E$3:E$200, SMALL(IF(ISERROR('Temp Hisfa'!E$3:E$200), "", ROW('Temp Hisfa'!E$3:E$200)-MIN(ROW('Temp Hisfa'!E$3:E$200))+1), ROW(50:249))),"")</f>
        <v>0</v>
      </c>
      <c r="F52" s="22" t="str">
        <f t="array" ref="F52">IFERROR(INDEX('Temp Hisfa'!F$3:F$200, SMALL(IF(ISERROR('Temp Hisfa'!F$3:F$200), "", ROW('Temp Hisfa'!F$3:F$200)-MIN(ROW('Temp Hisfa'!F$3:F$200))+1), ROW(50:249))),"")</f>
        <v/>
      </c>
      <c r="G52" s="30">
        <f t="array" ref="G52">IFERROR(INDEX('Temp Hisfa'!G$3:G$200, SMALL(IF(ISERROR('Temp Hisfa'!G$3:G$200), "", ROW('Temp Hisfa'!G$3:G$200)-MIN(ROW('Temp Hisfa'!G$3:G$200))+1), ROW(50:249))),"")</f>
        <v>0</v>
      </c>
      <c r="H52" s="22" t="str">
        <f t="array" ref="H52">IFERROR(INDEX('Temp Hisfa'!H$3:H$200, SMALL(IF(ISERROR('Temp Hisfa'!H$3:H$200), "", ROW('Temp Hisfa'!H$3:H$200)-MIN(ROW('Temp Hisfa'!H$3:H$200))+1), ROW(50:249))),"")</f>
        <v/>
      </c>
      <c r="I52" s="22">
        <f t="array" ref="I52">IFERROR(INDEX('Temp Hisfa'!I$3:I$200, SMALL(IF(ISERROR('Temp Hisfa'!I$3:I$200), "", ROW('Temp Hisfa'!I$3:I$200)-MIN(ROW('Temp Hisfa'!I$3:I$200))+1), ROW(50:249))),"")</f>
        <v>0</v>
      </c>
      <c r="J52" s="22">
        <f t="array" ref="J52">IFERROR(INDEX('Temp Hisfa'!J$3:J$200, SMALL(IF(ISERROR('Temp Hisfa'!J$3:J$200), "", ROW('Temp Hisfa'!J$3:J$200)-MIN(ROW('Temp Hisfa'!J$3:J$200))+1), ROW(50:249))),"")</f>
        <v>0</v>
      </c>
      <c r="K52" s="30">
        <f t="array" ref="K52">IFERROR(INDEX('Temp Hisfa'!K$3:K$200, SMALL(IF(ISERROR('Temp Hisfa'!K$3:K$200), "", ROW('Temp Hisfa'!K$3:K$200)-MIN(ROW('Temp Hisfa'!K$3:K$200))+1), ROW(50:249))),"")</f>
        <v>0</v>
      </c>
      <c r="L52" s="22">
        <f t="array" ref="L52">IFERROR(INDEX('Temp Hisfa'!L$3:L$200, SMALL(IF(ISERROR('Temp Hisfa'!L$3:L$200), "", ROW('Temp Hisfa'!L$3:L$200)-MIN(ROW('Temp Hisfa'!L$3:L$200))+1), ROW(50:249))),"")</f>
        <v>0</v>
      </c>
      <c r="M52" s="22">
        <f t="array" ref="M52">IFERROR(INDEX('Temp Hisfa'!M$3:M$200, SMALL(IF(ISERROR('Temp Hisfa'!M$3:M$200), "", ROW('Temp Hisfa'!M$3:M$200)-MIN(ROW('Temp Hisfa'!M$3:M$200))+1), ROW(50:249))),"")</f>
        <v>0</v>
      </c>
      <c r="N52" s="22">
        <f t="array" ref="N52">IFERROR(INDEX('Temp Hisfa'!N$3:N$200, SMALL(IF(ISERROR('Temp Hisfa'!N$3:N$200), "", ROW('Temp Hisfa'!N$3:N$200)-MIN(ROW('Temp Hisfa'!N$3:N$200))+1), ROW(50:249))),"")</f>
        <v>1900</v>
      </c>
      <c r="O52" s="22" t="str">
        <f t="array" ref="O52">IFERROR(INDEX('Temp Hisfa'!O$3:O$200, SMALL(IF(ISERROR('Temp Hisfa'!O$3:O$200), "", ROW('Temp Hisfa'!O$3:O$200)-MIN(ROW('Temp Hisfa'!O$3:O$200))+1), ROW(50:249))),"")</f>
        <v>enero</v>
      </c>
      <c r="P52" s="22">
        <f t="array" ref="P52">IFERROR(INDEX('Temp Hisfa'!P$3:P$200, SMALL(IF(ISERROR('Temp Hisfa'!P$3:P$200), "", ROW('Temp Hisfa'!P$3:P$200)-MIN(ROW('Temp Hisfa'!P$3:P$200))+1), ROW(50:249))),"")</f>
        <v>0</v>
      </c>
      <c r="Q52" s="22">
        <f t="array" ref="Q52">IFERROR(INDEX('Temp Hisfa'!Q$3:Q$200, SMALL(IF(ISERROR('Temp Hisfa'!Q$3:Q$200), "", ROW('Temp Hisfa'!Q$3:Q$200)-MIN(ROW('Temp Hisfa'!Q$3:Q$200))+1), ROW(50:249))),"")</f>
        <v>0</v>
      </c>
      <c r="R52" s="22">
        <f t="array" ref="R52">IFERROR(INDEX('Temp Hisfa'!R$3:R$200, SMALL(IF(ISERROR('Temp Hisfa'!R$3:R$200), "", ROW('Temp Hisfa'!R$3:R$200)-MIN(ROW('Temp Hisfa'!R$3:R$200))+1), ROW(50:249))),"")</f>
        <v>0</v>
      </c>
      <c r="S52" s="22">
        <f t="array" ref="S52">IFERROR(INDEX('Temp Hisfa'!S$3:S$200, SMALL(IF(ISERROR('Temp Hisfa'!S$3:S$200), "", ROW('Temp Hisfa'!S$3:S$200)-MIN(ROW('Temp Hisfa'!S$3:S$200))+1), ROW(50:249))),"")</f>
        <v>0</v>
      </c>
      <c r="T52" s="22">
        <f t="array" ref="T52">IFERROR(INDEX('Temp Hisfa'!T$3:T$200, SMALL(IF(ISERROR('Temp Hisfa'!T$3:T$200), "", ROW('Temp Hisfa'!T$3:T$200)-MIN(ROW('Temp Hisfa'!T$3:T$200))+1), ROW(50:249))),"")</f>
        <v>0</v>
      </c>
      <c r="U52" s="22">
        <f t="array" ref="U52">IFERROR(INDEX('Temp Hisfa'!U$3:U$200, SMALL(IF(ISERROR('Temp Hisfa'!U$3:U$200), "", ROW('Temp Hisfa'!U$3:U$200)-MIN(ROW('Temp Hisfa'!U$3:U$200))+1), ROW(50:249))),"")</f>
        <v>0</v>
      </c>
      <c r="V52" s="22">
        <f t="array" ref="V52">IFERROR(INDEX('Temp Hisfa'!V$3:V$200, SMALL(IF(ISERROR('Temp Hisfa'!V$3:V$200), "", ROW('Temp Hisfa'!V$3:V$200)-MIN(ROW('Temp Hisfa'!V$3:V$200))+1), ROW(50:249))),"")</f>
        <v>0</v>
      </c>
      <c r="W52" s="22">
        <f t="array" ref="W52">IFERROR(INDEX('Temp Hisfa'!W$3:W$200, SMALL(IF(ISERROR('Temp Hisfa'!W$3:W$200), "", ROW('Temp Hisfa'!W$3:W$200)-MIN(ROW('Temp Hisfa'!W$3:W$200))+1), ROW(50:249))),"")</f>
        <v>0</v>
      </c>
      <c r="X52" s="22">
        <f t="array" ref="X52">IFERROR(INDEX('Temp Hisfa'!X$3:X$200, SMALL(IF(ISERROR('Temp Hisfa'!X$3:X$200), "", ROW('Temp Hisfa'!X$3:X$200)-MIN(ROW('Temp Hisfa'!X$3:X$200))+1), ROW(50:249))),"")</f>
        <v>0</v>
      </c>
      <c r="Y52" s="22">
        <f t="array" ref="Y52">IFERROR(INDEX('Temp Hisfa'!Y$3:Y$200, SMALL(IF(ISERROR('Temp Hisfa'!Y$3:Y$200), "", ROW('Temp Hisfa'!Y$3:Y$200)-MIN(ROW('Temp Hisfa'!Y$3:Y$200))+1), ROW(50:249))),"")</f>
        <v>0</v>
      </c>
      <c r="Z52" s="22">
        <f t="array" ref="Z52">IFERROR(INDEX('Temp Hisfa'!Z$3:Z$200, SMALL(IF(ISERROR('Temp Hisfa'!Z$3:Z$200), "", ROW('Temp Hisfa'!Z$3:Z$200)-MIN(ROW('Temp Hisfa'!Z$3:Z$200))+1), ROW(50:249))),"")</f>
        <v>0</v>
      </c>
      <c r="AA52" s="22">
        <f t="array" ref="AA52">IFERROR(INDEX('Temp Hisfa'!AA$3:AA$200, SMALL(IF(ISERROR('Temp Hisfa'!AA$3:AA$200), "", ROW('Temp Hisfa'!AA$3:AA$200)-MIN(ROW('Temp Hisfa'!AA$3:AA$200))+1), ROW(50:249))),"")</f>
        <v>0</v>
      </c>
      <c r="AB52" s="22">
        <f t="array" ref="AB52">IFERROR(INDEX('Temp Hisfa'!AB$3:AB$200, SMALL(IF(ISERROR('Temp Hisfa'!AB$3:AB$200), "", ROW('Temp Hisfa'!AB$3:AB$200)-MIN(ROW('Temp Hisfa'!AB$3:AB$200))+1), ROW(50:249))),"")</f>
        <v>0</v>
      </c>
    </row>
    <row r="53" spans="1:31" x14ac:dyDescent="0.3">
      <c r="A53" s="4">
        <f t="array" ref="A53">IFERROR(INDEX('Temp Hisfa'!A$3:A$200, SMALL(IF(ISERROR('Temp Hisfa'!A$3:A$200), "", ROW('Temp Hisfa'!A$3:A$200)-MIN(ROW('Temp Hisfa'!A$3:A$200))+1), ROW(51:249))),"")</f>
        <v>0</v>
      </c>
      <c r="B53" s="4">
        <f t="array" ref="B53">IFERROR(INDEX('Temp Hisfa'!B$3:B$200, SMALL(IF(ISERROR('Temp Hisfa'!B$3:B$200), "", ROW('Temp Hisfa'!B$3:B$200)-MIN(ROW('Temp Hisfa'!B$3:B$200))+1), ROW(51:249))),"")</f>
        <v>0</v>
      </c>
      <c r="C53" s="3">
        <f t="array" ref="C53">IFERROR(INDEX('Temp Hisfa'!C$3:C$200, SMALL(IF(ISERROR('Temp Hisfa'!C$3:C$200), "", ROW('Temp Hisfa'!C$3:C$200)-MIN(ROW('Temp Hisfa'!C$3:C$200))+1), ROW(51:249))),"")</f>
        <v>0</v>
      </c>
      <c r="D53" s="3">
        <f t="array" ref="D53">IFERROR(INDEX('Temp Hisfa'!D$3:D$200, SMALL(IF(ISERROR('Temp Hisfa'!D$3:D$200), "", ROW('Temp Hisfa'!D$3:D$200)-MIN(ROW('Temp Hisfa'!D$3:D$200))+1), ROW(51:249))),"")</f>
        <v>0</v>
      </c>
      <c r="E53" s="29">
        <f t="array" ref="E53">IFERROR(INDEX('Temp Hisfa'!E$3:E$200, SMALL(IF(ISERROR('Temp Hisfa'!E$3:E$200), "", ROW('Temp Hisfa'!E$3:E$200)-MIN(ROW('Temp Hisfa'!E$3:E$200))+1), ROW(51:250))),"")</f>
        <v>0</v>
      </c>
      <c r="F53" s="22" t="str">
        <f t="array" ref="F53">IFERROR(INDEX('Temp Hisfa'!F$3:F$200, SMALL(IF(ISERROR('Temp Hisfa'!F$3:F$200), "", ROW('Temp Hisfa'!F$3:F$200)-MIN(ROW('Temp Hisfa'!F$3:F$200))+1), ROW(51:250))),"")</f>
        <v/>
      </c>
      <c r="G53" s="30">
        <f t="array" ref="G53">IFERROR(INDEX('Temp Hisfa'!G$3:G$200, SMALL(IF(ISERROR('Temp Hisfa'!G$3:G$200), "", ROW('Temp Hisfa'!G$3:G$200)-MIN(ROW('Temp Hisfa'!G$3:G$200))+1), ROW(51:250))),"")</f>
        <v>0</v>
      </c>
      <c r="H53" s="22" t="str">
        <f t="array" ref="H53">IFERROR(INDEX('Temp Hisfa'!H$3:H$200, SMALL(IF(ISERROR('Temp Hisfa'!H$3:H$200), "", ROW('Temp Hisfa'!H$3:H$200)-MIN(ROW('Temp Hisfa'!H$3:H$200))+1), ROW(51:250))),"")</f>
        <v/>
      </c>
      <c r="I53" s="22">
        <f t="array" ref="I53">IFERROR(INDEX('Temp Hisfa'!I$3:I$200, SMALL(IF(ISERROR('Temp Hisfa'!I$3:I$200), "", ROW('Temp Hisfa'!I$3:I$200)-MIN(ROW('Temp Hisfa'!I$3:I$200))+1), ROW(51:250))),"")</f>
        <v>0</v>
      </c>
      <c r="J53" s="22">
        <f t="array" ref="J53">IFERROR(INDEX('Temp Hisfa'!J$3:J$200, SMALL(IF(ISERROR('Temp Hisfa'!J$3:J$200), "", ROW('Temp Hisfa'!J$3:J$200)-MIN(ROW('Temp Hisfa'!J$3:J$200))+1), ROW(51:250))),"")</f>
        <v>0</v>
      </c>
      <c r="K53" s="30">
        <f t="array" ref="K53">IFERROR(INDEX('Temp Hisfa'!K$3:K$200, SMALL(IF(ISERROR('Temp Hisfa'!K$3:K$200), "", ROW('Temp Hisfa'!K$3:K$200)-MIN(ROW('Temp Hisfa'!K$3:K$200))+1), ROW(51:250))),"")</f>
        <v>0</v>
      </c>
      <c r="L53" s="22">
        <f t="array" ref="L53">IFERROR(INDEX('Temp Hisfa'!L$3:L$200, SMALL(IF(ISERROR('Temp Hisfa'!L$3:L$200), "", ROW('Temp Hisfa'!L$3:L$200)-MIN(ROW('Temp Hisfa'!L$3:L$200))+1), ROW(51:250))),"")</f>
        <v>0</v>
      </c>
      <c r="M53" s="22">
        <f t="array" ref="M53">IFERROR(INDEX('Temp Hisfa'!M$3:M$200, SMALL(IF(ISERROR('Temp Hisfa'!M$3:M$200), "", ROW('Temp Hisfa'!M$3:M$200)-MIN(ROW('Temp Hisfa'!M$3:M$200))+1), ROW(51:250))),"")</f>
        <v>0</v>
      </c>
      <c r="N53" s="22">
        <f t="array" ref="N53">IFERROR(INDEX('Temp Hisfa'!N$3:N$200, SMALL(IF(ISERROR('Temp Hisfa'!N$3:N$200), "", ROW('Temp Hisfa'!N$3:N$200)-MIN(ROW('Temp Hisfa'!N$3:N$200))+1), ROW(51:250))),"")</f>
        <v>1900</v>
      </c>
      <c r="O53" s="22" t="str">
        <f t="array" ref="O53">IFERROR(INDEX('Temp Hisfa'!O$3:O$200, SMALL(IF(ISERROR('Temp Hisfa'!O$3:O$200), "", ROW('Temp Hisfa'!O$3:O$200)-MIN(ROW('Temp Hisfa'!O$3:O$200))+1), ROW(51:250))),"")</f>
        <v>enero</v>
      </c>
      <c r="P53" s="22">
        <f t="array" ref="P53">IFERROR(INDEX('Temp Hisfa'!P$3:P$200, SMALL(IF(ISERROR('Temp Hisfa'!P$3:P$200), "", ROW('Temp Hisfa'!P$3:P$200)-MIN(ROW('Temp Hisfa'!P$3:P$200))+1), ROW(51:250))),"")</f>
        <v>0</v>
      </c>
      <c r="Q53" s="22">
        <f t="array" ref="Q53">IFERROR(INDEX('Temp Hisfa'!Q$3:Q$200, SMALL(IF(ISERROR('Temp Hisfa'!Q$3:Q$200), "", ROW('Temp Hisfa'!Q$3:Q$200)-MIN(ROW('Temp Hisfa'!Q$3:Q$200))+1), ROW(51:250))),"")</f>
        <v>0</v>
      </c>
      <c r="R53" s="22">
        <f t="array" ref="R53">IFERROR(INDEX('Temp Hisfa'!R$3:R$200, SMALL(IF(ISERROR('Temp Hisfa'!R$3:R$200), "", ROW('Temp Hisfa'!R$3:R$200)-MIN(ROW('Temp Hisfa'!R$3:R$200))+1), ROW(51:250))),"")</f>
        <v>0</v>
      </c>
      <c r="S53" s="22">
        <f t="array" ref="S53">IFERROR(INDEX('Temp Hisfa'!S$3:S$200, SMALL(IF(ISERROR('Temp Hisfa'!S$3:S$200), "", ROW('Temp Hisfa'!S$3:S$200)-MIN(ROW('Temp Hisfa'!S$3:S$200))+1), ROW(51:250))),"")</f>
        <v>0</v>
      </c>
      <c r="T53" s="22">
        <f t="array" ref="T53">IFERROR(INDEX('Temp Hisfa'!T$3:T$200, SMALL(IF(ISERROR('Temp Hisfa'!T$3:T$200), "", ROW('Temp Hisfa'!T$3:T$200)-MIN(ROW('Temp Hisfa'!T$3:T$200))+1), ROW(51:250))),"")</f>
        <v>0</v>
      </c>
      <c r="U53" s="22">
        <f t="array" ref="U53">IFERROR(INDEX('Temp Hisfa'!U$3:U$200, SMALL(IF(ISERROR('Temp Hisfa'!U$3:U$200), "", ROW('Temp Hisfa'!U$3:U$200)-MIN(ROW('Temp Hisfa'!U$3:U$200))+1), ROW(51:250))),"")</f>
        <v>0</v>
      </c>
      <c r="V53" s="22">
        <f t="array" ref="V53">IFERROR(INDEX('Temp Hisfa'!V$3:V$200, SMALL(IF(ISERROR('Temp Hisfa'!V$3:V$200), "", ROW('Temp Hisfa'!V$3:V$200)-MIN(ROW('Temp Hisfa'!V$3:V$200))+1), ROW(51:250))),"")</f>
        <v>0</v>
      </c>
      <c r="W53" s="22">
        <f t="array" ref="W53">IFERROR(INDEX('Temp Hisfa'!W$3:W$200, SMALL(IF(ISERROR('Temp Hisfa'!W$3:W$200), "", ROW('Temp Hisfa'!W$3:W$200)-MIN(ROW('Temp Hisfa'!W$3:W$200))+1), ROW(51:250))),"")</f>
        <v>0</v>
      </c>
      <c r="X53" s="22">
        <f t="array" ref="X53">IFERROR(INDEX('Temp Hisfa'!X$3:X$200, SMALL(IF(ISERROR('Temp Hisfa'!X$3:X$200), "", ROW('Temp Hisfa'!X$3:X$200)-MIN(ROW('Temp Hisfa'!X$3:X$200))+1), ROW(51:250))),"")</f>
        <v>0</v>
      </c>
      <c r="Y53" s="22">
        <f t="array" ref="Y53">IFERROR(INDEX('Temp Hisfa'!Y$3:Y$200, SMALL(IF(ISERROR('Temp Hisfa'!Y$3:Y$200), "", ROW('Temp Hisfa'!Y$3:Y$200)-MIN(ROW('Temp Hisfa'!Y$3:Y$200))+1), ROW(51:250))),"")</f>
        <v>0</v>
      </c>
      <c r="Z53" s="22">
        <f t="array" ref="Z53">IFERROR(INDEX('Temp Hisfa'!Z$3:Z$200, SMALL(IF(ISERROR('Temp Hisfa'!Z$3:Z$200), "", ROW('Temp Hisfa'!Z$3:Z$200)-MIN(ROW('Temp Hisfa'!Z$3:Z$200))+1), ROW(51:250))),"")</f>
        <v>0</v>
      </c>
      <c r="AA53" s="22">
        <f t="array" ref="AA53">IFERROR(INDEX('Temp Hisfa'!AA$3:AA$200, SMALL(IF(ISERROR('Temp Hisfa'!AA$3:AA$200), "", ROW('Temp Hisfa'!AA$3:AA$200)-MIN(ROW('Temp Hisfa'!AA$3:AA$200))+1), ROW(51:250))),"")</f>
        <v>0</v>
      </c>
      <c r="AB53" s="22">
        <f t="array" ref="AB53">IFERROR(INDEX('Temp Hisfa'!AB$3:AB$200, SMALL(IF(ISERROR('Temp Hisfa'!AB$3:AB$200), "", ROW('Temp Hisfa'!AB$3:AB$200)-MIN(ROW('Temp Hisfa'!AB$3:AB$200))+1), ROW(51:250))),"")</f>
        <v>0</v>
      </c>
    </row>
    <row r="54" spans="1:31" x14ac:dyDescent="0.3">
      <c r="A54" s="4">
        <f t="array" ref="A54">IFERROR(INDEX('Temp Hisfa'!A$3:A$200, SMALL(IF(ISERROR('Temp Hisfa'!A$3:A$200), "", ROW('Temp Hisfa'!A$3:A$200)-MIN(ROW('Temp Hisfa'!A$3:A$200))+1), ROW(52:250))),"")</f>
        <v>0</v>
      </c>
      <c r="B54" s="4">
        <f t="array" ref="B54">IFERROR(INDEX('Temp Hisfa'!B$3:B$200, SMALL(IF(ISERROR('Temp Hisfa'!B$3:B$200), "", ROW('Temp Hisfa'!B$3:B$200)-MIN(ROW('Temp Hisfa'!B$3:B$200))+1), ROW(52:250))),"")</f>
        <v>0</v>
      </c>
      <c r="C54" s="3">
        <f t="array" ref="C54">IFERROR(INDEX('Temp Hisfa'!C$3:C$200, SMALL(IF(ISERROR('Temp Hisfa'!C$3:C$200), "", ROW('Temp Hisfa'!C$3:C$200)-MIN(ROW('Temp Hisfa'!C$3:C$200))+1), ROW(52:250))),"")</f>
        <v>0</v>
      </c>
      <c r="D54" s="3">
        <f t="array" ref="D54">IFERROR(INDEX('Temp Hisfa'!D$3:D$200, SMALL(IF(ISERROR('Temp Hisfa'!D$3:D$200), "", ROW('Temp Hisfa'!D$3:D$200)-MIN(ROW('Temp Hisfa'!D$3:D$200))+1), ROW(52:250))),"")</f>
        <v>0</v>
      </c>
      <c r="E54" s="29">
        <f t="array" ref="E54">IFERROR(INDEX('Temp Hisfa'!E$3:E$200, SMALL(IF(ISERROR('Temp Hisfa'!E$3:E$200), "", ROW('Temp Hisfa'!E$3:E$200)-MIN(ROW('Temp Hisfa'!E$3:E$200))+1), ROW(52:251))),"")</f>
        <v>0</v>
      </c>
      <c r="F54" s="22" t="str">
        <f t="array" ref="F54">IFERROR(INDEX('Temp Hisfa'!F$3:F$200, SMALL(IF(ISERROR('Temp Hisfa'!F$3:F$200), "", ROW('Temp Hisfa'!F$3:F$200)-MIN(ROW('Temp Hisfa'!F$3:F$200))+1), ROW(52:251))),"")</f>
        <v/>
      </c>
      <c r="G54" s="30">
        <f t="array" ref="G54">IFERROR(INDEX('Temp Hisfa'!G$3:G$200, SMALL(IF(ISERROR('Temp Hisfa'!G$3:G$200), "", ROW('Temp Hisfa'!G$3:G$200)-MIN(ROW('Temp Hisfa'!G$3:G$200))+1), ROW(52:251))),"")</f>
        <v>0</v>
      </c>
      <c r="H54" s="22" t="str">
        <f t="array" ref="H54">IFERROR(INDEX('Temp Hisfa'!H$3:H$200, SMALL(IF(ISERROR('Temp Hisfa'!H$3:H$200), "", ROW('Temp Hisfa'!H$3:H$200)-MIN(ROW('Temp Hisfa'!H$3:H$200))+1), ROW(52:251))),"")</f>
        <v/>
      </c>
      <c r="I54" s="22">
        <f t="array" ref="I54">IFERROR(INDEX('Temp Hisfa'!I$3:I$200, SMALL(IF(ISERROR('Temp Hisfa'!I$3:I$200), "", ROW('Temp Hisfa'!I$3:I$200)-MIN(ROW('Temp Hisfa'!I$3:I$200))+1), ROW(52:251))),"")</f>
        <v>0</v>
      </c>
      <c r="J54" s="22">
        <f t="array" ref="J54">IFERROR(INDEX('Temp Hisfa'!J$3:J$200, SMALL(IF(ISERROR('Temp Hisfa'!J$3:J$200), "", ROW('Temp Hisfa'!J$3:J$200)-MIN(ROW('Temp Hisfa'!J$3:J$200))+1), ROW(52:251))),"")</f>
        <v>0</v>
      </c>
      <c r="K54" s="30">
        <f t="array" ref="K54">IFERROR(INDEX('Temp Hisfa'!K$3:K$200, SMALL(IF(ISERROR('Temp Hisfa'!K$3:K$200), "", ROW('Temp Hisfa'!K$3:K$200)-MIN(ROW('Temp Hisfa'!K$3:K$200))+1), ROW(52:251))),"")</f>
        <v>0</v>
      </c>
      <c r="L54" s="22">
        <f t="array" ref="L54">IFERROR(INDEX('Temp Hisfa'!L$3:L$200, SMALL(IF(ISERROR('Temp Hisfa'!L$3:L$200), "", ROW('Temp Hisfa'!L$3:L$200)-MIN(ROW('Temp Hisfa'!L$3:L$200))+1), ROW(52:251))),"")</f>
        <v>0</v>
      </c>
      <c r="M54" s="22">
        <f t="array" ref="M54">IFERROR(INDEX('Temp Hisfa'!M$3:M$200, SMALL(IF(ISERROR('Temp Hisfa'!M$3:M$200), "", ROW('Temp Hisfa'!M$3:M$200)-MIN(ROW('Temp Hisfa'!M$3:M$200))+1), ROW(52:251))),"")</f>
        <v>0</v>
      </c>
      <c r="N54" s="22">
        <f t="array" ref="N54">IFERROR(INDEX('Temp Hisfa'!N$3:N$200, SMALL(IF(ISERROR('Temp Hisfa'!N$3:N$200), "", ROW('Temp Hisfa'!N$3:N$200)-MIN(ROW('Temp Hisfa'!N$3:N$200))+1), ROW(52:251))),"")</f>
        <v>1900</v>
      </c>
      <c r="O54" s="22" t="str">
        <f t="array" ref="O54">IFERROR(INDEX('Temp Hisfa'!O$3:O$200, SMALL(IF(ISERROR('Temp Hisfa'!O$3:O$200), "", ROW('Temp Hisfa'!O$3:O$200)-MIN(ROW('Temp Hisfa'!O$3:O$200))+1), ROW(52:251))),"")</f>
        <v>enero</v>
      </c>
      <c r="P54" s="22">
        <f t="array" ref="P54">IFERROR(INDEX('Temp Hisfa'!P$3:P$200, SMALL(IF(ISERROR('Temp Hisfa'!P$3:P$200), "", ROW('Temp Hisfa'!P$3:P$200)-MIN(ROW('Temp Hisfa'!P$3:P$200))+1), ROW(52:251))),"")</f>
        <v>0</v>
      </c>
      <c r="Q54" s="22">
        <f t="array" ref="Q54">IFERROR(INDEX('Temp Hisfa'!Q$3:Q$200, SMALL(IF(ISERROR('Temp Hisfa'!Q$3:Q$200), "", ROW('Temp Hisfa'!Q$3:Q$200)-MIN(ROW('Temp Hisfa'!Q$3:Q$200))+1), ROW(52:251))),"")</f>
        <v>0</v>
      </c>
      <c r="R54" s="22">
        <f t="array" ref="R54">IFERROR(INDEX('Temp Hisfa'!R$3:R$200, SMALL(IF(ISERROR('Temp Hisfa'!R$3:R$200), "", ROW('Temp Hisfa'!R$3:R$200)-MIN(ROW('Temp Hisfa'!R$3:R$200))+1), ROW(52:251))),"")</f>
        <v>0</v>
      </c>
      <c r="S54" s="22">
        <f t="array" ref="S54">IFERROR(INDEX('Temp Hisfa'!S$3:S$200, SMALL(IF(ISERROR('Temp Hisfa'!S$3:S$200), "", ROW('Temp Hisfa'!S$3:S$200)-MIN(ROW('Temp Hisfa'!S$3:S$200))+1), ROW(52:251))),"")</f>
        <v>0</v>
      </c>
      <c r="T54" s="22">
        <f t="array" ref="T54">IFERROR(INDEX('Temp Hisfa'!T$3:T$200, SMALL(IF(ISERROR('Temp Hisfa'!T$3:T$200), "", ROW('Temp Hisfa'!T$3:T$200)-MIN(ROW('Temp Hisfa'!T$3:T$200))+1), ROW(52:251))),"")</f>
        <v>0</v>
      </c>
      <c r="U54" s="22">
        <f t="array" ref="U54">IFERROR(INDEX('Temp Hisfa'!U$3:U$200, SMALL(IF(ISERROR('Temp Hisfa'!U$3:U$200), "", ROW('Temp Hisfa'!U$3:U$200)-MIN(ROW('Temp Hisfa'!U$3:U$200))+1), ROW(52:251))),"")</f>
        <v>0</v>
      </c>
      <c r="V54" s="22">
        <f t="array" ref="V54">IFERROR(INDEX('Temp Hisfa'!V$3:V$200, SMALL(IF(ISERROR('Temp Hisfa'!V$3:V$200), "", ROW('Temp Hisfa'!V$3:V$200)-MIN(ROW('Temp Hisfa'!V$3:V$200))+1), ROW(52:251))),"")</f>
        <v>0</v>
      </c>
      <c r="W54" s="22">
        <f t="array" ref="W54">IFERROR(INDEX('Temp Hisfa'!W$3:W$200, SMALL(IF(ISERROR('Temp Hisfa'!W$3:W$200), "", ROW('Temp Hisfa'!W$3:W$200)-MIN(ROW('Temp Hisfa'!W$3:W$200))+1), ROW(52:251))),"")</f>
        <v>0</v>
      </c>
      <c r="X54" s="22">
        <f t="array" ref="X54">IFERROR(INDEX('Temp Hisfa'!X$3:X$200, SMALL(IF(ISERROR('Temp Hisfa'!X$3:X$200), "", ROW('Temp Hisfa'!X$3:X$200)-MIN(ROW('Temp Hisfa'!X$3:X$200))+1), ROW(52:251))),"")</f>
        <v>0</v>
      </c>
      <c r="Y54" s="22">
        <f t="array" ref="Y54">IFERROR(INDEX('Temp Hisfa'!Y$3:Y$200, SMALL(IF(ISERROR('Temp Hisfa'!Y$3:Y$200), "", ROW('Temp Hisfa'!Y$3:Y$200)-MIN(ROW('Temp Hisfa'!Y$3:Y$200))+1), ROW(52:251))),"")</f>
        <v>0</v>
      </c>
      <c r="Z54" s="22">
        <f t="array" ref="Z54">IFERROR(INDEX('Temp Hisfa'!Z$3:Z$200, SMALL(IF(ISERROR('Temp Hisfa'!Z$3:Z$200), "", ROW('Temp Hisfa'!Z$3:Z$200)-MIN(ROW('Temp Hisfa'!Z$3:Z$200))+1), ROW(52:251))),"")</f>
        <v>0</v>
      </c>
      <c r="AA54" s="22">
        <f t="array" ref="AA54">IFERROR(INDEX('Temp Hisfa'!AA$3:AA$200, SMALL(IF(ISERROR('Temp Hisfa'!AA$3:AA$200), "", ROW('Temp Hisfa'!AA$3:AA$200)-MIN(ROW('Temp Hisfa'!AA$3:AA$200))+1), ROW(52:251))),"")</f>
        <v>0</v>
      </c>
      <c r="AB54" s="22">
        <f t="array" ref="AB54">IFERROR(INDEX('Temp Hisfa'!AB$3:AB$200, SMALL(IF(ISERROR('Temp Hisfa'!AB$3:AB$200), "", ROW('Temp Hisfa'!AB$3:AB$200)-MIN(ROW('Temp Hisfa'!AB$3:AB$200))+1), ROW(52:251))),"")</f>
        <v>0</v>
      </c>
    </row>
    <row r="55" spans="1:31" x14ac:dyDescent="0.3">
      <c r="A55" s="4">
        <f t="array" ref="A55">IFERROR(INDEX('Temp Hisfa'!A$3:A$200, SMALL(IF(ISERROR('Temp Hisfa'!A$3:A$200), "", ROW('Temp Hisfa'!A$3:A$200)-MIN(ROW('Temp Hisfa'!A$3:A$200))+1), ROW(53:251))),"")</f>
        <v>0</v>
      </c>
      <c r="B55" s="4">
        <f t="array" ref="B55">IFERROR(INDEX('Temp Hisfa'!B$3:B$200, SMALL(IF(ISERROR('Temp Hisfa'!B$3:B$200), "", ROW('Temp Hisfa'!B$3:B$200)-MIN(ROW('Temp Hisfa'!B$3:B$200))+1), ROW(53:251))),"")</f>
        <v>0</v>
      </c>
      <c r="C55" s="3">
        <f t="array" ref="C55">IFERROR(INDEX('Temp Hisfa'!C$3:C$200, SMALL(IF(ISERROR('Temp Hisfa'!C$3:C$200), "", ROW('Temp Hisfa'!C$3:C$200)-MIN(ROW('Temp Hisfa'!C$3:C$200))+1), ROW(53:251))),"")</f>
        <v>0</v>
      </c>
      <c r="D55" s="3">
        <f t="array" ref="D55">IFERROR(INDEX('Temp Hisfa'!D$3:D$200, SMALL(IF(ISERROR('Temp Hisfa'!D$3:D$200), "", ROW('Temp Hisfa'!D$3:D$200)-MIN(ROW('Temp Hisfa'!D$3:D$200))+1), ROW(53:251))),"")</f>
        <v>0</v>
      </c>
      <c r="E55" s="29">
        <f t="array" ref="E55">IFERROR(INDEX('Temp Hisfa'!E$3:E$200, SMALL(IF(ISERROR('Temp Hisfa'!E$3:E$200), "", ROW('Temp Hisfa'!E$3:E$200)-MIN(ROW('Temp Hisfa'!E$3:E$200))+1), ROW(53:252))),"")</f>
        <v>0</v>
      </c>
      <c r="F55" s="22" t="str">
        <f t="array" ref="F55">IFERROR(INDEX('Temp Hisfa'!F$3:F$200, SMALL(IF(ISERROR('Temp Hisfa'!F$3:F$200), "", ROW('Temp Hisfa'!F$3:F$200)-MIN(ROW('Temp Hisfa'!F$3:F$200))+1), ROW(53:252))),"")</f>
        <v/>
      </c>
      <c r="G55" s="30">
        <f t="array" ref="G55">IFERROR(INDEX('Temp Hisfa'!G$3:G$200, SMALL(IF(ISERROR('Temp Hisfa'!G$3:G$200), "", ROW('Temp Hisfa'!G$3:G$200)-MIN(ROW('Temp Hisfa'!G$3:G$200))+1), ROW(53:252))),"")</f>
        <v>0</v>
      </c>
      <c r="H55" s="22" t="str">
        <f t="array" ref="H55">IFERROR(INDEX('Temp Hisfa'!H$3:H$200, SMALL(IF(ISERROR('Temp Hisfa'!H$3:H$200), "", ROW('Temp Hisfa'!H$3:H$200)-MIN(ROW('Temp Hisfa'!H$3:H$200))+1), ROW(53:252))),"")</f>
        <v/>
      </c>
      <c r="I55" s="22">
        <f t="array" ref="I55">IFERROR(INDEX('Temp Hisfa'!I$3:I$200, SMALL(IF(ISERROR('Temp Hisfa'!I$3:I$200), "", ROW('Temp Hisfa'!I$3:I$200)-MIN(ROW('Temp Hisfa'!I$3:I$200))+1), ROW(53:252))),"")</f>
        <v>0</v>
      </c>
      <c r="J55" s="22">
        <f t="array" ref="J55">IFERROR(INDEX('Temp Hisfa'!J$3:J$200, SMALL(IF(ISERROR('Temp Hisfa'!J$3:J$200), "", ROW('Temp Hisfa'!J$3:J$200)-MIN(ROW('Temp Hisfa'!J$3:J$200))+1), ROW(53:252))),"")</f>
        <v>0</v>
      </c>
      <c r="K55" s="30">
        <f t="array" ref="K55">IFERROR(INDEX('Temp Hisfa'!K$3:K$200, SMALL(IF(ISERROR('Temp Hisfa'!K$3:K$200), "", ROW('Temp Hisfa'!K$3:K$200)-MIN(ROW('Temp Hisfa'!K$3:K$200))+1), ROW(53:252))),"")</f>
        <v>0</v>
      </c>
      <c r="L55" s="22">
        <f t="array" ref="L55">IFERROR(INDEX('Temp Hisfa'!L$3:L$200, SMALL(IF(ISERROR('Temp Hisfa'!L$3:L$200), "", ROW('Temp Hisfa'!L$3:L$200)-MIN(ROW('Temp Hisfa'!L$3:L$200))+1), ROW(53:252))),"")</f>
        <v>0</v>
      </c>
      <c r="M55" s="22">
        <f t="array" ref="M55">IFERROR(INDEX('Temp Hisfa'!M$3:M$200, SMALL(IF(ISERROR('Temp Hisfa'!M$3:M$200), "", ROW('Temp Hisfa'!M$3:M$200)-MIN(ROW('Temp Hisfa'!M$3:M$200))+1), ROW(53:252))),"")</f>
        <v>0</v>
      </c>
      <c r="N55" s="22">
        <f t="array" ref="N55">IFERROR(INDEX('Temp Hisfa'!N$3:N$200, SMALL(IF(ISERROR('Temp Hisfa'!N$3:N$200), "", ROW('Temp Hisfa'!N$3:N$200)-MIN(ROW('Temp Hisfa'!N$3:N$200))+1), ROW(53:252))),"")</f>
        <v>1900</v>
      </c>
      <c r="O55" s="22" t="str">
        <f t="array" ref="O55">IFERROR(INDEX('Temp Hisfa'!O$3:O$200, SMALL(IF(ISERROR('Temp Hisfa'!O$3:O$200), "", ROW('Temp Hisfa'!O$3:O$200)-MIN(ROW('Temp Hisfa'!O$3:O$200))+1), ROW(53:252))),"")</f>
        <v>enero</v>
      </c>
      <c r="P55" s="22">
        <f t="array" ref="P55">IFERROR(INDEX('Temp Hisfa'!P$3:P$200, SMALL(IF(ISERROR('Temp Hisfa'!P$3:P$200), "", ROW('Temp Hisfa'!P$3:P$200)-MIN(ROW('Temp Hisfa'!P$3:P$200))+1), ROW(53:252))),"")</f>
        <v>0</v>
      </c>
      <c r="Q55" s="22">
        <f t="array" ref="Q55">IFERROR(INDEX('Temp Hisfa'!Q$3:Q$200, SMALL(IF(ISERROR('Temp Hisfa'!Q$3:Q$200), "", ROW('Temp Hisfa'!Q$3:Q$200)-MIN(ROW('Temp Hisfa'!Q$3:Q$200))+1), ROW(53:252))),"")</f>
        <v>0</v>
      </c>
      <c r="R55" s="22">
        <f t="array" ref="R55">IFERROR(INDEX('Temp Hisfa'!R$3:R$200, SMALL(IF(ISERROR('Temp Hisfa'!R$3:R$200), "", ROW('Temp Hisfa'!R$3:R$200)-MIN(ROW('Temp Hisfa'!R$3:R$200))+1), ROW(53:252))),"")</f>
        <v>0</v>
      </c>
      <c r="S55" s="22">
        <f t="array" ref="S55">IFERROR(INDEX('Temp Hisfa'!S$3:S$200, SMALL(IF(ISERROR('Temp Hisfa'!S$3:S$200), "", ROW('Temp Hisfa'!S$3:S$200)-MIN(ROW('Temp Hisfa'!S$3:S$200))+1), ROW(53:252))),"")</f>
        <v>0</v>
      </c>
      <c r="T55" s="22">
        <f t="array" ref="T55">IFERROR(INDEX('Temp Hisfa'!T$3:T$200, SMALL(IF(ISERROR('Temp Hisfa'!T$3:T$200), "", ROW('Temp Hisfa'!T$3:T$200)-MIN(ROW('Temp Hisfa'!T$3:T$200))+1), ROW(53:252))),"")</f>
        <v>0</v>
      </c>
      <c r="U55" s="22">
        <f t="array" ref="U55">IFERROR(INDEX('Temp Hisfa'!U$3:U$200, SMALL(IF(ISERROR('Temp Hisfa'!U$3:U$200), "", ROW('Temp Hisfa'!U$3:U$200)-MIN(ROW('Temp Hisfa'!U$3:U$200))+1), ROW(53:252))),"")</f>
        <v>0</v>
      </c>
      <c r="V55" s="22">
        <f t="array" ref="V55">IFERROR(INDEX('Temp Hisfa'!V$3:V$200, SMALL(IF(ISERROR('Temp Hisfa'!V$3:V$200), "", ROW('Temp Hisfa'!V$3:V$200)-MIN(ROW('Temp Hisfa'!V$3:V$200))+1), ROW(53:252))),"")</f>
        <v>0</v>
      </c>
      <c r="W55" s="22">
        <f t="array" ref="W55">IFERROR(INDEX('Temp Hisfa'!W$3:W$200, SMALL(IF(ISERROR('Temp Hisfa'!W$3:W$200), "", ROW('Temp Hisfa'!W$3:W$200)-MIN(ROW('Temp Hisfa'!W$3:W$200))+1), ROW(53:252))),"")</f>
        <v>0</v>
      </c>
      <c r="X55" s="22">
        <f t="array" ref="X55">IFERROR(INDEX('Temp Hisfa'!X$3:X$200, SMALL(IF(ISERROR('Temp Hisfa'!X$3:X$200), "", ROW('Temp Hisfa'!X$3:X$200)-MIN(ROW('Temp Hisfa'!X$3:X$200))+1), ROW(53:252))),"")</f>
        <v>0</v>
      </c>
      <c r="Y55" s="22">
        <f t="array" ref="Y55">IFERROR(INDEX('Temp Hisfa'!Y$3:Y$200, SMALL(IF(ISERROR('Temp Hisfa'!Y$3:Y$200), "", ROW('Temp Hisfa'!Y$3:Y$200)-MIN(ROW('Temp Hisfa'!Y$3:Y$200))+1), ROW(53:252))),"")</f>
        <v>0</v>
      </c>
      <c r="Z55" s="22">
        <f t="array" ref="Z55">IFERROR(INDEX('Temp Hisfa'!Z$3:Z$200, SMALL(IF(ISERROR('Temp Hisfa'!Z$3:Z$200), "", ROW('Temp Hisfa'!Z$3:Z$200)-MIN(ROW('Temp Hisfa'!Z$3:Z$200))+1), ROW(53:252))),"")</f>
        <v>0</v>
      </c>
      <c r="AA55" s="22">
        <f t="array" ref="AA55">IFERROR(INDEX('Temp Hisfa'!AA$3:AA$200, SMALL(IF(ISERROR('Temp Hisfa'!AA$3:AA$200), "", ROW('Temp Hisfa'!AA$3:AA$200)-MIN(ROW('Temp Hisfa'!AA$3:AA$200))+1), ROW(53:252))),"")</f>
        <v>0</v>
      </c>
      <c r="AB55" s="22">
        <f t="array" ref="AB55">IFERROR(INDEX('Temp Hisfa'!AB$3:AB$200, SMALL(IF(ISERROR('Temp Hisfa'!AB$3:AB$200), "", ROW('Temp Hisfa'!AB$3:AB$200)-MIN(ROW('Temp Hisfa'!AB$3:AB$200))+1), ROW(53:252))),"")</f>
        <v>0</v>
      </c>
    </row>
    <row r="56" spans="1:31" x14ac:dyDescent="0.3">
      <c r="A56" s="4">
        <f t="array" ref="A56">IFERROR(INDEX('Temp Hisfa'!A$3:A$200, SMALL(IF(ISERROR('Temp Hisfa'!A$3:A$200), "", ROW('Temp Hisfa'!A$3:A$200)-MIN(ROW('Temp Hisfa'!A$3:A$200))+1), ROW(54:252))),"")</f>
        <v>0</v>
      </c>
      <c r="B56" s="4">
        <f t="array" ref="B56">IFERROR(INDEX('Temp Hisfa'!B$3:B$200, SMALL(IF(ISERROR('Temp Hisfa'!B$3:B$200), "", ROW('Temp Hisfa'!B$3:B$200)-MIN(ROW('Temp Hisfa'!B$3:B$200))+1), ROW(54:252))),"")</f>
        <v>0</v>
      </c>
      <c r="C56" s="3">
        <f t="array" ref="C56">IFERROR(INDEX('Temp Hisfa'!C$3:C$200, SMALL(IF(ISERROR('Temp Hisfa'!C$3:C$200), "", ROW('Temp Hisfa'!C$3:C$200)-MIN(ROW('Temp Hisfa'!C$3:C$200))+1), ROW(54:252))),"")</f>
        <v>0</v>
      </c>
      <c r="D56" s="3">
        <f t="array" ref="D56">IFERROR(INDEX('Temp Hisfa'!D$3:D$200, SMALL(IF(ISERROR('Temp Hisfa'!D$3:D$200), "", ROW('Temp Hisfa'!D$3:D$200)-MIN(ROW('Temp Hisfa'!D$3:D$200))+1), ROW(54:252))),"")</f>
        <v>0</v>
      </c>
      <c r="E56" s="29">
        <f t="array" ref="E56">IFERROR(INDEX('Temp Hisfa'!E$3:E$200, SMALL(IF(ISERROR('Temp Hisfa'!E$3:E$200), "", ROW('Temp Hisfa'!E$3:E$200)-MIN(ROW('Temp Hisfa'!E$3:E$200))+1), ROW(54:253))),"")</f>
        <v>0</v>
      </c>
      <c r="F56" s="22" t="str">
        <f t="array" ref="F56">IFERROR(INDEX('Temp Hisfa'!F$3:F$200, SMALL(IF(ISERROR('Temp Hisfa'!F$3:F$200), "", ROW('Temp Hisfa'!F$3:F$200)-MIN(ROW('Temp Hisfa'!F$3:F$200))+1), ROW(54:253))),"")</f>
        <v/>
      </c>
      <c r="G56" s="30">
        <f t="array" ref="G56">IFERROR(INDEX('Temp Hisfa'!G$3:G$200, SMALL(IF(ISERROR('Temp Hisfa'!G$3:G$200), "", ROW('Temp Hisfa'!G$3:G$200)-MIN(ROW('Temp Hisfa'!G$3:G$200))+1), ROW(54:253))),"")</f>
        <v>0</v>
      </c>
      <c r="H56" s="22" t="str">
        <f t="array" ref="H56">IFERROR(INDEX('Temp Hisfa'!H$3:H$200, SMALL(IF(ISERROR('Temp Hisfa'!H$3:H$200), "", ROW('Temp Hisfa'!H$3:H$200)-MIN(ROW('Temp Hisfa'!H$3:H$200))+1), ROW(54:253))),"")</f>
        <v/>
      </c>
      <c r="I56" s="22">
        <f t="array" ref="I56">IFERROR(INDEX('Temp Hisfa'!I$3:I$200, SMALL(IF(ISERROR('Temp Hisfa'!I$3:I$200), "", ROW('Temp Hisfa'!I$3:I$200)-MIN(ROW('Temp Hisfa'!I$3:I$200))+1), ROW(54:253))),"")</f>
        <v>0</v>
      </c>
      <c r="J56" s="22">
        <f t="array" ref="J56">IFERROR(INDEX('Temp Hisfa'!J$3:J$200, SMALL(IF(ISERROR('Temp Hisfa'!J$3:J$200), "", ROW('Temp Hisfa'!J$3:J$200)-MIN(ROW('Temp Hisfa'!J$3:J$200))+1), ROW(54:253))),"")</f>
        <v>0</v>
      </c>
      <c r="K56" s="30">
        <f t="array" ref="K56">IFERROR(INDEX('Temp Hisfa'!K$3:K$200, SMALL(IF(ISERROR('Temp Hisfa'!K$3:K$200), "", ROW('Temp Hisfa'!K$3:K$200)-MIN(ROW('Temp Hisfa'!K$3:K$200))+1), ROW(54:253))),"")</f>
        <v>0</v>
      </c>
      <c r="L56" s="22">
        <f t="array" ref="L56">IFERROR(INDEX('Temp Hisfa'!L$3:L$200, SMALL(IF(ISERROR('Temp Hisfa'!L$3:L$200), "", ROW('Temp Hisfa'!L$3:L$200)-MIN(ROW('Temp Hisfa'!L$3:L$200))+1), ROW(54:253))),"")</f>
        <v>0</v>
      </c>
      <c r="M56" s="22">
        <f t="array" ref="M56">IFERROR(INDEX('Temp Hisfa'!M$3:M$200, SMALL(IF(ISERROR('Temp Hisfa'!M$3:M$200), "", ROW('Temp Hisfa'!M$3:M$200)-MIN(ROW('Temp Hisfa'!M$3:M$200))+1), ROW(54:253))),"")</f>
        <v>0</v>
      </c>
      <c r="N56" s="22">
        <f t="array" ref="N56">IFERROR(INDEX('Temp Hisfa'!N$3:N$200, SMALL(IF(ISERROR('Temp Hisfa'!N$3:N$200), "", ROW('Temp Hisfa'!N$3:N$200)-MIN(ROW('Temp Hisfa'!N$3:N$200))+1), ROW(54:253))),"")</f>
        <v>1900</v>
      </c>
      <c r="O56" s="22" t="str">
        <f t="array" ref="O56">IFERROR(INDEX('Temp Hisfa'!O$3:O$200, SMALL(IF(ISERROR('Temp Hisfa'!O$3:O$200), "", ROW('Temp Hisfa'!O$3:O$200)-MIN(ROW('Temp Hisfa'!O$3:O$200))+1), ROW(54:253))),"")</f>
        <v>enero</v>
      </c>
      <c r="P56" s="22">
        <f t="array" ref="P56">IFERROR(INDEX('Temp Hisfa'!P$3:P$200, SMALL(IF(ISERROR('Temp Hisfa'!P$3:P$200), "", ROW('Temp Hisfa'!P$3:P$200)-MIN(ROW('Temp Hisfa'!P$3:P$200))+1), ROW(54:253))),"")</f>
        <v>0</v>
      </c>
      <c r="Q56" s="22">
        <f t="array" ref="Q56">IFERROR(INDEX('Temp Hisfa'!Q$3:Q$200, SMALL(IF(ISERROR('Temp Hisfa'!Q$3:Q$200), "", ROW('Temp Hisfa'!Q$3:Q$200)-MIN(ROW('Temp Hisfa'!Q$3:Q$200))+1), ROW(54:253))),"")</f>
        <v>0</v>
      </c>
      <c r="R56" s="22">
        <f t="array" ref="R56">IFERROR(INDEX('Temp Hisfa'!R$3:R$200, SMALL(IF(ISERROR('Temp Hisfa'!R$3:R$200), "", ROW('Temp Hisfa'!R$3:R$200)-MIN(ROW('Temp Hisfa'!R$3:R$200))+1), ROW(54:253))),"")</f>
        <v>0</v>
      </c>
      <c r="S56" s="22">
        <f t="array" ref="S56">IFERROR(INDEX('Temp Hisfa'!S$3:S$200, SMALL(IF(ISERROR('Temp Hisfa'!S$3:S$200), "", ROW('Temp Hisfa'!S$3:S$200)-MIN(ROW('Temp Hisfa'!S$3:S$200))+1), ROW(54:253))),"")</f>
        <v>0</v>
      </c>
      <c r="T56" s="22">
        <f t="array" ref="T56">IFERROR(INDEX('Temp Hisfa'!T$3:T$200, SMALL(IF(ISERROR('Temp Hisfa'!T$3:T$200), "", ROW('Temp Hisfa'!T$3:T$200)-MIN(ROW('Temp Hisfa'!T$3:T$200))+1), ROW(54:253))),"")</f>
        <v>0</v>
      </c>
      <c r="U56" s="22">
        <f t="array" ref="U56">IFERROR(INDEX('Temp Hisfa'!U$3:U$200, SMALL(IF(ISERROR('Temp Hisfa'!U$3:U$200), "", ROW('Temp Hisfa'!U$3:U$200)-MIN(ROW('Temp Hisfa'!U$3:U$200))+1), ROW(54:253))),"")</f>
        <v>0</v>
      </c>
      <c r="V56" s="22">
        <f t="array" ref="V56">IFERROR(INDEX('Temp Hisfa'!V$3:V$200, SMALL(IF(ISERROR('Temp Hisfa'!V$3:V$200), "", ROW('Temp Hisfa'!V$3:V$200)-MIN(ROW('Temp Hisfa'!V$3:V$200))+1), ROW(54:253))),"")</f>
        <v>0</v>
      </c>
      <c r="W56" s="22">
        <f t="array" ref="W56">IFERROR(INDEX('Temp Hisfa'!W$3:W$200, SMALL(IF(ISERROR('Temp Hisfa'!W$3:W$200), "", ROW('Temp Hisfa'!W$3:W$200)-MIN(ROW('Temp Hisfa'!W$3:W$200))+1), ROW(54:253))),"")</f>
        <v>0</v>
      </c>
      <c r="X56" s="22">
        <f t="array" ref="X56">IFERROR(INDEX('Temp Hisfa'!X$3:X$200, SMALL(IF(ISERROR('Temp Hisfa'!X$3:X$200), "", ROW('Temp Hisfa'!X$3:X$200)-MIN(ROW('Temp Hisfa'!X$3:X$200))+1), ROW(54:253))),"")</f>
        <v>0</v>
      </c>
      <c r="Y56" s="22">
        <f t="array" ref="Y56">IFERROR(INDEX('Temp Hisfa'!Y$3:Y$200, SMALL(IF(ISERROR('Temp Hisfa'!Y$3:Y$200), "", ROW('Temp Hisfa'!Y$3:Y$200)-MIN(ROW('Temp Hisfa'!Y$3:Y$200))+1), ROW(54:253))),"")</f>
        <v>0</v>
      </c>
      <c r="Z56" s="22">
        <f t="array" ref="Z56">IFERROR(INDEX('Temp Hisfa'!Z$3:Z$200, SMALL(IF(ISERROR('Temp Hisfa'!Z$3:Z$200), "", ROW('Temp Hisfa'!Z$3:Z$200)-MIN(ROW('Temp Hisfa'!Z$3:Z$200))+1), ROW(54:253))),"")</f>
        <v>0</v>
      </c>
      <c r="AA56" s="22">
        <f t="array" ref="AA56">IFERROR(INDEX('Temp Hisfa'!AA$3:AA$200, SMALL(IF(ISERROR('Temp Hisfa'!AA$3:AA$200), "", ROW('Temp Hisfa'!AA$3:AA$200)-MIN(ROW('Temp Hisfa'!AA$3:AA$200))+1), ROW(54:253))),"")</f>
        <v>0</v>
      </c>
      <c r="AB56" s="22">
        <f t="array" ref="AB56">IFERROR(INDEX('Temp Hisfa'!AB$3:AB$200, SMALL(IF(ISERROR('Temp Hisfa'!AB$3:AB$200), "", ROW('Temp Hisfa'!AB$3:AB$200)-MIN(ROW('Temp Hisfa'!AB$3:AB$200))+1), ROW(54:253))),"")</f>
        <v>0</v>
      </c>
    </row>
    <row r="57" spans="1:31" x14ac:dyDescent="0.3">
      <c r="A57" s="4">
        <f t="array" ref="A57">IFERROR(INDEX('Temp Hisfa'!A$3:A$200, SMALL(IF(ISERROR('Temp Hisfa'!A$3:A$200), "", ROW('Temp Hisfa'!A$3:A$200)-MIN(ROW('Temp Hisfa'!A$3:A$200))+1), ROW(55:253))),"")</f>
        <v>0</v>
      </c>
      <c r="B57" s="4">
        <f t="array" ref="B57">IFERROR(INDEX('Temp Hisfa'!B$3:B$200, SMALL(IF(ISERROR('Temp Hisfa'!B$3:B$200), "", ROW('Temp Hisfa'!B$3:B$200)-MIN(ROW('Temp Hisfa'!B$3:B$200))+1), ROW(55:253))),"")</f>
        <v>0</v>
      </c>
      <c r="C57" s="3">
        <f t="array" ref="C57">IFERROR(INDEX('Temp Hisfa'!C$3:C$200, SMALL(IF(ISERROR('Temp Hisfa'!C$3:C$200), "", ROW('Temp Hisfa'!C$3:C$200)-MIN(ROW('Temp Hisfa'!C$3:C$200))+1), ROW(55:253))),"")</f>
        <v>0</v>
      </c>
      <c r="D57" s="3">
        <f t="array" ref="D57">IFERROR(INDEX('Temp Hisfa'!D$3:D$200, SMALL(IF(ISERROR('Temp Hisfa'!D$3:D$200), "", ROW('Temp Hisfa'!D$3:D$200)-MIN(ROW('Temp Hisfa'!D$3:D$200))+1), ROW(55:253))),"")</f>
        <v>0</v>
      </c>
      <c r="E57" s="29">
        <f t="array" ref="E57">IFERROR(INDEX('Temp Hisfa'!E$3:E$200, SMALL(IF(ISERROR('Temp Hisfa'!E$3:E$200), "", ROW('Temp Hisfa'!E$3:E$200)-MIN(ROW('Temp Hisfa'!E$3:E$200))+1), ROW(55:254))),"")</f>
        <v>0</v>
      </c>
      <c r="F57" s="22" t="str">
        <f t="array" ref="F57">IFERROR(INDEX('Temp Hisfa'!F$3:F$200, SMALL(IF(ISERROR('Temp Hisfa'!F$3:F$200), "", ROW('Temp Hisfa'!F$3:F$200)-MIN(ROW('Temp Hisfa'!F$3:F$200))+1), ROW(55:254))),"")</f>
        <v/>
      </c>
      <c r="G57" s="30">
        <f t="array" ref="G57">IFERROR(INDEX('Temp Hisfa'!G$3:G$200, SMALL(IF(ISERROR('Temp Hisfa'!G$3:G$200), "", ROW('Temp Hisfa'!G$3:G$200)-MIN(ROW('Temp Hisfa'!G$3:G$200))+1), ROW(55:254))),"")</f>
        <v>0</v>
      </c>
      <c r="H57" s="22" t="str">
        <f t="array" ref="H57">IFERROR(INDEX('Temp Hisfa'!H$3:H$200, SMALL(IF(ISERROR('Temp Hisfa'!H$3:H$200), "", ROW('Temp Hisfa'!H$3:H$200)-MIN(ROW('Temp Hisfa'!H$3:H$200))+1), ROW(55:254))),"")</f>
        <v/>
      </c>
      <c r="I57" s="22">
        <f t="array" ref="I57">IFERROR(INDEX('Temp Hisfa'!I$3:I$200, SMALL(IF(ISERROR('Temp Hisfa'!I$3:I$200), "", ROW('Temp Hisfa'!I$3:I$200)-MIN(ROW('Temp Hisfa'!I$3:I$200))+1), ROW(55:254))),"")</f>
        <v>0</v>
      </c>
      <c r="J57" s="22">
        <f t="array" ref="J57">IFERROR(INDEX('Temp Hisfa'!J$3:J$200, SMALL(IF(ISERROR('Temp Hisfa'!J$3:J$200), "", ROW('Temp Hisfa'!J$3:J$200)-MIN(ROW('Temp Hisfa'!J$3:J$200))+1), ROW(55:254))),"")</f>
        <v>0</v>
      </c>
      <c r="K57" s="30">
        <f t="array" ref="K57">IFERROR(INDEX('Temp Hisfa'!K$3:K$200, SMALL(IF(ISERROR('Temp Hisfa'!K$3:K$200), "", ROW('Temp Hisfa'!K$3:K$200)-MIN(ROW('Temp Hisfa'!K$3:K$200))+1), ROW(55:254))),"")</f>
        <v>0</v>
      </c>
      <c r="L57" s="22">
        <f t="array" ref="L57">IFERROR(INDEX('Temp Hisfa'!L$3:L$200, SMALL(IF(ISERROR('Temp Hisfa'!L$3:L$200), "", ROW('Temp Hisfa'!L$3:L$200)-MIN(ROW('Temp Hisfa'!L$3:L$200))+1), ROW(55:254))),"")</f>
        <v>0</v>
      </c>
      <c r="M57" s="22">
        <f t="array" ref="M57">IFERROR(INDEX('Temp Hisfa'!M$3:M$200, SMALL(IF(ISERROR('Temp Hisfa'!M$3:M$200), "", ROW('Temp Hisfa'!M$3:M$200)-MIN(ROW('Temp Hisfa'!M$3:M$200))+1), ROW(55:254))),"")</f>
        <v>0</v>
      </c>
      <c r="N57" s="22">
        <f t="array" ref="N57">IFERROR(INDEX('Temp Hisfa'!N$3:N$200, SMALL(IF(ISERROR('Temp Hisfa'!N$3:N$200), "", ROW('Temp Hisfa'!N$3:N$200)-MIN(ROW('Temp Hisfa'!N$3:N$200))+1), ROW(55:254))),"")</f>
        <v>1900</v>
      </c>
      <c r="O57" s="22" t="str">
        <f t="array" ref="O57">IFERROR(INDEX('Temp Hisfa'!O$3:O$200, SMALL(IF(ISERROR('Temp Hisfa'!O$3:O$200), "", ROW('Temp Hisfa'!O$3:O$200)-MIN(ROW('Temp Hisfa'!O$3:O$200))+1), ROW(55:254))),"")</f>
        <v>enero</v>
      </c>
      <c r="P57" s="22">
        <f t="array" ref="P57">IFERROR(INDEX('Temp Hisfa'!P$3:P$200, SMALL(IF(ISERROR('Temp Hisfa'!P$3:P$200), "", ROW('Temp Hisfa'!P$3:P$200)-MIN(ROW('Temp Hisfa'!P$3:P$200))+1), ROW(55:254))),"")</f>
        <v>0</v>
      </c>
      <c r="Q57" s="22">
        <f t="array" ref="Q57">IFERROR(INDEX('Temp Hisfa'!Q$3:Q$200, SMALL(IF(ISERROR('Temp Hisfa'!Q$3:Q$200), "", ROW('Temp Hisfa'!Q$3:Q$200)-MIN(ROW('Temp Hisfa'!Q$3:Q$200))+1), ROW(55:254))),"")</f>
        <v>0</v>
      </c>
      <c r="R57" s="22">
        <f t="array" ref="R57">IFERROR(INDEX('Temp Hisfa'!R$3:R$200, SMALL(IF(ISERROR('Temp Hisfa'!R$3:R$200), "", ROW('Temp Hisfa'!R$3:R$200)-MIN(ROW('Temp Hisfa'!R$3:R$200))+1), ROW(55:254))),"")</f>
        <v>0</v>
      </c>
      <c r="S57" s="22">
        <f t="array" ref="S57">IFERROR(INDEX('Temp Hisfa'!S$3:S$200, SMALL(IF(ISERROR('Temp Hisfa'!S$3:S$200), "", ROW('Temp Hisfa'!S$3:S$200)-MIN(ROW('Temp Hisfa'!S$3:S$200))+1), ROW(55:254))),"")</f>
        <v>0</v>
      </c>
      <c r="T57" s="22">
        <f t="array" ref="T57">IFERROR(INDEX('Temp Hisfa'!T$3:T$200, SMALL(IF(ISERROR('Temp Hisfa'!T$3:T$200), "", ROW('Temp Hisfa'!T$3:T$200)-MIN(ROW('Temp Hisfa'!T$3:T$200))+1), ROW(55:254))),"")</f>
        <v>0</v>
      </c>
      <c r="U57" s="22">
        <f t="array" ref="U57">IFERROR(INDEX('Temp Hisfa'!U$3:U$200, SMALL(IF(ISERROR('Temp Hisfa'!U$3:U$200), "", ROW('Temp Hisfa'!U$3:U$200)-MIN(ROW('Temp Hisfa'!U$3:U$200))+1), ROW(55:254))),"")</f>
        <v>0</v>
      </c>
      <c r="V57" s="22">
        <f t="array" ref="V57">IFERROR(INDEX('Temp Hisfa'!V$3:V$200, SMALL(IF(ISERROR('Temp Hisfa'!V$3:V$200), "", ROW('Temp Hisfa'!V$3:V$200)-MIN(ROW('Temp Hisfa'!V$3:V$200))+1), ROW(55:254))),"")</f>
        <v>0</v>
      </c>
      <c r="W57" s="22">
        <f t="array" ref="W57">IFERROR(INDEX('Temp Hisfa'!W$3:W$200, SMALL(IF(ISERROR('Temp Hisfa'!W$3:W$200), "", ROW('Temp Hisfa'!W$3:W$200)-MIN(ROW('Temp Hisfa'!W$3:W$200))+1), ROW(55:254))),"")</f>
        <v>0</v>
      </c>
      <c r="X57" s="22">
        <f t="array" ref="X57">IFERROR(INDEX('Temp Hisfa'!X$3:X$200, SMALL(IF(ISERROR('Temp Hisfa'!X$3:X$200), "", ROW('Temp Hisfa'!X$3:X$200)-MIN(ROW('Temp Hisfa'!X$3:X$200))+1), ROW(55:254))),"")</f>
        <v>0</v>
      </c>
      <c r="Y57" s="22">
        <f t="array" ref="Y57">IFERROR(INDEX('Temp Hisfa'!Y$3:Y$200, SMALL(IF(ISERROR('Temp Hisfa'!Y$3:Y$200), "", ROW('Temp Hisfa'!Y$3:Y$200)-MIN(ROW('Temp Hisfa'!Y$3:Y$200))+1), ROW(55:254))),"")</f>
        <v>0</v>
      </c>
      <c r="Z57" s="22">
        <f t="array" ref="Z57">IFERROR(INDEX('Temp Hisfa'!Z$3:Z$200, SMALL(IF(ISERROR('Temp Hisfa'!Z$3:Z$200), "", ROW('Temp Hisfa'!Z$3:Z$200)-MIN(ROW('Temp Hisfa'!Z$3:Z$200))+1), ROW(55:254))),"")</f>
        <v>0</v>
      </c>
      <c r="AA57" s="22">
        <f t="array" ref="AA57">IFERROR(INDEX('Temp Hisfa'!AA$3:AA$200, SMALL(IF(ISERROR('Temp Hisfa'!AA$3:AA$200), "", ROW('Temp Hisfa'!AA$3:AA$200)-MIN(ROW('Temp Hisfa'!AA$3:AA$200))+1), ROW(55:254))),"")</f>
        <v>0</v>
      </c>
      <c r="AB57" s="22">
        <f t="array" ref="AB57">IFERROR(INDEX('Temp Hisfa'!AB$3:AB$200, SMALL(IF(ISERROR('Temp Hisfa'!AB$3:AB$200), "", ROW('Temp Hisfa'!AB$3:AB$200)-MIN(ROW('Temp Hisfa'!AB$3:AB$200))+1), ROW(55:254))),"")</f>
        <v>0</v>
      </c>
    </row>
    <row r="58" spans="1:31" x14ac:dyDescent="0.3">
      <c r="A58" s="4">
        <f t="array" ref="A58">IFERROR(INDEX('Temp Hisfa'!A$3:A$200, SMALL(IF(ISERROR('Temp Hisfa'!A$3:A$200), "", ROW('Temp Hisfa'!A$3:A$200)-MIN(ROW('Temp Hisfa'!A$3:A$200))+1), ROW(56:254))),"")</f>
        <v>0</v>
      </c>
      <c r="B58" s="4">
        <f t="array" ref="B58">IFERROR(INDEX('Temp Hisfa'!B$3:B$200, SMALL(IF(ISERROR('Temp Hisfa'!B$3:B$200), "", ROW('Temp Hisfa'!B$3:B$200)-MIN(ROW('Temp Hisfa'!B$3:B$200))+1), ROW(56:254))),"")</f>
        <v>0</v>
      </c>
      <c r="C58" s="3">
        <f t="array" ref="C58">IFERROR(INDEX('Temp Hisfa'!C$3:C$200, SMALL(IF(ISERROR('Temp Hisfa'!C$3:C$200), "", ROW('Temp Hisfa'!C$3:C$200)-MIN(ROW('Temp Hisfa'!C$3:C$200))+1), ROW(56:254))),"")</f>
        <v>0</v>
      </c>
      <c r="D58" s="3">
        <f t="array" ref="D58">IFERROR(INDEX('Temp Hisfa'!D$3:D$200, SMALL(IF(ISERROR('Temp Hisfa'!D$3:D$200), "", ROW('Temp Hisfa'!D$3:D$200)-MIN(ROW('Temp Hisfa'!D$3:D$200))+1), ROW(56:254))),"")</f>
        <v>0</v>
      </c>
      <c r="E58" s="29">
        <f t="array" ref="E58">IFERROR(INDEX('Temp Hisfa'!E$3:E$200, SMALL(IF(ISERROR('Temp Hisfa'!E$3:E$200), "", ROW('Temp Hisfa'!E$3:E$200)-MIN(ROW('Temp Hisfa'!E$3:E$200))+1), ROW(56:255))),"")</f>
        <v>0</v>
      </c>
      <c r="F58" s="22" t="str">
        <f t="array" ref="F58">IFERROR(INDEX('Temp Hisfa'!F$3:F$200, SMALL(IF(ISERROR('Temp Hisfa'!F$3:F$200), "", ROW('Temp Hisfa'!F$3:F$200)-MIN(ROW('Temp Hisfa'!F$3:F$200))+1), ROW(56:255))),"")</f>
        <v/>
      </c>
      <c r="G58" s="30">
        <f t="array" ref="G58">IFERROR(INDEX('Temp Hisfa'!G$3:G$200, SMALL(IF(ISERROR('Temp Hisfa'!G$3:G$200), "", ROW('Temp Hisfa'!G$3:G$200)-MIN(ROW('Temp Hisfa'!G$3:G$200))+1), ROW(56:255))),"")</f>
        <v>0</v>
      </c>
      <c r="H58" s="22" t="str">
        <f t="array" ref="H58">IFERROR(INDEX('Temp Hisfa'!H$3:H$200, SMALL(IF(ISERROR('Temp Hisfa'!H$3:H$200), "", ROW('Temp Hisfa'!H$3:H$200)-MIN(ROW('Temp Hisfa'!H$3:H$200))+1), ROW(56:255))),"")</f>
        <v/>
      </c>
      <c r="I58" s="22">
        <f t="array" ref="I58">IFERROR(INDEX('Temp Hisfa'!I$3:I$200, SMALL(IF(ISERROR('Temp Hisfa'!I$3:I$200), "", ROW('Temp Hisfa'!I$3:I$200)-MIN(ROW('Temp Hisfa'!I$3:I$200))+1), ROW(56:255))),"")</f>
        <v>0</v>
      </c>
      <c r="J58" s="22">
        <f t="array" ref="J58">IFERROR(INDEX('Temp Hisfa'!J$3:J$200, SMALL(IF(ISERROR('Temp Hisfa'!J$3:J$200), "", ROW('Temp Hisfa'!J$3:J$200)-MIN(ROW('Temp Hisfa'!J$3:J$200))+1), ROW(56:255))),"")</f>
        <v>0</v>
      </c>
      <c r="K58" s="30">
        <f t="array" ref="K58">IFERROR(INDEX('Temp Hisfa'!K$3:K$200, SMALL(IF(ISERROR('Temp Hisfa'!K$3:K$200), "", ROW('Temp Hisfa'!K$3:K$200)-MIN(ROW('Temp Hisfa'!K$3:K$200))+1), ROW(56:255))),"")</f>
        <v>0</v>
      </c>
      <c r="L58" s="22">
        <f t="array" ref="L58">IFERROR(INDEX('Temp Hisfa'!L$3:L$200, SMALL(IF(ISERROR('Temp Hisfa'!L$3:L$200), "", ROW('Temp Hisfa'!L$3:L$200)-MIN(ROW('Temp Hisfa'!L$3:L$200))+1), ROW(56:255))),"")</f>
        <v>0</v>
      </c>
      <c r="M58" s="22">
        <f t="array" ref="M58">IFERROR(INDEX('Temp Hisfa'!M$3:M$200, SMALL(IF(ISERROR('Temp Hisfa'!M$3:M$200), "", ROW('Temp Hisfa'!M$3:M$200)-MIN(ROW('Temp Hisfa'!M$3:M$200))+1), ROW(56:255))),"")</f>
        <v>0</v>
      </c>
      <c r="N58" s="22">
        <f t="array" ref="N58">IFERROR(INDEX('Temp Hisfa'!N$3:N$200, SMALL(IF(ISERROR('Temp Hisfa'!N$3:N$200), "", ROW('Temp Hisfa'!N$3:N$200)-MIN(ROW('Temp Hisfa'!N$3:N$200))+1), ROW(56:255))),"")</f>
        <v>1900</v>
      </c>
      <c r="O58" s="22" t="str">
        <f t="array" ref="O58">IFERROR(INDEX('Temp Hisfa'!O$3:O$200, SMALL(IF(ISERROR('Temp Hisfa'!O$3:O$200), "", ROW('Temp Hisfa'!O$3:O$200)-MIN(ROW('Temp Hisfa'!O$3:O$200))+1), ROW(56:255))),"")</f>
        <v>enero</v>
      </c>
      <c r="P58" s="22">
        <f t="array" ref="P58">IFERROR(INDEX('Temp Hisfa'!P$3:P$200, SMALL(IF(ISERROR('Temp Hisfa'!P$3:P$200), "", ROW('Temp Hisfa'!P$3:P$200)-MIN(ROW('Temp Hisfa'!P$3:P$200))+1), ROW(56:255))),"")</f>
        <v>0</v>
      </c>
      <c r="Q58" s="22">
        <f t="array" ref="Q58">IFERROR(INDEX('Temp Hisfa'!Q$3:Q$200, SMALL(IF(ISERROR('Temp Hisfa'!Q$3:Q$200), "", ROW('Temp Hisfa'!Q$3:Q$200)-MIN(ROW('Temp Hisfa'!Q$3:Q$200))+1), ROW(56:255))),"")</f>
        <v>0</v>
      </c>
      <c r="R58" s="22">
        <f t="array" ref="R58">IFERROR(INDEX('Temp Hisfa'!R$3:R$200, SMALL(IF(ISERROR('Temp Hisfa'!R$3:R$200), "", ROW('Temp Hisfa'!R$3:R$200)-MIN(ROW('Temp Hisfa'!R$3:R$200))+1), ROW(56:255))),"")</f>
        <v>0</v>
      </c>
      <c r="S58" s="22">
        <f t="array" ref="S58">IFERROR(INDEX('Temp Hisfa'!S$3:S$200, SMALL(IF(ISERROR('Temp Hisfa'!S$3:S$200), "", ROW('Temp Hisfa'!S$3:S$200)-MIN(ROW('Temp Hisfa'!S$3:S$200))+1), ROW(56:255))),"")</f>
        <v>0</v>
      </c>
      <c r="T58" s="22">
        <f t="array" ref="T58">IFERROR(INDEX('Temp Hisfa'!T$3:T$200, SMALL(IF(ISERROR('Temp Hisfa'!T$3:T$200), "", ROW('Temp Hisfa'!T$3:T$200)-MIN(ROW('Temp Hisfa'!T$3:T$200))+1), ROW(56:255))),"")</f>
        <v>0</v>
      </c>
      <c r="U58" s="22">
        <f t="array" ref="U58">IFERROR(INDEX('Temp Hisfa'!U$3:U$200, SMALL(IF(ISERROR('Temp Hisfa'!U$3:U$200), "", ROW('Temp Hisfa'!U$3:U$200)-MIN(ROW('Temp Hisfa'!U$3:U$200))+1), ROW(56:255))),"")</f>
        <v>0</v>
      </c>
      <c r="V58" s="22">
        <f t="array" ref="V58">IFERROR(INDEX('Temp Hisfa'!V$3:V$200, SMALL(IF(ISERROR('Temp Hisfa'!V$3:V$200), "", ROW('Temp Hisfa'!V$3:V$200)-MIN(ROW('Temp Hisfa'!V$3:V$200))+1), ROW(56:255))),"")</f>
        <v>0</v>
      </c>
      <c r="W58" s="22">
        <f t="array" ref="W58">IFERROR(INDEX('Temp Hisfa'!W$3:W$200, SMALL(IF(ISERROR('Temp Hisfa'!W$3:W$200), "", ROW('Temp Hisfa'!W$3:W$200)-MIN(ROW('Temp Hisfa'!W$3:W$200))+1), ROW(56:255))),"")</f>
        <v>0</v>
      </c>
      <c r="X58" s="22">
        <f t="array" ref="X58">IFERROR(INDEX('Temp Hisfa'!X$3:X$200, SMALL(IF(ISERROR('Temp Hisfa'!X$3:X$200), "", ROW('Temp Hisfa'!X$3:X$200)-MIN(ROW('Temp Hisfa'!X$3:X$200))+1), ROW(56:255))),"")</f>
        <v>0</v>
      </c>
      <c r="Y58" s="22">
        <f t="array" ref="Y58">IFERROR(INDEX('Temp Hisfa'!Y$3:Y$200, SMALL(IF(ISERROR('Temp Hisfa'!Y$3:Y$200), "", ROW('Temp Hisfa'!Y$3:Y$200)-MIN(ROW('Temp Hisfa'!Y$3:Y$200))+1), ROW(56:255))),"")</f>
        <v>0</v>
      </c>
      <c r="Z58" s="22">
        <f t="array" ref="Z58">IFERROR(INDEX('Temp Hisfa'!Z$3:Z$200, SMALL(IF(ISERROR('Temp Hisfa'!Z$3:Z$200), "", ROW('Temp Hisfa'!Z$3:Z$200)-MIN(ROW('Temp Hisfa'!Z$3:Z$200))+1), ROW(56:255))),"")</f>
        <v>0</v>
      </c>
      <c r="AA58" s="22">
        <f t="array" ref="AA58">IFERROR(INDEX('Temp Hisfa'!AA$3:AA$200, SMALL(IF(ISERROR('Temp Hisfa'!AA$3:AA$200), "", ROW('Temp Hisfa'!AA$3:AA$200)-MIN(ROW('Temp Hisfa'!AA$3:AA$200))+1), ROW(56:255))),"")</f>
        <v>0</v>
      </c>
      <c r="AB58" s="22">
        <f t="array" ref="AB58">IFERROR(INDEX('Temp Hisfa'!AB$3:AB$200, SMALL(IF(ISERROR('Temp Hisfa'!AB$3:AB$200), "", ROW('Temp Hisfa'!AB$3:AB$200)-MIN(ROW('Temp Hisfa'!AB$3:AB$200))+1), ROW(56:255))),"")</f>
        <v>0</v>
      </c>
    </row>
    <row r="59" spans="1:31" x14ac:dyDescent="0.3">
      <c r="A59" s="4">
        <f t="array" ref="A59">IFERROR(INDEX('Temp Hisfa'!A$3:A$200, SMALL(IF(ISERROR('Temp Hisfa'!A$3:A$200), "", ROW('Temp Hisfa'!A$3:A$200)-MIN(ROW('Temp Hisfa'!A$3:A$200))+1), ROW(57:255))),"")</f>
        <v>0</v>
      </c>
      <c r="B59" s="4">
        <f t="array" ref="B59">IFERROR(INDEX('Temp Hisfa'!B$3:B$200, SMALL(IF(ISERROR('Temp Hisfa'!B$3:B$200), "", ROW('Temp Hisfa'!B$3:B$200)-MIN(ROW('Temp Hisfa'!B$3:B$200))+1), ROW(57:255))),"")</f>
        <v>0</v>
      </c>
      <c r="C59" s="3">
        <f t="array" ref="C59">IFERROR(INDEX('Temp Hisfa'!C$3:C$200, SMALL(IF(ISERROR('Temp Hisfa'!C$3:C$200), "", ROW('Temp Hisfa'!C$3:C$200)-MIN(ROW('Temp Hisfa'!C$3:C$200))+1), ROW(57:255))),"")</f>
        <v>0</v>
      </c>
      <c r="D59" s="3">
        <f t="array" ref="D59">IFERROR(INDEX('Temp Hisfa'!D$3:D$200, SMALL(IF(ISERROR('Temp Hisfa'!D$3:D$200), "", ROW('Temp Hisfa'!D$3:D$200)-MIN(ROW('Temp Hisfa'!D$3:D$200))+1), ROW(57:255))),"")</f>
        <v>0</v>
      </c>
      <c r="E59" s="29">
        <f t="array" ref="E59">IFERROR(INDEX('Temp Hisfa'!E$3:E$200, SMALL(IF(ISERROR('Temp Hisfa'!E$3:E$200), "", ROW('Temp Hisfa'!E$3:E$200)-MIN(ROW('Temp Hisfa'!E$3:E$200))+1), ROW(57:256))),"")</f>
        <v>0</v>
      </c>
      <c r="F59" s="22" t="str">
        <f t="array" ref="F59">IFERROR(INDEX('Temp Hisfa'!F$3:F$200, SMALL(IF(ISERROR('Temp Hisfa'!F$3:F$200), "", ROW('Temp Hisfa'!F$3:F$200)-MIN(ROW('Temp Hisfa'!F$3:F$200))+1), ROW(57:256))),"")</f>
        <v/>
      </c>
      <c r="G59" s="30">
        <f t="array" ref="G59">IFERROR(INDEX('Temp Hisfa'!G$3:G$200, SMALL(IF(ISERROR('Temp Hisfa'!G$3:G$200), "", ROW('Temp Hisfa'!G$3:G$200)-MIN(ROW('Temp Hisfa'!G$3:G$200))+1), ROW(57:256))),"")</f>
        <v>0</v>
      </c>
      <c r="H59" s="22" t="str">
        <f t="array" ref="H59">IFERROR(INDEX('Temp Hisfa'!H$3:H$200, SMALL(IF(ISERROR('Temp Hisfa'!H$3:H$200), "", ROW('Temp Hisfa'!H$3:H$200)-MIN(ROW('Temp Hisfa'!H$3:H$200))+1), ROW(57:256))),"")</f>
        <v/>
      </c>
      <c r="I59" s="22">
        <f t="array" ref="I59">IFERROR(INDEX('Temp Hisfa'!I$3:I$200, SMALL(IF(ISERROR('Temp Hisfa'!I$3:I$200), "", ROW('Temp Hisfa'!I$3:I$200)-MIN(ROW('Temp Hisfa'!I$3:I$200))+1), ROW(57:256))),"")</f>
        <v>0</v>
      </c>
      <c r="J59" s="22">
        <f t="array" ref="J59">IFERROR(INDEX('Temp Hisfa'!J$3:J$200, SMALL(IF(ISERROR('Temp Hisfa'!J$3:J$200), "", ROW('Temp Hisfa'!J$3:J$200)-MIN(ROW('Temp Hisfa'!J$3:J$200))+1), ROW(57:256))),"")</f>
        <v>0</v>
      </c>
      <c r="K59" s="30">
        <f t="array" ref="K59">IFERROR(INDEX('Temp Hisfa'!K$3:K$200, SMALL(IF(ISERROR('Temp Hisfa'!K$3:K$200), "", ROW('Temp Hisfa'!K$3:K$200)-MIN(ROW('Temp Hisfa'!K$3:K$200))+1), ROW(57:256))),"")</f>
        <v>0</v>
      </c>
      <c r="L59" s="22">
        <f t="array" ref="L59">IFERROR(INDEX('Temp Hisfa'!L$3:L$200, SMALL(IF(ISERROR('Temp Hisfa'!L$3:L$200), "", ROW('Temp Hisfa'!L$3:L$200)-MIN(ROW('Temp Hisfa'!L$3:L$200))+1), ROW(57:256))),"")</f>
        <v>0</v>
      </c>
      <c r="M59" s="22">
        <f t="array" ref="M59">IFERROR(INDEX('Temp Hisfa'!M$3:M$200, SMALL(IF(ISERROR('Temp Hisfa'!M$3:M$200), "", ROW('Temp Hisfa'!M$3:M$200)-MIN(ROW('Temp Hisfa'!M$3:M$200))+1), ROW(57:256))),"")</f>
        <v>0</v>
      </c>
      <c r="N59" s="22">
        <f t="array" ref="N59">IFERROR(INDEX('Temp Hisfa'!N$3:N$200, SMALL(IF(ISERROR('Temp Hisfa'!N$3:N$200), "", ROW('Temp Hisfa'!N$3:N$200)-MIN(ROW('Temp Hisfa'!N$3:N$200))+1), ROW(57:256))),"")</f>
        <v>1900</v>
      </c>
      <c r="O59" s="22" t="str">
        <f t="array" ref="O59">IFERROR(INDEX('Temp Hisfa'!O$3:O$200, SMALL(IF(ISERROR('Temp Hisfa'!O$3:O$200), "", ROW('Temp Hisfa'!O$3:O$200)-MIN(ROW('Temp Hisfa'!O$3:O$200))+1), ROW(57:256))),"")</f>
        <v>enero</v>
      </c>
      <c r="P59" s="22">
        <f t="array" ref="P59">IFERROR(INDEX('Temp Hisfa'!P$3:P$200, SMALL(IF(ISERROR('Temp Hisfa'!P$3:P$200), "", ROW('Temp Hisfa'!P$3:P$200)-MIN(ROW('Temp Hisfa'!P$3:P$200))+1), ROW(57:256))),"")</f>
        <v>0</v>
      </c>
      <c r="Q59" s="22">
        <f t="array" ref="Q59">IFERROR(INDEX('Temp Hisfa'!Q$3:Q$200, SMALL(IF(ISERROR('Temp Hisfa'!Q$3:Q$200), "", ROW('Temp Hisfa'!Q$3:Q$200)-MIN(ROW('Temp Hisfa'!Q$3:Q$200))+1), ROW(57:256))),"")</f>
        <v>0</v>
      </c>
      <c r="R59" s="22">
        <f t="array" ref="R59">IFERROR(INDEX('Temp Hisfa'!R$3:R$200, SMALL(IF(ISERROR('Temp Hisfa'!R$3:R$200), "", ROW('Temp Hisfa'!R$3:R$200)-MIN(ROW('Temp Hisfa'!R$3:R$200))+1), ROW(57:256))),"")</f>
        <v>0</v>
      </c>
      <c r="S59" s="22">
        <f t="array" ref="S59">IFERROR(INDEX('Temp Hisfa'!S$3:S$200, SMALL(IF(ISERROR('Temp Hisfa'!S$3:S$200), "", ROW('Temp Hisfa'!S$3:S$200)-MIN(ROW('Temp Hisfa'!S$3:S$200))+1), ROW(57:256))),"")</f>
        <v>0</v>
      </c>
      <c r="T59" s="22">
        <f t="array" ref="T59">IFERROR(INDEX('Temp Hisfa'!T$3:T$200, SMALL(IF(ISERROR('Temp Hisfa'!T$3:T$200), "", ROW('Temp Hisfa'!T$3:T$200)-MIN(ROW('Temp Hisfa'!T$3:T$200))+1), ROW(57:256))),"")</f>
        <v>0</v>
      </c>
      <c r="U59" s="22">
        <f t="array" ref="U59">IFERROR(INDEX('Temp Hisfa'!U$3:U$200, SMALL(IF(ISERROR('Temp Hisfa'!U$3:U$200), "", ROW('Temp Hisfa'!U$3:U$200)-MIN(ROW('Temp Hisfa'!U$3:U$200))+1), ROW(57:256))),"")</f>
        <v>0</v>
      </c>
      <c r="V59" s="22">
        <f t="array" ref="V59">IFERROR(INDEX('Temp Hisfa'!V$3:V$200, SMALL(IF(ISERROR('Temp Hisfa'!V$3:V$200), "", ROW('Temp Hisfa'!V$3:V$200)-MIN(ROW('Temp Hisfa'!V$3:V$200))+1), ROW(57:256))),"")</f>
        <v>0</v>
      </c>
      <c r="W59" s="22">
        <f t="array" ref="W59">IFERROR(INDEX('Temp Hisfa'!W$3:W$200, SMALL(IF(ISERROR('Temp Hisfa'!W$3:W$200), "", ROW('Temp Hisfa'!W$3:W$200)-MIN(ROW('Temp Hisfa'!W$3:W$200))+1), ROW(57:256))),"")</f>
        <v>0</v>
      </c>
      <c r="X59" s="22">
        <f t="array" ref="X59">IFERROR(INDEX('Temp Hisfa'!X$3:X$200, SMALL(IF(ISERROR('Temp Hisfa'!X$3:X$200), "", ROW('Temp Hisfa'!X$3:X$200)-MIN(ROW('Temp Hisfa'!X$3:X$200))+1), ROW(57:256))),"")</f>
        <v>0</v>
      </c>
      <c r="Y59" s="22">
        <f t="array" ref="Y59">IFERROR(INDEX('Temp Hisfa'!Y$3:Y$200, SMALL(IF(ISERROR('Temp Hisfa'!Y$3:Y$200), "", ROW('Temp Hisfa'!Y$3:Y$200)-MIN(ROW('Temp Hisfa'!Y$3:Y$200))+1), ROW(57:256))),"")</f>
        <v>0</v>
      </c>
      <c r="Z59" s="22">
        <f t="array" ref="Z59">IFERROR(INDEX('Temp Hisfa'!Z$3:Z$200, SMALL(IF(ISERROR('Temp Hisfa'!Z$3:Z$200), "", ROW('Temp Hisfa'!Z$3:Z$200)-MIN(ROW('Temp Hisfa'!Z$3:Z$200))+1), ROW(57:256))),"")</f>
        <v>0</v>
      </c>
      <c r="AA59" s="22">
        <f t="array" ref="AA59">IFERROR(INDEX('Temp Hisfa'!AA$3:AA$200, SMALL(IF(ISERROR('Temp Hisfa'!AA$3:AA$200), "", ROW('Temp Hisfa'!AA$3:AA$200)-MIN(ROW('Temp Hisfa'!AA$3:AA$200))+1), ROW(57:256))),"")</f>
        <v>0</v>
      </c>
      <c r="AB59" s="22">
        <f t="array" ref="AB59">IFERROR(INDEX('Temp Hisfa'!AB$3:AB$200, SMALL(IF(ISERROR('Temp Hisfa'!AB$3:AB$200), "", ROW('Temp Hisfa'!AB$3:AB$200)-MIN(ROW('Temp Hisfa'!AB$3:AB$200))+1), ROW(57:256))),"")</f>
        <v>0</v>
      </c>
    </row>
    <row r="60" spans="1:31" x14ac:dyDescent="0.3">
      <c r="A60" s="4">
        <f t="array" ref="A60">IFERROR(INDEX('Temp Hisfa'!A$3:A$200, SMALL(IF(ISERROR('Temp Hisfa'!A$3:A$200), "", ROW('Temp Hisfa'!A$3:A$200)-MIN(ROW('Temp Hisfa'!A$3:A$200))+1), ROW(58:256))),"")</f>
        <v>0</v>
      </c>
      <c r="B60" s="4">
        <f t="array" ref="B60">IFERROR(INDEX('Temp Hisfa'!B$3:B$200, SMALL(IF(ISERROR('Temp Hisfa'!B$3:B$200), "", ROW('Temp Hisfa'!B$3:B$200)-MIN(ROW('Temp Hisfa'!B$3:B$200))+1), ROW(58:256))),"")</f>
        <v>0</v>
      </c>
      <c r="C60" s="3">
        <f t="array" ref="C60">IFERROR(INDEX('Temp Hisfa'!C$3:C$200, SMALL(IF(ISERROR('Temp Hisfa'!C$3:C$200), "", ROW('Temp Hisfa'!C$3:C$200)-MIN(ROW('Temp Hisfa'!C$3:C$200))+1), ROW(58:256))),"")</f>
        <v>0</v>
      </c>
      <c r="D60" s="3">
        <f t="array" ref="D60">IFERROR(INDEX('Temp Hisfa'!D$3:D$200, SMALL(IF(ISERROR('Temp Hisfa'!D$3:D$200), "", ROW('Temp Hisfa'!D$3:D$200)-MIN(ROW('Temp Hisfa'!D$3:D$200))+1), ROW(58:256))),"")</f>
        <v>0</v>
      </c>
      <c r="E60" s="29">
        <f t="array" ref="E60">IFERROR(INDEX('Temp Hisfa'!E$3:E$200, SMALL(IF(ISERROR('Temp Hisfa'!E$3:E$200), "", ROW('Temp Hisfa'!E$3:E$200)-MIN(ROW('Temp Hisfa'!E$3:E$200))+1), ROW(58:257))),"")</f>
        <v>0</v>
      </c>
      <c r="F60" s="22" t="str">
        <f t="array" ref="F60">IFERROR(INDEX('Temp Hisfa'!F$3:F$200, SMALL(IF(ISERROR('Temp Hisfa'!F$3:F$200), "", ROW('Temp Hisfa'!F$3:F$200)-MIN(ROW('Temp Hisfa'!F$3:F$200))+1), ROW(58:257))),"")</f>
        <v/>
      </c>
      <c r="G60" s="30">
        <f t="array" ref="G60">IFERROR(INDEX('Temp Hisfa'!G$3:G$200, SMALL(IF(ISERROR('Temp Hisfa'!G$3:G$200), "", ROW('Temp Hisfa'!G$3:G$200)-MIN(ROW('Temp Hisfa'!G$3:G$200))+1), ROW(58:257))),"")</f>
        <v>0</v>
      </c>
      <c r="H60" s="22" t="str">
        <f t="array" ref="H60">IFERROR(INDEX('Temp Hisfa'!H$3:H$200, SMALL(IF(ISERROR('Temp Hisfa'!H$3:H$200), "", ROW('Temp Hisfa'!H$3:H$200)-MIN(ROW('Temp Hisfa'!H$3:H$200))+1), ROW(58:257))),"")</f>
        <v/>
      </c>
      <c r="I60" s="22">
        <f t="array" ref="I60">IFERROR(INDEX('Temp Hisfa'!I$3:I$200, SMALL(IF(ISERROR('Temp Hisfa'!I$3:I$200), "", ROW('Temp Hisfa'!I$3:I$200)-MIN(ROW('Temp Hisfa'!I$3:I$200))+1), ROW(58:257))),"")</f>
        <v>0</v>
      </c>
      <c r="J60" s="22">
        <f t="array" ref="J60">IFERROR(INDEX('Temp Hisfa'!J$3:J$200, SMALL(IF(ISERROR('Temp Hisfa'!J$3:J$200), "", ROW('Temp Hisfa'!J$3:J$200)-MIN(ROW('Temp Hisfa'!J$3:J$200))+1), ROW(58:257))),"")</f>
        <v>0</v>
      </c>
      <c r="K60" s="30">
        <f t="array" ref="K60">IFERROR(INDEX('Temp Hisfa'!K$3:K$200, SMALL(IF(ISERROR('Temp Hisfa'!K$3:K$200), "", ROW('Temp Hisfa'!K$3:K$200)-MIN(ROW('Temp Hisfa'!K$3:K$200))+1), ROW(58:257))),"")</f>
        <v>0</v>
      </c>
      <c r="L60" s="22">
        <f t="array" ref="L60">IFERROR(INDEX('Temp Hisfa'!L$3:L$200, SMALL(IF(ISERROR('Temp Hisfa'!L$3:L$200), "", ROW('Temp Hisfa'!L$3:L$200)-MIN(ROW('Temp Hisfa'!L$3:L$200))+1), ROW(58:257))),"")</f>
        <v>0</v>
      </c>
      <c r="M60" s="22">
        <f t="array" ref="M60">IFERROR(INDEX('Temp Hisfa'!M$3:M$200, SMALL(IF(ISERROR('Temp Hisfa'!M$3:M$200), "", ROW('Temp Hisfa'!M$3:M$200)-MIN(ROW('Temp Hisfa'!M$3:M$200))+1), ROW(58:257))),"")</f>
        <v>0</v>
      </c>
      <c r="N60" s="22">
        <f t="array" ref="N60">IFERROR(INDEX('Temp Hisfa'!N$3:N$200, SMALL(IF(ISERROR('Temp Hisfa'!N$3:N$200), "", ROW('Temp Hisfa'!N$3:N$200)-MIN(ROW('Temp Hisfa'!N$3:N$200))+1), ROW(58:257))),"")</f>
        <v>1900</v>
      </c>
      <c r="O60" s="22" t="str">
        <f t="array" ref="O60">IFERROR(INDEX('Temp Hisfa'!O$3:O$200, SMALL(IF(ISERROR('Temp Hisfa'!O$3:O$200), "", ROW('Temp Hisfa'!O$3:O$200)-MIN(ROW('Temp Hisfa'!O$3:O$200))+1), ROW(58:257))),"")</f>
        <v>enero</v>
      </c>
      <c r="P60" s="22">
        <f t="array" ref="P60">IFERROR(INDEX('Temp Hisfa'!P$3:P$200, SMALL(IF(ISERROR('Temp Hisfa'!P$3:P$200), "", ROW('Temp Hisfa'!P$3:P$200)-MIN(ROW('Temp Hisfa'!P$3:P$200))+1), ROW(58:257))),"")</f>
        <v>0</v>
      </c>
      <c r="Q60" s="22">
        <f t="array" ref="Q60">IFERROR(INDEX('Temp Hisfa'!Q$3:Q$200, SMALL(IF(ISERROR('Temp Hisfa'!Q$3:Q$200), "", ROW('Temp Hisfa'!Q$3:Q$200)-MIN(ROW('Temp Hisfa'!Q$3:Q$200))+1), ROW(58:257))),"")</f>
        <v>0</v>
      </c>
      <c r="R60" s="22">
        <f t="array" ref="R60">IFERROR(INDEX('Temp Hisfa'!R$3:R$200, SMALL(IF(ISERROR('Temp Hisfa'!R$3:R$200), "", ROW('Temp Hisfa'!R$3:R$200)-MIN(ROW('Temp Hisfa'!R$3:R$200))+1), ROW(58:257))),"")</f>
        <v>0</v>
      </c>
      <c r="S60" s="22">
        <f t="array" ref="S60">IFERROR(INDEX('Temp Hisfa'!S$3:S$200, SMALL(IF(ISERROR('Temp Hisfa'!S$3:S$200), "", ROW('Temp Hisfa'!S$3:S$200)-MIN(ROW('Temp Hisfa'!S$3:S$200))+1), ROW(58:257))),"")</f>
        <v>0</v>
      </c>
      <c r="T60" s="22">
        <f t="array" ref="T60">IFERROR(INDEX('Temp Hisfa'!T$3:T$200, SMALL(IF(ISERROR('Temp Hisfa'!T$3:T$200), "", ROW('Temp Hisfa'!T$3:T$200)-MIN(ROW('Temp Hisfa'!T$3:T$200))+1), ROW(58:257))),"")</f>
        <v>0</v>
      </c>
      <c r="U60" s="22">
        <f t="array" ref="U60">IFERROR(INDEX('Temp Hisfa'!U$3:U$200, SMALL(IF(ISERROR('Temp Hisfa'!U$3:U$200), "", ROW('Temp Hisfa'!U$3:U$200)-MIN(ROW('Temp Hisfa'!U$3:U$200))+1), ROW(58:257))),"")</f>
        <v>0</v>
      </c>
      <c r="V60" s="22">
        <f t="array" ref="V60">IFERROR(INDEX('Temp Hisfa'!V$3:V$200, SMALL(IF(ISERROR('Temp Hisfa'!V$3:V$200), "", ROW('Temp Hisfa'!V$3:V$200)-MIN(ROW('Temp Hisfa'!V$3:V$200))+1), ROW(58:257))),"")</f>
        <v>0</v>
      </c>
      <c r="W60" s="22">
        <f t="array" ref="W60">IFERROR(INDEX('Temp Hisfa'!W$3:W$200, SMALL(IF(ISERROR('Temp Hisfa'!W$3:W$200), "", ROW('Temp Hisfa'!W$3:W$200)-MIN(ROW('Temp Hisfa'!W$3:W$200))+1), ROW(58:257))),"")</f>
        <v>0</v>
      </c>
      <c r="X60" s="22">
        <f t="array" ref="X60">IFERROR(INDEX('Temp Hisfa'!X$3:X$200, SMALL(IF(ISERROR('Temp Hisfa'!X$3:X$200), "", ROW('Temp Hisfa'!X$3:X$200)-MIN(ROW('Temp Hisfa'!X$3:X$200))+1), ROW(58:257))),"")</f>
        <v>0</v>
      </c>
      <c r="Y60" s="22">
        <f t="array" ref="Y60">IFERROR(INDEX('Temp Hisfa'!Y$3:Y$200, SMALL(IF(ISERROR('Temp Hisfa'!Y$3:Y$200), "", ROW('Temp Hisfa'!Y$3:Y$200)-MIN(ROW('Temp Hisfa'!Y$3:Y$200))+1), ROW(58:257))),"")</f>
        <v>0</v>
      </c>
      <c r="Z60" s="22">
        <f t="array" ref="Z60">IFERROR(INDEX('Temp Hisfa'!Z$3:Z$200, SMALL(IF(ISERROR('Temp Hisfa'!Z$3:Z$200), "", ROW('Temp Hisfa'!Z$3:Z$200)-MIN(ROW('Temp Hisfa'!Z$3:Z$200))+1), ROW(58:257))),"")</f>
        <v>0</v>
      </c>
      <c r="AA60" s="22">
        <f t="array" ref="AA60">IFERROR(INDEX('Temp Hisfa'!AA$3:AA$200, SMALL(IF(ISERROR('Temp Hisfa'!AA$3:AA$200), "", ROW('Temp Hisfa'!AA$3:AA$200)-MIN(ROW('Temp Hisfa'!AA$3:AA$200))+1), ROW(58:257))),"")</f>
        <v>0</v>
      </c>
      <c r="AB60" s="22">
        <f t="array" ref="AB60">IFERROR(INDEX('Temp Hisfa'!AB$3:AB$200, SMALL(IF(ISERROR('Temp Hisfa'!AB$3:AB$200), "", ROW('Temp Hisfa'!AB$3:AB$200)-MIN(ROW('Temp Hisfa'!AB$3:AB$200))+1), ROW(58:257))),"")</f>
        <v>0</v>
      </c>
    </row>
    <row r="61" spans="1:31" x14ac:dyDescent="0.3">
      <c r="A61" s="4">
        <f t="array" ref="A61">IFERROR(INDEX('Temp Hisfa'!A$3:A$200, SMALL(IF(ISERROR('Temp Hisfa'!A$3:A$200), "", ROW('Temp Hisfa'!A$3:A$200)-MIN(ROW('Temp Hisfa'!A$3:A$200))+1), ROW(59:257))),"")</f>
        <v>0</v>
      </c>
      <c r="B61" s="4">
        <f t="array" ref="B61">IFERROR(INDEX('Temp Hisfa'!B$3:B$200, SMALL(IF(ISERROR('Temp Hisfa'!B$3:B$200), "", ROW('Temp Hisfa'!B$3:B$200)-MIN(ROW('Temp Hisfa'!B$3:B$200))+1), ROW(59:257))),"")</f>
        <v>0</v>
      </c>
      <c r="C61" s="3">
        <f t="array" ref="C61">IFERROR(INDEX('Temp Hisfa'!C$3:C$200, SMALL(IF(ISERROR('Temp Hisfa'!C$3:C$200), "", ROW('Temp Hisfa'!C$3:C$200)-MIN(ROW('Temp Hisfa'!C$3:C$200))+1), ROW(59:257))),"")</f>
        <v>0</v>
      </c>
      <c r="D61" s="3">
        <f t="array" ref="D61">IFERROR(INDEX('Temp Hisfa'!D$3:D$200, SMALL(IF(ISERROR('Temp Hisfa'!D$3:D$200), "", ROW('Temp Hisfa'!D$3:D$200)-MIN(ROW('Temp Hisfa'!D$3:D$200))+1), ROW(59:257))),"")</f>
        <v>0</v>
      </c>
      <c r="E61" s="29">
        <f t="array" ref="E61">IFERROR(INDEX('Temp Hisfa'!E$3:E$200, SMALL(IF(ISERROR('Temp Hisfa'!E$3:E$200), "", ROW('Temp Hisfa'!E$3:E$200)-MIN(ROW('Temp Hisfa'!E$3:E$200))+1), ROW(59:258))),"")</f>
        <v>0</v>
      </c>
      <c r="F61" s="22" t="str">
        <f t="array" ref="F61">IFERROR(INDEX('Temp Hisfa'!F$3:F$200, SMALL(IF(ISERROR('Temp Hisfa'!F$3:F$200), "", ROW('Temp Hisfa'!F$3:F$200)-MIN(ROW('Temp Hisfa'!F$3:F$200))+1), ROW(59:258))),"")</f>
        <v/>
      </c>
      <c r="G61" s="30">
        <f t="array" ref="G61">IFERROR(INDEX('Temp Hisfa'!G$3:G$200, SMALL(IF(ISERROR('Temp Hisfa'!G$3:G$200), "", ROW('Temp Hisfa'!G$3:G$200)-MIN(ROW('Temp Hisfa'!G$3:G$200))+1), ROW(59:258))),"")</f>
        <v>0</v>
      </c>
      <c r="H61" s="22" t="str">
        <f t="array" ref="H61">IFERROR(INDEX('Temp Hisfa'!H$3:H$200, SMALL(IF(ISERROR('Temp Hisfa'!H$3:H$200), "", ROW('Temp Hisfa'!H$3:H$200)-MIN(ROW('Temp Hisfa'!H$3:H$200))+1), ROW(59:258))),"")</f>
        <v/>
      </c>
      <c r="I61" s="22">
        <f t="array" ref="I61">IFERROR(INDEX('Temp Hisfa'!I$3:I$200, SMALL(IF(ISERROR('Temp Hisfa'!I$3:I$200), "", ROW('Temp Hisfa'!I$3:I$200)-MIN(ROW('Temp Hisfa'!I$3:I$200))+1), ROW(59:258))),"")</f>
        <v>0</v>
      </c>
      <c r="J61" s="22">
        <f t="array" ref="J61">IFERROR(INDEX('Temp Hisfa'!J$3:J$200, SMALL(IF(ISERROR('Temp Hisfa'!J$3:J$200), "", ROW('Temp Hisfa'!J$3:J$200)-MIN(ROW('Temp Hisfa'!J$3:J$200))+1), ROW(59:258))),"")</f>
        <v>0</v>
      </c>
      <c r="K61" s="30">
        <f t="array" ref="K61">IFERROR(INDEX('Temp Hisfa'!K$3:K$200, SMALL(IF(ISERROR('Temp Hisfa'!K$3:K$200), "", ROW('Temp Hisfa'!K$3:K$200)-MIN(ROW('Temp Hisfa'!K$3:K$200))+1), ROW(59:258))),"")</f>
        <v>0</v>
      </c>
      <c r="L61" s="22">
        <f t="array" ref="L61">IFERROR(INDEX('Temp Hisfa'!L$3:L$200, SMALL(IF(ISERROR('Temp Hisfa'!L$3:L$200), "", ROW('Temp Hisfa'!L$3:L$200)-MIN(ROW('Temp Hisfa'!L$3:L$200))+1), ROW(59:258))),"")</f>
        <v>0</v>
      </c>
      <c r="M61" s="22">
        <f t="array" ref="M61">IFERROR(INDEX('Temp Hisfa'!M$3:M$200, SMALL(IF(ISERROR('Temp Hisfa'!M$3:M$200), "", ROW('Temp Hisfa'!M$3:M$200)-MIN(ROW('Temp Hisfa'!M$3:M$200))+1), ROW(59:258))),"")</f>
        <v>0</v>
      </c>
      <c r="N61" s="22">
        <f t="array" ref="N61">IFERROR(INDEX('Temp Hisfa'!N$3:N$200, SMALL(IF(ISERROR('Temp Hisfa'!N$3:N$200), "", ROW('Temp Hisfa'!N$3:N$200)-MIN(ROW('Temp Hisfa'!N$3:N$200))+1), ROW(59:258))),"")</f>
        <v>1900</v>
      </c>
      <c r="O61" s="22" t="str">
        <f t="array" ref="O61">IFERROR(INDEX('Temp Hisfa'!O$3:O$200, SMALL(IF(ISERROR('Temp Hisfa'!O$3:O$200), "", ROW('Temp Hisfa'!O$3:O$200)-MIN(ROW('Temp Hisfa'!O$3:O$200))+1), ROW(59:258))),"")</f>
        <v>enero</v>
      </c>
      <c r="P61" s="22">
        <f t="array" ref="P61">IFERROR(INDEX('Temp Hisfa'!P$3:P$200, SMALL(IF(ISERROR('Temp Hisfa'!P$3:P$200), "", ROW('Temp Hisfa'!P$3:P$200)-MIN(ROW('Temp Hisfa'!P$3:P$200))+1), ROW(59:258))),"")</f>
        <v>0</v>
      </c>
      <c r="Q61" s="22">
        <f t="array" ref="Q61">IFERROR(INDEX('Temp Hisfa'!Q$3:Q$200, SMALL(IF(ISERROR('Temp Hisfa'!Q$3:Q$200), "", ROW('Temp Hisfa'!Q$3:Q$200)-MIN(ROW('Temp Hisfa'!Q$3:Q$200))+1), ROW(59:258))),"")</f>
        <v>0</v>
      </c>
      <c r="R61" s="22">
        <f t="array" ref="R61">IFERROR(INDEX('Temp Hisfa'!R$3:R$200, SMALL(IF(ISERROR('Temp Hisfa'!R$3:R$200), "", ROW('Temp Hisfa'!R$3:R$200)-MIN(ROW('Temp Hisfa'!R$3:R$200))+1), ROW(59:258))),"")</f>
        <v>0</v>
      </c>
      <c r="S61" s="22">
        <f t="array" ref="S61">IFERROR(INDEX('Temp Hisfa'!S$3:S$200, SMALL(IF(ISERROR('Temp Hisfa'!S$3:S$200), "", ROW('Temp Hisfa'!S$3:S$200)-MIN(ROW('Temp Hisfa'!S$3:S$200))+1), ROW(59:258))),"")</f>
        <v>0</v>
      </c>
      <c r="T61" s="22">
        <f t="array" ref="T61">IFERROR(INDEX('Temp Hisfa'!T$3:T$200, SMALL(IF(ISERROR('Temp Hisfa'!T$3:T$200), "", ROW('Temp Hisfa'!T$3:T$200)-MIN(ROW('Temp Hisfa'!T$3:T$200))+1), ROW(59:258))),"")</f>
        <v>0</v>
      </c>
      <c r="U61" s="22">
        <f t="array" ref="U61">IFERROR(INDEX('Temp Hisfa'!U$3:U$200, SMALL(IF(ISERROR('Temp Hisfa'!U$3:U$200), "", ROW('Temp Hisfa'!U$3:U$200)-MIN(ROW('Temp Hisfa'!U$3:U$200))+1), ROW(59:258))),"")</f>
        <v>0</v>
      </c>
      <c r="V61" s="22">
        <f t="array" ref="V61">IFERROR(INDEX('Temp Hisfa'!V$3:V$200, SMALL(IF(ISERROR('Temp Hisfa'!V$3:V$200), "", ROW('Temp Hisfa'!V$3:V$200)-MIN(ROW('Temp Hisfa'!V$3:V$200))+1), ROW(59:258))),"")</f>
        <v>0</v>
      </c>
      <c r="W61" s="22">
        <f t="array" ref="W61">IFERROR(INDEX('Temp Hisfa'!W$3:W$200, SMALL(IF(ISERROR('Temp Hisfa'!W$3:W$200), "", ROW('Temp Hisfa'!W$3:W$200)-MIN(ROW('Temp Hisfa'!W$3:W$200))+1), ROW(59:258))),"")</f>
        <v>0</v>
      </c>
      <c r="X61" s="22">
        <f t="array" ref="X61">IFERROR(INDEX('Temp Hisfa'!X$3:X$200, SMALL(IF(ISERROR('Temp Hisfa'!X$3:X$200), "", ROW('Temp Hisfa'!X$3:X$200)-MIN(ROW('Temp Hisfa'!X$3:X$200))+1), ROW(59:258))),"")</f>
        <v>0</v>
      </c>
      <c r="Y61" s="22">
        <f t="array" ref="Y61">IFERROR(INDEX('Temp Hisfa'!Y$3:Y$200, SMALL(IF(ISERROR('Temp Hisfa'!Y$3:Y$200), "", ROW('Temp Hisfa'!Y$3:Y$200)-MIN(ROW('Temp Hisfa'!Y$3:Y$200))+1), ROW(59:258))),"")</f>
        <v>0</v>
      </c>
      <c r="Z61" s="22">
        <f t="array" ref="Z61">IFERROR(INDEX('Temp Hisfa'!Z$3:Z$200, SMALL(IF(ISERROR('Temp Hisfa'!Z$3:Z$200), "", ROW('Temp Hisfa'!Z$3:Z$200)-MIN(ROW('Temp Hisfa'!Z$3:Z$200))+1), ROW(59:258))),"")</f>
        <v>0</v>
      </c>
      <c r="AA61" s="22">
        <f t="array" ref="AA61">IFERROR(INDEX('Temp Hisfa'!AA$3:AA$200, SMALL(IF(ISERROR('Temp Hisfa'!AA$3:AA$200), "", ROW('Temp Hisfa'!AA$3:AA$200)-MIN(ROW('Temp Hisfa'!AA$3:AA$200))+1), ROW(59:258))),"")</f>
        <v>0</v>
      </c>
      <c r="AB61" s="22">
        <f t="array" ref="AB61">IFERROR(INDEX('Temp Hisfa'!AB$3:AB$200, SMALL(IF(ISERROR('Temp Hisfa'!AB$3:AB$200), "", ROW('Temp Hisfa'!AB$3:AB$200)-MIN(ROW('Temp Hisfa'!AB$3:AB$200))+1), ROW(59:258))),"")</f>
        <v>0</v>
      </c>
      <c r="AD61" s="111" t="s">
        <v>161</v>
      </c>
      <c r="AE61" s="111"/>
    </row>
    <row r="62" spans="1:31" x14ac:dyDescent="0.3">
      <c r="A62" s="4">
        <f t="array" ref="A62">IFERROR(INDEX('Temp Hisfa'!A$3:A$200, SMALL(IF(ISERROR('Temp Hisfa'!A$3:A$200), "", ROW('Temp Hisfa'!A$3:A$200)-MIN(ROW('Temp Hisfa'!A$3:A$200))+1), ROW(60:258))),"")</f>
        <v>0</v>
      </c>
      <c r="B62" s="4">
        <f t="array" ref="B62">IFERROR(INDEX('Temp Hisfa'!B$3:B$200, SMALL(IF(ISERROR('Temp Hisfa'!B$3:B$200), "", ROW('Temp Hisfa'!B$3:B$200)-MIN(ROW('Temp Hisfa'!B$3:B$200))+1), ROW(60:258))),"")</f>
        <v>0</v>
      </c>
      <c r="C62" s="3">
        <f t="array" ref="C62">IFERROR(INDEX('Temp Hisfa'!C$3:C$200, SMALL(IF(ISERROR('Temp Hisfa'!C$3:C$200), "", ROW('Temp Hisfa'!C$3:C$200)-MIN(ROW('Temp Hisfa'!C$3:C$200))+1), ROW(60:258))),"")</f>
        <v>0</v>
      </c>
      <c r="D62" s="3">
        <f t="array" ref="D62">IFERROR(INDEX('Temp Hisfa'!D$3:D$200, SMALL(IF(ISERROR('Temp Hisfa'!D$3:D$200), "", ROW('Temp Hisfa'!D$3:D$200)-MIN(ROW('Temp Hisfa'!D$3:D$200))+1), ROW(60:258))),"")</f>
        <v>0</v>
      </c>
      <c r="E62" s="29">
        <f t="array" ref="E62">IFERROR(INDEX('Temp Hisfa'!E$3:E$200, SMALL(IF(ISERROR('Temp Hisfa'!E$3:E$200), "", ROW('Temp Hisfa'!E$3:E$200)-MIN(ROW('Temp Hisfa'!E$3:E$200))+1), ROW(60:259))),"")</f>
        <v>0</v>
      </c>
      <c r="F62" s="22" t="str">
        <f t="array" ref="F62">IFERROR(INDEX('Temp Hisfa'!F$3:F$200, SMALL(IF(ISERROR('Temp Hisfa'!F$3:F$200), "", ROW('Temp Hisfa'!F$3:F$200)-MIN(ROW('Temp Hisfa'!F$3:F$200))+1), ROW(60:259))),"")</f>
        <v/>
      </c>
      <c r="G62" s="30">
        <f t="array" ref="G62">IFERROR(INDEX('Temp Hisfa'!G$3:G$200, SMALL(IF(ISERROR('Temp Hisfa'!G$3:G$200), "", ROW('Temp Hisfa'!G$3:G$200)-MIN(ROW('Temp Hisfa'!G$3:G$200))+1), ROW(60:259))),"")</f>
        <v>0</v>
      </c>
      <c r="H62" s="22" t="str">
        <f t="array" ref="H62">IFERROR(INDEX('Temp Hisfa'!H$3:H$200, SMALL(IF(ISERROR('Temp Hisfa'!H$3:H$200), "", ROW('Temp Hisfa'!H$3:H$200)-MIN(ROW('Temp Hisfa'!H$3:H$200))+1), ROW(60:259))),"")</f>
        <v/>
      </c>
      <c r="I62" s="22">
        <f t="array" ref="I62">IFERROR(INDEX('Temp Hisfa'!I$3:I$200, SMALL(IF(ISERROR('Temp Hisfa'!I$3:I$200), "", ROW('Temp Hisfa'!I$3:I$200)-MIN(ROW('Temp Hisfa'!I$3:I$200))+1), ROW(60:259))),"")</f>
        <v>0</v>
      </c>
      <c r="J62" s="22">
        <f t="array" ref="J62">IFERROR(INDEX('Temp Hisfa'!J$3:J$200, SMALL(IF(ISERROR('Temp Hisfa'!J$3:J$200), "", ROW('Temp Hisfa'!J$3:J$200)-MIN(ROW('Temp Hisfa'!J$3:J$200))+1), ROW(60:259))),"")</f>
        <v>0</v>
      </c>
      <c r="K62" s="30">
        <f t="array" ref="K62">IFERROR(INDEX('Temp Hisfa'!K$3:K$200, SMALL(IF(ISERROR('Temp Hisfa'!K$3:K$200), "", ROW('Temp Hisfa'!K$3:K$200)-MIN(ROW('Temp Hisfa'!K$3:K$200))+1), ROW(60:259))),"")</f>
        <v>0</v>
      </c>
      <c r="L62" s="22">
        <f t="array" ref="L62">IFERROR(INDEX('Temp Hisfa'!L$3:L$200, SMALL(IF(ISERROR('Temp Hisfa'!L$3:L$200), "", ROW('Temp Hisfa'!L$3:L$200)-MIN(ROW('Temp Hisfa'!L$3:L$200))+1), ROW(60:259))),"")</f>
        <v>0</v>
      </c>
      <c r="M62" s="22">
        <f t="array" ref="M62">IFERROR(INDEX('Temp Hisfa'!M$3:M$200, SMALL(IF(ISERROR('Temp Hisfa'!M$3:M$200), "", ROW('Temp Hisfa'!M$3:M$200)-MIN(ROW('Temp Hisfa'!M$3:M$200))+1), ROW(60:259))),"")</f>
        <v>0</v>
      </c>
      <c r="N62" s="22">
        <f t="array" ref="N62">IFERROR(INDEX('Temp Hisfa'!N$3:N$200, SMALL(IF(ISERROR('Temp Hisfa'!N$3:N$200), "", ROW('Temp Hisfa'!N$3:N$200)-MIN(ROW('Temp Hisfa'!N$3:N$200))+1), ROW(60:259))),"")</f>
        <v>1900</v>
      </c>
      <c r="O62" s="22" t="str">
        <f t="array" ref="O62">IFERROR(INDEX('Temp Hisfa'!O$3:O$200, SMALL(IF(ISERROR('Temp Hisfa'!O$3:O$200), "", ROW('Temp Hisfa'!O$3:O$200)-MIN(ROW('Temp Hisfa'!O$3:O$200))+1), ROW(60:259))),"")</f>
        <v>enero</v>
      </c>
      <c r="P62" s="22">
        <f t="array" ref="P62">IFERROR(INDEX('Temp Hisfa'!P$3:P$200, SMALL(IF(ISERROR('Temp Hisfa'!P$3:P$200), "", ROW('Temp Hisfa'!P$3:P$200)-MIN(ROW('Temp Hisfa'!P$3:P$200))+1), ROW(60:259))),"")</f>
        <v>0</v>
      </c>
      <c r="Q62" s="22">
        <f t="array" ref="Q62">IFERROR(INDEX('Temp Hisfa'!Q$3:Q$200, SMALL(IF(ISERROR('Temp Hisfa'!Q$3:Q$200), "", ROW('Temp Hisfa'!Q$3:Q$200)-MIN(ROW('Temp Hisfa'!Q$3:Q$200))+1), ROW(60:259))),"")</f>
        <v>0</v>
      </c>
      <c r="R62" s="22">
        <f t="array" ref="R62">IFERROR(INDEX('Temp Hisfa'!R$3:R$200, SMALL(IF(ISERROR('Temp Hisfa'!R$3:R$200), "", ROW('Temp Hisfa'!R$3:R$200)-MIN(ROW('Temp Hisfa'!R$3:R$200))+1), ROW(60:259))),"")</f>
        <v>0</v>
      </c>
      <c r="S62" s="22">
        <f t="array" ref="S62">IFERROR(INDEX('Temp Hisfa'!S$3:S$200, SMALL(IF(ISERROR('Temp Hisfa'!S$3:S$200), "", ROW('Temp Hisfa'!S$3:S$200)-MIN(ROW('Temp Hisfa'!S$3:S$200))+1), ROW(60:259))),"")</f>
        <v>0</v>
      </c>
      <c r="T62" s="22">
        <f t="array" ref="T62">IFERROR(INDEX('Temp Hisfa'!T$3:T$200, SMALL(IF(ISERROR('Temp Hisfa'!T$3:T$200), "", ROW('Temp Hisfa'!T$3:T$200)-MIN(ROW('Temp Hisfa'!T$3:T$200))+1), ROW(60:259))),"")</f>
        <v>0</v>
      </c>
      <c r="U62" s="22">
        <f t="array" ref="U62">IFERROR(INDEX('Temp Hisfa'!U$3:U$200, SMALL(IF(ISERROR('Temp Hisfa'!U$3:U$200), "", ROW('Temp Hisfa'!U$3:U$200)-MIN(ROW('Temp Hisfa'!U$3:U$200))+1), ROW(60:259))),"")</f>
        <v>0</v>
      </c>
      <c r="V62" s="22">
        <f t="array" ref="V62">IFERROR(INDEX('Temp Hisfa'!V$3:V$200, SMALL(IF(ISERROR('Temp Hisfa'!V$3:V$200), "", ROW('Temp Hisfa'!V$3:V$200)-MIN(ROW('Temp Hisfa'!V$3:V$200))+1), ROW(60:259))),"")</f>
        <v>0</v>
      </c>
      <c r="W62" s="22">
        <f t="array" ref="W62">IFERROR(INDEX('Temp Hisfa'!W$3:W$200, SMALL(IF(ISERROR('Temp Hisfa'!W$3:W$200), "", ROW('Temp Hisfa'!W$3:W$200)-MIN(ROW('Temp Hisfa'!W$3:W$200))+1), ROW(60:259))),"")</f>
        <v>0</v>
      </c>
      <c r="X62" s="22">
        <f t="array" ref="X62">IFERROR(INDEX('Temp Hisfa'!X$3:X$200, SMALL(IF(ISERROR('Temp Hisfa'!X$3:X$200), "", ROW('Temp Hisfa'!X$3:X$200)-MIN(ROW('Temp Hisfa'!X$3:X$200))+1), ROW(60:259))),"")</f>
        <v>0</v>
      </c>
      <c r="Y62" s="22">
        <f t="array" ref="Y62">IFERROR(INDEX('Temp Hisfa'!Y$3:Y$200, SMALL(IF(ISERROR('Temp Hisfa'!Y$3:Y$200), "", ROW('Temp Hisfa'!Y$3:Y$200)-MIN(ROW('Temp Hisfa'!Y$3:Y$200))+1), ROW(60:259))),"")</f>
        <v>0</v>
      </c>
      <c r="Z62" s="22">
        <f t="array" ref="Z62">IFERROR(INDEX('Temp Hisfa'!Z$3:Z$200, SMALL(IF(ISERROR('Temp Hisfa'!Z$3:Z$200), "", ROW('Temp Hisfa'!Z$3:Z$200)-MIN(ROW('Temp Hisfa'!Z$3:Z$200))+1), ROW(60:259))),"")</f>
        <v>0</v>
      </c>
      <c r="AA62" s="22">
        <f t="array" ref="AA62">IFERROR(INDEX('Temp Hisfa'!AA$3:AA$200, SMALL(IF(ISERROR('Temp Hisfa'!AA$3:AA$200), "", ROW('Temp Hisfa'!AA$3:AA$200)-MIN(ROW('Temp Hisfa'!AA$3:AA$200))+1), ROW(60:259))),"")</f>
        <v>0</v>
      </c>
      <c r="AB62" s="22">
        <f t="array" ref="AB62">IFERROR(INDEX('Temp Hisfa'!AB$3:AB$200, SMALL(IF(ISERROR('Temp Hisfa'!AB$3:AB$200), "", ROW('Temp Hisfa'!AB$3:AB$200)-MIN(ROW('Temp Hisfa'!AB$3:AB$200))+1), ROW(60:259))),"")</f>
        <v>0</v>
      </c>
      <c r="AD62" s="4" t="s">
        <v>49</v>
      </c>
      <c r="AE62" s="4" t="s">
        <v>50</v>
      </c>
    </row>
    <row r="63" spans="1:31" x14ac:dyDescent="0.3">
      <c r="A63" s="4">
        <f t="array" ref="A63">IFERROR(INDEX('Temp Hisfa'!A$3:A$200, SMALL(IF(ISERROR('Temp Hisfa'!A$3:A$200), "", ROW('Temp Hisfa'!A$3:A$200)-MIN(ROW('Temp Hisfa'!A$3:A$200))+1), ROW(61:259))),"")</f>
        <v>0</v>
      </c>
      <c r="B63" s="4">
        <f t="array" ref="B63">IFERROR(INDEX('Temp Hisfa'!B$3:B$200, SMALL(IF(ISERROR('Temp Hisfa'!B$3:B$200), "", ROW('Temp Hisfa'!B$3:B$200)-MIN(ROW('Temp Hisfa'!B$3:B$200))+1), ROW(61:259))),"")</f>
        <v>0</v>
      </c>
      <c r="C63" s="3">
        <f t="array" ref="C63">IFERROR(INDEX('Temp Hisfa'!C$3:C$200, SMALL(IF(ISERROR('Temp Hisfa'!C$3:C$200), "", ROW('Temp Hisfa'!C$3:C$200)-MIN(ROW('Temp Hisfa'!C$3:C$200))+1), ROW(61:259))),"")</f>
        <v>0</v>
      </c>
      <c r="D63" s="3">
        <f t="array" ref="D63">IFERROR(INDEX('Temp Hisfa'!D$3:D$200, SMALL(IF(ISERROR('Temp Hisfa'!D$3:D$200), "", ROW('Temp Hisfa'!D$3:D$200)-MIN(ROW('Temp Hisfa'!D$3:D$200))+1), ROW(61:259))),"")</f>
        <v>0</v>
      </c>
      <c r="E63" s="29">
        <f t="array" ref="E63">IFERROR(INDEX('Temp Hisfa'!E$3:E$200, SMALL(IF(ISERROR('Temp Hisfa'!E$3:E$200), "", ROW('Temp Hisfa'!E$3:E$200)-MIN(ROW('Temp Hisfa'!E$3:E$200))+1), ROW(61:260))),"")</f>
        <v>0</v>
      </c>
      <c r="F63" s="22" t="str">
        <f t="array" ref="F63">IFERROR(INDEX('Temp Hisfa'!F$3:F$200, SMALL(IF(ISERROR('Temp Hisfa'!F$3:F$200), "", ROW('Temp Hisfa'!F$3:F$200)-MIN(ROW('Temp Hisfa'!F$3:F$200))+1), ROW(61:260))),"")</f>
        <v/>
      </c>
      <c r="G63" s="30">
        <f t="array" ref="G63">IFERROR(INDEX('Temp Hisfa'!G$3:G$200, SMALL(IF(ISERROR('Temp Hisfa'!G$3:G$200), "", ROW('Temp Hisfa'!G$3:G$200)-MIN(ROW('Temp Hisfa'!G$3:G$200))+1), ROW(61:260))),"")</f>
        <v>0</v>
      </c>
      <c r="H63" s="22" t="str">
        <f t="array" ref="H63">IFERROR(INDEX('Temp Hisfa'!H$3:H$200, SMALL(IF(ISERROR('Temp Hisfa'!H$3:H$200), "", ROW('Temp Hisfa'!H$3:H$200)-MIN(ROW('Temp Hisfa'!H$3:H$200))+1), ROW(61:260))),"")</f>
        <v/>
      </c>
      <c r="I63" s="22">
        <f t="array" ref="I63">IFERROR(INDEX('Temp Hisfa'!I$3:I$200, SMALL(IF(ISERROR('Temp Hisfa'!I$3:I$200), "", ROW('Temp Hisfa'!I$3:I$200)-MIN(ROW('Temp Hisfa'!I$3:I$200))+1), ROW(61:260))),"")</f>
        <v>0</v>
      </c>
      <c r="J63" s="22">
        <f t="array" ref="J63">IFERROR(INDEX('Temp Hisfa'!J$3:J$200, SMALL(IF(ISERROR('Temp Hisfa'!J$3:J$200), "", ROW('Temp Hisfa'!J$3:J$200)-MIN(ROW('Temp Hisfa'!J$3:J$200))+1), ROW(61:260))),"")</f>
        <v>0</v>
      </c>
      <c r="K63" s="30">
        <f t="array" ref="K63">IFERROR(INDEX('Temp Hisfa'!K$3:K$200, SMALL(IF(ISERROR('Temp Hisfa'!K$3:K$200), "", ROW('Temp Hisfa'!K$3:K$200)-MIN(ROW('Temp Hisfa'!K$3:K$200))+1), ROW(61:260))),"")</f>
        <v>0</v>
      </c>
      <c r="L63" s="22">
        <f t="array" ref="L63">IFERROR(INDEX('Temp Hisfa'!L$3:L$200, SMALL(IF(ISERROR('Temp Hisfa'!L$3:L$200), "", ROW('Temp Hisfa'!L$3:L$200)-MIN(ROW('Temp Hisfa'!L$3:L$200))+1), ROW(61:260))),"")</f>
        <v>0</v>
      </c>
      <c r="M63" s="22">
        <f t="array" ref="M63">IFERROR(INDEX('Temp Hisfa'!M$3:M$200, SMALL(IF(ISERROR('Temp Hisfa'!M$3:M$200), "", ROW('Temp Hisfa'!M$3:M$200)-MIN(ROW('Temp Hisfa'!M$3:M$200))+1), ROW(61:260))),"")</f>
        <v>0</v>
      </c>
      <c r="N63" s="22">
        <f t="array" ref="N63">IFERROR(INDEX('Temp Hisfa'!N$3:N$200, SMALL(IF(ISERROR('Temp Hisfa'!N$3:N$200), "", ROW('Temp Hisfa'!N$3:N$200)-MIN(ROW('Temp Hisfa'!N$3:N$200))+1), ROW(61:260))),"")</f>
        <v>1900</v>
      </c>
      <c r="O63" s="22" t="str">
        <f t="array" ref="O63">IFERROR(INDEX('Temp Hisfa'!O$3:O$200, SMALL(IF(ISERROR('Temp Hisfa'!O$3:O$200), "", ROW('Temp Hisfa'!O$3:O$200)-MIN(ROW('Temp Hisfa'!O$3:O$200))+1), ROW(61:260))),"")</f>
        <v>enero</v>
      </c>
      <c r="P63" s="22">
        <f t="array" ref="P63">IFERROR(INDEX('Temp Hisfa'!P$3:P$200, SMALL(IF(ISERROR('Temp Hisfa'!P$3:P$200), "", ROW('Temp Hisfa'!P$3:P$200)-MIN(ROW('Temp Hisfa'!P$3:P$200))+1), ROW(61:260))),"")</f>
        <v>0</v>
      </c>
      <c r="Q63" s="22">
        <f t="array" ref="Q63">IFERROR(INDEX('Temp Hisfa'!Q$3:Q$200, SMALL(IF(ISERROR('Temp Hisfa'!Q$3:Q$200), "", ROW('Temp Hisfa'!Q$3:Q$200)-MIN(ROW('Temp Hisfa'!Q$3:Q$200))+1), ROW(61:260))),"")</f>
        <v>0</v>
      </c>
      <c r="R63" s="22">
        <f t="array" ref="R63">IFERROR(INDEX('Temp Hisfa'!R$3:R$200, SMALL(IF(ISERROR('Temp Hisfa'!R$3:R$200), "", ROW('Temp Hisfa'!R$3:R$200)-MIN(ROW('Temp Hisfa'!R$3:R$200))+1), ROW(61:260))),"")</f>
        <v>0</v>
      </c>
      <c r="S63" s="22">
        <f t="array" ref="S63">IFERROR(INDEX('Temp Hisfa'!S$3:S$200, SMALL(IF(ISERROR('Temp Hisfa'!S$3:S$200), "", ROW('Temp Hisfa'!S$3:S$200)-MIN(ROW('Temp Hisfa'!S$3:S$200))+1), ROW(61:260))),"")</f>
        <v>0</v>
      </c>
      <c r="T63" s="22">
        <f t="array" ref="T63">IFERROR(INDEX('Temp Hisfa'!T$3:T$200, SMALL(IF(ISERROR('Temp Hisfa'!T$3:T$200), "", ROW('Temp Hisfa'!T$3:T$200)-MIN(ROW('Temp Hisfa'!T$3:T$200))+1), ROW(61:260))),"")</f>
        <v>0</v>
      </c>
      <c r="U63" s="22">
        <f t="array" ref="U63">IFERROR(INDEX('Temp Hisfa'!U$3:U$200, SMALL(IF(ISERROR('Temp Hisfa'!U$3:U$200), "", ROW('Temp Hisfa'!U$3:U$200)-MIN(ROW('Temp Hisfa'!U$3:U$200))+1), ROW(61:260))),"")</f>
        <v>0</v>
      </c>
      <c r="V63" s="22">
        <f t="array" ref="V63">IFERROR(INDEX('Temp Hisfa'!V$3:V$200, SMALL(IF(ISERROR('Temp Hisfa'!V$3:V$200), "", ROW('Temp Hisfa'!V$3:V$200)-MIN(ROW('Temp Hisfa'!V$3:V$200))+1), ROW(61:260))),"")</f>
        <v>0</v>
      </c>
      <c r="W63" s="22">
        <f t="array" ref="W63">IFERROR(INDEX('Temp Hisfa'!W$3:W$200, SMALL(IF(ISERROR('Temp Hisfa'!W$3:W$200), "", ROW('Temp Hisfa'!W$3:W$200)-MIN(ROW('Temp Hisfa'!W$3:W$200))+1), ROW(61:260))),"")</f>
        <v>0</v>
      </c>
      <c r="X63" s="22">
        <f t="array" ref="X63">IFERROR(INDEX('Temp Hisfa'!X$3:X$200, SMALL(IF(ISERROR('Temp Hisfa'!X$3:X$200), "", ROW('Temp Hisfa'!X$3:X$200)-MIN(ROW('Temp Hisfa'!X$3:X$200))+1), ROW(61:260))),"")</f>
        <v>0</v>
      </c>
      <c r="Y63" s="22">
        <f t="array" ref="Y63">IFERROR(INDEX('Temp Hisfa'!Y$3:Y$200, SMALL(IF(ISERROR('Temp Hisfa'!Y$3:Y$200), "", ROW('Temp Hisfa'!Y$3:Y$200)-MIN(ROW('Temp Hisfa'!Y$3:Y$200))+1), ROW(61:260))),"")</f>
        <v>0</v>
      </c>
      <c r="Z63" s="22">
        <f t="array" ref="Z63">IFERROR(INDEX('Temp Hisfa'!Z$3:Z$200, SMALL(IF(ISERROR('Temp Hisfa'!Z$3:Z$200), "", ROW('Temp Hisfa'!Z$3:Z$200)-MIN(ROW('Temp Hisfa'!Z$3:Z$200))+1), ROW(61:260))),"")</f>
        <v>0</v>
      </c>
      <c r="AA63" s="22">
        <f t="array" ref="AA63">IFERROR(INDEX('Temp Hisfa'!AA$3:AA$200, SMALL(IF(ISERROR('Temp Hisfa'!AA$3:AA$200), "", ROW('Temp Hisfa'!AA$3:AA$200)-MIN(ROW('Temp Hisfa'!AA$3:AA$200))+1), ROW(61:260))),"")</f>
        <v>0</v>
      </c>
      <c r="AB63" s="22">
        <f t="array" ref="AB63">IFERROR(INDEX('Temp Hisfa'!AB$3:AB$200, SMALL(IF(ISERROR('Temp Hisfa'!AB$3:AB$200), "", ROW('Temp Hisfa'!AB$3:AB$200)-MIN(ROW('Temp Hisfa'!AB$3:AB$200))+1), ROW(61:260))),"")</f>
        <v>0</v>
      </c>
      <c r="AD63" s="3"/>
      <c r="AE63" s="3"/>
    </row>
    <row r="64" spans="1:31" x14ac:dyDescent="0.3">
      <c r="A64" s="4">
        <f t="array" ref="A64">IFERROR(INDEX('Temp Hisfa'!A$3:A$200, SMALL(IF(ISERROR('Temp Hisfa'!A$3:A$200), "", ROW('Temp Hisfa'!A$3:A$200)-MIN(ROW('Temp Hisfa'!A$3:A$200))+1), ROW(62:260))),"")</f>
        <v>0</v>
      </c>
      <c r="B64" s="4">
        <f t="array" ref="B64">IFERROR(INDEX('Temp Hisfa'!B$3:B$200, SMALL(IF(ISERROR('Temp Hisfa'!B$3:B$200), "", ROW('Temp Hisfa'!B$3:B$200)-MIN(ROW('Temp Hisfa'!B$3:B$200))+1), ROW(62:260))),"")</f>
        <v>0</v>
      </c>
      <c r="C64" s="3">
        <f t="array" ref="C64">IFERROR(INDEX('Temp Hisfa'!C$3:C$200, SMALL(IF(ISERROR('Temp Hisfa'!C$3:C$200), "", ROW('Temp Hisfa'!C$3:C$200)-MIN(ROW('Temp Hisfa'!C$3:C$200))+1), ROW(62:260))),"")</f>
        <v>0</v>
      </c>
      <c r="D64" s="3">
        <f t="array" ref="D64">IFERROR(INDEX('Temp Hisfa'!D$3:D$200, SMALL(IF(ISERROR('Temp Hisfa'!D$3:D$200), "", ROW('Temp Hisfa'!D$3:D$200)-MIN(ROW('Temp Hisfa'!D$3:D$200))+1), ROW(62:260))),"")</f>
        <v>0</v>
      </c>
      <c r="E64" s="29">
        <f t="array" ref="E64">IFERROR(INDEX('Temp Hisfa'!E$3:E$200, SMALL(IF(ISERROR('Temp Hisfa'!E$3:E$200), "", ROW('Temp Hisfa'!E$3:E$200)-MIN(ROW('Temp Hisfa'!E$3:E$200))+1), ROW(62:261))),"")</f>
        <v>0</v>
      </c>
      <c r="F64" s="22" t="str">
        <f t="array" ref="F64">IFERROR(INDEX('Temp Hisfa'!F$3:F$200, SMALL(IF(ISERROR('Temp Hisfa'!F$3:F$200), "", ROW('Temp Hisfa'!F$3:F$200)-MIN(ROW('Temp Hisfa'!F$3:F$200))+1), ROW(62:261))),"")</f>
        <v/>
      </c>
      <c r="G64" s="30">
        <f t="array" ref="G64">IFERROR(INDEX('Temp Hisfa'!G$3:G$200, SMALL(IF(ISERROR('Temp Hisfa'!G$3:G$200), "", ROW('Temp Hisfa'!G$3:G$200)-MIN(ROW('Temp Hisfa'!G$3:G$200))+1), ROW(62:261))),"")</f>
        <v>0</v>
      </c>
      <c r="H64" s="22" t="str">
        <f t="array" ref="H64">IFERROR(INDEX('Temp Hisfa'!H$3:H$200, SMALL(IF(ISERROR('Temp Hisfa'!H$3:H$200), "", ROW('Temp Hisfa'!H$3:H$200)-MIN(ROW('Temp Hisfa'!H$3:H$200))+1), ROW(62:261))),"")</f>
        <v/>
      </c>
      <c r="I64" s="22">
        <f t="array" ref="I64">IFERROR(INDEX('Temp Hisfa'!I$3:I$200, SMALL(IF(ISERROR('Temp Hisfa'!I$3:I$200), "", ROW('Temp Hisfa'!I$3:I$200)-MIN(ROW('Temp Hisfa'!I$3:I$200))+1), ROW(62:261))),"")</f>
        <v>0</v>
      </c>
      <c r="J64" s="22">
        <f t="array" ref="J64">IFERROR(INDEX('Temp Hisfa'!J$3:J$200, SMALL(IF(ISERROR('Temp Hisfa'!J$3:J$200), "", ROW('Temp Hisfa'!J$3:J$200)-MIN(ROW('Temp Hisfa'!J$3:J$200))+1), ROW(62:261))),"")</f>
        <v>0</v>
      </c>
      <c r="K64" s="30">
        <f t="array" ref="K64">IFERROR(INDEX('Temp Hisfa'!K$3:K$200, SMALL(IF(ISERROR('Temp Hisfa'!K$3:K$200), "", ROW('Temp Hisfa'!K$3:K$200)-MIN(ROW('Temp Hisfa'!K$3:K$200))+1), ROW(62:261))),"")</f>
        <v>0</v>
      </c>
      <c r="L64" s="22">
        <f t="array" ref="L64">IFERROR(INDEX('Temp Hisfa'!L$3:L$200, SMALL(IF(ISERROR('Temp Hisfa'!L$3:L$200), "", ROW('Temp Hisfa'!L$3:L$200)-MIN(ROW('Temp Hisfa'!L$3:L$200))+1), ROW(62:261))),"")</f>
        <v>0</v>
      </c>
      <c r="M64" s="22">
        <f t="array" ref="M64">IFERROR(INDEX('Temp Hisfa'!M$3:M$200, SMALL(IF(ISERROR('Temp Hisfa'!M$3:M$200), "", ROW('Temp Hisfa'!M$3:M$200)-MIN(ROW('Temp Hisfa'!M$3:M$200))+1), ROW(62:261))),"")</f>
        <v>0</v>
      </c>
      <c r="N64" s="22">
        <f t="array" ref="N64">IFERROR(INDEX('Temp Hisfa'!N$3:N$200, SMALL(IF(ISERROR('Temp Hisfa'!N$3:N$200), "", ROW('Temp Hisfa'!N$3:N$200)-MIN(ROW('Temp Hisfa'!N$3:N$200))+1), ROW(62:261))),"")</f>
        <v>1900</v>
      </c>
      <c r="O64" s="22" t="str">
        <f t="array" ref="O64">IFERROR(INDEX('Temp Hisfa'!O$3:O$200, SMALL(IF(ISERROR('Temp Hisfa'!O$3:O$200), "", ROW('Temp Hisfa'!O$3:O$200)-MIN(ROW('Temp Hisfa'!O$3:O$200))+1), ROW(62:261))),"")</f>
        <v>enero</v>
      </c>
      <c r="P64" s="22">
        <f t="array" ref="P64">IFERROR(INDEX('Temp Hisfa'!P$3:P$200, SMALL(IF(ISERROR('Temp Hisfa'!P$3:P$200), "", ROW('Temp Hisfa'!P$3:P$200)-MIN(ROW('Temp Hisfa'!P$3:P$200))+1), ROW(62:261))),"")</f>
        <v>0</v>
      </c>
      <c r="Q64" s="22">
        <f t="array" ref="Q64">IFERROR(INDEX('Temp Hisfa'!Q$3:Q$200, SMALL(IF(ISERROR('Temp Hisfa'!Q$3:Q$200), "", ROW('Temp Hisfa'!Q$3:Q$200)-MIN(ROW('Temp Hisfa'!Q$3:Q$200))+1), ROW(62:261))),"")</f>
        <v>0</v>
      </c>
      <c r="R64" s="22">
        <f t="array" ref="R64">IFERROR(INDEX('Temp Hisfa'!R$3:R$200, SMALL(IF(ISERROR('Temp Hisfa'!R$3:R$200), "", ROW('Temp Hisfa'!R$3:R$200)-MIN(ROW('Temp Hisfa'!R$3:R$200))+1), ROW(62:261))),"")</f>
        <v>0</v>
      </c>
      <c r="S64" s="22">
        <f t="array" ref="S64">IFERROR(INDEX('Temp Hisfa'!S$3:S$200, SMALL(IF(ISERROR('Temp Hisfa'!S$3:S$200), "", ROW('Temp Hisfa'!S$3:S$200)-MIN(ROW('Temp Hisfa'!S$3:S$200))+1), ROW(62:261))),"")</f>
        <v>0</v>
      </c>
      <c r="T64" s="22">
        <f t="array" ref="T64">IFERROR(INDEX('Temp Hisfa'!T$3:T$200, SMALL(IF(ISERROR('Temp Hisfa'!T$3:T$200), "", ROW('Temp Hisfa'!T$3:T$200)-MIN(ROW('Temp Hisfa'!T$3:T$200))+1), ROW(62:261))),"")</f>
        <v>0</v>
      </c>
      <c r="U64" s="22">
        <f t="array" ref="U64">IFERROR(INDEX('Temp Hisfa'!U$3:U$200, SMALL(IF(ISERROR('Temp Hisfa'!U$3:U$200), "", ROW('Temp Hisfa'!U$3:U$200)-MIN(ROW('Temp Hisfa'!U$3:U$200))+1), ROW(62:261))),"")</f>
        <v>0</v>
      </c>
      <c r="V64" s="22">
        <f t="array" ref="V64">IFERROR(INDEX('Temp Hisfa'!V$3:V$200, SMALL(IF(ISERROR('Temp Hisfa'!V$3:V$200), "", ROW('Temp Hisfa'!V$3:V$200)-MIN(ROW('Temp Hisfa'!V$3:V$200))+1), ROW(62:261))),"")</f>
        <v>0</v>
      </c>
      <c r="W64" s="22">
        <f t="array" ref="W64">IFERROR(INDEX('Temp Hisfa'!W$3:W$200, SMALL(IF(ISERROR('Temp Hisfa'!W$3:W$200), "", ROW('Temp Hisfa'!W$3:W$200)-MIN(ROW('Temp Hisfa'!W$3:W$200))+1), ROW(62:261))),"")</f>
        <v>0</v>
      </c>
      <c r="X64" s="22">
        <f t="array" ref="X64">IFERROR(INDEX('Temp Hisfa'!X$3:X$200, SMALL(IF(ISERROR('Temp Hisfa'!X$3:X$200), "", ROW('Temp Hisfa'!X$3:X$200)-MIN(ROW('Temp Hisfa'!X$3:X$200))+1), ROW(62:261))),"")</f>
        <v>0</v>
      </c>
      <c r="Y64" s="22">
        <f t="array" ref="Y64">IFERROR(INDEX('Temp Hisfa'!Y$3:Y$200, SMALL(IF(ISERROR('Temp Hisfa'!Y$3:Y$200), "", ROW('Temp Hisfa'!Y$3:Y$200)-MIN(ROW('Temp Hisfa'!Y$3:Y$200))+1), ROW(62:261))),"")</f>
        <v>0</v>
      </c>
      <c r="Z64" s="22">
        <f t="array" ref="Z64">IFERROR(INDEX('Temp Hisfa'!Z$3:Z$200, SMALL(IF(ISERROR('Temp Hisfa'!Z$3:Z$200), "", ROW('Temp Hisfa'!Z$3:Z$200)-MIN(ROW('Temp Hisfa'!Z$3:Z$200))+1), ROW(62:261))),"")</f>
        <v>0</v>
      </c>
      <c r="AA64" s="22">
        <f t="array" ref="AA64">IFERROR(INDEX('Temp Hisfa'!AA$3:AA$200, SMALL(IF(ISERROR('Temp Hisfa'!AA$3:AA$200), "", ROW('Temp Hisfa'!AA$3:AA$200)-MIN(ROW('Temp Hisfa'!AA$3:AA$200))+1), ROW(62:261))),"")</f>
        <v>0</v>
      </c>
      <c r="AB64" s="22">
        <f t="array" ref="AB64">IFERROR(INDEX('Temp Hisfa'!AB$3:AB$200, SMALL(IF(ISERROR('Temp Hisfa'!AB$3:AB$200), "", ROW('Temp Hisfa'!AB$3:AB$200)-MIN(ROW('Temp Hisfa'!AB$3:AB$200))+1), ROW(62:261))),"")</f>
        <v>0</v>
      </c>
      <c r="AD64" s="60" t="s">
        <v>26</v>
      </c>
      <c r="AE64" s="60">
        <f>AE63-AD63</f>
        <v>0</v>
      </c>
    </row>
    <row r="65" spans="1:31" x14ac:dyDescent="0.3">
      <c r="A65" s="4">
        <f t="array" ref="A65">IFERROR(INDEX('Temp Hisfa'!A$3:A$200, SMALL(IF(ISERROR('Temp Hisfa'!A$3:A$200), "", ROW('Temp Hisfa'!A$3:A$200)-MIN(ROW('Temp Hisfa'!A$3:A$200))+1), ROW(63:261))),"")</f>
        <v>0</v>
      </c>
      <c r="B65" s="4">
        <f t="array" ref="B65">IFERROR(INDEX('Temp Hisfa'!B$3:B$200, SMALL(IF(ISERROR('Temp Hisfa'!B$3:B$200), "", ROW('Temp Hisfa'!B$3:B$200)-MIN(ROW('Temp Hisfa'!B$3:B$200))+1), ROW(63:261))),"")</f>
        <v>0</v>
      </c>
      <c r="C65" s="3">
        <f t="array" ref="C65">IFERROR(INDEX('Temp Hisfa'!C$3:C$200, SMALL(IF(ISERROR('Temp Hisfa'!C$3:C$200), "", ROW('Temp Hisfa'!C$3:C$200)-MIN(ROW('Temp Hisfa'!C$3:C$200))+1), ROW(63:261))),"")</f>
        <v>0</v>
      </c>
      <c r="D65" s="3">
        <f t="array" ref="D65">IFERROR(INDEX('Temp Hisfa'!D$3:D$200, SMALL(IF(ISERROR('Temp Hisfa'!D$3:D$200), "", ROW('Temp Hisfa'!D$3:D$200)-MIN(ROW('Temp Hisfa'!D$3:D$200))+1), ROW(63:261))),"")</f>
        <v>0</v>
      </c>
      <c r="E65" s="29">
        <f t="array" ref="E65">IFERROR(INDEX('Temp Hisfa'!E$3:E$200, SMALL(IF(ISERROR('Temp Hisfa'!E$3:E$200), "", ROW('Temp Hisfa'!E$3:E$200)-MIN(ROW('Temp Hisfa'!E$3:E$200))+1), ROW(63:262))),"")</f>
        <v>0</v>
      </c>
      <c r="F65" s="22" t="str">
        <f t="array" ref="F65">IFERROR(INDEX('Temp Hisfa'!F$3:F$200, SMALL(IF(ISERROR('Temp Hisfa'!F$3:F$200), "", ROW('Temp Hisfa'!F$3:F$200)-MIN(ROW('Temp Hisfa'!F$3:F$200))+1), ROW(63:262))),"")</f>
        <v/>
      </c>
      <c r="G65" s="30">
        <f t="array" ref="G65">IFERROR(INDEX('Temp Hisfa'!G$3:G$200, SMALL(IF(ISERROR('Temp Hisfa'!G$3:G$200), "", ROW('Temp Hisfa'!G$3:G$200)-MIN(ROW('Temp Hisfa'!G$3:G$200))+1), ROW(63:262))),"")</f>
        <v>0</v>
      </c>
      <c r="H65" s="22" t="str">
        <f t="array" ref="H65">IFERROR(INDEX('Temp Hisfa'!H$3:H$200, SMALL(IF(ISERROR('Temp Hisfa'!H$3:H$200), "", ROW('Temp Hisfa'!H$3:H$200)-MIN(ROW('Temp Hisfa'!H$3:H$200))+1), ROW(63:262))),"")</f>
        <v/>
      </c>
      <c r="I65" s="22">
        <f t="array" ref="I65">IFERROR(INDEX('Temp Hisfa'!I$3:I$200, SMALL(IF(ISERROR('Temp Hisfa'!I$3:I$200), "", ROW('Temp Hisfa'!I$3:I$200)-MIN(ROW('Temp Hisfa'!I$3:I$200))+1), ROW(63:262))),"")</f>
        <v>0</v>
      </c>
      <c r="J65" s="22">
        <f t="array" ref="J65">IFERROR(INDEX('Temp Hisfa'!J$3:J$200, SMALL(IF(ISERROR('Temp Hisfa'!J$3:J$200), "", ROW('Temp Hisfa'!J$3:J$200)-MIN(ROW('Temp Hisfa'!J$3:J$200))+1), ROW(63:262))),"")</f>
        <v>0</v>
      </c>
      <c r="K65" s="30">
        <f t="array" ref="K65">IFERROR(INDEX('Temp Hisfa'!K$3:K$200, SMALL(IF(ISERROR('Temp Hisfa'!K$3:K$200), "", ROW('Temp Hisfa'!K$3:K$200)-MIN(ROW('Temp Hisfa'!K$3:K$200))+1), ROW(63:262))),"")</f>
        <v>0</v>
      </c>
      <c r="L65" s="22">
        <f t="array" ref="L65">IFERROR(INDEX('Temp Hisfa'!L$3:L$200, SMALL(IF(ISERROR('Temp Hisfa'!L$3:L$200), "", ROW('Temp Hisfa'!L$3:L$200)-MIN(ROW('Temp Hisfa'!L$3:L$200))+1), ROW(63:262))),"")</f>
        <v>0</v>
      </c>
      <c r="M65" s="22">
        <f t="array" ref="M65">IFERROR(INDEX('Temp Hisfa'!M$3:M$200, SMALL(IF(ISERROR('Temp Hisfa'!M$3:M$200), "", ROW('Temp Hisfa'!M$3:M$200)-MIN(ROW('Temp Hisfa'!M$3:M$200))+1), ROW(63:262))),"")</f>
        <v>0</v>
      </c>
      <c r="N65" s="22">
        <f t="array" ref="N65">IFERROR(INDEX('Temp Hisfa'!N$3:N$200, SMALL(IF(ISERROR('Temp Hisfa'!N$3:N$200), "", ROW('Temp Hisfa'!N$3:N$200)-MIN(ROW('Temp Hisfa'!N$3:N$200))+1), ROW(63:262))),"")</f>
        <v>1900</v>
      </c>
      <c r="O65" s="22" t="str">
        <f t="array" ref="O65">IFERROR(INDEX('Temp Hisfa'!O$3:O$200, SMALL(IF(ISERROR('Temp Hisfa'!O$3:O$200), "", ROW('Temp Hisfa'!O$3:O$200)-MIN(ROW('Temp Hisfa'!O$3:O$200))+1), ROW(63:262))),"")</f>
        <v>enero</v>
      </c>
      <c r="P65" s="22">
        <f t="array" ref="P65">IFERROR(INDEX('Temp Hisfa'!P$3:P$200, SMALL(IF(ISERROR('Temp Hisfa'!P$3:P$200), "", ROW('Temp Hisfa'!P$3:P$200)-MIN(ROW('Temp Hisfa'!P$3:P$200))+1), ROW(63:262))),"")</f>
        <v>0</v>
      </c>
      <c r="Q65" s="22">
        <f t="array" ref="Q65">IFERROR(INDEX('Temp Hisfa'!Q$3:Q$200, SMALL(IF(ISERROR('Temp Hisfa'!Q$3:Q$200), "", ROW('Temp Hisfa'!Q$3:Q$200)-MIN(ROW('Temp Hisfa'!Q$3:Q$200))+1), ROW(63:262))),"")</f>
        <v>0</v>
      </c>
      <c r="R65" s="22">
        <f t="array" ref="R65">IFERROR(INDEX('Temp Hisfa'!R$3:R$200, SMALL(IF(ISERROR('Temp Hisfa'!R$3:R$200), "", ROW('Temp Hisfa'!R$3:R$200)-MIN(ROW('Temp Hisfa'!R$3:R$200))+1), ROW(63:262))),"")</f>
        <v>0</v>
      </c>
      <c r="S65" s="22">
        <f t="array" ref="S65">IFERROR(INDEX('Temp Hisfa'!S$3:S$200, SMALL(IF(ISERROR('Temp Hisfa'!S$3:S$200), "", ROW('Temp Hisfa'!S$3:S$200)-MIN(ROW('Temp Hisfa'!S$3:S$200))+1), ROW(63:262))),"")</f>
        <v>0</v>
      </c>
      <c r="T65" s="22">
        <f t="array" ref="T65">IFERROR(INDEX('Temp Hisfa'!T$3:T$200, SMALL(IF(ISERROR('Temp Hisfa'!T$3:T$200), "", ROW('Temp Hisfa'!T$3:T$200)-MIN(ROW('Temp Hisfa'!T$3:T$200))+1), ROW(63:262))),"")</f>
        <v>0</v>
      </c>
      <c r="U65" s="22">
        <f t="array" ref="U65">IFERROR(INDEX('Temp Hisfa'!U$3:U$200, SMALL(IF(ISERROR('Temp Hisfa'!U$3:U$200), "", ROW('Temp Hisfa'!U$3:U$200)-MIN(ROW('Temp Hisfa'!U$3:U$200))+1), ROW(63:262))),"")</f>
        <v>0</v>
      </c>
      <c r="V65" s="22">
        <f t="array" ref="V65">IFERROR(INDEX('Temp Hisfa'!V$3:V$200, SMALL(IF(ISERROR('Temp Hisfa'!V$3:V$200), "", ROW('Temp Hisfa'!V$3:V$200)-MIN(ROW('Temp Hisfa'!V$3:V$200))+1), ROW(63:262))),"")</f>
        <v>0</v>
      </c>
      <c r="W65" s="22">
        <f t="array" ref="W65">IFERROR(INDEX('Temp Hisfa'!W$3:W$200, SMALL(IF(ISERROR('Temp Hisfa'!W$3:W$200), "", ROW('Temp Hisfa'!W$3:W$200)-MIN(ROW('Temp Hisfa'!W$3:W$200))+1), ROW(63:262))),"")</f>
        <v>0</v>
      </c>
      <c r="X65" s="22">
        <f t="array" ref="X65">IFERROR(INDEX('Temp Hisfa'!X$3:X$200, SMALL(IF(ISERROR('Temp Hisfa'!X$3:X$200), "", ROW('Temp Hisfa'!X$3:X$200)-MIN(ROW('Temp Hisfa'!X$3:X$200))+1), ROW(63:262))),"")</f>
        <v>0</v>
      </c>
      <c r="Y65" s="22">
        <f t="array" ref="Y65">IFERROR(INDEX('Temp Hisfa'!Y$3:Y$200, SMALL(IF(ISERROR('Temp Hisfa'!Y$3:Y$200), "", ROW('Temp Hisfa'!Y$3:Y$200)-MIN(ROW('Temp Hisfa'!Y$3:Y$200))+1), ROW(63:262))),"")</f>
        <v>0</v>
      </c>
      <c r="Z65" s="22">
        <f t="array" ref="Z65">IFERROR(INDEX('Temp Hisfa'!Z$3:Z$200, SMALL(IF(ISERROR('Temp Hisfa'!Z$3:Z$200), "", ROW('Temp Hisfa'!Z$3:Z$200)-MIN(ROW('Temp Hisfa'!Z$3:Z$200))+1), ROW(63:262))),"")</f>
        <v>0</v>
      </c>
      <c r="AA65" s="22">
        <f t="array" ref="AA65">IFERROR(INDEX('Temp Hisfa'!AA$3:AA$200, SMALL(IF(ISERROR('Temp Hisfa'!AA$3:AA$200), "", ROW('Temp Hisfa'!AA$3:AA$200)-MIN(ROW('Temp Hisfa'!AA$3:AA$200))+1), ROW(63:262))),"")</f>
        <v>0</v>
      </c>
      <c r="AB65" s="22">
        <f t="array" ref="AB65">IFERROR(INDEX('Temp Hisfa'!AB$3:AB$200, SMALL(IF(ISERROR('Temp Hisfa'!AB$3:AB$200), "", ROW('Temp Hisfa'!AB$3:AB$200)-MIN(ROW('Temp Hisfa'!AB$3:AB$200))+1), ROW(63:262))),"")</f>
        <v>0</v>
      </c>
      <c r="AD65" s="112" t="s">
        <v>83</v>
      </c>
      <c r="AE65" s="113"/>
    </row>
    <row r="66" spans="1:31" x14ac:dyDescent="0.3">
      <c r="A66" s="4">
        <f t="array" ref="A66">IFERROR(INDEX('Temp Hisfa'!A$3:A$200, SMALL(IF(ISERROR('Temp Hisfa'!A$3:A$200), "", ROW('Temp Hisfa'!A$3:A$200)-MIN(ROW('Temp Hisfa'!A$3:A$200))+1), ROW(64:262))),"")</f>
        <v>0</v>
      </c>
      <c r="B66" s="4">
        <f t="array" ref="B66">IFERROR(INDEX('Temp Hisfa'!B$3:B$200, SMALL(IF(ISERROR('Temp Hisfa'!B$3:B$200), "", ROW('Temp Hisfa'!B$3:B$200)-MIN(ROW('Temp Hisfa'!B$3:B$200))+1), ROW(64:262))),"")</f>
        <v>0</v>
      </c>
      <c r="C66" s="3">
        <f t="array" ref="C66">IFERROR(INDEX('Temp Hisfa'!C$3:C$200, SMALL(IF(ISERROR('Temp Hisfa'!C$3:C$200), "", ROW('Temp Hisfa'!C$3:C$200)-MIN(ROW('Temp Hisfa'!C$3:C$200))+1), ROW(64:262))),"")</f>
        <v>0</v>
      </c>
      <c r="D66" s="3">
        <f t="array" ref="D66">IFERROR(INDEX('Temp Hisfa'!D$3:D$200, SMALL(IF(ISERROR('Temp Hisfa'!D$3:D$200), "", ROW('Temp Hisfa'!D$3:D$200)-MIN(ROW('Temp Hisfa'!D$3:D$200))+1), ROW(64:262))),"")</f>
        <v>0</v>
      </c>
      <c r="E66" s="29">
        <f t="array" ref="E66">IFERROR(INDEX('Temp Hisfa'!E$3:E$200, SMALL(IF(ISERROR('Temp Hisfa'!E$3:E$200), "", ROW('Temp Hisfa'!E$3:E$200)-MIN(ROW('Temp Hisfa'!E$3:E$200))+1), ROW(64:263))),"")</f>
        <v>0</v>
      </c>
      <c r="F66" s="22" t="str">
        <f t="array" ref="F66">IFERROR(INDEX('Temp Hisfa'!F$3:F$200, SMALL(IF(ISERROR('Temp Hisfa'!F$3:F$200), "", ROW('Temp Hisfa'!F$3:F$200)-MIN(ROW('Temp Hisfa'!F$3:F$200))+1), ROW(64:263))),"")</f>
        <v/>
      </c>
      <c r="G66" s="30">
        <f t="array" ref="G66">IFERROR(INDEX('Temp Hisfa'!G$3:G$200, SMALL(IF(ISERROR('Temp Hisfa'!G$3:G$200), "", ROW('Temp Hisfa'!G$3:G$200)-MIN(ROW('Temp Hisfa'!G$3:G$200))+1), ROW(64:263))),"")</f>
        <v>0</v>
      </c>
      <c r="H66" s="22" t="str">
        <f t="array" ref="H66">IFERROR(INDEX('Temp Hisfa'!H$3:H$200, SMALL(IF(ISERROR('Temp Hisfa'!H$3:H$200), "", ROW('Temp Hisfa'!H$3:H$200)-MIN(ROW('Temp Hisfa'!H$3:H$200))+1), ROW(64:263))),"")</f>
        <v/>
      </c>
      <c r="I66" s="22">
        <f t="array" ref="I66">IFERROR(INDEX('Temp Hisfa'!I$3:I$200, SMALL(IF(ISERROR('Temp Hisfa'!I$3:I$200), "", ROW('Temp Hisfa'!I$3:I$200)-MIN(ROW('Temp Hisfa'!I$3:I$200))+1), ROW(64:263))),"")</f>
        <v>0</v>
      </c>
      <c r="J66" s="22">
        <f t="array" ref="J66">IFERROR(INDEX('Temp Hisfa'!J$3:J$200, SMALL(IF(ISERROR('Temp Hisfa'!J$3:J$200), "", ROW('Temp Hisfa'!J$3:J$200)-MIN(ROW('Temp Hisfa'!J$3:J$200))+1), ROW(64:263))),"")</f>
        <v>0</v>
      </c>
      <c r="K66" s="30">
        <f t="array" ref="K66">IFERROR(INDEX('Temp Hisfa'!K$3:K$200, SMALL(IF(ISERROR('Temp Hisfa'!K$3:K$200), "", ROW('Temp Hisfa'!K$3:K$200)-MIN(ROW('Temp Hisfa'!K$3:K$200))+1), ROW(64:263))),"")</f>
        <v>0</v>
      </c>
      <c r="L66" s="22">
        <f t="array" ref="L66">IFERROR(INDEX('Temp Hisfa'!L$3:L$200, SMALL(IF(ISERROR('Temp Hisfa'!L$3:L$200), "", ROW('Temp Hisfa'!L$3:L$200)-MIN(ROW('Temp Hisfa'!L$3:L$200))+1), ROW(64:263))),"")</f>
        <v>0</v>
      </c>
      <c r="M66" s="22">
        <f t="array" ref="M66">IFERROR(INDEX('Temp Hisfa'!M$3:M$200, SMALL(IF(ISERROR('Temp Hisfa'!M$3:M$200), "", ROW('Temp Hisfa'!M$3:M$200)-MIN(ROW('Temp Hisfa'!M$3:M$200))+1), ROW(64:263))),"")</f>
        <v>0</v>
      </c>
      <c r="N66" s="22">
        <f t="array" ref="N66">IFERROR(INDEX('Temp Hisfa'!N$3:N$200, SMALL(IF(ISERROR('Temp Hisfa'!N$3:N$200), "", ROW('Temp Hisfa'!N$3:N$200)-MIN(ROW('Temp Hisfa'!N$3:N$200))+1), ROW(64:263))),"")</f>
        <v>1900</v>
      </c>
      <c r="O66" s="22" t="str">
        <f t="array" ref="O66">IFERROR(INDEX('Temp Hisfa'!O$3:O$200, SMALL(IF(ISERROR('Temp Hisfa'!O$3:O$200), "", ROW('Temp Hisfa'!O$3:O$200)-MIN(ROW('Temp Hisfa'!O$3:O$200))+1), ROW(64:263))),"")</f>
        <v>enero</v>
      </c>
      <c r="P66" s="22">
        <f t="array" ref="P66">IFERROR(INDEX('Temp Hisfa'!P$3:P$200, SMALL(IF(ISERROR('Temp Hisfa'!P$3:P$200), "", ROW('Temp Hisfa'!P$3:P$200)-MIN(ROW('Temp Hisfa'!P$3:P$200))+1), ROW(64:263))),"")</f>
        <v>0</v>
      </c>
      <c r="Q66" s="22">
        <f t="array" ref="Q66">IFERROR(INDEX('Temp Hisfa'!Q$3:Q$200, SMALL(IF(ISERROR('Temp Hisfa'!Q$3:Q$200), "", ROW('Temp Hisfa'!Q$3:Q$200)-MIN(ROW('Temp Hisfa'!Q$3:Q$200))+1), ROW(64:263))),"")</f>
        <v>0</v>
      </c>
      <c r="R66" s="22">
        <f t="array" ref="R66">IFERROR(INDEX('Temp Hisfa'!R$3:R$200, SMALL(IF(ISERROR('Temp Hisfa'!R$3:R$200), "", ROW('Temp Hisfa'!R$3:R$200)-MIN(ROW('Temp Hisfa'!R$3:R$200))+1), ROW(64:263))),"")</f>
        <v>0</v>
      </c>
      <c r="S66" s="22">
        <f t="array" ref="S66">IFERROR(INDEX('Temp Hisfa'!S$3:S$200, SMALL(IF(ISERROR('Temp Hisfa'!S$3:S$200), "", ROW('Temp Hisfa'!S$3:S$200)-MIN(ROW('Temp Hisfa'!S$3:S$200))+1), ROW(64:263))),"")</f>
        <v>0</v>
      </c>
      <c r="T66" s="22">
        <f t="array" ref="T66">IFERROR(INDEX('Temp Hisfa'!T$3:T$200, SMALL(IF(ISERROR('Temp Hisfa'!T$3:T$200), "", ROW('Temp Hisfa'!T$3:T$200)-MIN(ROW('Temp Hisfa'!T$3:T$200))+1), ROW(64:263))),"")</f>
        <v>0</v>
      </c>
      <c r="U66" s="22">
        <f t="array" ref="U66">IFERROR(INDEX('Temp Hisfa'!U$3:U$200, SMALL(IF(ISERROR('Temp Hisfa'!U$3:U$200), "", ROW('Temp Hisfa'!U$3:U$200)-MIN(ROW('Temp Hisfa'!U$3:U$200))+1), ROW(64:263))),"")</f>
        <v>0</v>
      </c>
      <c r="V66" s="22">
        <f t="array" ref="V66">IFERROR(INDEX('Temp Hisfa'!V$3:V$200, SMALL(IF(ISERROR('Temp Hisfa'!V$3:V$200), "", ROW('Temp Hisfa'!V$3:V$200)-MIN(ROW('Temp Hisfa'!V$3:V$200))+1), ROW(64:263))),"")</f>
        <v>0</v>
      </c>
      <c r="W66" s="22">
        <f t="array" ref="W66">IFERROR(INDEX('Temp Hisfa'!W$3:W$200, SMALL(IF(ISERROR('Temp Hisfa'!W$3:W$200), "", ROW('Temp Hisfa'!W$3:W$200)-MIN(ROW('Temp Hisfa'!W$3:W$200))+1), ROW(64:263))),"")</f>
        <v>0</v>
      </c>
      <c r="X66" s="22">
        <f t="array" ref="X66">IFERROR(INDEX('Temp Hisfa'!X$3:X$200, SMALL(IF(ISERROR('Temp Hisfa'!X$3:X$200), "", ROW('Temp Hisfa'!X$3:X$200)-MIN(ROW('Temp Hisfa'!X$3:X$200))+1), ROW(64:263))),"")</f>
        <v>0</v>
      </c>
      <c r="Y66" s="22">
        <f t="array" ref="Y66">IFERROR(INDEX('Temp Hisfa'!Y$3:Y$200, SMALL(IF(ISERROR('Temp Hisfa'!Y$3:Y$200), "", ROW('Temp Hisfa'!Y$3:Y$200)-MIN(ROW('Temp Hisfa'!Y$3:Y$200))+1), ROW(64:263))),"")</f>
        <v>0</v>
      </c>
      <c r="Z66" s="22">
        <f t="array" ref="Z66">IFERROR(INDEX('Temp Hisfa'!Z$3:Z$200, SMALL(IF(ISERROR('Temp Hisfa'!Z$3:Z$200), "", ROW('Temp Hisfa'!Z$3:Z$200)-MIN(ROW('Temp Hisfa'!Z$3:Z$200))+1), ROW(64:263))),"")</f>
        <v>0</v>
      </c>
      <c r="AA66" s="22">
        <f t="array" ref="AA66">IFERROR(INDEX('Temp Hisfa'!AA$3:AA$200, SMALL(IF(ISERROR('Temp Hisfa'!AA$3:AA$200), "", ROW('Temp Hisfa'!AA$3:AA$200)-MIN(ROW('Temp Hisfa'!AA$3:AA$200))+1), ROW(64:263))),"")</f>
        <v>0</v>
      </c>
      <c r="AB66" s="22">
        <f t="array" ref="AB66">IFERROR(INDEX('Temp Hisfa'!AB$3:AB$200, SMALL(IF(ISERROR('Temp Hisfa'!AB$3:AB$200), "", ROW('Temp Hisfa'!AB$3:AB$200)-MIN(ROW('Temp Hisfa'!AB$3:AB$200))+1), ROW(64:263))),"")</f>
        <v>0</v>
      </c>
      <c r="AD66" s="60" t="s">
        <v>75</v>
      </c>
      <c r="AE66" s="88">
        <v>0</v>
      </c>
    </row>
    <row r="67" spans="1:31" x14ac:dyDescent="0.3">
      <c r="A67" s="4">
        <f t="array" ref="A67">IFERROR(INDEX('Temp Hisfa'!A$3:A$200, SMALL(IF(ISERROR('Temp Hisfa'!A$3:A$200), "", ROW('Temp Hisfa'!A$3:A$200)-MIN(ROW('Temp Hisfa'!A$3:A$200))+1), ROW(65:263))),"")</f>
        <v>0</v>
      </c>
      <c r="B67" s="4">
        <f t="array" ref="B67">IFERROR(INDEX('Temp Hisfa'!B$3:B$200, SMALL(IF(ISERROR('Temp Hisfa'!B$3:B$200), "", ROW('Temp Hisfa'!B$3:B$200)-MIN(ROW('Temp Hisfa'!B$3:B$200))+1), ROW(65:263))),"")</f>
        <v>0</v>
      </c>
      <c r="C67" s="3">
        <f t="array" ref="C67">IFERROR(INDEX('Temp Hisfa'!C$3:C$200, SMALL(IF(ISERROR('Temp Hisfa'!C$3:C$200), "", ROW('Temp Hisfa'!C$3:C$200)-MIN(ROW('Temp Hisfa'!C$3:C$200))+1), ROW(65:263))),"")</f>
        <v>0</v>
      </c>
      <c r="D67" s="3">
        <f t="array" ref="D67">IFERROR(INDEX('Temp Hisfa'!D$3:D$200, SMALL(IF(ISERROR('Temp Hisfa'!D$3:D$200), "", ROW('Temp Hisfa'!D$3:D$200)-MIN(ROW('Temp Hisfa'!D$3:D$200))+1), ROW(65:263))),"")</f>
        <v>0</v>
      </c>
      <c r="E67" s="29">
        <f t="array" ref="E67">IFERROR(INDEX('Temp Hisfa'!E$3:E$200, SMALL(IF(ISERROR('Temp Hisfa'!E$3:E$200), "", ROW('Temp Hisfa'!E$3:E$200)-MIN(ROW('Temp Hisfa'!E$3:E$200))+1), ROW(65:264))),"")</f>
        <v>0</v>
      </c>
      <c r="F67" s="22" t="str">
        <f t="array" ref="F67">IFERROR(INDEX('Temp Hisfa'!F$3:F$200, SMALL(IF(ISERROR('Temp Hisfa'!F$3:F$200), "", ROW('Temp Hisfa'!F$3:F$200)-MIN(ROW('Temp Hisfa'!F$3:F$200))+1), ROW(65:264))),"")</f>
        <v/>
      </c>
      <c r="G67" s="30">
        <f t="array" ref="G67">IFERROR(INDEX('Temp Hisfa'!G$3:G$200, SMALL(IF(ISERROR('Temp Hisfa'!G$3:G$200), "", ROW('Temp Hisfa'!G$3:G$200)-MIN(ROW('Temp Hisfa'!G$3:G$200))+1), ROW(65:264))),"")</f>
        <v>0</v>
      </c>
      <c r="H67" s="22" t="str">
        <f t="array" ref="H67">IFERROR(INDEX('Temp Hisfa'!H$3:H$200, SMALL(IF(ISERROR('Temp Hisfa'!H$3:H$200), "", ROW('Temp Hisfa'!H$3:H$200)-MIN(ROW('Temp Hisfa'!H$3:H$200))+1), ROW(65:264))),"")</f>
        <v/>
      </c>
      <c r="I67" s="22">
        <f t="array" ref="I67">IFERROR(INDEX('Temp Hisfa'!I$3:I$200, SMALL(IF(ISERROR('Temp Hisfa'!I$3:I$200), "", ROW('Temp Hisfa'!I$3:I$200)-MIN(ROW('Temp Hisfa'!I$3:I$200))+1), ROW(65:264))),"")</f>
        <v>0</v>
      </c>
      <c r="J67" s="22">
        <f t="array" ref="J67">IFERROR(INDEX('Temp Hisfa'!J$3:J$200, SMALL(IF(ISERROR('Temp Hisfa'!J$3:J$200), "", ROW('Temp Hisfa'!J$3:J$200)-MIN(ROW('Temp Hisfa'!J$3:J$200))+1), ROW(65:264))),"")</f>
        <v>0</v>
      </c>
      <c r="K67" s="30">
        <f t="array" ref="K67">IFERROR(INDEX('Temp Hisfa'!K$3:K$200, SMALL(IF(ISERROR('Temp Hisfa'!K$3:K$200), "", ROW('Temp Hisfa'!K$3:K$200)-MIN(ROW('Temp Hisfa'!K$3:K$200))+1), ROW(65:264))),"")</f>
        <v>0</v>
      </c>
      <c r="L67" s="22">
        <f t="array" ref="L67">IFERROR(INDEX('Temp Hisfa'!L$3:L$200, SMALL(IF(ISERROR('Temp Hisfa'!L$3:L$200), "", ROW('Temp Hisfa'!L$3:L$200)-MIN(ROW('Temp Hisfa'!L$3:L$200))+1), ROW(65:264))),"")</f>
        <v>0</v>
      </c>
      <c r="M67" s="22">
        <f t="array" ref="M67">IFERROR(INDEX('Temp Hisfa'!M$3:M$200, SMALL(IF(ISERROR('Temp Hisfa'!M$3:M$200), "", ROW('Temp Hisfa'!M$3:M$200)-MIN(ROW('Temp Hisfa'!M$3:M$200))+1), ROW(65:264))),"")</f>
        <v>0</v>
      </c>
      <c r="N67" s="22">
        <f t="array" ref="N67">IFERROR(INDEX('Temp Hisfa'!N$3:N$200, SMALL(IF(ISERROR('Temp Hisfa'!N$3:N$200), "", ROW('Temp Hisfa'!N$3:N$200)-MIN(ROW('Temp Hisfa'!N$3:N$200))+1), ROW(65:264))),"")</f>
        <v>1900</v>
      </c>
      <c r="O67" s="22" t="str">
        <f t="array" ref="O67">IFERROR(INDEX('Temp Hisfa'!O$3:O$200, SMALL(IF(ISERROR('Temp Hisfa'!O$3:O$200), "", ROW('Temp Hisfa'!O$3:O$200)-MIN(ROW('Temp Hisfa'!O$3:O$200))+1), ROW(65:264))),"")</f>
        <v>enero</v>
      </c>
      <c r="P67" s="22">
        <f t="array" ref="P67">IFERROR(INDEX('Temp Hisfa'!P$3:P$200, SMALL(IF(ISERROR('Temp Hisfa'!P$3:P$200), "", ROW('Temp Hisfa'!P$3:P$200)-MIN(ROW('Temp Hisfa'!P$3:P$200))+1), ROW(65:264))),"")</f>
        <v>0</v>
      </c>
      <c r="Q67" s="22">
        <f t="array" ref="Q67">IFERROR(INDEX('Temp Hisfa'!Q$3:Q$200, SMALL(IF(ISERROR('Temp Hisfa'!Q$3:Q$200), "", ROW('Temp Hisfa'!Q$3:Q$200)-MIN(ROW('Temp Hisfa'!Q$3:Q$200))+1), ROW(65:264))),"")</f>
        <v>0</v>
      </c>
      <c r="R67" s="22">
        <f t="array" ref="R67">IFERROR(INDEX('Temp Hisfa'!R$3:R$200, SMALL(IF(ISERROR('Temp Hisfa'!R$3:R$200), "", ROW('Temp Hisfa'!R$3:R$200)-MIN(ROW('Temp Hisfa'!R$3:R$200))+1), ROW(65:264))),"")</f>
        <v>0</v>
      </c>
      <c r="S67" s="22">
        <f t="array" ref="S67">IFERROR(INDEX('Temp Hisfa'!S$3:S$200, SMALL(IF(ISERROR('Temp Hisfa'!S$3:S$200), "", ROW('Temp Hisfa'!S$3:S$200)-MIN(ROW('Temp Hisfa'!S$3:S$200))+1), ROW(65:264))),"")</f>
        <v>0</v>
      </c>
      <c r="T67" s="22">
        <f t="array" ref="T67">IFERROR(INDEX('Temp Hisfa'!T$3:T$200, SMALL(IF(ISERROR('Temp Hisfa'!T$3:T$200), "", ROW('Temp Hisfa'!T$3:T$200)-MIN(ROW('Temp Hisfa'!T$3:T$200))+1), ROW(65:264))),"")</f>
        <v>0</v>
      </c>
      <c r="U67" s="22">
        <f t="array" ref="U67">IFERROR(INDEX('Temp Hisfa'!U$3:U$200, SMALL(IF(ISERROR('Temp Hisfa'!U$3:U$200), "", ROW('Temp Hisfa'!U$3:U$200)-MIN(ROW('Temp Hisfa'!U$3:U$200))+1), ROW(65:264))),"")</f>
        <v>0</v>
      </c>
      <c r="V67" s="22">
        <f t="array" ref="V67">IFERROR(INDEX('Temp Hisfa'!V$3:V$200, SMALL(IF(ISERROR('Temp Hisfa'!V$3:V$200), "", ROW('Temp Hisfa'!V$3:V$200)-MIN(ROW('Temp Hisfa'!V$3:V$200))+1), ROW(65:264))),"")</f>
        <v>0</v>
      </c>
      <c r="W67" s="22">
        <f t="array" ref="W67">IFERROR(INDEX('Temp Hisfa'!W$3:W$200, SMALL(IF(ISERROR('Temp Hisfa'!W$3:W$200), "", ROW('Temp Hisfa'!W$3:W$200)-MIN(ROW('Temp Hisfa'!W$3:W$200))+1), ROW(65:264))),"")</f>
        <v>0</v>
      </c>
      <c r="X67" s="22">
        <f t="array" ref="X67">IFERROR(INDEX('Temp Hisfa'!X$3:X$200, SMALL(IF(ISERROR('Temp Hisfa'!X$3:X$200), "", ROW('Temp Hisfa'!X$3:X$200)-MIN(ROW('Temp Hisfa'!X$3:X$200))+1), ROW(65:264))),"")</f>
        <v>0</v>
      </c>
      <c r="Y67" s="22">
        <f t="array" ref="Y67">IFERROR(INDEX('Temp Hisfa'!Y$3:Y$200, SMALL(IF(ISERROR('Temp Hisfa'!Y$3:Y$200), "", ROW('Temp Hisfa'!Y$3:Y$200)-MIN(ROW('Temp Hisfa'!Y$3:Y$200))+1), ROW(65:264))),"")</f>
        <v>0</v>
      </c>
      <c r="Z67" s="22">
        <f t="array" ref="Z67">IFERROR(INDEX('Temp Hisfa'!Z$3:Z$200, SMALL(IF(ISERROR('Temp Hisfa'!Z$3:Z$200), "", ROW('Temp Hisfa'!Z$3:Z$200)-MIN(ROW('Temp Hisfa'!Z$3:Z$200))+1), ROW(65:264))),"")</f>
        <v>0</v>
      </c>
      <c r="AA67" s="22">
        <f t="array" ref="AA67">IFERROR(INDEX('Temp Hisfa'!AA$3:AA$200, SMALL(IF(ISERROR('Temp Hisfa'!AA$3:AA$200), "", ROW('Temp Hisfa'!AA$3:AA$200)-MIN(ROW('Temp Hisfa'!AA$3:AA$200))+1), ROW(65:264))),"")</f>
        <v>0</v>
      </c>
      <c r="AB67" s="22">
        <f t="array" ref="AB67">IFERROR(INDEX('Temp Hisfa'!AB$3:AB$200, SMALL(IF(ISERROR('Temp Hisfa'!AB$3:AB$200), "", ROW('Temp Hisfa'!AB$3:AB$200)-MIN(ROW('Temp Hisfa'!AB$3:AB$200))+1), ROW(65:264))),"")</f>
        <v>0</v>
      </c>
      <c r="AD67" s="60" t="s">
        <v>76</v>
      </c>
      <c r="AE67" s="89">
        <f>IFERROR(AE66/AE64,0)</f>
        <v>0</v>
      </c>
    </row>
    <row r="68" spans="1:31" x14ac:dyDescent="0.3">
      <c r="A68" s="4">
        <f t="array" ref="A68">IFERROR(INDEX('Temp Hisfa'!A$3:A$200, SMALL(IF(ISERROR('Temp Hisfa'!A$3:A$200), "", ROW('Temp Hisfa'!A$3:A$200)-MIN(ROW('Temp Hisfa'!A$3:A$200))+1), ROW(66:264))),"")</f>
        <v>0</v>
      </c>
      <c r="B68" s="4">
        <f t="array" ref="B68">IFERROR(INDEX('Temp Hisfa'!B$3:B$200, SMALL(IF(ISERROR('Temp Hisfa'!B$3:B$200), "", ROW('Temp Hisfa'!B$3:B$200)-MIN(ROW('Temp Hisfa'!B$3:B$200))+1), ROW(66:264))),"")</f>
        <v>0</v>
      </c>
      <c r="C68" s="3">
        <f t="array" ref="C68">IFERROR(INDEX('Temp Hisfa'!C$3:C$200, SMALL(IF(ISERROR('Temp Hisfa'!C$3:C$200), "", ROW('Temp Hisfa'!C$3:C$200)-MIN(ROW('Temp Hisfa'!C$3:C$200))+1), ROW(66:264))),"")</f>
        <v>0</v>
      </c>
      <c r="D68" s="3">
        <f t="array" ref="D68">IFERROR(INDEX('Temp Hisfa'!D$3:D$200, SMALL(IF(ISERROR('Temp Hisfa'!D$3:D$200), "", ROW('Temp Hisfa'!D$3:D$200)-MIN(ROW('Temp Hisfa'!D$3:D$200))+1), ROW(66:264))),"")</f>
        <v>0</v>
      </c>
      <c r="E68" s="29">
        <f t="array" ref="E68">IFERROR(INDEX('Temp Hisfa'!E$3:E$200, SMALL(IF(ISERROR('Temp Hisfa'!E$3:E$200), "", ROW('Temp Hisfa'!E$3:E$200)-MIN(ROW('Temp Hisfa'!E$3:E$200))+1), ROW(66:265))),"")</f>
        <v>0</v>
      </c>
      <c r="F68" s="22" t="str">
        <f t="array" ref="F68">IFERROR(INDEX('Temp Hisfa'!F$3:F$200, SMALL(IF(ISERROR('Temp Hisfa'!F$3:F$200), "", ROW('Temp Hisfa'!F$3:F$200)-MIN(ROW('Temp Hisfa'!F$3:F$200))+1), ROW(66:265))),"")</f>
        <v/>
      </c>
      <c r="G68" s="30">
        <f t="array" ref="G68">IFERROR(INDEX('Temp Hisfa'!G$3:G$200, SMALL(IF(ISERROR('Temp Hisfa'!G$3:G$200), "", ROW('Temp Hisfa'!G$3:G$200)-MIN(ROW('Temp Hisfa'!G$3:G$200))+1), ROW(66:265))),"")</f>
        <v>0</v>
      </c>
      <c r="H68" s="22" t="str">
        <f t="array" ref="H68">IFERROR(INDEX('Temp Hisfa'!H$3:H$200, SMALL(IF(ISERROR('Temp Hisfa'!H$3:H$200), "", ROW('Temp Hisfa'!H$3:H$200)-MIN(ROW('Temp Hisfa'!H$3:H$200))+1), ROW(66:265))),"")</f>
        <v/>
      </c>
      <c r="I68" s="22">
        <f t="array" ref="I68">IFERROR(INDEX('Temp Hisfa'!I$3:I$200, SMALL(IF(ISERROR('Temp Hisfa'!I$3:I$200), "", ROW('Temp Hisfa'!I$3:I$200)-MIN(ROW('Temp Hisfa'!I$3:I$200))+1), ROW(66:265))),"")</f>
        <v>0</v>
      </c>
      <c r="J68" s="22">
        <f t="array" ref="J68">IFERROR(INDEX('Temp Hisfa'!J$3:J$200, SMALL(IF(ISERROR('Temp Hisfa'!J$3:J$200), "", ROW('Temp Hisfa'!J$3:J$200)-MIN(ROW('Temp Hisfa'!J$3:J$200))+1), ROW(66:265))),"")</f>
        <v>0</v>
      </c>
      <c r="K68" s="30">
        <f t="array" ref="K68">IFERROR(INDEX('Temp Hisfa'!K$3:K$200, SMALL(IF(ISERROR('Temp Hisfa'!K$3:K$200), "", ROW('Temp Hisfa'!K$3:K$200)-MIN(ROW('Temp Hisfa'!K$3:K$200))+1), ROW(66:265))),"")</f>
        <v>0</v>
      </c>
      <c r="L68" s="22">
        <f t="array" ref="L68">IFERROR(INDEX('Temp Hisfa'!L$3:L$200, SMALL(IF(ISERROR('Temp Hisfa'!L$3:L$200), "", ROW('Temp Hisfa'!L$3:L$200)-MIN(ROW('Temp Hisfa'!L$3:L$200))+1), ROW(66:265))),"")</f>
        <v>0</v>
      </c>
      <c r="M68" s="22">
        <f t="array" ref="M68">IFERROR(INDEX('Temp Hisfa'!M$3:M$200, SMALL(IF(ISERROR('Temp Hisfa'!M$3:M$200), "", ROW('Temp Hisfa'!M$3:M$200)-MIN(ROW('Temp Hisfa'!M$3:M$200))+1), ROW(66:265))),"")</f>
        <v>0</v>
      </c>
      <c r="N68" s="22">
        <f t="array" ref="N68">IFERROR(INDEX('Temp Hisfa'!N$3:N$200, SMALL(IF(ISERROR('Temp Hisfa'!N$3:N$200), "", ROW('Temp Hisfa'!N$3:N$200)-MIN(ROW('Temp Hisfa'!N$3:N$200))+1), ROW(66:265))),"")</f>
        <v>1900</v>
      </c>
      <c r="O68" s="22" t="str">
        <f t="array" ref="O68">IFERROR(INDEX('Temp Hisfa'!O$3:O$200, SMALL(IF(ISERROR('Temp Hisfa'!O$3:O$200), "", ROW('Temp Hisfa'!O$3:O$200)-MIN(ROW('Temp Hisfa'!O$3:O$200))+1), ROW(66:265))),"")</f>
        <v>enero</v>
      </c>
      <c r="P68" s="22">
        <f t="array" ref="P68">IFERROR(INDEX('Temp Hisfa'!P$3:P$200, SMALL(IF(ISERROR('Temp Hisfa'!P$3:P$200), "", ROW('Temp Hisfa'!P$3:P$200)-MIN(ROW('Temp Hisfa'!P$3:P$200))+1), ROW(66:265))),"")</f>
        <v>0</v>
      </c>
      <c r="Q68" s="22">
        <f t="array" ref="Q68">IFERROR(INDEX('Temp Hisfa'!Q$3:Q$200, SMALL(IF(ISERROR('Temp Hisfa'!Q$3:Q$200), "", ROW('Temp Hisfa'!Q$3:Q$200)-MIN(ROW('Temp Hisfa'!Q$3:Q$200))+1), ROW(66:265))),"")</f>
        <v>0</v>
      </c>
      <c r="R68" s="22">
        <f t="array" ref="R68">IFERROR(INDEX('Temp Hisfa'!R$3:R$200, SMALL(IF(ISERROR('Temp Hisfa'!R$3:R$200), "", ROW('Temp Hisfa'!R$3:R$200)-MIN(ROW('Temp Hisfa'!R$3:R$200))+1), ROW(66:265))),"")</f>
        <v>0</v>
      </c>
      <c r="S68" s="22">
        <f t="array" ref="S68">IFERROR(INDEX('Temp Hisfa'!S$3:S$200, SMALL(IF(ISERROR('Temp Hisfa'!S$3:S$200), "", ROW('Temp Hisfa'!S$3:S$200)-MIN(ROW('Temp Hisfa'!S$3:S$200))+1), ROW(66:265))),"")</f>
        <v>0</v>
      </c>
      <c r="T68" s="22">
        <f t="array" ref="T68">IFERROR(INDEX('Temp Hisfa'!T$3:T$200, SMALL(IF(ISERROR('Temp Hisfa'!T$3:T$200), "", ROW('Temp Hisfa'!T$3:T$200)-MIN(ROW('Temp Hisfa'!T$3:T$200))+1), ROW(66:265))),"")</f>
        <v>0</v>
      </c>
      <c r="U68" s="22">
        <f t="array" ref="U68">IFERROR(INDEX('Temp Hisfa'!U$3:U$200, SMALL(IF(ISERROR('Temp Hisfa'!U$3:U$200), "", ROW('Temp Hisfa'!U$3:U$200)-MIN(ROW('Temp Hisfa'!U$3:U$200))+1), ROW(66:265))),"")</f>
        <v>0</v>
      </c>
      <c r="V68" s="22">
        <f t="array" ref="V68">IFERROR(INDEX('Temp Hisfa'!V$3:V$200, SMALL(IF(ISERROR('Temp Hisfa'!V$3:V$200), "", ROW('Temp Hisfa'!V$3:V$200)-MIN(ROW('Temp Hisfa'!V$3:V$200))+1), ROW(66:265))),"")</f>
        <v>0</v>
      </c>
      <c r="W68" s="22">
        <f t="array" ref="W68">IFERROR(INDEX('Temp Hisfa'!W$3:W$200, SMALL(IF(ISERROR('Temp Hisfa'!W$3:W$200), "", ROW('Temp Hisfa'!W$3:W$200)-MIN(ROW('Temp Hisfa'!W$3:W$200))+1), ROW(66:265))),"")</f>
        <v>0</v>
      </c>
      <c r="X68" s="22">
        <f t="array" ref="X68">IFERROR(INDEX('Temp Hisfa'!X$3:X$200, SMALL(IF(ISERROR('Temp Hisfa'!X$3:X$200), "", ROW('Temp Hisfa'!X$3:X$200)-MIN(ROW('Temp Hisfa'!X$3:X$200))+1), ROW(66:265))),"")</f>
        <v>0</v>
      </c>
      <c r="Y68" s="22">
        <f t="array" ref="Y68">IFERROR(INDEX('Temp Hisfa'!Y$3:Y$200, SMALL(IF(ISERROR('Temp Hisfa'!Y$3:Y$200), "", ROW('Temp Hisfa'!Y$3:Y$200)-MIN(ROW('Temp Hisfa'!Y$3:Y$200))+1), ROW(66:265))),"")</f>
        <v>0</v>
      </c>
      <c r="Z68" s="22">
        <f t="array" ref="Z68">IFERROR(INDEX('Temp Hisfa'!Z$3:Z$200, SMALL(IF(ISERROR('Temp Hisfa'!Z$3:Z$200), "", ROW('Temp Hisfa'!Z$3:Z$200)-MIN(ROW('Temp Hisfa'!Z$3:Z$200))+1), ROW(66:265))),"")</f>
        <v>0</v>
      </c>
      <c r="AA68" s="22">
        <f t="array" ref="AA68">IFERROR(INDEX('Temp Hisfa'!AA$3:AA$200, SMALL(IF(ISERROR('Temp Hisfa'!AA$3:AA$200), "", ROW('Temp Hisfa'!AA$3:AA$200)-MIN(ROW('Temp Hisfa'!AA$3:AA$200))+1), ROW(66:265))),"")</f>
        <v>0</v>
      </c>
      <c r="AB68" s="22">
        <f t="array" ref="AB68">IFERROR(INDEX('Temp Hisfa'!AB$3:AB$200, SMALL(IF(ISERROR('Temp Hisfa'!AB$3:AB$200), "", ROW('Temp Hisfa'!AB$3:AB$200)-MIN(ROW('Temp Hisfa'!AB$3:AB$200))+1), ROW(66:265))),"")</f>
        <v>0</v>
      </c>
    </row>
    <row r="69" spans="1:31" x14ac:dyDescent="0.3">
      <c r="A69" s="4">
        <f t="array" ref="A69">IFERROR(INDEX('Temp Hisfa'!A$3:A$200, SMALL(IF(ISERROR('Temp Hisfa'!A$3:A$200), "", ROW('Temp Hisfa'!A$3:A$200)-MIN(ROW('Temp Hisfa'!A$3:A$200))+1), ROW(67:265))),"")</f>
        <v>0</v>
      </c>
      <c r="B69" s="4">
        <f t="array" ref="B69">IFERROR(INDEX('Temp Hisfa'!B$3:B$200, SMALL(IF(ISERROR('Temp Hisfa'!B$3:B$200), "", ROW('Temp Hisfa'!B$3:B$200)-MIN(ROW('Temp Hisfa'!B$3:B$200))+1), ROW(67:265))),"")</f>
        <v>0</v>
      </c>
      <c r="C69" s="3">
        <f t="array" ref="C69">IFERROR(INDEX('Temp Hisfa'!C$3:C$200, SMALL(IF(ISERROR('Temp Hisfa'!C$3:C$200), "", ROW('Temp Hisfa'!C$3:C$200)-MIN(ROW('Temp Hisfa'!C$3:C$200))+1), ROW(67:265))),"")</f>
        <v>0</v>
      </c>
      <c r="D69" s="3">
        <f t="array" ref="D69">IFERROR(INDEX('Temp Hisfa'!D$3:D$200, SMALL(IF(ISERROR('Temp Hisfa'!D$3:D$200), "", ROW('Temp Hisfa'!D$3:D$200)-MIN(ROW('Temp Hisfa'!D$3:D$200))+1), ROW(67:265))),"")</f>
        <v>0</v>
      </c>
      <c r="E69" s="29">
        <f t="array" ref="E69">IFERROR(INDEX('Temp Hisfa'!E$3:E$200, SMALL(IF(ISERROR('Temp Hisfa'!E$3:E$200), "", ROW('Temp Hisfa'!E$3:E$200)-MIN(ROW('Temp Hisfa'!E$3:E$200))+1), ROW(67:266))),"")</f>
        <v>0</v>
      </c>
      <c r="F69" s="22" t="str">
        <f t="array" ref="F69">IFERROR(INDEX('Temp Hisfa'!F$3:F$200, SMALL(IF(ISERROR('Temp Hisfa'!F$3:F$200), "", ROW('Temp Hisfa'!F$3:F$200)-MIN(ROW('Temp Hisfa'!F$3:F$200))+1), ROW(67:266))),"")</f>
        <v/>
      </c>
      <c r="G69" s="30">
        <f t="array" ref="G69">IFERROR(INDEX('Temp Hisfa'!G$3:G$200, SMALL(IF(ISERROR('Temp Hisfa'!G$3:G$200), "", ROW('Temp Hisfa'!G$3:G$200)-MIN(ROW('Temp Hisfa'!G$3:G$200))+1), ROW(67:266))),"")</f>
        <v>0</v>
      </c>
      <c r="H69" s="22" t="str">
        <f t="array" ref="H69">IFERROR(INDEX('Temp Hisfa'!H$3:H$200, SMALL(IF(ISERROR('Temp Hisfa'!H$3:H$200), "", ROW('Temp Hisfa'!H$3:H$200)-MIN(ROW('Temp Hisfa'!H$3:H$200))+1), ROW(67:266))),"")</f>
        <v/>
      </c>
      <c r="I69" s="22">
        <f t="array" ref="I69">IFERROR(INDEX('Temp Hisfa'!I$3:I$200, SMALL(IF(ISERROR('Temp Hisfa'!I$3:I$200), "", ROW('Temp Hisfa'!I$3:I$200)-MIN(ROW('Temp Hisfa'!I$3:I$200))+1), ROW(67:266))),"")</f>
        <v>0</v>
      </c>
      <c r="J69" s="22">
        <f t="array" ref="J69">IFERROR(INDEX('Temp Hisfa'!J$3:J$200, SMALL(IF(ISERROR('Temp Hisfa'!J$3:J$200), "", ROW('Temp Hisfa'!J$3:J$200)-MIN(ROW('Temp Hisfa'!J$3:J$200))+1), ROW(67:266))),"")</f>
        <v>0</v>
      </c>
      <c r="K69" s="30">
        <f t="array" ref="K69">IFERROR(INDEX('Temp Hisfa'!K$3:K$200, SMALL(IF(ISERROR('Temp Hisfa'!K$3:K$200), "", ROW('Temp Hisfa'!K$3:K$200)-MIN(ROW('Temp Hisfa'!K$3:K$200))+1), ROW(67:266))),"")</f>
        <v>0</v>
      </c>
      <c r="L69" s="22">
        <f t="array" ref="L69">IFERROR(INDEX('Temp Hisfa'!L$3:L$200, SMALL(IF(ISERROR('Temp Hisfa'!L$3:L$200), "", ROW('Temp Hisfa'!L$3:L$200)-MIN(ROW('Temp Hisfa'!L$3:L$200))+1), ROW(67:266))),"")</f>
        <v>0</v>
      </c>
      <c r="M69" s="22">
        <f t="array" ref="M69">IFERROR(INDEX('Temp Hisfa'!M$3:M$200, SMALL(IF(ISERROR('Temp Hisfa'!M$3:M$200), "", ROW('Temp Hisfa'!M$3:M$200)-MIN(ROW('Temp Hisfa'!M$3:M$200))+1), ROW(67:266))),"")</f>
        <v>0</v>
      </c>
      <c r="N69" s="22">
        <f t="array" ref="N69">IFERROR(INDEX('Temp Hisfa'!N$3:N$200, SMALL(IF(ISERROR('Temp Hisfa'!N$3:N$200), "", ROW('Temp Hisfa'!N$3:N$200)-MIN(ROW('Temp Hisfa'!N$3:N$200))+1), ROW(67:266))),"")</f>
        <v>1900</v>
      </c>
      <c r="O69" s="22" t="str">
        <f t="array" ref="O69">IFERROR(INDEX('Temp Hisfa'!O$3:O$200, SMALL(IF(ISERROR('Temp Hisfa'!O$3:O$200), "", ROW('Temp Hisfa'!O$3:O$200)-MIN(ROW('Temp Hisfa'!O$3:O$200))+1), ROW(67:266))),"")</f>
        <v>enero</v>
      </c>
      <c r="P69" s="22">
        <f t="array" ref="P69">IFERROR(INDEX('Temp Hisfa'!P$3:P$200, SMALL(IF(ISERROR('Temp Hisfa'!P$3:P$200), "", ROW('Temp Hisfa'!P$3:P$200)-MIN(ROW('Temp Hisfa'!P$3:P$200))+1), ROW(67:266))),"")</f>
        <v>0</v>
      </c>
      <c r="Q69" s="22">
        <f t="array" ref="Q69">IFERROR(INDEX('Temp Hisfa'!Q$3:Q$200, SMALL(IF(ISERROR('Temp Hisfa'!Q$3:Q$200), "", ROW('Temp Hisfa'!Q$3:Q$200)-MIN(ROW('Temp Hisfa'!Q$3:Q$200))+1), ROW(67:266))),"")</f>
        <v>0</v>
      </c>
      <c r="R69" s="22">
        <f t="array" ref="R69">IFERROR(INDEX('Temp Hisfa'!R$3:R$200, SMALL(IF(ISERROR('Temp Hisfa'!R$3:R$200), "", ROW('Temp Hisfa'!R$3:R$200)-MIN(ROW('Temp Hisfa'!R$3:R$200))+1), ROW(67:266))),"")</f>
        <v>0</v>
      </c>
      <c r="S69" s="22">
        <f t="array" ref="S69">IFERROR(INDEX('Temp Hisfa'!S$3:S$200, SMALL(IF(ISERROR('Temp Hisfa'!S$3:S$200), "", ROW('Temp Hisfa'!S$3:S$200)-MIN(ROW('Temp Hisfa'!S$3:S$200))+1), ROW(67:266))),"")</f>
        <v>0</v>
      </c>
      <c r="T69" s="22">
        <f t="array" ref="T69">IFERROR(INDEX('Temp Hisfa'!T$3:T$200, SMALL(IF(ISERROR('Temp Hisfa'!T$3:T$200), "", ROW('Temp Hisfa'!T$3:T$200)-MIN(ROW('Temp Hisfa'!T$3:T$200))+1), ROW(67:266))),"")</f>
        <v>0</v>
      </c>
      <c r="U69" s="22">
        <f t="array" ref="U69">IFERROR(INDEX('Temp Hisfa'!U$3:U$200, SMALL(IF(ISERROR('Temp Hisfa'!U$3:U$200), "", ROW('Temp Hisfa'!U$3:U$200)-MIN(ROW('Temp Hisfa'!U$3:U$200))+1), ROW(67:266))),"")</f>
        <v>0</v>
      </c>
      <c r="V69" s="22">
        <f t="array" ref="V69">IFERROR(INDEX('Temp Hisfa'!V$3:V$200, SMALL(IF(ISERROR('Temp Hisfa'!V$3:V$200), "", ROW('Temp Hisfa'!V$3:V$200)-MIN(ROW('Temp Hisfa'!V$3:V$200))+1), ROW(67:266))),"")</f>
        <v>0</v>
      </c>
      <c r="W69" s="22">
        <f t="array" ref="W69">IFERROR(INDEX('Temp Hisfa'!W$3:W$200, SMALL(IF(ISERROR('Temp Hisfa'!W$3:W$200), "", ROW('Temp Hisfa'!W$3:W$200)-MIN(ROW('Temp Hisfa'!W$3:W$200))+1), ROW(67:266))),"")</f>
        <v>0</v>
      </c>
      <c r="X69" s="22">
        <f t="array" ref="X69">IFERROR(INDEX('Temp Hisfa'!X$3:X$200, SMALL(IF(ISERROR('Temp Hisfa'!X$3:X$200), "", ROW('Temp Hisfa'!X$3:X$200)-MIN(ROW('Temp Hisfa'!X$3:X$200))+1), ROW(67:266))),"")</f>
        <v>0</v>
      </c>
      <c r="Y69" s="22">
        <f t="array" ref="Y69">IFERROR(INDEX('Temp Hisfa'!Y$3:Y$200, SMALL(IF(ISERROR('Temp Hisfa'!Y$3:Y$200), "", ROW('Temp Hisfa'!Y$3:Y$200)-MIN(ROW('Temp Hisfa'!Y$3:Y$200))+1), ROW(67:266))),"")</f>
        <v>0</v>
      </c>
      <c r="Z69" s="22">
        <f t="array" ref="Z69">IFERROR(INDEX('Temp Hisfa'!Z$3:Z$200, SMALL(IF(ISERROR('Temp Hisfa'!Z$3:Z$200), "", ROW('Temp Hisfa'!Z$3:Z$200)-MIN(ROW('Temp Hisfa'!Z$3:Z$200))+1), ROW(67:266))),"")</f>
        <v>0</v>
      </c>
      <c r="AA69" s="22">
        <f t="array" ref="AA69">IFERROR(INDEX('Temp Hisfa'!AA$3:AA$200, SMALL(IF(ISERROR('Temp Hisfa'!AA$3:AA$200), "", ROW('Temp Hisfa'!AA$3:AA$200)-MIN(ROW('Temp Hisfa'!AA$3:AA$200))+1), ROW(67:266))),"")</f>
        <v>0</v>
      </c>
      <c r="AB69" s="22">
        <f t="array" ref="AB69">IFERROR(INDEX('Temp Hisfa'!AB$3:AB$200, SMALL(IF(ISERROR('Temp Hisfa'!AB$3:AB$200), "", ROW('Temp Hisfa'!AB$3:AB$200)-MIN(ROW('Temp Hisfa'!AB$3:AB$200))+1), ROW(67:266))),"")</f>
        <v>0</v>
      </c>
      <c r="AD69" s="111" t="s">
        <v>162</v>
      </c>
      <c r="AE69" s="111"/>
    </row>
    <row r="70" spans="1:31" x14ac:dyDescent="0.3">
      <c r="A70" s="4">
        <f t="array" ref="A70">IFERROR(INDEX('Temp Hisfa'!A$3:A$200, SMALL(IF(ISERROR('Temp Hisfa'!A$3:A$200), "", ROW('Temp Hisfa'!A$3:A$200)-MIN(ROW('Temp Hisfa'!A$3:A$200))+1), ROW(68:266))),"")</f>
        <v>0</v>
      </c>
      <c r="B70" s="4">
        <f t="array" ref="B70">IFERROR(INDEX('Temp Hisfa'!B$3:B$200, SMALL(IF(ISERROR('Temp Hisfa'!B$3:B$200), "", ROW('Temp Hisfa'!B$3:B$200)-MIN(ROW('Temp Hisfa'!B$3:B$200))+1), ROW(68:266))),"")</f>
        <v>0</v>
      </c>
      <c r="C70" s="3">
        <f t="array" ref="C70">IFERROR(INDEX('Temp Hisfa'!C$3:C$200, SMALL(IF(ISERROR('Temp Hisfa'!C$3:C$200), "", ROW('Temp Hisfa'!C$3:C$200)-MIN(ROW('Temp Hisfa'!C$3:C$200))+1), ROW(68:266))),"")</f>
        <v>0</v>
      </c>
      <c r="D70" s="3">
        <f t="array" ref="D70">IFERROR(INDEX('Temp Hisfa'!D$3:D$200, SMALL(IF(ISERROR('Temp Hisfa'!D$3:D$200), "", ROW('Temp Hisfa'!D$3:D$200)-MIN(ROW('Temp Hisfa'!D$3:D$200))+1), ROW(68:266))),"")</f>
        <v>0</v>
      </c>
      <c r="E70" s="29">
        <f t="array" ref="E70">IFERROR(INDEX('Temp Hisfa'!E$3:E$200, SMALL(IF(ISERROR('Temp Hisfa'!E$3:E$200), "", ROW('Temp Hisfa'!E$3:E$200)-MIN(ROW('Temp Hisfa'!E$3:E$200))+1), ROW(68:267))),"")</f>
        <v>0</v>
      </c>
      <c r="F70" s="22" t="str">
        <f t="array" ref="F70">IFERROR(INDEX('Temp Hisfa'!F$3:F$200, SMALL(IF(ISERROR('Temp Hisfa'!F$3:F$200), "", ROW('Temp Hisfa'!F$3:F$200)-MIN(ROW('Temp Hisfa'!F$3:F$200))+1), ROW(68:267))),"")</f>
        <v/>
      </c>
      <c r="G70" s="30">
        <f t="array" ref="G70">IFERROR(INDEX('Temp Hisfa'!G$3:G$200, SMALL(IF(ISERROR('Temp Hisfa'!G$3:G$200), "", ROW('Temp Hisfa'!G$3:G$200)-MIN(ROW('Temp Hisfa'!G$3:G$200))+1), ROW(68:267))),"")</f>
        <v>0</v>
      </c>
      <c r="H70" s="22" t="str">
        <f t="array" ref="H70">IFERROR(INDEX('Temp Hisfa'!H$3:H$200, SMALL(IF(ISERROR('Temp Hisfa'!H$3:H$200), "", ROW('Temp Hisfa'!H$3:H$200)-MIN(ROW('Temp Hisfa'!H$3:H$200))+1), ROW(68:267))),"")</f>
        <v/>
      </c>
      <c r="I70" s="22">
        <f t="array" ref="I70">IFERROR(INDEX('Temp Hisfa'!I$3:I$200, SMALL(IF(ISERROR('Temp Hisfa'!I$3:I$200), "", ROW('Temp Hisfa'!I$3:I$200)-MIN(ROW('Temp Hisfa'!I$3:I$200))+1), ROW(68:267))),"")</f>
        <v>0</v>
      </c>
      <c r="J70" s="22">
        <f t="array" ref="J70">IFERROR(INDEX('Temp Hisfa'!J$3:J$200, SMALL(IF(ISERROR('Temp Hisfa'!J$3:J$200), "", ROW('Temp Hisfa'!J$3:J$200)-MIN(ROW('Temp Hisfa'!J$3:J$200))+1), ROW(68:267))),"")</f>
        <v>0</v>
      </c>
      <c r="K70" s="30">
        <f t="array" ref="K70">IFERROR(INDEX('Temp Hisfa'!K$3:K$200, SMALL(IF(ISERROR('Temp Hisfa'!K$3:K$200), "", ROW('Temp Hisfa'!K$3:K$200)-MIN(ROW('Temp Hisfa'!K$3:K$200))+1), ROW(68:267))),"")</f>
        <v>0</v>
      </c>
      <c r="L70" s="22">
        <f t="array" ref="L70">IFERROR(INDEX('Temp Hisfa'!L$3:L$200, SMALL(IF(ISERROR('Temp Hisfa'!L$3:L$200), "", ROW('Temp Hisfa'!L$3:L$200)-MIN(ROW('Temp Hisfa'!L$3:L$200))+1), ROW(68:267))),"")</f>
        <v>0</v>
      </c>
      <c r="M70" s="22">
        <f t="array" ref="M70">IFERROR(INDEX('Temp Hisfa'!M$3:M$200, SMALL(IF(ISERROR('Temp Hisfa'!M$3:M$200), "", ROW('Temp Hisfa'!M$3:M$200)-MIN(ROW('Temp Hisfa'!M$3:M$200))+1), ROW(68:267))),"")</f>
        <v>0</v>
      </c>
      <c r="N70" s="22">
        <f t="array" ref="N70">IFERROR(INDEX('Temp Hisfa'!N$3:N$200, SMALL(IF(ISERROR('Temp Hisfa'!N$3:N$200), "", ROW('Temp Hisfa'!N$3:N$200)-MIN(ROW('Temp Hisfa'!N$3:N$200))+1), ROW(68:267))),"")</f>
        <v>1900</v>
      </c>
      <c r="O70" s="22" t="str">
        <f t="array" ref="O70">IFERROR(INDEX('Temp Hisfa'!O$3:O$200, SMALL(IF(ISERROR('Temp Hisfa'!O$3:O$200), "", ROW('Temp Hisfa'!O$3:O$200)-MIN(ROW('Temp Hisfa'!O$3:O$200))+1), ROW(68:267))),"")</f>
        <v>enero</v>
      </c>
      <c r="P70" s="22">
        <f t="array" ref="P70">IFERROR(INDEX('Temp Hisfa'!P$3:P$200, SMALL(IF(ISERROR('Temp Hisfa'!P$3:P$200), "", ROW('Temp Hisfa'!P$3:P$200)-MIN(ROW('Temp Hisfa'!P$3:P$200))+1), ROW(68:267))),"")</f>
        <v>0</v>
      </c>
      <c r="Q70" s="22">
        <f t="array" ref="Q70">IFERROR(INDEX('Temp Hisfa'!Q$3:Q$200, SMALL(IF(ISERROR('Temp Hisfa'!Q$3:Q$200), "", ROW('Temp Hisfa'!Q$3:Q$200)-MIN(ROW('Temp Hisfa'!Q$3:Q$200))+1), ROW(68:267))),"")</f>
        <v>0</v>
      </c>
      <c r="R70" s="22">
        <f t="array" ref="R70">IFERROR(INDEX('Temp Hisfa'!R$3:R$200, SMALL(IF(ISERROR('Temp Hisfa'!R$3:R$200), "", ROW('Temp Hisfa'!R$3:R$200)-MIN(ROW('Temp Hisfa'!R$3:R$200))+1), ROW(68:267))),"")</f>
        <v>0</v>
      </c>
      <c r="S70" s="22">
        <f t="array" ref="S70">IFERROR(INDEX('Temp Hisfa'!S$3:S$200, SMALL(IF(ISERROR('Temp Hisfa'!S$3:S$200), "", ROW('Temp Hisfa'!S$3:S$200)-MIN(ROW('Temp Hisfa'!S$3:S$200))+1), ROW(68:267))),"")</f>
        <v>0</v>
      </c>
      <c r="T70" s="22">
        <f t="array" ref="T70">IFERROR(INDEX('Temp Hisfa'!T$3:T$200, SMALL(IF(ISERROR('Temp Hisfa'!T$3:T$200), "", ROW('Temp Hisfa'!T$3:T$200)-MIN(ROW('Temp Hisfa'!T$3:T$200))+1), ROW(68:267))),"")</f>
        <v>0</v>
      </c>
      <c r="U70" s="22">
        <f t="array" ref="U70">IFERROR(INDEX('Temp Hisfa'!U$3:U$200, SMALL(IF(ISERROR('Temp Hisfa'!U$3:U$200), "", ROW('Temp Hisfa'!U$3:U$200)-MIN(ROW('Temp Hisfa'!U$3:U$200))+1), ROW(68:267))),"")</f>
        <v>0</v>
      </c>
      <c r="V70" s="22">
        <f t="array" ref="V70">IFERROR(INDEX('Temp Hisfa'!V$3:V$200, SMALL(IF(ISERROR('Temp Hisfa'!V$3:V$200), "", ROW('Temp Hisfa'!V$3:V$200)-MIN(ROW('Temp Hisfa'!V$3:V$200))+1), ROW(68:267))),"")</f>
        <v>0</v>
      </c>
      <c r="W70" s="22">
        <f t="array" ref="W70">IFERROR(INDEX('Temp Hisfa'!W$3:W$200, SMALL(IF(ISERROR('Temp Hisfa'!W$3:W$200), "", ROW('Temp Hisfa'!W$3:W$200)-MIN(ROW('Temp Hisfa'!W$3:W$200))+1), ROW(68:267))),"")</f>
        <v>0</v>
      </c>
      <c r="X70" s="22">
        <f t="array" ref="X70">IFERROR(INDEX('Temp Hisfa'!X$3:X$200, SMALL(IF(ISERROR('Temp Hisfa'!X$3:X$200), "", ROW('Temp Hisfa'!X$3:X$200)-MIN(ROW('Temp Hisfa'!X$3:X$200))+1), ROW(68:267))),"")</f>
        <v>0</v>
      </c>
      <c r="Y70" s="22">
        <f t="array" ref="Y70">IFERROR(INDEX('Temp Hisfa'!Y$3:Y$200, SMALL(IF(ISERROR('Temp Hisfa'!Y$3:Y$200), "", ROW('Temp Hisfa'!Y$3:Y$200)-MIN(ROW('Temp Hisfa'!Y$3:Y$200))+1), ROW(68:267))),"")</f>
        <v>0</v>
      </c>
      <c r="Z70" s="22">
        <f t="array" ref="Z70">IFERROR(INDEX('Temp Hisfa'!Z$3:Z$200, SMALL(IF(ISERROR('Temp Hisfa'!Z$3:Z$200), "", ROW('Temp Hisfa'!Z$3:Z$200)-MIN(ROW('Temp Hisfa'!Z$3:Z$200))+1), ROW(68:267))),"")</f>
        <v>0</v>
      </c>
      <c r="AA70" s="22">
        <f t="array" ref="AA70">IFERROR(INDEX('Temp Hisfa'!AA$3:AA$200, SMALL(IF(ISERROR('Temp Hisfa'!AA$3:AA$200), "", ROW('Temp Hisfa'!AA$3:AA$200)-MIN(ROW('Temp Hisfa'!AA$3:AA$200))+1), ROW(68:267))),"")</f>
        <v>0</v>
      </c>
      <c r="AB70" s="22">
        <f t="array" ref="AB70">IFERROR(INDEX('Temp Hisfa'!AB$3:AB$200, SMALL(IF(ISERROR('Temp Hisfa'!AB$3:AB$200), "", ROW('Temp Hisfa'!AB$3:AB$200)-MIN(ROW('Temp Hisfa'!AB$3:AB$200))+1), ROW(68:267))),"")</f>
        <v>0</v>
      </c>
      <c r="AD70" s="4" t="s">
        <v>49</v>
      </c>
      <c r="AE70" s="4" t="s">
        <v>50</v>
      </c>
    </row>
    <row r="71" spans="1:31" x14ac:dyDescent="0.3">
      <c r="A71" s="4">
        <f t="array" ref="A71">IFERROR(INDEX('Temp Hisfa'!A$3:A$200, SMALL(IF(ISERROR('Temp Hisfa'!A$3:A$200), "", ROW('Temp Hisfa'!A$3:A$200)-MIN(ROW('Temp Hisfa'!A$3:A$200))+1), ROW(69:267))),"")</f>
        <v>0</v>
      </c>
      <c r="B71" s="4">
        <f t="array" ref="B71">IFERROR(INDEX('Temp Hisfa'!B$3:B$200, SMALL(IF(ISERROR('Temp Hisfa'!B$3:B$200), "", ROW('Temp Hisfa'!B$3:B$200)-MIN(ROW('Temp Hisfa'!B$3:B$200))+1), ROW(69:267))),"")</f>
        <v>0</v>
      </c>
      <c r="C71" s="3">
        <f t="array" ref="C71">IFERROR(INDEX('Temp Hisfa'!C$3:C$200, SMALL(IF(ISERROR('Temp Hisfa'!C$3:C$200), "", ROW('Temp Hisfa'!C$3:C$200)-MIN(ROW('Temp Hisfa'!C$3:C$200))+1), ROW(69:267))),"")</f>
        <v>0</v>
      </c>
      <c r="D71" s="3">
        <f t="array" ref="D71">IFERROR(INDEX('Temp Hisfa'!D$3:D$200, SMALL(IF(ISERROR('Temp Hisfa'!D$3:D$200), "", ROW('Temp Hisfa'!D$3:D$200)-MIN(ROW('Temp Hisfa'!D$3:D$200))+1), ROW(69:267))),"")</f>
        <v>0</v>
      </c>
      <c r="E71" s="29">
        <f t="array" ref="E71">IFERROR(INDEX('Temp Hisfa'!E$3:E$200, SMALL(IF(ISERROR('Temp Hisfa'!E$3:E$200), "", ROW('Temp Hisfa'!E$3:E$200)-MIN(ROW('Temp Hisfa'!E$3:E$200))+1), ROW(69:268))),"")</f>
        <v>0</v>
      </c>
      <c r="F71" s="22" t="str">
        <f t="array" ref="F71">IFERROR(INDEX('Temp Hisfa'!F$3:F$200, SMALL(IF(ISERROR('Temp Hisfa'!F$3:F$200), "", ROW('Temp Hisfa'!F$3:F$200)-MIN(ROW('Temp Hisfa'!F$3:F$200))+1), ROW(69:268))),"")</f>
        <v/>
      </c>
      <c r="G71" s="30">
        <f t="array" ref="G71">IFERROR(INDEX('Temp Hisfa'!G$3:G$200, SMALL(IF(ISERROR('Temp Hisfa'!G$3:G$200), "", ROW('Temp Hisfa'!G$3:G$200)-MIN(ROW('Temp Hisfa'!G$3:G$200))+1), ROW(69:268))),"")</f>
        <v>0</v>
      </c>
      <c r="H71" s="22" t="str">
        <f t="array" ref="H71">IFERROR(INDEX('Temp Hisfa'!H$3:H$200, SMALL(IF(ISERROR('Temp Hisfa'!H$3:H$200), "", ROW('Temp Hisfa'!H$3:H$200)-MIN(ROW('Temp Hisfa'!H$3:H$200))+1), ROW(69:268))),"")</f>
        <v/>
      </c>
      <c r="I71" s="22">
        <f t="array" ref="I71">IFERROR(INDEX('Temp Hisfa'!I$3:I$200, SMALL(IF(ISERROR('Temp Hisfa'!I$3:I$200), "", ROW('Temp Hisfa'!I$3:I$200)-MIN(ROW('Temp Hisfa'!I$3:I$200))+1), ROW(69:268))),"")</f>
        <v>0</v>
      </c>
      <c r="J71" s="22">
        <f t="array" ref="J71">IFERROR(INDEX('Temp Hisfa'!J$3:J$200, SMALL(IF(ISERROR('Temp Hisfa'!J$3:J$200), "", ROW('Temp Hisfa'!J$3:J$200)-MIN(ROW('Temp Hisfa'!J$3:J$200))+1), ROW(69:268))),"")</f>
        <v>0</v>
      </c>
      <c r="K71" s="30">
        <f t="array" ref="K71">IFERROR(INDEX('Temp Hisfa'!K$3:K$200, SMALL(IF(ISERROR('Temp Hisfa'!K$3:K$200), "", ROW('Temp Hisfa'!K$3:K$200)-MIN(ROW('Temp Hisfa'!K$3:K$200))+1), ROW(69:268))),"")</f>
        <v>0</v>
      </c>
      <c r="L71" s="22">
        <f t="array" ref="L71">IFERROR(INDEX('Temp Hisfa'!L$3:L$200, SMALL(IF(ISERROR('Temp Hisfa'!L$3:L$200), "", ROW('Temp Hisfa'!L$3:L$200)-MIN(ROW('Temp Hisfa'!L$3:L$200))+1), ROW(69:268))),"")</f>
        <v>0</v>
      </c>
      <c r="M71" s="22">
        <f t="array" ref="M71">IFERROR(INDEX('Temp Hisfa'!M$3:M$200, SMALL(IF(ISERROR('Temp Hisfa'!M$3:M$200), "", ROW('Temp Hisfa'!M$3:M$200)-MIN(ROW('Temp Hisfa'!M$3:M$200))+1), ROW(69:268))),"")</f>
        <v>0</v>
      </c>
      <c r="N71" s="22">
        <f t="array" ref="N71">IFERROR(INDEX('Temp Hisfa'!N$3:N$200, SMALL(IF(ISERROR('Temp Hisfa'!N$3:N$200), "", ROW('Temp Hisfa'!N$3:N$200)-MIN(ROW('Temp Hisfa'!N$3:N$200))+1), ROW(69:268))),"")</f>
        <v>1900</v>
      </c>
      <c r="O71" s="22" t="str">
        <f t="array" ref="O71">IFERROR(INDEX('Temp Hisfa'!O$3:O$200, SMALL(IF(ISERROR('Temp Hisfa'!O$3:O$200), "", ROW('Temp Hisfa'!O$3:O$200)-MIN(ROW('Temp Hisfa'!O$3:O$200))+1), ROW(69:268))),"")</f>
        <v>enero</v>
      </c>
      <c r="P71" s="22">
        <f t="array" ref="P71">IFERROR(INDEX('Temp Hisfa'!P$3:P$200, SMALL(IF(ISERROR('Temp Hisfa'!P$3:P$200), "", ROW('Temp Hisfa'!P$3:P$200)-MIN(ROW('Temp Hisfa'!P$3:P$200))+1), ROW(69:268))),"")</f>
        <v>0</v>
      </c>
      <c r="Q71" s="22">
        <f t="array" ref="Q71">IFERROR(INDEX('Temp Hisfa'!Q$3:Q$200, SMALL(IF(ISERROR('Temp Hisfa'!Q$3:Q$200), "", ROW('Temp Hisfa'!Q$3:Q$200)-MIN(ROW('Temp Hisfa'!Q$3:Q$200))+1), ROW(69:268))),"")</f>
        <v>0</v>
      </c>
      <c r="R71" s="22">
        <f t="array" ref="R71">IFERROR(INDEX('Temp Hisfa'!R$3:R$200, SMALL(IF(ISERROR('Temp Hisfa'!R$3:R$200), "", ROW('Temp Hisfa'!R$3:R$200)-MIN(ROW('Temp Hisfa'!R$3:R$200))+1), ROW(69:268))),"")</f>
        <v>0</v>
      </c>
      <c r="S71" s="22">
        <f t="array" ref="S71">IFERROR(INDEX('Temp Hisfa'!S$3:S$200, SMALL(IF(ISERROR('Temp Hisfa'!S$3:S$200), "", ROW('Temp Hisfa'!S$3:S$200)-MIN(ROW('Temp Hisfa'!S$3:S$200))+1), ROW(69:268))),"")</f>
        <v>0</v>
      </c>
      <c r="T71" s="22">
        <f t="array" ref="T71">IFERROR(INDEX('Temp Hisfa'!T$3:T$200, SMALL(IF(ISERROR('Temp Hisfa'!T$3:T$200), "", ROW('Temp Hisfa'!T$3:T$200)-MIN(ROW('Temp Hisfa'!T$3:T$200))+1), ROW(69:268))),"")</f>
        <v>0</v>
      </c>
      <c r="U71" s="22">
        <f t="array" ref="U71">IFERROR(INDEX('Temp Hisfa'!U$3:U$200, SMALL(IF(ISERROR('Temp Hisfa'!U$3:U$200), "", ROW('Temp Hisfa'!U$3:U$200)-MIN(ROW('Temp Hisfa'!U$3:U$200))+1), ROW(69:268))),"")</f>
        <v>0</v>
      </c>
      <c r="V71" s="22">
        <f t="array" ref="V71">IFERROR(INDEX('Temp Hisfa'!V$3:V$200, SMALL(IF(ISERROR('Temp Hisfa'!V$3:V$200), "", ROW('Temp Hisfa'!V$3:V$200)-MIN(ROW('Temp Hisfa'!V$3:V$200))+1), ROW(69:268))),"")</f>
        <v>0</v>
      </c>
      <c r="W71" s="22">
        <f t="array" ref="W71">IFERROR(INDEX('Temp Hisfa'!W$3:W$200, SMALL(IF(ISERROR('Temp Hisfa'!W$3:W$200), "", ROW('Temp Hisfa'!W$3:W$200)-MIN(ROW('Temp Hisfa'!W$3:W$200))+1), ROW(69:268))),"")</f>
        <v>0</v>
      </c>
      <c r="X71" s="22">
        <f t="array" ref="X71">IFERROR(INDEX('Temp Hisfa'!X$3:X$200, SMALL(IF(ISERROR('Temp Hisfa'!X$3:X$200), "", ROW('Temp Hisfa'!X$3:X$200)-MIN(ROW('Temp Hisfa'!X$3:X$200))+1), ROW(69:268))),"")</f>
        <v>0</v>
      </c>
      <c r="Y71" s="22">
        <f t="array" ref="Y71">IFERROR(INDEX('Temp Hisfa'!Y$3:Y$200, SMALL(IF(ISERROR('Temp Hisfa'!Y$3:Y$200), "", ROW('Temp Hisfa'!Y$3:Y$200)-MIN(ROW('Temp Hisfa'!Y$3:Y$200))+1), ROW(69:268))),"")</f>
        <v>0</v>
      </c>
      <c r="Z71" s="22">
        <f t="array" ref="Z71">IFERROR(INDEX('Temp Hisfa'!Z$3:Z$200, SMALL(IF(ISERROR('Temp Hisfa'!Z$3:Z$200), "", ROW('Temp Hisfa'!Z$3:Z$200)-MIN(ROW('Temp Hisfa'!Z$3:Z$200))+1), ROW(69:268))),"")</f>
        <v>0</v>
      </c>
      <c r="AA71" s="22">
        <f t="array" ref="AA71">IFERROR(INDEX('Temp Hisfa'!AA$3:AA$200, SMALL(IF(ISERROR('Temp Hisfa'!AA$3:AA$200), "", ROW('Temp Hisfa'!AA$3:AA$200)-MIN(ROW('Temp Hisfa'!AA$3:AA$200))+1), ROW(69:268))),"")</f>
        <v>0</v>
      </c>
      <c r="AB71" s="22">
        <f t="array" ref="AB71">IFERROR(INDEX('Temp Hisfa'!AB$3:AB$200, SMALL(IF(ISERROR('Temp Hisfa'!AB$3:AB$200), "", ROW('Temp Hisfa'!AB$3:AB$200)-MIN(ROW('Temp Hisfa'!AB$3:AB$200))+1), ROW(69:268))),"")</f>
        <v>0</v>
      </c>
      <c r="AD71" s="3"/>
      <c r="AE71" s="3"/>
    </row>
    <row r="72" spans="1:31" x14ac:dyDescent="0.3">
      <c r="A72" s="4">
        <f t="array" ref="A72">IFERROR(INDEX('Temp Hisfa'!A$3:A$200, SMALL(IF(ISERROR('Temp Hisfa'!A$3:A$200), "", ROW('Temp Hisfa'!A$3:A$200)-MIN(ROW('Temp Hisfa'!A$3:A$200))+1), ROW(70:268))),"")</f>
        <v>0</v>
      </c>
      <c r="B72" s="4">
        <f t="array" ref="B72">IFERROR(INDEX('Temp Hisfa'!B$3:B$200, SMALL(IF(ISERROR('Temp Hisfa'!B$3:B$200), "", ROW('Temp Hisfa'!B$3:B$200)-MIN(ROW('Temp Hisfa'!B$3:B$200))+1), ROW(70:268))),"")</f>
        <v>0</v>
      </c>
      <c r="C72" s="3">
        <f t="array" ref="C72">IFERROR(INDEX('Temp Hisfa'!C$3:C$200, SMALL(IF(ISERROR('Temp Hisfa'!C$3:C$200), "", ROW('Temp Hisfa'!C$3:C$200)-MIN(ROW('Temp Hisfa'!C$3:C$200))+1), ROW(70:268))),"")</f>
        <v>0</v>
      </c>
      <c r="D72" s="3">
        <f t="array" ref="D72">IFERROR(INDEX('Temp Hisfa'!D$3:D$200, SMALL(IF(ISERROR('Temp Hisfa'!D$3:D$200), "", ROW('Temp Hisfa'!D$3:D$200)-MIN(ROW('Temp Hisfa'!D$3:D$200))+1), ROW(70:268))),"")</f>
        <v>0</v>
      </c>
      <c r="E72" s="29">
        <f t="array" ref="E72">IFERROR(INDEX('Temp Hisfa'!E$3:E$200, SMALL(IF(ISERROR('Temp Hisfa'!E$3:E$200), "", ROW('Temp Hisfa'!E$3:E$200)-MIN(ROW('Temp Hisfa'!E$3:E$200))+1), ROW(70:269))),"")</f>
        <v>0</v>
      </c>
      <c r="F72" s="22" t="str">
        <f t="array" ref="F72">IFERROR(INDEX('Temp Hisfa'!F$3:F$200, SMALL(IF(ISERROR('Temp Hisfa'!F$3:F$200), "", ROW('Temp Hisfa'!F$3:F$200)-MIN(ROW('Temp Hisfa'!F$3:F$200))+1), ROW(70:269))),"")</f>
        <v/>
      </c>
      <c r="G72" s="30">
        <f t="array" ref="G72">IFERROR(INDEX('Temp Hisfa'!G$3:G$200, SMALL(IF(ISERROR('Temp Hisfa'!G$3:G$200), "", ROW('Temp Hisfa'!G$3:G$200)-MIN(ROW('Temp Hisfa'!G$3:G$200))+1), ROW(70:269))),"")</f>
        <v>0</v>
      </c>
      <c r="H72" s="22" t="str">
        <f t="array" ref="H72">IFERROR(INDEX('Temp Hisfa'!H$3:H$200, SMALL(IF(ISERROR('Temp Hisfa'!H$3:H$200), "", ROW('Temp Hisfa'!H$3:H$200)-MIN(ROW('Temp Hisfa'!H$3:H$200))+1), ROW(70:269))),"")</f>
        <v/>
      </c>
      <c r="I72" s="22">
        <f t="array" ref="I72">IFERROR(INDEX('Temp Hisfa'!I$3:I$200, SMALL(IF(ISERROR('Temp Hisfa'!I$3:I$200), "", ROW('Temp Hisfa'!I$3:I$200)-MIN(ROW('Temp Hisfa'!I$3:I$200))+1), ROW(70:269))),"")</f>
        <v>0</v>
      </c>
      <c r="J72" s="22">
        <f t="array" ref="J72">IFERROR(INDEX('Temp Hisfa'!J$3:J$200, SMALL(IF(ISERROR('Temp Hisfa'!J$3:J$200), "", ROW('Temp Hisfa'!J$3:J$200)-MIN(ROW('Temp Hisfa'!J$3:J$200))+1), ROW(70:269))),"")</f>
        <v>0</v>
      </c>
      <c r="K72" s="30">
        <f t="array" ref="K72">IFERROR(INDEX('Temp Hisfa'!K$3:K$200, SMALL(IF(ISERROR('Temp Hisfa'!K$3:K$200), "", ROW('Temp Hisfa'!K$3:K$200)-MIN(ROW('Temp Hisfa'!K$3:K$200))+1), ROW(70:269))),"")</f>
        <v>0</v>
      </c>
      <c r="L72" s="22">
        <f t="array" ref="L72">IFERROR(INDEX('Temp Hisfa'!L$3:L$200, SMALL(IF(ISERROR('Temp Hisfa'!L$3:L$200), "", ROW('Temp Hisfa'!L$3:L$200)-MIN(ROW('Temp Hisfa'!L$3:L$200))+1), ROW(70:269))),"")</f>
        <v>0</v>
      </c>
      <c r="M72" s="22">
        <f t="array" ref="M72">IFERROR(INDEX('Temp Hisfa'!M$3:M$200, SMALL(IF(ISERROR('Temp Hisfa'!M$3:M$200), "", ROW('Temp Hisfa'!M$3:M$200)-MIN(ROW('Temp Hisfa'!M$3:M$200))+1), ROW(70:269))),"")</f>
        <v>0</v>
      </c>
      <c r="N72" s="22">
        <f t="array" ref="N72">IFERROR(INDEX('Temp Hisfa'!N$3:N$200, SMALL(IF(ISERROR('Temp Hisfa'!N$3:N$200), "", ROW('Temp Hisfa'!N$3:N$200)-MIN(ROW('Temp Hisfa'!N$3:N$200))+1), ROW(70:269))),"")</f>
        <v>1900</v>
      </c>
      <c r="O72" s="22" t="str">
        <f t="array" ref="O72">IFERROR(INDEX('Temp Hisfa'!O$3:O$200, SMALL(IF(ISERROR('Temp Hisfa'!O$3:O$200), "", ROW('Temp Hisfa'!O$3:O$200)-MIN(ROW('Temp Hisfa'!O$3:O$200))+1), ROW(70:269))),"")</f>
        <v>enero</v>
      </c>
      <c r="P72" s="22">
        <f t="array" ref="P72">IFERROR(INDEX('Temp Hisfa'!P$3:P$200, SMALL(IF(ISERROR('Temp Hisfa'!P$3:P$200), "", ROW('Temp Hisfa'!P$3:P$200)-MIN(ROW('Temp Hisfa'!P$3:P$200))+1), ROW(70:269))),"")</f>
        <v>0</v>
      </c>
      <c r="Q72" s="22">
        <f t="array" ref="Q72">IFERROR(INDEX('Temp Hisfa'!Q$3:Q$200, SMALL(IF(ISERROR('Temp Hisfa'!Q$3:Q$200), "", ROW('Temp Hisfa'!Q$3:Q$200)-MIN(ROW('Temp Hisfa'!Q$3:Q$200))+1), ROW(70:269))),"")</f>
        <v>0</v>
      </c>
      <c r="R72" s="22">
        <f t="array" ref="R72">IFERROR(INDEX('Temp Hisfa'!R$3:R$200, SMALL(IF(ISERROR('Temp Hisfa'!R$3:R$200), "", ROW('Temp Hisfa'!R$3:R$200)-MIN(ROW('Temp Hisfa'!R$3:R$200))+1), ROW(70:269))),"")</f>
        <v>0</v>
      </c>
      <c r="S72" s="22">
        <f t="array" ref="S72">IFERROR(INDEX('Temp Hisfa'!S$3:S$200, SMALL(IF(ISERROR('Temp Hisfa'!S$3:S$200), "", ROW('Temp Hisfa'!S$3:S$200)-MIN(ROW('Temp Hisfa'!S$3:S$200))+1), ROW(70:269))),"")</f>
        <v>0</v>
      </c>
      <c r="T72" s="22">
        <f t="array" ref="T72">IFERROR(INDEX('Temp Hisfa'!T$3:T$200, SMALL(IF(ISERROR('Temp Hisfa'!T$3:T$200), "", ROW('Temp Hisfa'!T$3:T$200)-MIN(ROW('Temp Hisfa'!T$3:T$200))+1), ROW(70:269))),"")</f>
        <v>0</v>
      </c>
      <c r="U72" s="22">
        <f t="array" ref="U72">IFERROR(INDEX('Temp Hisfa'!U$3:U$200, SMALL(IF(ISERROR('Temp Hisfa'!U$3:U$200), "", ROW('Temp Hisfa'!U$3:U$200)-MIN(ROW('Temp Hisfa'!U$3:U$200))+1), ROW(70:269))),"")</f>
        <v>0</v>
      </c>
      <c r="V72" s="22">
        <f t="array" ref="V72">IFERROR(INDEX('Temp Hisfa'!V$3:V$200, SMALL(IF(ISERROR('Temp Hisfa'!V$3:V$200), "", ROW('Temp Hisfa'!V$3:V$200)-MIN(ROW('Temp Hisfa'!V$3:V$200))+1), ROW(70:269))),"")</f>
        <v>0</v>
      </c>
      <c r="W72" s="22">
        <f t="array" ref="W72">IFERROR(INDEX('Temp Hisfa'!W$3:W$200, SMALL(IF(ISERROR('Temp Hisfa'!W$3:W$200), "", ROW('Temp Hisfa'!W$3:W$200)-MIN(ROW('Temp Hisfa'!W$3:W$200))+1), ROW(70:269))),"")</f>
        <v>0</v>
      </c>
      <c r="X72" s="22">
        <f t="array" ref="X72">IFERROR(INDEX('Temp Hisfa'!X$3:X$200, SMALL(IF(ISERROR('Temp Hisfa'!X$3:X$200), "", ROW('Temp Hisfa'!X$3:X$200)-MIN(ROW('Temp Hisfa'!X$3:X$200))+1), ROW(70:269))),"")</f>
        <v>0</v>
      </c>
      <c r="Y72" s="22">
        <f t="array" ref="Y72">IFERROR(INDEX('Temp Hisfa'!Y$3:Y$200, SMALL(IF(ISERROR('Temp Hisfa'!Y$3:Y$200), "", ROW('Temp Hisfa'!Y$3:Y$200)-MIN(ROW('Temp Hisfa'!Y$3:Y$200))+1), ROW(70:269))),"")</f>
        <v>0</v>
      </c>
      <c r="Z72" s="22">
        <f t="array" ref="Z72">IFERROR(INDEX('Temp Hisfa'!Z$3:Z$200, SMALL(IF(ISERROR('Temp Hisfa'!Z$3:Z$200), "", ROW('Temp Hisfa'!Z$3:Z$200)-MIN(ROW('Temp Hisfa'!Z$3:Z$200))+1), ROW(70:269))),"")</f>
        <v>0</v>
      </c>
      <c r="AA72" s="22">
        <f t="array" ref="AA72">IFERROR(INDEX('Temp Hisfa'!AA$3:AA$200, SMALL(IF(ISERROR('Temp Hisfa'!AA$3:AA$200), "", ROW('Temp Hisfa'!AA$3:AA$200)-MIN(ROW('Temp Hisfa'!AA$3:AA$200))+1), ROW(70:269))),"")</f>
        <v>0</v>
      </c>
      <c r="AB72" s="22">
        <f t="array" ref="AB72">IFERROR(INDEX('Temp Hisfa'!AB$3:AB$200, SMALL(IF(ISERROR('Temp Hisfa'!AB$3:AB$200), "", ROW('Temp Hisfa'!AB$3:AB$200)-MIN(ROW('Temp Hisfa'!AB$3:AB$200))+1), ROW(70:269))),"")</f>
        <v>0</v>
      </c>
      <c r="AD72" s="60" t="s">
        <v>26</v>
      </c>
      <c r="AE72" s="60">
        <f>AE71-AD71</f>
        <v>0</v>
      </c>
    </row>
    <row r="73" spans="1:31" x14ac:dyDescent="0.3">
      <c r="A73" s="4">
        <f t="array" ref="A73">IFERROR(INDEX('Temp Hisfa'!A$3:A$200, SMALL(IF(ISERROR('Temp Hisfa'!A$3:A$200), "", ROW('Temp Hisfa'!A$3:A$200)-MIN(ROW('Temp Hisfa'!A$3:A$200))+1), ROW(71:269))),"")</f>
        <v>0</v>
      </c>
      <c r="B73" s="4">
        <f t="array" ref="B73">IFERROR(INDEX('Temp Hisfa'!B$3:B$200, SMALL(IF(ISERROR('Temp Hisfa'!B$3:B$200), "", ROW('Temp Hisfa'!B$3:B$200)-MIN(ROW('Temp Hisfa'!B$3:B$200))+1), ROW(71:269))),"")</f>
        <v>0</v>
      </c>
      <c r="C73" s="3">
        <f t="array" ref="C73">IFERROR(INDEX('Temp Hisfa'!C$3:C$200, SMALL(IF(ISERROR('Temp Hisfa'!C$3:C$200), "", ROW('Temp Hisfa'!C$3:C$200)-MIN(ROW('Temp Hisfa'!C$3:C$200))+1), ROW(71:269))),"")</f>
        <v>0</v>
      </c>
      <c r="D73" s="3">
        <f t="array" ref="D73">IFERROR(INDEX('Temp Hisfa'!D$3:D$200, SMALL(IF(ISERROR('Temp Hisfa'!D$3:D$200), "", ROW('Temp Hisfa'!D$3:D$200)-MIN(ROW('Temp Hisfa'!D$3:D$200))+1), ROW(71:269))),"")</f>
        <v>0</v>
      </c>
      <c r="E73" s="29">
        <f t="array" ref="E73">IFERROR(INDEX('Temp Hisfa'!E$3:E$200, SMALL(IF(ISERROR('Temp Hisfa'!E$3:E$200), "", ROW('Temp Hisfa'!E$3:E$200)-MIN(ROW('Temp Hisfa'!E$3:E$200))+1), ROW(71:270))),"")</f>
        <v>0</v>
      </c>
      <c r="F73" s="22" t="str">
        <f t="array" ref="F73">IFERROR(INDEX('Temp Hisfa'!F$3:F$200, SMALL(IF(ISERROR('Temp Hisfa'!F$3:F$200), "", ROW('Temp Hisfa'!F$3:F$200)-MIN(ROW('Temp Hisfa'!F$3:F$200))+1), ROW(71:270))),"")</f>
        <v/>
      </c>
      <c r="G73" s="30">
        <f t="array" ref="G73">IFERROR(INDEX('Temp Hisfa'!G$3:G$200, SMALL(IF(ISERROR('Temp Hisfa'!G$3:G$200), "", ROW('Temp Hisfa'!G$3:G$200)-MIN(ROW('Temp Hisfa'!G$3:G$200))+1), ROW(71:270))),"")</f>
        <v>0</v>
      </c>
      <c r="H73" s="22" t="str">
        <f t="array" ref="H73">IFERROR(INDEX('Temp Hisfa'!H$3:H$200, SMALL(IF(ISERROR('Temp Hisfa'!H$3:H$200), "", ROW('Temp Hisfa'!H$3:H$200)-MIN(ROW('Temp Hisfa'!H$3:H$200))+1), ROW(71:270))),"")</f>
        <v/>
      </c>
      <c r="I73" s="22">
        <f t="array" ref="I73">IFERROR(INDEX('Temp Hisfa'!I$3:I$200, SMALL(IF(ISERROR('Temp Hisfa'!I$3:I$200), "", ROW('Temp Hisfa'!I$3:I$200)-MIN(ROW('Temp Hisfa'!I$3:I$200))+1), ROW(71:270))),"")</f>
        <v>0</v>
      </c>
      <c r="J73" s="22">
        <f t="array" ref="J73">IFERROR(INDEX('Temp Hisfa'!J$3:J$200, SMALL(IF(ISERROR('Temp Hisfa'!J$3:J$200), "", ROW('Temp Hisfa'!J$3:J$200)-MIN(ROW('Temp Hisfa'!J$3:J$200))+1), ROW(71:270))),"")</f>
        <v>0</v>
      </c>
      <c r="K73" s="30">
        <f t="array" ref="K73">IFERROR(INDEX('Temp Hisfa'!K$3:K$200, SMALL(IF(ISERROR('Temp Hisfa'!K$3:K$200), "", ROW('Temp Hisfa'!K$3:K$200)-MIN(ROW('Temp Hisfa'!K$3:K$200))+1), ROW(71:270))),"")</f>
        <v>0</v>
      </c>
      <c r="L73" s="22">
        <f t="array" ref="L73">IFERROR(INDEX('Temp Hisfa'!L$3:L$200, SMALL(IF(ISERROR('Temp Hisfa'!L$3:L$200), "", ROW('Temp Hisfa'!L$3:L$200)-MIN(ROW('Temp Hisfa'!L$3:L$200))+1), ROW(71:270))),"")</f>
        <v>0</v>
      </c>
      <c r="M73" s="22">
        <f t="array" ref="M73">IFERROR(INDEX('Temp Hisfa'!M$3:M$200, SMALL(IF(ISERROR('Temp Hisfa'!M$3:M$200), "", ROW('Temp Hisfa'!M$3:M$200)-MIN(ROW('Temp Hisfa'!M$3:M$200))+1), ROW(71:270))),"")</f>
        <v>0</v>
      </c>
      <c r="N73" s="22">
        <f t="array" ref="N73">IFERROR(INDEX('Temp Hisfa'!N$3:N$200, SMALL(IF(ISERROR('Temp Hisfa'!N$3:N$200), "", ROW('Temp Hisfa'!N$3:N$200)-MIN(ROW('Temp Hisfa'!N$3:N$200))+1), ROW(71:270))),"")</f>
        <v>1900</v>
      </c>
      <c r="O73" s="22" t="str">
        <f t="array" ref="O73">IFERROR(INDEX('Temp Hisfa'!O$3:O$200, SMALL(IF(ISERROR('Temp Hisfa'!O$3:O$200), "", ROW('Temp Hisfa'!O$3:O$200)-MIN(ROW('Temp Hisfa'!O$3:O$200))+1), ROW(71:270))),"")</f>
        <v>enero</v>
      </c>
      <c r="P73" s="22">
        <f t="array" ref="P73">IFERROR(INDEX('Temp Hisfa'!P$3:P$200, SMALL(IF(ISERROR('Temp Hisfa'!P$3:P$200), "", ROW('Temp Hisfa'!P$3:P$200)-MIN(ROW('Temp Hisfa'!P$3:P$200))+1), ROW(71:270))),"")</f>
        <v>0</v>
      </c>
      <c r="Q73" s="22">
        <f t="array" ref="Q73">IFERROR(INDEX('Temp Hisfa'!Q$3:Q$200, SMALL(IF(ISERROR('Temp Hisfa'!Q$3:Q$200), "", ROW('Temp Hisfa'!Q$3:Q$200)-MIN(ROW('Temp Hisfa'!Q$3:Q$200))+1), ROW(71:270))),"")</f>
        <v>0</v>
      </c>
      <c r="R73" s="22">
        <f t="array" ref="R73">IFERROR(INDEX('Temp Hisfa'!R$3:R$200, SMALL(IF(ISERROR('Temp Hisfa'!R$3:R$200), "", ROW('Temp Hisfa'!R$3:R$200)-MIN(ROW('Temp Hisfa'!R$3:R$200))+1), ROW(71:270))),"")</f>
        <v>0</v>
      </c>
      <c r="S73" s="22">
        <f t="array" ref="S73">IFERROR(INDEX('Temp Hisfa'!S$3:S$200, SMALL(IF(ISERROR('Temp Hisfa'!S$3:S$200), "", ROW('Temp Hisfa'!S$3:S$200)-MIN(ROW('Temp Hisfa'!S$3:S$200))+1), ROW(71:270))),"")</f>
        <v>0</v>
      </c>
      <c r="T73" s="22">
        <f t="array" ref="T73">IFERROR(INDEX('Temp Hisfa'!T$3:T$200, SMALL(IF(ISERROR('Temp Hisfa'!T$3:T$200), "", ROW('Temp Hisfa'!T$3:T$200)-MIN(ROW('Temp Hisfa'!T$3:T$200))+1), ROW(71:270))),"")</f>
        <v>0</v>
      </c>
      <c r="U73" s="22">
        <f t="array" ref="U73">IFERROR(INDEX('Temp Hisfa'!U$3:U$200, SMALL(IF(ISERROR('Temp Hisfa'!U$3:U$200), "", ROW('Temp Hisfa'!U$3:U$200)-MIN(ROW('Temp Hisfa'!U$3:U$200))+1), ROW(71:270))),"")</f>
        <v>0</v>
      </c>
      <c r="V73" s="22">
        <f t="array" ref="V73">IFERROR(INDEX('Temp Hisfa'!V$3:V$200, SMALL(IF(ISERROR('Temp Hisfa'!V$3:V$200), "", ROW('Temp Hisfa'!V$3:V$200)-MIN(ROW('Temp Hisfa'!V$3:V$200))+1), ROW(71:270))),"")</f>
        <v>0</v>
      </c>
      <c r="W73" s="22">
        <f t="array" ref="W73">IFERROR(INDEX('Temp Hisfa'!W$3:W$200, SMALL(IF(ISERROR('Temp Hisfa'!W$3:W$200), "", ROW('Temp Hisfa'!W$3:W$200)-MIN(ROW('Temp Hisfa'!W$3:W$200))+1), ROW(71:270))),"")</f>
        <v>0</v>
      </c>
      <c r="X73" s="22">
        <f t="array" ref="X73">IFERROR(INDEX('Temp Hisfa'!X$3:X$200, SMALL(IF(ISERROR('Temp Hisfa'!X$3:X$200), "", ROW('Temp Hisfa'!X$3:X$200)-MIN(ROW('Temp Hisfa'!X$3:X$200))+1), ROW(71:270))),"")</f>
        <v>0</v>
      </c>
      <c r="Y73" s="22">
        <f t="array" ref="Y73">IFERROR(INDEX('Temp Hisfa'!Y$3:Y$200, SMALL(IF(ISERROR('Temp Hisfa'!Y$3:Y$200), "", ROW('Temp Hisfa'!Y$3:Y$200)-MIN(ROW('Temp Hisfa'!Y$3:Y$200))+1), ROW(71:270))),"")</f>
        <v>0</v>
      </c>
      <c r="Z73" s="22">
        <f t="array" ref="Z73">IFERROR(INDEX('Temp Hisfa'!Z$3:Z$200, SMALL(IF(ISERROR('Temp Hisfa'!Z$3:Z$200), "", ROW('Temp Hisfa'!Z$3:Z$200)-MIN(ROW('Temp Hisfa'!Z$3:Z$200))+1), ROW(71:270))),"")</f>
        <v>0</v>
      </c>
      <c r="AA73" s="22">
        <f t="array" ref="AA73">IFERROR(INDEX('Temp Hisfa'!AA$3:AA$200, SMALL(IF(ISERROR('Temp Hisfa'!AA$3:AA$200), "", ROW('Temp Hisfa'!AA$3:AA$200)-MIN(ROW('Temp Hisfa'!AA$3:AA$200))+1), ROW(71:270))),"")</f>
        <v>0</v>
      </c>
      <c r="AB73" s="22">
        <f t="array" ref="AB73">IFERROR(INDEX('Temp Hisfa'!AB$3:AB$200, SMALL(IF(ISERROR('Temp Hisfa'!AB$3:AB$200), "", ROW('Temp Hisfa'!AB$3:AB$200)-MIN(ROW('Temp Hisfa'!AB$3:AB$200))+1), ROW(71:270))),"")</f>
        <v>0</v>
      </c>
      <c r="AD73" s="112" t="s">
        <v>83</v>
      </c>
      <c r="AE73" s="113"/>
    </row>
    <row r="74" spans="1:31" x14ac:dyDescent="0.3">
      <c r="A74" s="4">
        <f t="array" ref="A74">IFERROR(INDEX('Temp Hisfa'!A$3:A$200, SMALL(IF(ISERROR('Temp Hisfa'!A$3:A$200), "", ROW('Temp Hisfa'!A$3:A$200)-MIN(ROW('Temp Hisfa'!A$3:A$200))+1), ROW(72:270))),"")</f>
        <v>0</v>
      </c>
      <c r="B74" s="4">
        <f t="array" ref="B74">IFERROR(INDEX('Temp Hisfa'!B$3:B$200, SMALL(IF(ISERROR('Temp Hisfa'!B$3:B$200), "", ROW('Temp Hisfa'!B$3:B$200)-MIN(ROW('Temp Hisfa'!B$3:B$200))+1), ROW(72:270))),"")</f>
        <v>0</v>
      </c>
      <c r="C74" s="3">
        <f t="array" ref="C74">IFERROR(INDEX('Temp Hisfa'!C$3:C$200, SMALL(IF(ISERROR('Temp Hisfa'!C$3:C$200), "", ROW('Temp Hisfa'!C$3:C$200)-MIN(ROW('Temp Hisfa'!C$3:C$200))+1), ROW(72:270))),"")</f>
        <v>0</v>
      </c>
      <c r="D74" s="3">
        <f t="array" ref="D74">IFERROR(INDEX('Temp Hisfa'!D$3:D$200, SMALL(IF(ISERROR('Temp Hisfa'!D$3:D$200), "", ROW('Temp Hisfa'!D$3:D$200)-MIN(ROW('Temp Hisfa'!D$3:D$200))+1), ROW(72:270))),"")</f>
        <v>0</v>
      </c>
      <c r="E74" s="29">
        <f t="array" ref="E74">IFERROR(INDEX('Temp Hisfa'!E$3:E$200, SMALL(IF(ISERROR('Temp Hisfa'!E$3:E$200), "", ROW('Temp Hisfa'!E$3:E$200)-MIN(ROW('Temp Hisfa'!E$3:E$200))+1), ROW(72:271))),"")</f>
        <v>0</v>
      </c>
      <c r="F74" s="22" t="str">
        <f t="array" ref="F74">IFERROR(INDEX('Temp Hisfa'!F$3:F$200, SMALL(IF(ISERROR('Temp Hisfa'!F$3:F$200), "", ROW('Temp Hisfa'!F$3:F$200)-MIN(ROW('Temp Hisfa'!F$3:F$200))+1), ROW(72:271))),"")</f>
        <v/>
      </c>
      <c r="G74" s="30">
        <f t="array" ref="G74">IFERROR(INDEX('Temp Hisfa'!G$3:G$200, SMALL(IF(ISERROR('Temp Hisfa'!G$3:G$200), "", ROW('Temp Hisfa'!G$3:G$200)-MIN(ROW('Temp Hisfa'!G$3:G$200))+1), ROW(72:271))),"")</f>
        <v>0</v>
      </c>
      <c r="H74" s="22" t="str">
        <f t="array" ref="H74">IFERROR(INDEX('Temp Hisfa'!H$3:H$200, SMALL(IF(ISERROR('Temp Hisfa'!H$3:H$200), "", ROW('Temp Hisfa'!H$3:H$200)-MIN(ROW('Temp Hisfa'!H$3:H$200))+1), ROW(72:271))),"")</f>
        <v/>
      </c>
      <c r="I74" s="22">
        <f t="array" ref="I74">IFERROR(INDEX('Temp Hisfa'!I$3:I$200, SMALL(IF(ISERROR('Temp Hisfa'!I$3:I$200), "", ROW('Temp Hisfa'!I$3:I$200)-MIN(ROW('Temp Hisfa'!I$3:I$200))+1), ROW(72:271))),"")</f>
        <v>0</v>
      </c>
      <c r="J74" s="22">
        <f t="array" ref="J74">IFERROR(INDEX('Temp Hisfa'!J$3:J$200, SMALL(IF(ISERROR('Temp Hisfa'!J$3:J$200), "", ROW('Temp Hisfa'!J$3:J$200)-MIN(ROW('Temp Hisfa'!J$3:J$200))+1), ROW(72:271))),"")</f>
        <v>0</v>
      </c>
      <c r="K74" s="30">
        <f t="array" ref="K74">IFERROR(INDEX('Temp Hisfa'!K$3:K$200, SMALL(IF(ISERROR('Temp Hisfa'!K$3:K$200), "", ROW('Temp Hisfa'!K$3:K$200)-MIN(ROW('Temp Hisfa'!K$3:K$200))+1), ROW(72:271))),"")</f>
        <v>0</v>
      </c>
      <c r="L74" s="22">
        <f t="array" ref="L74">IFERROR(INDEX('Temp Hisfa'!L$3:L$200, SMALL(IF(ISERROR('Temp Hisfa'!L$3:L$200), "", ROW('Temp Hisfa'!L$3:L$200)-MIN(ROW('Temp Hisfa'!L$3:L$200))+1), ROW(72:271))),"")</f>
        <v>0</v>
      </c>
      <c r="M74" s="22">
        <f t="array" ref="M74">IFERROR(INDEX('Temp Hisfa'!M$3:M$200, SMALL(IF(ISERROR('Temp Hisfa'!M$3:M$200), "", ROW('Temp Hisfa'!M$3:M$200)-MIN(ROW('Temp Hisfa'!M$3:M$200))+1), ROW(72:271))),"")</f>
        <v>0</v>
      </c>
      <c r="N74" s="22">
        <f t="array" ref="N74">IFERROR(INDEX('Temp Hisfa'!N$3:N$200, SMALL(IF(ISERROR('Temp Hisfa'!N$3:N$200), "", ROW('Temp Hisfa'!N$3:N$200)-MIN(ROW('Temp Hisfa'!N$3:N$200))+1), ROW(72:271))),"")</f>
        <v>1900</v>
      </c>
      <c r="O74" s="22" t="str">
        <f t="array" ref="O74">IFERROR(INDEX('Temp Hisfa'!O$3:O$200, SMALL(IF(ISERROR('Temp Hisfa'!O$3:O$200), "", ROW('Temp Hisfa'!O$3:O$200)-MIN(ROW('Temp Hisfa'!O$3:O$200))+1), ROW(72:271))),"")</f>
        <v>enero</v>
      </c>
      <c r="P74" s="22">
        <f t="array" ref="P74">IFERROR(INDEX('Temp Hisfa'!P$3:P$200, SMALL(IF(ISERROR('Temp Hisfa'!P$3:P$200), "", ROW('Temp Hisfa'!P$3:P$200)-MIN(ROW('Temp Hisfa'!P$3:P$200))+1), ROW(72:271))),"")</f>
        <v>0</v>
      </c>
      <c r="Q74" s="22">
        <f t="array" ref="Q74">IFERROR(INDEX('Temp Hisfa'!Q$3:Q$200, SMALL(IF(ISERROR('Temp Hisfa'!Q$3:Q$200), "", ROW('Temp Hisfa'!Q$3:Q$200)-MIN(ROW('Temp Hisfa'!Q$3:Q$200))+1), ROW(72:271))),"")</f>
        <v>0</v>
      </c>
      <c r="R74" s="22">
        <f t="array" ref="R74">IFERROR(INDEX('Temp Hisfa'!R$3:R$200, SMALL(IF(ISERROR('Temp Hisfa'!R$3:R$200), "", ROW('Temp Hisfa'!R$3:R$200)-MIN(ROW('Temp Hisfa'!R$3:R$200))+1), ROW(72:271))),"")</f>
        <v>0</v>
      </c>
      <c r="S74" s="22">
        <f t="array" ref="S74">IFERROR(INDEX('Temp Hisfa'!S$3:S$200, SMALL(IF(ISERROR('Temp Hisfa'!S$3:S$200), "", ROW('Temp Hisfa'!S$3:S$200)-MIN(ROW('Temp Hisfa'!S$3:S$200))+1), ROW(72:271))),"")</f>
        <v>0</v>
      </c>
      <c r="T74" s="22">
        <f t="array" ref="T74">IFERROR(INDEX('Temp Hisfa'!T$3:T$200, SMALL(IF(ISERROR('Temp Hisfa'!T$3:T$200), "", ROW('Temp Hisfa'!T$3:T$200)-MIN(ROW('Temp Hisfa'!T$3:T$200))+1), ROW(72:271))),"")</f>
        <v>0</v>
      </c>
      <c r="U74" s="22">
        <f t="array" ref="U74">IFERROR(INDEX('Temp Hisfa'!U$3:U$200, SMALL(IF(ISERROR('Temp Hisfa'!U$3:U$200), "", ROW('Temp Hisfa'!U$3:U$200)-MIN(ROW('Temp Hisfa'!U$3:U$200))+1), ROW(72:271))),"")</f>
        <v>0</v>
      </c>
      <c r="V74" s="22">
        <f t="array" ref="V74">IFERROR(INDEX('Temp Hisfa'!V$3:V$200, SMALL(IF(ISERROR('Temp Hisfa'!V$3:V$200), "", ROW('Temp Hisfa'!V$3:V$200)-MIN(ROW('Temp Hisfa'!V$3:V$200))+1), ROW(72:271))),"")</f>
        <v>0</v>
      </c>
      <c r="W74" s="22">
        <f t="array" ref="W74">IFERROR(INDEX('Temp Hisfa'!W$3:W$200, SMALL(IF(ISERROR('Temp Hisfa'!W$3:W$200), "", ROW('Temp Hisfa'!W$3:W$200)-MIN(ROW('Temp Hisfa'!W$3:W$200))+1), ROW(72:271))),"")</f>
        <v>0</v>
      </c>
      <c r="X74" s="22">
        <f t="array" ref="X74">IFERROR(INDEX('Temp Hisfa'!X$3:X$200, SMALL(IF(ISERROR('Temp Hisfa'!X$3:X$200), "", ROW('Temp Hisfa'!X$3:X$200)-MIN(ROW('Temp Hisfa'!X$3:X$200))+1), ROW(72:271))),"")</f>
        <v>0</v>
      </c>
      <c r="Y74" s="22">
        <f t="array" ref="Y74">IFERROR(INDEX('Temp Hisfa'!Y$3:Y$200, SMALL(IF(ISERROR('Temp Hisfa'!Y$3:Y$200), "", ROW('Temp Hisfa'!Y$3:Y$200)-MIN(ROW('Temp Hisfa'!Y$3:Y$200))+1), ROW(72:271))),"")</f>
        <v>0</v>
      </c>
      <c r="Z74" s="22">
        <f t="array" ref="Z74">IFERROR(INDEX('Temp Hisfa'!Z$3:Z$200, SMALL(IF(ISERROR('Temp Hisfa'!Z$3:Z$200), "", ROW('Temp Hisfa'!Z$3:Z$200)-MIN(ROW('Temp Hisfa'!Z$3:Z$200))+1), ROW(72:271))),"")</f>
        <v>0</v>
      </c>
      <c r="AA74" s="22">
        <f t="array" ref="AA74">IFERROR(INDEX('Temp Hisfa'!AA$3:AA$200, SMALL(IF(ISERROR('Temp Hisfa'!AA$3:AA$200), "", ROW('Temp Hisfa'!AA$3:AA$200)-MIN(ROW('Temp Hisfa'!AA$3:AA$200))+1), ROW(72:271))),"")</f>
        <v>0</v>
      </c>
      <c r="AB74" s="22">
        <f t="array" ref="AB74">IFERROR(INDEX('Temp Hisfa'!AB$3:AB$200, SMALL(IF(ISERROR('Temp Hisfa'!AB$3:AB$200), "", ROW('Temp Hisfa'!AB$3:AB$200)-MIN(ROW('Temp Hisfa'!AB$3:AB$200))+1), ROW(72:271))),"")</f>
        <v>0</v>
      </c>
      <c r="AD74" s="60" t="s">
        <v>75</v>
      </c>
      <c r="AE74" s="88">
        <v>0</v>
      </c>
    </row>
    <row r="75" spans="1:31" x14ac:dyDescent="0.3">
      <c r="A75" s="4">
        <f t="array" ref="A75">IFERROR(INDEX('Temp Hisfa'!A$3:A$200, SMALL(IF(ISERROR('Temp Hisfa'!A$3:A$200), "", ROW('Temp Hisfa'!A$3:A$200)-MIN(ROW('Temp Hisfa'!A$3:A$200))+1), ROW(73:271))),"")</f>
        <v>0</v>
      </c>
      <c r="B75" s="4">
        <f t="array" ref="B75">IFERROR(INDEX('Temp Hisfa'!B$3:B$200, SMALL(IF(ISERROR('Temp Hisfa'!B$3:B$200), "", ROW('Temp Hisfa'!B$3:B$200)-MIN(ROW('Temp Hisfa'!B$3:B$200))+1), ROW(73:271))),"")</f>
        <v>0</v>
      </c>
      <c r="C75" s="3">
        <f t="array" ref="C75">IFERROR(INDEX('Temp Hisfa'!C$3:C$200, SMALL(IF(ISERROR('Temp Hisfa'!C$3:C$200), "", ROW('Temp Hisfa'!C$3:C$200)-MIN(ROW('Temp Hisfa'!C$3:C$200))+1), ROW(73:271))),"")</f>
        <v>0</v>
      </c>
      <c r="D75" s="3">
        <f t="array" ref="D75">IFERROR(INDEX('Temp Hisfa'!D$3:D$200, SMALL(IF(ISERROR('Temp Hisfa'!D$3:D$200), "", ROW('Temp Hisfa'!D$3:D$200)-MIN(ROW('Temp Hisfa'!D$3:D$200))+1), ROW(73:271))),"")</f>
        <v>0</v>
      </c>
      <c r="E75" s="29">
        <f t="array" ref="E75">IFERROR(INDEX('Temp Hisfa'!E$3:E$200, SMALL(IF(ISERROR('Temp Hisfa'!E$3:E$200), "", ROW('Temp Hisfa'!E$3:E$200)-MIN(ROW('Temp Hisfa'!E$3:E$200))+1), ROW(73:272))),"")</f>
        <v>0</v>
      </c>
      <c r="F75" s="22" t="str">
        <f t="array" ref="F75">IFERROR(INDEX('Temp Hisfa'!F$3:F$200, SMALL(IF(ISERROR('Temp Hisfa'!F$3:F$200), "", ROW('Temp Hisfa'!F$3:F$200)-MIN(ROW('Temp Hisfa'!F$3:F$200))+1), ROW(73:272))),"")</f>
        <v/>
      </c>
      <c r="G75" s="30">
        <f t="array" ref="G75">IFERROR(INDEX('Temp Hisfa'!G$3:G$200, SMALL(IF(ISERROR('Temp Hisfa'!G$3:G$200), "", ROW('Temp Hisfa'!G$3:G$200)-MIN(ROW('Temp Hisfa'!G$3:G$200))+1), ROW(73:272))),"")</f>
        <v>0</v>
      </c>
      <c r="H75" s="22" t="str">
        <f t="array" ref="H75">IFERROR(INDEX('Temp Hisfa'!H$3:H$200, SMALL(IF(ISERROR('Temp Hisfa'!H$3:H$200), "", ROW('Temp Hisfa'!H$3:H$200)-MIN(ROW('Temp Hisfa'!H$3:H$200))+1), ROW(73:272))),"")</f>
        <v/>
      </c>
      <c r="I75" s="22">
        <f t="array" ref="I75">IFERROR(INDEX('Temp Hisfa'!I$3:I$200, SMALL(IF(ISERROR('Temp Hisfa'!I$3:I$200), "", ROW('Temp Hisfa'!I$3:I$200)-MIN(ROW('Temp Hisfa'!I$3:I$200))+1), ROW(73:272))),"")</f>
        <v>0</v>
      </c>
      <c r="J75" s="22">
        <f t="array" ref="J75">IFERROR(INDEX('Temp Hisfa'!J$3:J$200, SMALL(IF(ISERROR('Temp Hisfa'!J$3:J$200), "", ROW('Temp Hisfa'!J$3:J$200)-MIN(ROW('Temp Hisfa'!J$3:J$200))+1), ROW(73:272))),"")</f>
        <v>0</v>
      </c>
      <c r="K75" s="30">
        <f t="array" ref="K75">IFERROR(INDEX('Temp Hisfa'!K$3:K$200, SMALL(IF(ISERROR('Temp Hisfa'!K$3:K$200), "", ROW('Temp Hisfa'!K$3:K$200)-MIN(ROW('Temp Hisfa'!K$3:K$200))+1), ROW(73:272))),"")</f>
        <v>0</v>
      </c>
      <c r="L75" s="22">
        <f t="array" ref="L75">IFERROR(INDEX('Temp Hisfa'!L$3:L$200, SMALL(IF(ISERROR('Temp Hisfa'!L$3:L$200), "", ROW('Temp Hisfa'!L$3:L$200)-MIN(ROW('Temp Hisfa'!L$3:L$200))+1), ROW(73:272))),"")</f>
        <v>0</v>
      </c>
      <c r="M75" s="22">
        <f t="array" ref="M75">IFERROR(INDEX('Temp Hisfa'!M$3:M$200, SMALL(IF(ISERROR('Temp Hisfa'!M$3:M$200), "", ROW('Temp Hisfa'!M$3:M$200)-MIN(ROW('Temp Hisfa'!M$3:M$200))+1), ROW(73:272))),"")</f>
        <v>0</v>
      </c>
      <c r="N75" s="22">
        <f t="array" ref="N75">IFERROR(INDEX('Temp Hisfa'!N$3:N$200, SMALL(IF(ISERROR('Temp Hisfa'!N$3:N$200), "", ROW('Temp Hisfa'!N$3:N$200)-MIN(ROW('Temp Hisfa'!N$3:N$200))+1), ROW(73:272))),"")</f>
        <v>1900</v>
      </c>
      <c r="O75" s="22" t="str">
        <f t="array" ref="O75">IFERROR(INDEX('Temp Hisfa'!O$3:O$200, SMALL(IF(ISERROR('Temp Hisfa'!O$3:O$200), "", ROW('Temp Hisfa'!O$3:O$200)-MIN(ROW('Temp Hisfa'!O$3:O$200))+1), ROW(73:272))),"")</f>
        <v>enero</v>
      </c>
      <c r="P75" s="22">
        <f t="array" ref="P75">IFERROR(INDEX('Temp Hisfa'!P$3:P$200, SMALL(IF(ISERROR('Temp Hisfa'!P$3:P$200), "", ROW('Temp Hisfa'!P$3:P$200)-MIN(ROW('Temp Hisfa'!P$3:P$200))+1), ROW(73:272))),"")</f>
        <v>0</v>
      </c>
      <c r="Q75" s="22">
        <f t="array" ref="Q75">IFERROR(INDEX('Temp Hisfa'!Q$3:Q$200, SMALL(IF(ISERROR('Temp Hisfa'!Q$3:Q$200), "", ROW('Temp Hisfa'!Q$3:Q$200)-MIN(ROW('Temp Hisfa'!Q$3:Q$200))+1), ROW(73:272))),"")</f>
        <v>0</v>
      </c>
      <c r="R75" s="22">
        <f t="array" ref="R75">IFERROR(INDEX('Temp Hisfa'!R$3:R$200, SMALL(IF(ISERROR('Temp Hisfa'!R$3:R$200), "", ROW('Temp Hisfa'!R$3:R$200)-MIN(ROW('Temp Hisfa'!R$3:R$200))+1), ROW(73:272))),"")</f>
        <v>0</v>
      </c>
      <c r="S75" s="22">
        <f t="array" ref="S75">IFERROR(INDEX('Temp Hisfa'!S$3:S$200, SMALL(IF(ISERROR('Temp Hisfa'!S$3:S$200), "", ROW('Temp Hisfa'!S$3:S$200)-MIN(ROW('Temp Hisfa'!S$3:S$200))+1), ROW(73:272))),"")</f>
        <v>0</v>
      </c>
      <c r="T75" s="22">
        <f t="array" ref="T75">IFERROR(INDEX('Temp Hisfa'!T$3:T$200, SMALL(IF(ISERROR('Temp Hisfa'!T$3:T$200), "", ROW('Temp Hisfa'!T$3:T$200)-MIN(ROW('Temp Hisfa'!T$3:T$200))+1), ROW(73:272))),"")</f>
        <v>0</v>
      </c>
      <c r="U75" s="22">
        <f t="array" ref="U75">IFERROR(INDEX('Temp Hisfa'!U$3:U$200, SMALL(IF(ISERROR('Temp Hisfa'!U$3:U$200), "", ROW('Temp Hisfa'!U$3:U$200)-MIN(ROW('Temp Hisfa'!U$3:U$200))+1), ROW(73:272))),"")</f>
        <v>0</v>
      </c>
      <c r="V75" s="22">
        <f t="array" ref="V75">IFERROR(INDEX('Temp Hisfa'!V$3:V$200, SMALL(IF(ISERROR('Temp Hisfa'!V$3:V$200), "", ROW('Temp Hisfa'!V$3:V$200)-MIN(ROW('Temp Hisfa'!V$3:V$200))+1), ROW(73:272))),"")</f>
        <v>0</v>
      </c>
      <c r="W75" s="22">
        <f t="array" ref="W75">IFERROR(INDEX('Temp Hisfa'!W$3:W$200, SMALL(IF(ISERROR('Temp Hisfa'!W$3:W$200), "", ROW('Temp Hisfa'!W$3:W$200)-MIN(ROW('Temp Hisfa'!W$3:W$200))+1), ROW(73:272))),"")</f>
        <v>0</v>
      </c>
      <c r="X75" s="22">
        <f t="array" ref="X75">IFERROR(INDEX('Temp Hisfa'!X$3:X$200, SMALL(IF(ISERROR('Temp Hisfa'!X$3:X$200), "", ROW('Temp Hisfa'!X$3:X$200)-MIN(ROW('Temp Hisfa'!X$3:X$200))+1), ROW(73:272))),"")</f>
        <v>0</v>
      </c>
      <c r="Y75" s="22">
        <f t="array" ref="Y75">IFERROR(INDEX('Temp Hisfa'!Y$3:Y$200, SMALL(IF(ISERROR('Temp Hisfa'!Y$3:Y$200), "", ROW('Temp Hisfa'!Y$3:Y$200)-MIN(ROW('Temp Hisfa'!Y$3:Y$200))+1), ROW(73:272))),"")</f>
        <v>0</v>
      </c>
      <c r="Z75" s="22">
        <f t="array" ref="Z75">IFERROR(INDEX('Temp Hisfa'!Z$3:Z$200, SMALL(IF(ISERROR('Temp Hisfa'!Z$3:Z$200), "", ROW('Temp Hisfa'!Z$3:Z$200)-MIN(ROW('Temp Hisfa'!Z$3:Z$200))+1), ROW(73:272))),"")</f>
        <v>0</v>
      </c>
      <c r="AA75" s="22">
        <f t="array" ref="AA75">IFERROR(INDEX('Temp Hisfa'!AA$3:AA$200, SMALL(IF(ISERROR('Temp Hisfa'!AA$3:AA$200), "", ROW('Temp Hisfa'!AA$3:AA$200)-MIN(ROW('Temp Hisfa'!AA$3:AA$200))+1), ROW(73:272))),"")</f>
        <v>0</v>
      </c>
      <c r="AB75" s="22">
        <f t="array" ref="AB75">IFERROR(INDEX('Temp Hisfa'!AB$3:AB$200, SMALL(IF(ISERROR('Temp Hisfa'!AB$3:AB$200), "", ROW('Temp Hisfa'!AB$3:AB$200)-MIN(ROW('Temp Hisfa'!AB$3:AB$200))+1), ROW(73:272))),"")</f>
        <v>0</v>
      </c>
      <c r="AD75" s="60" t="s">
        <v>76</v>
      </c>
      <c r="AE75" s="89">
        <f>IFERROR(AE74/AE72,0)</f>
        <v>0</v>
      </c>
    </row>
    <row r="76" spans="1:31" x14ac:dyDescent="0.3">
      <c r="A76" s="4">
        <f t="array" ref="A76">IFERROR(INDEX('Temp Hisfa'!A$3:A$200, SMALL(IF(ISERROR('Temp Hisfa'!A$3:A$200), "", ROW('Temp Hisfa'!A$3:A$200)-MIN(ROW('Temp Hisfa'!A$3:A$200))+1), ROW(74:272))),"")</f>
        <v>0</v>
      </c>
      <c r="B76" s="4">
        <f t="array" ref="B76">IFERROR(INDEX('Temp Hisfa'!B$3:B$200, SMALL(IF(ISERROR('Temp Hisfa'!B$3:B$200), "", ROW('Temp Hisfa'!B$3:B$200)-MIN(ROW('Temp Hisfa'!B$3:B$200))+1), ROW(74:272))),"")</f>
        <v>0</v>
      </c>
      <c r="C76" s="3">
        <f t="array" ref="C76">IFERROR(INDEX('Temp Hisfa'!C$3:C$200, SMALL(IF(ISERROR('Temp Hisfa'!C$3:C$200), "", ROW('Temp Hisfa'!C$3:C$200)-MIN(ROW('Temp Hisfa'!C$3:C$200))+1), ROW(74:272))),"")</f>
        <v>0</v>
      </c>
      <c r="D76" s="3">
        <f t="array" ref="D76">IFERROR(INDEX('Temp Hisfa'!D$3:D$200, SMALL(IF(ISERROR('Temp Hisfa'!D$3:D$200), "", ROW('Temp Hisfa'!D$3:D$200)-MIN(ROW('Temp Hisfa'!D$3:D$200))+1), ROW(74:272))),"")</f>
        <v>0</v>
      </c>
      <c r="E76" s="29">
        <f t="array" ref="E76">IFERROR(INDEX('Temp Hisfa'!E$3:E$200, SMALL(IF(ISERROR('Temp Hisfa'!E$3:E$200), "", ROW('Temp Hisfa'!E$3:E$200)-MIN(ROW('Temp Hisfa'!E$3:E$200))+1), ROW(74:273))),"")</f>
        <v>0</v>
      </c>
      <c r="F76" s="22" t="str">
        <f t="array" ref="F76">IFERROR(INDEX('Temp Hisfa'!F$3:F$200, SMALL(IF(ISERROR('Temp Hisfa'!F$3:F$200), "", ROW('Temp Hisfa'!F$3:F$200)-MIN(ROW('Temp Hisfa'!F$3:F$200))+1), ROW(74:273))),"")</f>
        <v/>
      </c>
      <c r="G76" s="30">
        <f t="array" ref="G76">IFERROR(INDEX('Temp Hisfa'!G$3:G$200, SMALL(IF(ISERROR('Temp Hisfa'!G$3:G$200), "", ROW('Temp Hisfa'!G$3:G$200)-MIN(ROW('Temp Hisfa'!G$3:G$200))+1), ROW(74:273))),"")</f>
        <v>0</v>
      </c>
      <c r="H76" s="22" t="str">
        <f t="array" ref="H76">IFERROR(INDEX('Temp Hisfa'!H$3:H$200, SMALL(IF(ISERROR('Temp Hisfa'!H$3:H$200), "", ROW('Temp Hisfa'!H$3:H$200)-MIN(ROW('Temp Hisfa'!H$3:H$200))+1), ROW(74:273))),"")</f>
        <v/>
      </c>
      <c r="I76" s="22">
        <f t="array" ref="I76">IFERROR(INDEX('Temp Hisfa'!I$3:I$200, SMALL(IF(ISERROR('Temp Hisfa'!I$3:I$200), "", ROW('Temp Hisfa'!I$3:I$200)-MIN(ROW('Temp Hisfa'!I$3:I$200))+1), ROW(74:273))),"")</f>
        <v>0</v>
      </c>
      <c r="J76" s="22">
        <f t="array" ref="J76">IFERROR(INDEX('Temp Hisfa'!J$3:J$200, SMALL(IF(ISERROR('Temp Hisfa'!J$3:J$200), "", ROW('Temp Hisfa'!J$3:J$200)-MIN(ROW('Temp Hisfa'!J$3:J$200))+1), ROW(74:273))),"")</f>
        <v>0</v>
      </c>
      <c r="K76" s="30">
        <f t="array" ref="K76">IFERROR(INDEX('Temp Hisfa'!K$3:K$200, SMALL(IF(ISERROR('Temp Hisfa'!K$3:K$200), "", ROW('Temp Hisfa'!K$3:K$200)-MIN(ROW('Temp Hisfa'!K$3:K$200))+1), ROW(74:273))),"")</f>
        <v>0</v>
      </c>
      <c r="L76" s="22">
        <f t="array" ref="L76">IFERROR(INDEX('Temp Hisfa'!L$3:L$200, SMALL(IF(ISERROR('Temp Hisfa'!L$3:L$200), "", ROW('Temp Hisfa'!L$3:L$200)-MIN(ROW('Temp Hisfa'!L$3:L$200))+1), ROW(74:273))),"")</f>
        <v>0</v>
      </c>
      <c r="M76" s="22">
        <f t="array" ref="M76">IFERROR(INDEX('Temp Hisfa'!M$3:M$200, SMALL(IF(ISERROR('Temp Hisfa'!M$3:M$200), "", ROW('Temp Hisfa'!M$3:M$200)-MIN(ROW('Temp Hisfa'!M$3:M$200))+1), ROW(74:273))),"")</f>
        <v>0</v>
      </c>
      <c r="N76" s="22">
        <f t="array" ref="N76">IFERROR(INDEX('Temp Hisfa'!N$3:N$200, SMALL(IF(ISERROR('Temp Hisfa'!N$3:N$200), "", ROW('Temp Hisfa'!N$3:N$200)-MIN(ROW('Temp Hisfa'!N$3:N$200))+1), ROW(74:273))),"")</f>
        <v>1900</v>
      </c>
      <c r="O76" s="22" t="str">
        <f t="array" ref="O76">IFERROR(INDEX('Temp Hisfa'!O$3:O$200, SMALL(IF(ISERROR('Temp Hisfa'!O$3:O$200), "", ROW('Temp Hisfa'!O$3:O$200)-MIN(ROW('Temp Hisfa'!O$3:O$200))+1), ROW(74:273))),"")</f>
        <v>enero</v>
      </c>
      <c r="P76" s="22">
        <f t="array" ref="P76">IFERROR(INDEX('Temp Hisfa'!P$3:P$200, SMALL(IF(ISERROR('Temp Hisfa'!P$3:P$200), "", ROW('Temp Hisfa'!P$3:P$200)-MIN(ROW('Temp Hisfa'!P$3:P$200))+1), ROW(74:273))),"")</f>
        <v>0</v>
      </c>
      <c r="Q76" s="22">
        <f t="array" ref="Q76">IFERROR(INDEX('Temp Hisfa'!Q$3:Q$200, SMALL(IF(ISERROR('Temp Hisfa'!Q$3:Q$200), "", ROW('Temp Hisfa'!Q$3:Q$200)-MIN(ROW('Temp Hisfa'!Q$3:Q$200))+1), ROW(74:273))),"")</f>
        <v>0</v>
      </c>
      <c r="R76" s="22">
        <f t="array" ref="R76">IFERROR(INDEX('Temp Hisfa'!R$3:R$200, SMALL(IF(ISERROR('Temp Hisfa'!R$3:R$200), "", ROW('Temp Hisfa'!R$3:R$200)-MIN(ROW('Temp Hisfa'!R$3:R$200))+1), ROW(74:273))),"")</f>
        <v>0</v>
      </c>
      <c r="S76" s="22">
        <f t="array" ref="S76">IFERROR(INDEX('Temp Hisfa'!S$3:S$200, SMALL(IF(ISERROR('Temp Hisfa'!S$3:S$200), "", ROW('Temp Hisfa'!S$3:S$200)-MIN(ROW('Temp Hisfa'!S$3:S$200))+1), ROW(74:273))),"")</f>
        <v>0</v>
      </c>
      <c r="T76" s="22">
        <f t="array" ref="T76">IFERROR(INDEX('Temp Hisfa'!T$3:T$200, SMALL(IF(ISERROR('Temp Hisfa'!T$3:T$200), "", ROW('Temp Hisfa'!T$3:T$200)-MIN(ROW('Temp Hisfa'!T$3:T$200))+1), ROW(74:273))),"")</f>
        <v>0</v>
      </c>
      <c r="U76" s="22">
        <f t="array" ref="U76">IFERROR(INDEX('Temp Hisfa'!U$3:U$200, SMALL(IF(ISERROR('Temp Hisfa'!U$3:U$200), "", ROW('Temp Hisfa'!U$3:U$200)-MIN(ROW('Temp Hisfa'!U$3:U$200))+1), ROW(74:273))),"")</f>
        <v>0</v>
      </c>
      <c r="V76" s="22">
        <f t="array" ref="V76">IFERROR(INDEX('Temp Hisfa'!V$3:V$200, SMALL(IF(ISERROR('Temp Hisfa'!V$3:V$200), "", ROW('Temp Hisfa'!V$3:V$200)-MIN(ROW('Temp Hisfa'!V$3:V$200))+1), ROW(74:273))),"")</f>
        <v>0</v>
      </c>
      <c r="W76" s="22">
        <f t="array" ref="W76">IFERROR(INDEX('Temp Hisfa'!W$3:W$200, SMALL(IF(ISERROR('Temp Hisfa'!W$3:W$200), "", ROW('Temp Hisfa'!W$3:W$200)-MIN(ROW('Temp Hisfa'!W$3:W$200))+1), ROW(74:273))),"")</f>
        <v>0</v>
      </c>
      <c r="X76" s="22">
        <f t="array" ref="X76">IFERROR(INDEX('Temp Hisfa'!X$3:X$200, SMALL(IF(ISERROR('Temp Hisfa'!X$3:X$200), "", ROW('Temp Hisfa'!X$3:X$200)-MIN(ROW('Temp Hisfa'!X$3:X$200))+1), ROW(74:273))),"")</f>
        <v>0</v>
      </c>
      <c r="Y76" s="22">
        <f t="array" ref="Y76">IFERROR(INDEX('Temp Hisfa'!Y$3:Y$200, SMALL(IF(ISERROR('Temp Hisfa'!Y$3:Y$200), "", ROW('Temp Hisfa'!Y$3:Y$200)-MIN(ROW('Temp Hisfa'!Y$3:Y$200))+1), ROW(74:273))),"")</f>
        <v>0</v>
      </c>
      <c r="Z76" s="22">
        <f t="array" ref="Z76">IFERROR(INDEX('Temp Hisfa'!Z$3:Z$200, SMALL(IF(ISERROR('Temp Hisfa'!Z$3:Z$200), "", ROW('Temp Hisfa'!Z$3:Z$200)-MIN(ROW('Temp Hisfa'!Z$3:Z$200))+1), ROW(74:273))),"")</f>
        <v>0</v>
      </c>
      <c r="AA76" s="22">
        <f t="array" ref="AA76">IFERROR(INDEX('Temp Hisfa'!AA$3:AA$200, SMALL(IF(ISERROR('Temp Hisfa'!AA$3:AA$200), "", ROW('Temp Hisfa'!AA$3:AA$200)-MIN(ROW('Temp Hisfa'!AA$3:AA$200))+1), ROW(74:273))),"")</f>
        <v>0</v>
      </c>
      <c r="AB76" s="22">
        <f t="array" ref="AB76">IFERROR(INDEX('Temp Hisfa'!AB$3:AB$200, SMALL(IF(ISERROR('Temp Hisfa'!AB$3:AB$200), "", ROW('Temp Hisfa'!AB$3:AB$200)-MIN(ROW('Temp Hisfa'!AB$3:AB$200))+1), ROW(74:273))),"")</f>
        <v>0</v>
      </c>
    </row>
    <row r="77" spans="1:31" x14ac:dyDescent="0.3">
      <c r="A77" s="4">
        <f t="array" ref="A77">IFERROR(INDEX('Temp Hisfa'!A$3:A$200, SMALL(IF(ISERROR('Temp Hisfa'!A$3:A$200), "", ROW('Temp Hisfa'!A$3:A$200)-MIN(ROW('Temp Hisfa'!A$3:A$200))+1), ROW(75:273))),"")</f>
        <v>0</v>
      </c>
      <c r="B77" s="4">
        <f t="array" ref="B77">IFERROR(INDEX('Temp Hisfa'!B$3:B$200, SMALL(IF(ISERROR('Temp Hisfa'!B$3:B$200), "", ROW('Temp Hisfa'!B$3:B$200)-MIN(ROW('Temp Hisfa'!B$3:B$200))+1), ROW(75:273))),"")</f>
        <v>0</v>
      </c>
      <c r="C77" s="3">
        <f t="array" ref="C77">IFERROR(INDEX('Temp Hisfa'!C$3:C$200, SMALL(IF(ISERROR('Temp Hisfa'!C$3:C$200), "", ROW('Temp Hisfa'!C$3:C$200)-MIN(ROW('Temp Hisfa'!C$3:C$200))+1), ROW(75:273))),"")</f>
        <v>0</v>
      </c>
      <c r="D77" s="3">
        <f t="array" ref="D77">IFERROR(INDEX('Temp Hisfa'!D$3:D$200, SMALL(IF(ISERROR('Temp Hisfa'!D$3:D$200), "", ROW('Temp Hisfa'!D$3:D$200)-MIN(ROW('Temp Hisfa'!D$3:D$200))+1), ROW(75:273))),"")</f>
        <v>0</v>
      </c>
      <c r="E77" s="29">
        <f t="array" ref="E77">IFERROR(INDEX('Temp Hisfa'!E$3:E$200, SMALL(IF(ISERROR('Temp Hisfa'!E$3:E$200), "", ROW('Temp Hisfa'!E$3:E$200)-MIN(ROW('Temp Hisfa'!E$3:E$200))+1), ROW(75:274))),"")</f>
        <v>0</v>
      </c>
      <c r="F77" s="22" t="str">
        <f t="array" ref="F77">IFERROR(INDEX('Temp Hisfa'!F$3:F$200, SMALL(IF(ISERROR('Temp Hisfa'!F$3:F$200), "", ROW('Temp Hisfa'!F$3:F$200)-MIN(ROW('Temp Hisfa'!F$3:F$200))+1), ROW(75:274))),"")</f>
        <v/>
      </c>
      <c r="G77" s="30">
        <f t="array" ref="G77">IFERROR(INDEX('Temp Hisfa'!G$3:G$200, SMALL(IF(ISERROR('Temp Hisfa'!G$3:G$200), "", ROW('Temp Hisfa'!G$3:G$200)-MIN(ROW('Temp Hisfa'!G$3:G$200))+1), ROW(75:274))),"")</f>
        <v>0</v>
      </c>
      <c r="H77" s="22" t="str">
        <f t="array" ref="H77">IFERROR(INDEX('Temp Hisfa'!H$3:H$200, SMALL(IF(ISERROR('Temp Hisfa'!H$3:H$200), "", ROW('Temp Hisfa'!H$3:H$200)-MIN(ROW('Temp Hisfa'!H$3:H$200))+1), ROW(75:274))),"")</f>
        <v/>
      </c>
      <c r="I77" s="22">
        <f t="array" ref="I77">IFERROR(INDEX('Temp Hisfa'!I$3:I$200, SMALL(IF(ISERROR('Temp Hisfa'!I$3:I$200), "", ROW('Temp Hisfa'!I$3:I$200)-MIN(ROW('Temp Hisfa'!I$3:I$200))+1), ROW(75:274))),"")</f>
        <v>0</v>
      </c>
      <c r="J77" s="22">
        <f t="array" ref="J77">IFERROR(INDEX('Temp Hisfa'!J$3:J$200, SMALL(IF(ISERROR('Temp Hisfa'!J$3:J$200), "", ROW('Temp Hisfa'!J$3:J$200)-MIN(ROW('Temp Hisfa'!J$3:J$200))+1), ROW(75:274))),"")</f>
        <v>0</v>
      </c>
      <c r="K77" s="30">
        <f t="array" ref="K77">IFERROR(INDEX('Temp Hisfa'!K$3:K$200, SMALL(IF(ISERROR('Temp Hisfa'!K$3:K$200), "", ROW('Temp Hisfa'!K$3:K$200)-MIN(ROW('Temp Hisfa'!K$3:K$200))+1), ROW(75:274))),"")</f>
        <v>0</v>
      </c>
      <c r="L77" s="22">
        <f t="array" ref="L77">IFERROR(INDEX('Temp Hisfa'!L$3:L$200, SMALL(IF(ISERROR('Temp Hisfa'!L$3:L$200), "", ROW('Temp Hisfa'!L$3:L$200)-MIN(ROW('Temp Hisfa'!L$3:L$200))+1), ROW(75:274))),"")</f>
        <v>0</v>
      </c>
      <c r="M77" s="22">
        <f t="array" ref="M77">IFERROR(INDEX('Temp Hisfa'!M$3:M$200, SMALL(IF(ISERROR('Temp Hisfa'!M$3:M$200), "", ROW('Temp Hisfa'!M$3:M$200)-MIN(ROW('Temp Hisfa'!M$3:M$200))+1), ROW(75:274))),"")</f>
        <v>0</v>
      </c>
      <c r="N77" s="22">
        <f t="array" ref="N77">IFERROR(INDEX('Temp Hisfa'!N$3:N$200, SMALL(IF(ISERROR('Temp Hisfa'!N$3:N$200), "", ROW('Temp Hisfa'!N$3:N$200)-MIN(ROW('Temp Hisfa'!N$3:N$200))+1), ROW(75:274))),"")</f>
        <v>1900</v>
      </c>
      <c r="O77" s="22" t="str">
        <f t="array" ref="O77">IFERROR(INDEX('Temp Hisfa'!O$3:O$200, SMALL(IF(ISERROR('Temp Hisfa'!O$3:O$200), "", ROW('Temp Hisfa'!O$3:O$200)-MIN(ROW('Temp Hisfa'!O$3:O$200))+1), ROW(75:274))),"")</f>
        <v>enero</v>
      </c>
      <c r="P77" s="22">
        <f t="array" ref="P77">IFERROR(INDEX('Temp Hisfa'!P$3:P$200, SMALL(IF(ISERROR('Temp Hisfa'!P$3:P$200), "", ROW('Temp Hisfa'!P$3:P$200)-MIN(ROW('Temp Hisfa'!P$3:P$200))+1), ROW(75:274))),"")</f>
        <v>0</v>
      </c>
      <c r="Q77" s="22">
        <f t="array" ref="Q77">IFERROR(INDEX('Temp Hisfa'!Q$3:Q$200, SMALL(IF(ISERROR('Temp Hisfa'!Q$3:Q$200), "", ROW('Temp Hisfa'!Q$3:Q$200)-MIN(ROW('Temp Hisfa'!Q$3:Q$200))+1), ROW(75:274))),"")</f>
        <v>0</v>
      </c>
      <c r="R77" s="22">
        <f t="array" ref="R77">IFERROR(INDEX('Temp Hisfa'!R$3:R$200, SMALL(IF(ISERROR('Temp Hisfa'!R$3:R$200), "", ROW('Temp Hisfa'!R$3:R$200)-MIN(ROW('Temp Hisfa'!R$3:R$200))+1), ROW(75:274))),"")</f>
        <v>0</v>
      </c>
      <c r="S77" s="22">
        <f t="array" ref="S77">IFERROR(INDEX('Temp Hisfa'!S$3:S$200, SMALL(IF(ISERROR('Temp Hisfa'!S$3:S$200), "", ROW('Temp Hisfa'!S$3:S$200)-MIN(ROW('Temp Hisfa'!S$3:S$200))+1), ROW(75:274))),"")</f>
        <v>0</v>
      </c>
      <c r="T77" s="22">
        <f t="array" ref="T77">IFERROR(INDEX('Temp Hisfa'!T$3:T$200, SMALL(IF(ISERROR('Temp Hisfa'!T$3:T$200), "", ROW('Temp Hisfa'!T$3:T$200)-MIN(ROW('Temp Hisfa'!T$3:T$200))+1), ROW(75:274))),"")</f>
        <v>0</v>
      </c>
      <c r="U77" s="22">
        <f t="array" ref="U77">IFERROR(INDEX('Temp Hisfa'!U$3:U$200, SMALL(IF(ISERROR('Temp Hisfa'!U$3:U$200), "", ROW('Temp Hisfa'!U$3:U$200)-MIN(ROW('Temp Hisfa'!U$3:U$200))+1), ROW(75:274))),"")</f>
        <v>0</v>
      </c>
      <c r="V77" s="22">
        <f t="array" ref="V77">IFERROR(INDEX('Temp Hisfa'!V$3:V$200, SMALL(IF(ISERROR('Temp Hisfa'!V$3:V$200), "", ROW('Temp Hisfa'!V$3:V$200)-MIN(ROW('Temp Hisfa'!V$3:V$200))+1), ROW(75:274))),"")</f>
        <v>0</v>
      </c>
      <c r="W77" s="22">
        <f t="array" ref="W77">IFERROR(INDEX('Temp Hisfa'!W$3:W$200, SMALL(IF(ISERROR('Temp Hisfa'!W$3:W$200), "", ROW('Temp Hisfa'!W$3:W$200)-MIN(ROW('Temp Hisfa'!W$3:W$200))+1), ROW(75:274))),"")</f>
        <v>0</v>
      </c>
      <c r="X77" s="22">
        <f t="array" ref="X77">IFERROR(INDEX('Temp Hisfa'!X$3:X$200, SMALL(IF(ISERROR('Temp Hisfa'!X$3:X$200), "", ROW('Temp Hisfa'!X$3:X$200)-MIN(ROW('Temp Hisfa'!X$3:X$200))+1), ROW(75:274))),"")</f>
        <v>0</v>
      </c>
      <c r="Y77" s="22">
        <f t="array" ref="Y77">IFERROR(INDEX('Temp Hisfa'!Y$3:Y$200, SMALL(IF(ISERROR('Temp Hisfa'!Y$3:Y$200), "", ROW('Temp Hisfa'!Y$3:Y$200)-MIN(ROW('Temp Hisfa'!Y$3:Y$200))+1), ROW(75:274))),"")</f>
        <v>0</v>
      </c>
      <c r="Z77" s="22">
        <f t="array" ref="Z77">IFERROR(INDEX('Temp Hisfa'!Z$3:Z$200, SMALL(IF(ISERROR('Temp Hisfa'!Z$3:Z$200), "", ROW('Temp Hisfa'!Z$3:Z$200)-MIN(ROW('Temp Hisfa'!Z$3:Z$200))+1), ROW(75:274))),"")</f>
        <v>0</v>
      </c>
      <c r="AA77" s="22">
        <f t="array" ref="AA77">IFERROR(INDEX('Temp Hisfa'!AA$3:AA$200, SMALL(IF(ISERROR('Temp Hisfa'!AA$3:AA$200), "", ROW('Temp Hisfa'!AA$3:AA$200)-MIN(ROW('Temp Hisfa'!AA$3:AA$200))+1), ROW(75:274))),"")</f>
        <v>0</v>
      </c>
      <c r="AB77" s="22">
        <f t="array" ref="AB77">IFERROR(INDEX('Temp Hisfa'!AB$3:AB$200, SMALL(IF(ISERROR('Temp Hisfa'!AB$3:AB$200), "", ROW('Temp Hisfa'!AB$3:AB$200)-MIN(ROW('Temp Hisfa'!AB$3:AB$200))+1), ROW(75:274))),"")</f>
        <v>0</v>
      </c>
      <c r="AD77" s="111" t="s">
        <v>163</v>
      </c>
      <c r="AE77" s="111"/>
    </row>
    <row r="78" spans="1:31" x14ac:dyDescent="0.3">
      <c r="A78" s="4">
        <f t="array" ref="A78">IFERROR(INDEX('Temp Hisfa'!A$3:A$200, SMALL(IF(ISERROR('Temp Hisfa'!A$3:A$200), "", ROW('Temp Hisfa'!A$3:A$200)-MIN(ROW('Temp Hisfa'!A$3:A$200))+1), ROW(76:274))),"")</f>
        <v>0</v>
      </c>
      <c r="B78" s="4">
        <f t="array" ref="B78">IFERROR(INDEX('Temp Hisfa'!B$3:B$200, SMALL(IF(ISERROR('Temp Hisfa'!B$3:B$200), "", ROW('Temp Hisfa'!B$3:B$200)-MIN(ROW('Temp Hisfa'!B$3:B$200))+1), ROW(76:274))),"")</f>
        <v>0</v>
      </c>
      <c r="C78" s="3">
        <f t="array" ref="C78">IFERROR(INDEX('Temp Hisfa'!C$3:C$200, SMALL(IF(ISERROR('Temp Hisfa'!C$3:C$200), "", ROW('Temp Hisfa'!C$3:C$200)-MIN(ROW('Temp Hisfa'!C$3:C$200))+1), ROW(76:274))),"")</f>
        <v>0</v>
      </c>
      <c r="D78" s="3">
        <f t="array" ref="D78">IFERROR(INDEX('Temp Hisfa'!D$3:D$200, SMALL(IF(ISERROR('Temp Hisfa'!D$3:D$200), "", ROW('Temp Hisfa'!D$3:D$200)-MIN(ROW('Temp Hisfa'!D$3:D$200))+1), ROW(76:274))),"")</f>
        <v>0</v>
      </c>
      <c r="E78" s="29">
        <f t="array" ref="E78">IFERROR(INDEX('Temp Hisfa'!E$3:E$200, SMALL(IF(ISERROR('Temp Hisfa'!E$3:E$200), "", ROW('Temp Hisfa'!E$3:E$200)-MIN(ROW('Temp Hisfa'!E$3:E$200))+1), ROW(76:275))),"")</f>
        <v>0</v>
      </c>
      <c r="F78" s="22" t="str">
        <f t="array" ref="F78">IFERROR(INDEX('Temp Hisfa'!F$3:F$200, SMALL(IF(ISERROR('Temp Hisfa'!F$3:F$200), "", ROW('Temp Hisfa'!F$3:F$200)-MIN(ROW('Temp Hisfa'!F$3:F$200))+1), ROW(76:275))),"")</f>
        <v/>
      </c>
      <c r="G78" s="30">
        <f t="array" ref="G78">IFERROR(INDEX('Temp Hisfa'!G$3:G$200, SMALL(IF(ISERROR('Temp Hisfa'!G$3:G$200), "", ROW('Temp Hisfa'!G$3:G$200)-MIN(ROW('Temp Hisfa'!G$3:G$200))+1), ROW(76:275))),"")</f>
        <v>0</v>
      </c>
      <c r="H78" s="22" t="str">
        <f t="array" ref="H78">IFERROR(INDEX('Temp Hisfa'!H$3:H$200, SMALL(IF(ISERROR('Temp Hisfa'!H$3:H$200), "", ROW('Temp Hisfa'!H$3:H$200)-MIN(ROW('Temp Hisfa'!H$3:H$200))+1), ROW(76:275))),"")</f>
        <v/>
      </c>
      <c r="I78" s="22">
        <f t="array" ref="I78">IFERROR(INDEX('Temp Hisfa'!I$3:I$200, SMALL(IF(ISERROR('Temp Hisfa'!I$3:I$200), "", ROW('Temp Hisfa'!I$3:I$200)-MIN(ROW('Temp Hisfa'!I$3:I$200))+1), ROW(76:275))),"")</f>
        <v>0</v>
      </c>
      <c r="J78" s="22">
        <f t="array" ref="J78">IFERROR(INDEX('Temp Hisfa'!J$3:J$200, SMALL(IF(ISERROR('Temp Hisfa'!J$3:J$200), "", ROW('Temp Hisfa'!J$3:J$200)-MIN(ROW('Temp Hisfa'!J$3:J$200))+1), ROW(76:275))),"")</f>
        <v>0</v>
      </c>
      <c r="K78" s="30">
        <f t="array" ref="K78">IFERROR(INDEX('Temp Hisfa'!K$3:K$200, SMALL(IF(ISERROR('Temp Hisfa'!K$3:K$200), "", ROW('Temp Hisfa'!K$3:K$200)-MIN(ROW('Temp Hisfa'!K$3:K$200))+1), ROW(76:275))),"")</f>
        <v>0</v>
      </c>
      <c r="L78" s="22">
        <f t="array" ref="L78">IFERROR(INDEX('Temp Hisfa'!L$3:L$200, SMALL(IF(ISERROR('Temp Hisfa'!L$3:L$200), "", ROW('Temp Hisfa'!L$3:L$200)-MIN(ROW('Temp Hisfa'!L$3:L$200))+1), ROW(76:275))),"")</f>
        <v>0</v>
      </c>
      <c r="M78" s="22">
        <f t="array" ref="M78">IFERROR(INDEX('Temp Hisfa'!M$3:M$200, SMALL(IF(ISERROR('Temp Hisfa'!M$3:M$200), "", ROW('Temp Hisfa'!M$3:M$200)-MIN(ROW('Temp Hisfa'!M$3:M$200))+1), ROW(76:275))),"")</f>
        <v>0</v>
      </c>
      <c r="N78" s="22">
        <f t="array" ref="N78">IFERROR(INDEX('Temp Hisfa'!N$3:N$200, SMALL(IF(ISERROR('Temp Hisfa'!N$3:N$200), "", ROW('Temp Hisfa'!N$3:N$200)-MIN(ROW('Temp Hisfa'!N$3:N$200))+1), ROW(76:275))),"")</f>
        <v>1900</v>
      </c>
      <c r="O78" s="22" t="str">
        <f t="array" ref="O78">IFERROR(INDEX('Temp Hisfa'!O$3:O$200, SMALL(IF(ISERROR('Temp Hisfa'!O$3:O$200), "", ROW('Temp Hisfa'!O$3:O$200)-MIN(ROW('Temp Hisfa'!O$3:O$200))+1), ROW(76:275))),"")</f>
        <v>enero</v>
      </c>
      <c r="P78" s="22">
        <f t="array" ref="P78">IFERROR(INDEX('Temp Hisfa'!P$3:P$200, SMALL(IF(ISERROR('Temp Hisfa'!P$3:P$200), "", ROW('Temp Hisfa'!P$3:P$200)-MIN(ROW('Temp Hisfa'!P$3:P$200))+1), ROW(76:275))),"")</f>
        <v>0</v>
      </c>
      <c r="Q78" s="22">
        <f t="array" ref="Q78">IFERROR(INDEX('Temp Hisfa'!Q$3:Q$200, SMALL(IF(ISERROR('Temp Hisfa'!Q$3:Q$200), "", ROW('Temp Hisfa'!Q$3:Q$200)-MIN(ROW('Temp Hisfa'!Q$3:Q$200))+1), ROW(76:275))),"")</f>
        <v>0</v>
      </c>
      <c r="R78" s="22">
        <f t="array" ref="R78">IFERROR(INDEX('Temp Hisfa'!R$3:R$200, SMALL(IF(ISERROR('Temp Hisfa'!R$3:R$200), "", ROW('Temp Hisfa'!R$3:R$200)-MIN(ROW('Temp Hisfa'!R$3:R$200))+1), ROW(76:275))),"")</f>
        <v>0</v>
      </c>
      <c r="S78" s="22">
        <f t="array" ref="S78">IFERROR(INDEX('Temp Hisfa'!S$3:S$200, SMALL(IF(ISERROR('Temp Hisfa'!S$3:S$200), "", ROW('Temp Hisfa'!S$3:S$200)-MIN(ROW('Temp Hisfa'!S$3:S$200))+1), ROW(76:275))),"")</f>
        <v>0</v>
      </c>
      <c r="T78" s="22">
        <f t="array" ref="T78">IFERROR(INDEX('Temp Hisfa'!T$3:T$200, SMALL(IF(ISERROR('Temp Hisfa'!T$3:T$200), "", ROW('Temp Hisfa'!T$3:T$200)-MIN(ROW('Temp Hisfa'!T$3:T$200))+1), ROW(76:275))),"")</f>
        <v>0</v>
      </c>
      <c r="U78" s="22">
        <f t="array" ref="U78">IFERROR(INDEX('Temp Hisfa'!U$3:U$200, SMALL(IF(ISERROR('Temp Hisfa'!U$3:U$200), "", ROW('Temp Hisfa'!U$3:U$200)-MIN(ROW('Temp Hisfa'!U$3:U$200))+1), ROW(76:275))),"")</f>
        <v>0</v>
      </c>
      <c r="V78" s="22">
        <f t="array" ref="V78">IFERROR(INDEX('Temp Hisfa'!V$3:V$200, SMALL(IF(ISERROR('Temp Hisfa'!V$3:V$200), "", ROW('Temp Hisfa'!V$3:V$200)-MIN(ROW('Temp Hisfa'!V$3:V$200))+1), ROW(76:275))),"")</f>
        <v>0</v>
      </c>
      <c r="W78" s="22">
        <f t="array" ref="W78">IFERROR(INDEX('Temp Hisfa'!W$3:W$200, SMALL(IF(ISERROR('Temp Hisfa'!W$3:W$200), "", ROW('Temp Hisfa'!W$3:W$200)-MIN(ROW('Temp Hisfa'!W$3:W$200))+1), ROW(76:275))),"")</f>
        <v>0</v>
      </c>
      <c r="X78" s="22">
        <f t="array" ref="X78">IFERROR(INDEX('Temp Hisfa'!X$3:X$200, SMALL(IF(ISERROR('Temp Hisfa'!X$3:X$200), "", ROW('Temp Hisfa'!X$3:X$200)-MIN(ROW('Temp Hisfa'!X$3:X$200))+1), ROW(76:275))),"")</f>
        <v>0</v>
      </c>
      <c r="Y78" s="22">
        <f t="array" ref="Y78">IFERROR(INDEX('Temp Hisfa'!Y$3:Y$200, SMALL(IF(ISERROR('Temp Hisfa'!Y$3:Y$200), "", ROW('Temp Hisfa'!Y$3:Y$200)-MIN(ROW('Temp Hisfa'!Y$3:Y$200))+1), ROW(76:275))),"")</f>
        <v>0</v>
      </c>
      <c r="Z78" s="22">
        <f t="array" ref="Z78">IFERROR(INDEX('Temp Hisfa'!Z$3:Z$200, SMALL(IF(ISERROR('Temp Hisfa'!Z$3:Z$200), "", ROW('Temp Hisfa'!Z$3:Z$200)-MIN(ROW('Temp Hisfa'!Z$3:Z$200))+1), ROW(76:275))),"")</f>
        <v>0</v>
      </c>
      <c r="AA78" s="22">
        <f t="array" ref="AA78">IFERROR(INDEX('Temp Hisfa'!AA$3:AA$200, SMALL(IF(ISERROR('Temp Hisfa'!AA$3:AA$200), "", ROW('Temp Hisfa'!AA$3:AA$200)-MIN(ROW('Temp Hisfa'!AA$3:AA$200))+1), ROW(76:275))),"")</f>
        <v>0</v>
      </c>
      <c r="AB78" s="22">
        <f t="array" ref="AB78">IFERROR(INDEX('Temp Hisfa'!AB$3:AB$200, SMALL(IF(ISERROR('Temp Hisfa'!AB$3:AB$200), "", ROW('Temp Hisfa'!AB$3:AB$200)-MIN(ROW('Temp Hisfa'!AB$3:AB$200))+1), ROW(76:275))),"")</f>
        <v>0</v>
      </c>
      <c r="AD78" s="4" t="s">
        <v>49</v>
      </c>
      <c r="AE78" s="4" t="s">
        <v>50</v>
      </c>
    </row>
    <row r="79" spans="1:31" x14ac:dyDescent="0.3">
      <c r="A79" s="4">
        <f t="array" ref="A79">IFERROR(INDEX('Temp Hisfa'!A$3:A$200, SMALL(IF(ISERROR('Temp Hisfa'!A$3:A$200), "", ROW('Temp Hisfa'!A$3:A$200)-MIN(ROW('Temp Hisfa'!A$3:A$200))+1), ROW(77:275))),"")</f>
        <v>0</v>
      </c>
      <c r="B79" s="4">
        <f t="array" ref="B79">IFERROR(INDEX('Temp Hisfa'!B$3:B$200, SMALL(IF(ISERROR('Temp Hisfa'!B$3:B$200), "", ROW('Temp Hisfa'!B$3:B$200)-MIN(ROW('Temp Hisfa'!B$3:B$200))+1), ROW(77:275))),"")</f>
        <v>0</v>
      </c>
      <c r="C79" s="3">
        <f t="array" ref="C79">IFERROR(INDEX('Temp Hisfa'!C$3:C$200, SMALL(IF(ISERROR('Temp Hisfa'!C$3:C$200), "", ROW('Temp Hisfa'!C$3:C$200)-MIN(ROW('Temp Hisfa'!C$3:C$200))+1), ROW(77:275))),"")</f>
        <v>0</v>
      </c>
      <c r="D79" s="3">
        <f t="array" ref="D79">IFERROR(INDEX('Temp Hisfa'!D$3:D$200, SMALL(IF(ISERROR('Temp Hisfa'!D$3:D$200), "", ROW('Temp Hisfa'!D$3:D$200)-MIN(ROW('Temp Hisfa'!D$3:D$200))+1), ROW(77:275))),"")</f>
        <v>0</v>
      </c>
      <c r="E79" s="29">
        <f t="array" ref="E79">IFERROR(INDEX('Temp Hisfa'!E$3:E$200, SMALL(IF(ISERROR('Temp Hisfa'!E$3:E$200), "", ROW('Temp Hisfa'!E$3:E$200)-MIN(ROW('Temp Hisfa'!E$3:E$200))+1), ROW(77:276))),"")</f>
        <v>0</v>
      </c>
      <c r="F79" s="22" t="str">
        <f t="array" ref="F79">IFERROR(INDEX('Temp Hisfa'!F$3:F$200, SMALL(IF(ISERROR('Temp Hisfa'!F$3:F$200), "", ROW('Temp Hisfa'!F$3:F$200)-MIN(ROW('Temp Hisfa'!F$3:F$200))+1), ROW(77:276))),"")</f>
        <v/>
      </c>
      <c r="G79" s="30">
        <f t="array" ref="G79">IFERROR(INDEX('Temp Hisfa'!G$3:G$200, SMALL(IF(ISERROR('Temp Hisfa'!G$3:G$200), "", ROW('Temp Hisfa'!G$3:G$200)-MIN(ROW('Temp Hisfa'!G$3:G$200))+1), ROW(77:276))),"")</f>
        <v>0</v>
      </c>
      <c r="H79" s="22" t="str">
        <f t="array" ref="H79">IFERROR(INDEX('Temp Hisfa'!H$3:H$200, SMALL(IF(ISERROR('Temp Hisfa'!H$3:H$200), "", ROW('Temp Hisfa'!H$3:H$200)-MIN(ROW('Temp Hisfa'!H$3:H$200))+1), ROW(77:276))),"")</f>
        <v/>
      </c>
      <c r="I79" s="22">
        <f t="array" ref="I79">IFERROR(INDEX('Temp Hisfa'!I$3:I$200, SMALL(IF(ISERROR('Temp Hisfa'!I$3:I$200), "", ROW('Temp Hisfa'!I$3:I$200)-MIN(ROW('Temp Hisfa'!I$3:I$200))+1), ROW(77:276))),"")</f>
        <v>0</v>
      </c>
      <c r="J79" s="22">
        <f t="array" ref="J79">IFERROR(INDEX('Temp Hisfa'!J$3:J$200, SMALL(IF(ISERROR('Temp Hisfa'!J$3:J$200), "", ROW('Temp Hisfa'!J$3:J$200)-MIN(ROW('Temp Hisfa'!J$3:J$200))+1), ROW(77:276))),"")</f>
        <v>0</v>
      </c>
      <c r="K79" s="30">
        <f t="array" ref="K79">IFERROR(INDEX('Temp Hisfa'!K$3:K$200, SMALL(IF(ISERROR('Temp Hisfa'!K$3:K$200), "", ROW('Temp Hisfa'!K$3:K$200)-MIN(ROW('Temp Hisfa'!K$3:K$200))+1), ROW(77:276))),"")</f>
        <v>0</v>
      </c>
      <c r="L79" s="22">
        <f t="array" ref="L79">IFERROR(INDEX('Temp Hisfa'!L$3:L$200, SMALL(IF(ISERROR('Temp Hisfa'!L$3:L$200), "", ROW('Temp Hisfa'!L$3:L$200)-MIN(ROW('Temp Hisfa'!L$3:L$200))+1), ROW(77:276))),"")</f>
        <v>0</v>
      </c>
      <c r="M79" s="22">
        <f t="array" ref="M79">IFERROR(INDEX('Temp Hisfa'!M$3:M$200, SMALL(IF(ISERROR('Temp Hisfa'!M$3:M$200), "", ROW('Temp Hisfa'!M$3:M$200)-MIN(ROW('Temp Hisfa'!M$3:M$200))+1), ROW(77:276))),"")</f>
        <v>0</v>
      </c>
      <c r="N79" s="22">
        <f t="array" ref="N79">IFERROR(INDEX('Temp Hisfa'!N$3:N$200, SMALL(IF(ISERROR('Temp Hisfa'!N$3:N$200), "", ROW('Temp Hisfa'!N$3:N$200)-MIN(ROW('Temp Hisfa'!N$3:N$200))+1), ROW(77:276))),"")</f>
        <v>1900</v>
      </c>
      <c r="O79" s="22" t="str">
        <f t="array" ref="O79">IFERROR(INDEX('Temp Hisfa'!O$3:O$200, SMALL(IF(ISERROR('Temp Hisfa'!O$3:O$200), "", ROW('Temp Hisfa'!O$3:O$200)-MIN(ROW('Temp Hisfa'!O$3:O$200))+1), ROW(77:276))),"")</f>
        <v>enero</v>
      </c>
      <c r="P79" s="22">
        <f t="array" ref="P79">IFERROR(INDEX('Temp Hisfa'!P$3:P$200, SMALL(IF(ISERROR('Temp Hisfa'!P$3:P$200), "", ROW('Temp Hisfa'!P$3:P$200)-MIN(ROW('Temp Hisfa'!P$3:P$200))+1), ROW(77:276))),"")</f>
        <v>0</v>
      </c>
      <c r="Q79" s="22">
        <f t="array" ref="Q79">IFERROR(INDEX('Temp Hisfa'!Q$3:Q$200, SMALL(IF(ISERROR('Temp Hisfa'!Q$3:Q$200), "", ROW('Temp Hisfa'!Q$3:Q$200)-MIN(ROW('Temp Hisfa'!Q$3:Q$200))+1), ROW(77:276))),"")</f>
        <v>0</v>
      </c>
      <c r="R79" s="22">
        <f t="array" ref="R79">IFERROR(INDEX('Temp Hisfa'!R$3:R$200, SMALL(IF(ISERROR('Temp Hisfa'!R$3:R$200), "", ROW('Temp Hisfa'!R$3:R$200)-MIN(ROW('Temp Hisfa'!R$3:R$200))+1), ROW(77:276))),"")</f>
        <v>0</v>
      </c>
      <c r="S79" s="22">
        <f t="array" ref="S79">IFERROR(INDEX('Temp Hisfa'!S$3:S$200, SMALL(IF(ISERROR('Temp Hisfa'!S$3:S$200), "", ROW('Temp Hisfa'!S$3:S$200)-MIN(ROW('Temp Hisfa'!S$3:S$200))+1), ROW(77:276))),"")</f>
        <v>0</v>
      </c>
      <c r="T79" s="22">
        <f t="array" ref="T79">IFERROR(INDEX('Temp Hisfa'!T$3:T$200, SMALL(IF(ISERROR('Temp Hisfa'!T$3:T$200), "", ROW('Temp Hisfa'!T$3:T$200)-MIN(ROW('Temp Hisfa'!T$3:T$200))+1), ROW(77:276))),"")</f>
        <v>0</v>
      </c>
      <c r="U79" s="22">
        <f t="array" ref="U79">IFERROR(INDEX('Temp Hisfa'!U$3:U$200, SMALL(IF(ISERROR('Temp Hisfa'!U$3:U$200), "", ROW('Temp Hisfa'!U$3:U$200)-MIN(ROW('Temp Hisfa'!U$3:U$200))+1), ROW(77:276))),"")</f>
        <v>0</v>
      </c>
      <c r="V79" s="22">
        <f t="array" ref="V79">IFERROR(INDEX('Temp Hisfa'!V$3:V$200, SMALL(IF(ISERROR('Temp Hisfa'!V$3:V$200), "", ROW('Temp Hisfa'!V$3:V$200)-MIN(ROW('Temp Hisfa'!V$3:V$200))+1), ROW(77:276))),"")</f>
        <v>0</v>
      </c>
      <c r="W79" s="22">
        <f t="array" ref="W79">IFERROR(INDEX('Temp Hisfa'!W$3:W$200, SMALL(IF(ISERROR('Temp Hisfa'!W$3:W$200), "", ROW('Temp Hisfa'!W$3:W$200)-MIN(ROW('Temp Hisfa'!W$3:W$200))+1), ROW(77:276))),"")</f>
        <v>0</v>
      </c>
      <c r="X79" s="22">
        <f t="array" ref="X79">IFERROR(INDEX('Temp Hisfa'!X$3:X$200, SMALL(IF(ISERROR('Temp Hisfa'!X$3:X$200), "", ROW('Temp Hisfa'!X$3:X$200)-MIN(ROW('Temp Hisfa'!X$3:X$200))+1), ROW(77:276))),"")</f>
        <v>0</v>
      </c>
      <c r="Y79" s="22">
        <f t="array" ref="Y79">IFERROR(INDEX('Temp Hisfa'!Y$3:Y$200, SMALL(IF(ISERROR('Temp Hisfa'!Y$3:Y$200), "", ROW('Temp Hisfa'!Y$3:Y$200)-MIN(ROW('Temp Hisfa'!Y$3:Y$200))+1), ROW(77:276))),"")</f>
        <v>0</v>
      </c>
      <c r="Z79" s="22">
        <f t="array" ref="Z79">IFERROR(INDEX('Temp Hisfa'!Z$3:Z$200, SMALL(IF(ISERROR('Temp Hisfa'!Z$3:Z$200), "", ROW('Temp Hisfa'!Z$3:Z$200)-MIN(ROW('Temp Hisfa'!Z$3:Z$200))+1), ROW(77:276))),"")</f>
        <v>0</v>
      </c>
      <c r="AA79" s="22">
        <f t="array" ref="AA79">IFERROR(INDEX('Temp Hisfa'!AA$3:AA$200, SMALL(IF(ISERROR('Temp Hisfa'!AA$3:AA$200), "", ROW('Temp Hisfa'!AA$3:AA$200)-MIN(ROW('Temp Hisfa'!AA$3:AA$200))+1), ROW(77:276))),"")</f>
        <v>0</v>
      </c>
      <c r="AB79" s="22">
        <f t="array" ref="AB79">IFERROR(INDEX('Temp Hisfa'!AB$3:AB$200, SMALL(IF(ISERROR('Temp Hisfa'!AB$3:AB$200), "", ROW('Temp Hisfa'!AB$3:AB$200)-MIN(ROW('Temp Hisfa'!AB$3:AB$200))+1), ROW(77:276))),"")</f>
        <v>0</v>
      </c>
      <c r="AD79" s="3"/>
      <c r="AE79" s="3"/>
    </row>
    <row r="80" spans="1:31" x14ac:dyDescent="0.3">
      <c r="A80" s="4">
        <f t="array" ref="A80">IFERROR(INDEX('Temp Hisfa'!A$3:A$200, SMALL(IF(ISERROR('Temp Hisfa'!A$3:A$200), "", ROW('Temp Hisfa'!A$3:A$200)-MIN(ROW('Temp Hisfa'!A$3:A$200))+1), ROW(78:276))),"")</f>
        <v>0</v>
      </c>
      <c r="B80" s="4">
        <f t="array" ref="B80">IFERROR(INDEX('Temp Hisfa'!B$3:B$200, SMALL(IF(ISERROR('Temp Hisfa'!B$3:B$200), "", ROW('Temp Hisfa'!B$3:B$200)-MIN(ROW('Temp Hisfa'!B$3:B$200))+1), ROW(78:276))),"")</f>
        <v>0</v>
      </c>
      <c r="C80" s="3">
        <f t="array" ref="C80">IFERROR(INDEX('Temp Hisfa'!C$3:C$200, SMALL(IF(ISERROR('Temp Hisfa'!C$3:C$200), "", ROW('Temp Hisfa'!C$3:C$200)-MIN(ROW('Temp Hisfa'!C$3:C$200))+1), ROW(78:276))),"")</f>
        <v>0</v>
      </c>
      <c r="D80" s="3">
        <f t="array" ref="D80">IFERROR(INDEX('Temp Hisfa'!D$3:D$200, SMALL(IF(ISERROR('Temp Hisfa'!D$3:D$200), "", ROW('Temp Hisfa'!D$3:D$200)-MIN(ROW('Temp Hisfa'!D$3:D$200))+1), ROW(78:276))),"")</f>
        <v>0</v>
      </c>
      <c r="E80" s="29">
        <f t="array" ref="E80">IFERROR(INDEX('Temp Hisfa'!E$3:E$200, SMALL(IF(ISERROR('Temp Hisfa'!E$3:E$200), "", ROW('Temp Hisfa'!E$3:E$200)-MIN(ROW('Temp Hisfa'!E$3:E$200))+1), ROW(78:277))),"")</f>
        <v>0</v>
      </c>
      <c r="F80" s="22" t="str">
        <f t="array" ref="F80">IFERROR(INDEX('Temp Hisfa'!F$3:F$200, SMALL(IF(ISERROR('Temp Hisfa'!F$3:F$200), "", ROW('Temp Hisfa'!F$3:F$200)-MIN(ROW('Temp Hisfa'!F$3:F$200))+1), ROW(78:277))),"")</f>
        <v/>
      </c>
      <c r="G80" s="30">
        <f t="array" ref="G80">IFERROR(INDEX('Temp Hisfa'!G$3:G$200, SMALL(IF(ISERROR('Temp Hisfa'!G$3:G$200), "", ROW('Temp Hisfa'!G$3:G$200)-MIN(ROW('Temp Hisfa'!G$3:G$200))+1), ROW(78:277))),"")</f>
        <v>0</v>
      </c>
      <c r="H80" s="22" t="str">
        <f t="array" ref="H80">IFERROR(INDEX('Temp Hisfa'!H$3:H$200, SMALL(IF(ISERROR('Temp Hisfa'!H$3:H$200), "", ROW('Temp Hisfa'!H$3:H$200)-MIN(ROW('Temp Hisfa'!H$3:H$200))+1), ROW(78:277))),"")</f>
        <v/>
      </c>
      <c r="I80" s="22">
        <f t="array" ref="I80">IFERROR(INDEX('Temp Hisfa'!I$3:I$200, SMALL(IF(ISERROR('Temp Hisfa'!I$3:I$200), "", ROW('Temp Hisfa'!I$3:I$200)-MIN(ROW('Temp Hisfa'!I$3:I$200))+1), ROW(78:277))),"")</f>
        <v>0</v>
      </c>
      <c r="J80" s="22">
        <f t="array" ref="J80">IFERROR(INDEX('Temp Hisfa'!J$3:J$200, SMALL(IF(ISERROR('Temp Hisfa'!J$3:J$200), "", ROW('Temp Hisfa'!J$3:J$200)-MIN(ROW('Temp Hisfa'!J$3:J$200))+1), ROW(78:277))),"")</f>
        <v>0</v>
      </c>
      <c r="K80" s="30">
        <f t="array" ref="K80">IFERROR(INDEX('Temp Hisfa'!K$3:K$200, SMALL(IF(ISERROR('Temp Hisfa'!K$3:K$200), "", ROW('Temp Hisfa'!K$3:K$200)-MIN(ROW('Temp Hisfa'!K$3:K$200))+1), ROW(78:277))),"")</f>
        <v>0</v>
      </c>
      <c r="L80" s="22">
        <f t="array" ref="L80">IFERROR(INDEX('Temp Hisfa'!L$3:L$200, SMALL(IF(ISERROR('Temp Hisfa'!L$3:L$200), "", ROW('Temp Hisfa'!L$3:L$200)-MIN(ROW('Temp Hisfa'!L$3:L$200))+1), ROW(78:277))),"")</f>
        <v>0</v>
      </c>
      <c r="M80" s="22">
        <f t="array" ref="M80">IFERROR(INDEX('Temp Hisfa'!M$3:M$200, SMALL(IF(ISERROR('Temp Hisfa'!M$3:M$200), "", ROW('Temp Hisfa'!M$3:M$200)-MIN(ROW('Temp Hisfa'!M$3:M$200))+1), ROW(78:277))),"")</f>
        <v>0</v>
      </c>
      <c r="N80" s="22">
        <f t="array" ref="N80">IFERROR(INDEX('Temp Hisfa'!N$3:N$200, SMALL(IF(ISERROR('Temp Hisfa'!N$3:N$200), "", ROW('Temp Hisfa'!N$3:N$200)-MIN(ROW('Temp Hisfa'!N$3:N$200))+1), ROW(78:277))),"")</f>
        <v>1900</v>
      </c>
      <c r="O80" s="22" t="str">
        <f t="array" ref="O80">IFERROR(INDEX('Temp Hisfa'!O$3:O$200, SMALL(IF(ISERROR('Temp Hisfa'!O$3:O$200), "", ROW('Temp Hisfa'!O$3:O$200)-MIN(ROW('Temp Hisfa'!O$3:O$200))+1), ROW(78:277))),"")</f>
        <v>enero</v>
      </c>
      <c r="P80" s="22">
        <f t="array" ref="P80">IFERROR(INDEX('Temp Hisfa'!P$3:P$200, SMALL(IF(ISERROR('Temp Hisfa'!P$3:P$200), "", ROW('Temp Hisfa'!P$3:P$200)-MIN(ROW('Temp Hisfa'!P$3:P$200))+1), ROW(78:277))),"")</f>
        <v>0</v>
      </c>
      <c r="Q80" s="22">
        <f t="array" ref="Q80">IFERROR(INDEX('Temp Hisfa'!Q$3:Q$200, SMALL(IF(ISERROR('Temp Hisfa'!Q$3:Q$200), "", ROW('Temp Hisfa'!Q$3:Q$200)-MIN(ROW('Temp Hisfa'!Q$3:Q$200))+1), ROW(78:277))),"")</f>
        <v>0</v>
      </c>
      <c r="R80" s="22">
        <f t="array" ref="R80">IFERROR(INDEX('Temp Hisfa'!R$3:R$200, SMALL(IF(ISERROR('Temp Hisfa'!R$3:R$200), "", ROW('Temp Hisfa'!R$3:R$200)-MIN(ROW('Temp Hisfa'!R$3:R$200))+1), ROW(78:277))),"")</f>
        <v>0</v>
      </c>
      <c r="S80" s="22">
        <f t="array" ref="S80">IFERROR(INDEX('Temp Hisfa'!S$3:S$200, SMALL(IF(ISERROR('Temp Hisfa'!S$3:S$200), "", ROW('Temp Hisfa'!S$3:S$200)-MIN(ROW('Temp Hisfa'!S$3:S$200))+1), ROW(78:277))),"")</f>
        <v>0</v>
      </c>
      <c r="T80" s="22">
        <f t="array" ref="T80">IFERROR(INDEX('Temp Hisfa'!T$3:T$200, SMALL(IF(ISERROR('Temp Hisfa'!T$3:T$200), "", ROW('Temp Hisfa'!T$3:T$200)-MIN(ROW('Temp Hisfa'!T$3:T$200))+1), ROW(78:277))),"")</f>
        <v>0</v>
      </c>
      <c r="U80" s="22">
        <f t="array" ref="U80">IFERROR(INDEX('Temp Hisfa'!U$3:U$200, SMALL(IF(ISERROR('Temp Hisfa'!U$3:U$200), "", ROW('Temp Hisfa'!U$3:U$200)-MIN(ROW('Temp Hisfa'!U$3:U$200))+1), ROW(78:277))),"")</f>
        <v>0</v>
      </c>
      <c r="V80" s="22">
        <f t="array" ref="V80">IFERROR(INDEX('Temp Hisfa'!V$3:V$200, SMALL(IF(ISERROR('Temp Hisfa'!V$3:V$200), "", ROW('Temp Hisfa'!V$3:V$200)-MIN(ROW('Temp Hisfa'!V$3:V$200))+1), ROW(78:277))),"")</f>
        <v>0</v>
      </c>
      <c r="W80" s="22">
        <f t="array" ref="W80">IFERROR(INDEX('Temp Hisfa'!W$3:W$200, SMALL(IF(ISERROR('Temp Hisfa'!W$3:W$200), "", ROW('Temp Hisfa'!W$3:W$200)-MIN(ROW('Temp Hisfa'!W$3:W$200))+1), ROW(78:277))),"")</f>
        <v>0</v>
      </c>
      <c r="X80" s="22">
        <f t="array" ref="X80">IFERROR(INDEX('Temp Hisfa'!X$3:X$200, SMALL(IF(ISERROR('Temp Hisfa'!X$3:X$200), "", ROW('Temp Hisfa'!X$3:X$200)-MIN(ROW('Temp Hisfa'!X$3:X$200))+1), ROW(78:277))),"")</f>
        <v>0</v>
      </c>
      <c r="Y80" s="22">
        <f t="array" ref="Y80">IFERROR(INDEX('Temp Hisfa'!Y$3:Y$200, SMALL(IF(ISERROR('Temp Hisfa'!Y$3:Y$200), "", ROW('Temp Hisfa'!Y$3:Y$200)-MIN(ROW('Temp Hisfa'!Y$3:Y$200))+1), ROW(78:277))),"")</f>
        <v>0</v>
      </c>
      <c r="Z80" s="22">
        <f t="array" ref="Z80">IFERROR(INDEX('Temp Hisfa'!Z$3:Z$200, SMALL(IF(ISERROR('Temp Hisfa'!Z$3:Z$200), "", ROW('Temp Hisfa'!Z$3:Z$200)-MIN(ROW('Temp Hisfa'!Z$3:Z$200))+1), ROW(78:277))),"")</f>
        <v>0</v>
      </c>
      <c r="AA80" s="22">
        <f t="array" ref="AA80">IFERROR(INDEX('Temp Hisfa'!AA$3:AA$200, SMALL(IF(ISERROR('Temp Hisfa'!AA$3:AA$200), "", ROW('Temp Hisfa'!AA$3:AA$200)-MIN(ROW('Temp Hisfa'!AA$3:AA$200))+1), ROW(78:277))),"")</f>
        <v>0</v>
      </c>
      <c r="AB80" s="22">
        <f t="array" ref="AB80">IFERROR(INDEX('Temp Hisfa'!AB$3:AB$200, SMALL(IF(ISERROR('Temp Hisfa'!AB$3:AB$200), "", ROW('Temp Hisfa'!AB$3:AB$200)-MIN(ROW('Temp Hisfa'!AB$3:AB$200))+1), ROW(78:277))),"")</f>
        <v>0</v>
      </c>
      <c r="AD80" s="60" t="s">
        <v>26</v>
      </c>
      <c r="AE80" s="60">
        <f>AE79-AD79</f>
        <v>0</v>
      </c>
    </row>
    <row r="81" spans="1:31" x14ac:dyDescent="0.3">
      <c r="A81" s="4">
        <f t="array" ref="A81">IFERROR(INDEX('Temp Hisfa'!A$3:A$200, SMALL(IF(ISERROR('Temp Hisfa'!A$3:A$200), "", ROW('Temp Hisfa'!A$3:A$200)-MIN(ROW('Temp Hisfa'!A$3:A$200))+1), ROW(79:277))),"")</f>
        <v>0</v>
      </c>
      <c r="B81" s="4">
        <f t="array" ref="B81">IFERROR(INDEX('Temp Hisfa'!B$3:B$200, SMALL(IF(ISERROR('Temp Hisfa'!B$3:B$200), "", ROW('Temp Hisfa'!B$3:B$200)-MIN(ROW('Temp Hisfa'!B$3:B$200))+1), ROW(79:277))),"")</f>
        <v>0</v>
      </c>
      <c r="C81" s="3">
        <f t="array" ref="C81">IFERROR(INDEX('Temp Hisfa'!C$3:C$200, SMALL(IF(ISERROR('Temp Hisfa'!C$3:C$200), "", ROW('Temp Hisfa'!C$3:C$200)-MIN(ROW('Temp Hisfa'!C$3:C$200))+1), ROW(79:277))),"")</f>
        <v>0</v>
      </c>
      <c r="D81" s="3">
        <f t="array" ref="D81">IFERROR(INDEX('Temp Hisfa'!D$3:D$200, SMALL(IF(ISERROR('Temp Hisfa'!D$3:D$200), "", ROW('Temp Hisfa'!D$3:D$200)-MIN(ROW('Temp Hisfa'!D$3:D$200))+1), ROW(79:277))),"")</f>
        <v>0</v>
      </c>
      <c r="E81" s="29">
        <f t="array" ref="E81">IFERROR(INDEX('Temp Hisfa'!E$3:E$200, SMALL(IF(ISERROR('Temp Hisfa'!E$3:E$200), "", ROW('Temp Hisfa'!E$3:E$200)-MIN(ROW('Temp Hisfa'!E$3:E$200))+1), ROW(79:278))),"")</f>
        <v>0</v>
      </c>
      <c r="F81" s="22" t="str">
        <f t="array" ref="F81">IFERROR(INDEX('Temp Hisfa'!F$3:F$200, SMALL(IF(ISERROR('Temp Hisfa'!F$3:F$200), "", ROW('Temp Hisfa'!F$3:F$200)-MIN(ROW('Temp Hisfa'!F$3:F$200))+1), ROW(79:278))),"")</f>
        <v/>
      </c>
      <c r="G81" s="30">
        <f t="array" ref="G81">IFERROR(INDEX('Temp Hisfa'!G$3:G$200, SMALL(IF(ISERROR('Temp Hisfa'!G$3:G$200), "", ROW('Temp Hisfa'!G$3:G$200)-MIN(ROW('Temp Hisfa'!G$3:G$200))+1), ROW(79:278))),"")</f>
        <v>0</v>
      </c>
      <c r="H81" s="22" t="str">
        <f t="array" ref="H81">IFERROR(INDEX('Temp Hisfa'!H$3:H$200, SMALL(IF(ISERROR('Temp Hisfa'!H$3:H$200), "", ROW('Temp Hisfa'!H$3:H$200)-MIN(ROW('Temp Hisfa'!H$3:H$200))+1), ROW(79:278))),"")</f>
        <v/>
      </c>
      <c r="I81" s="22">
        <f t="array" ref="I81">IFERROR(INDEX('Temp Hisfa'!I$3:I$200, SMALL(IF(ISERROR('Temp Hisfa'!I$3:I$200), "", ROW('Temp Hisfa'!I$3:I$200)-MIN(ROW('Temp Hisfa'!I$3:I$200))+1), ROW(79:278))),"")</f>
        <v>0</v>
      </c>
      <c r="J81" s="22">
        <f t="array" ref="J81">IFERROR(INDEX('Temp Hisfa'!J$3:J$200, SMALL(IF(ISERROR('Temp Hisfa'!J$3:J$200), "", ROW('Temp Hisfa'!J$3:J$200)-MIN(ROW('Temp Hisfa'!J$3:J$200))+1), ROW(79:278))),"")</f>
        <v>0</v>
      </c>
      <c r="K81" s="30">
        <f t="array" ref="K81">IFERROR(INDEX('Temp Hisfa'!K$3:K$200, SMALL(IF(ISERROR('Temp Hisfa'!K$3:K$200), "", ROW('Temp Hisfa'!K$3:K$200)-MIN(ROW('Temp Hisfa'!K$3:K$200))+1), ROW(79:278))),"")</f>
        <v>0</v>
      </c>
      <c r="L81" s="22">
        <f t="array" ref="L81">IFERROR(INDEX('Temp Hisfa'!L$3:L$200, SMALL(IF(ISERROR('Temp Hisfa'!L$3:L$200), "", ROW('Temp Hisfa'!L$3:L$200)-MIN(ROW('Temp Hisfa'!L$3:L$200))+1), ROW(79:278))),"")</f>
        <v>0</v>
      </c>
      <c r="M81" s="22">
        <f t="array" ref="M81">IFERROR(INDEX('Temp Hisfa'!M$3:M$200, SMALL(IF(ISERROR('Temp Hisfa'!M$3:M$200), "", ROW('Temp Hisfa'!M$3:M$200)-MIN(ROW('Temp Hisfa'!M$3:M$200))+1), ROW(79:278))),"")</f>
        <v>0</v>
      </c>
      <c r="N81" s="22">
        <f t="array" ref="N81">IFERROR(INDEX('Temp Hisfa'!N$3:N$200, SMALL(IF(ISERROR('Temp Hisfa'!N$3:N$200), "", ROW('Temp Hisfa'!N$3:N$200)-MIN(ROW('Temp Hisfa'!N$3:N$200))+1), ROW(79:278))),"")</f>
        <v>1900</v>
      </c>
      <c r="O81" s="22" t="str">
        <f t="array" ref="O81">IFERROR(INDEX('Temp Hisfa'!O$3:O$200, SMALL(IF(ISERROR('Temp Hisfa'!O$3:O$200), "", ROW('Temp Hisfa'!O$3:O$200)-MIN(ROW('Temp Hisfa'!O$3:O$200))+1), ROW(79:278))),"")</f>
        <v>enero</v>
      </c>
      <c r="P81" s="22">
        <f t="array" ref="P81">IFERROR(INDEX('Temp Hisfa'!P$3:P$200, SMALL(IF(ISERROR('Temp Hisfa'!P$3:P$200), "", ROW('Temp Hisfa'!P$3:P$200)-MIN(ROW('Temp Hisfa'!P$3:P$200))+1), ROW(79:278))),"")</f>
        <v>0</v>
      </c>
      <c r="Q81" s="22">
        <f t="array" ref="Q81">IFERROR(INDEX('Temp Hisfa'!Q$3:Q$200, SMALL(IF(ISERROR('Temp Hisfa'!Q$3:Q$200), "", ROW('Temp Hisfa'!Q$3:Q$200)-MIN(ROW('Temp Hisfa'!Q$3:Q$200))+1), ROW(79:278))),"")</f>
        <v>0</v>
      </c>
      <c r="R81" s="22">
        <f t="array" ref="R81">IFERROR(INDEX('Temp Hisfa'!R$3:R$200, SMALL(IF(ISERROR('Temp Hisfa'!R$3:R$200), "", ROW('Temp Hisfa'!R$3:R$200)-MIN(ROW('Temp Hisfa'!R$3:R$200))+1), ROW(79:278))),"")</f>
        <v>0</v>
      </c>
      <c r="S81" s="22">
        <f t="array" ref="S81">IFERROR(INDEX('Temp Hisfa'!S$3:S$200, SMALL(IF(ISERROR('Temp Hisfa'!S$3:S$200), "", ROW('Temp Hisfa'!S$3:S$200)-MIN(ROW('Temp Hisfa'!S$3:S$200))+1), ROW(79:278))),"")</f>
        <v>0</v>
      </c>
      <c r="T81" s="22">
        <f t="array" ref="T81">IFERROR(INDEX('Temp Hisfa'!T$3:T$200, SMALL(IF(ISERROR('Temp Hisfa'!T$3:T$200), "", ROW('Temp Hisfa'!T$3:T$200)-MIN(ROW('Temp Hisfa'!T$3:T$200))+1), ROW(79:278))),"")</f>
        <v>0</v>
      </c>
      <c r="U81" s="22">
        <f t="array" ref="U81">IFERROR(INDEX('Temp Hisfa'!U$3:U$200, SMALL(IF(ISERROR('Temp Hisfa'!U$3:U$200), "", ROW('Temp Hisfa'!U$3:U$200)-MIN(ROW('Temp Hisfa'!U$3:U$200))+1), ROW(79:278))),"")</f>
        <v>0</v>
      </c>
      <c r="V81" s="22">
        <f t="array" ref="V81">IFERROR(INDEX('Temp Hisfa'!V$3:V$200, SMALL(IF(ISERROR('Temp Hisfa'!V$3:V$200), "", ROW('Temp Hisfa'!V$3:V$200)-MIN(ROW('Temp Hisfa'!V$3:V$200))+1), ROW(79:278))),"")</f>
        <v>0</v>
      </c>
      <c r="W81" s="22">
        <f t="array" ref="W81">IFERROR(INDEX('Temp Hisfa'!W$3:W$200, SMALL(IF(ISERROR('Temp Hisfa'!W$3:W$200), "", ROW('Temp Hisfa'!W$3:W$200)-MIN(ROW('Temp Hisfa'!W$3:W$200))+1), ROW(79:278))),"")</f>
        <v>0</v>
      </c>
      <c r="X81" s="22">
        <f t="array" ref="X81">IFERROR(INDEX('Temp Hisfa'!X$3:X$200, SMALL(IF(ISERROR('Temp Hisfa'!X$3:X$200), "", ROW('Temp Hisfa'!X$3:X$200)-MIN(ROW('Temp Hisfa'!X$3:X$200))+1), ROW(79:278))),"")</f>
        <v>0</v>
      </c>
      <c r="Y81" s="22">
        <f t="array" ref="Y81">IFERROR(INDEX('Temp Hisfa'!Y$3:Y$200, SMALL(IF(ISERROR('Temp Hisfa'!Y$3:Y$200), "", ROW('Temp Hisfa'!Y$3:Y$200)-MIN(ROW('Temp Hisfa'!Y$3:Y$200))+1), ROW(79:278))),"")</f>
        <v>0</v>
      </c>
      <c r="Z81" s="22">
        <f t="array" ref="Z81">IFERROR(INDEX('Temp Hisfa'!Z$3:Z$200, SMALL(IF(ISERROR('Temp Hisfa'!Z$3:Z$200), "", ROW('Temp Hisfa'!Z$3:Z$200)-MIN(ROW('Temp Hisfa'!Z$3:Z$200))+1), ROW(79:278))),"")</f>
        <v>0</v>
      </c>
      <c r="AA81" s="22">
        <f t="array" ref="AA81">IFERROR(INDEX('Temp Hisfa'!AA$3:AA$200, SMALL(IF(ISERROR('Temp Hisfa'!AA$3:AA$200), "", ROW('Temp Hisfa'!AA$3:AA$200)-MIN(ROW('Temp Hisfa'!AA$3:AA$200))+1), ROW(79:278))),"")</f>
        <v>0</v>
      </c>
      <c r="AB81" s="22">
        <f t="array" ref="AB81">IFERROR(INDEX('Temp Hisfa'!AB$3:AB$200, SMALL(IF(ISERROR('Temp Hisfa'!AB$3:AB$200), "", ROW('Temp Hisfa'!AB$3:AB$200)-MIN(ROW('Temp Hisfa'!AB$3:AB$200))+1), ROW(79:278))),"")</f>
        <v>0</v>
      </c>
      <c r="AD81" s="112" t="s">
        <v>83</v>
      </c>
      <c r="AE81" s="113"/>
    </row>
    <row r="82" spans="1:31" x14ac:dyDescent="0.3">
      <c r="A82" s="4">
        <f t="array" ref="A82">IFERROR(INDEX('Temp Hisfa'!A$3:A$200, SMALL(IF(ISERROR('Temp Hisfa'!A$3:A$200), "", ROW('Temp Hisfa'!A$3:A$200)-MIN(ROW('Temp Hisfa'!A$3:A$200))+1), ROW(80:278))),"")</f>
        <v>0</v>
      </c>
      <c r="B82" s="4">
        <f t="array" ref="B82">IFERROR(INDEX('Temp Hisfa'!B$3:B$200, SMALL(IF(ISERROR('Temp Hisfa'!B$3:B$200), "", ROW('Temp Hisfa'!B$3:B$200)-MIN(ROW('Temp Hisfa'!B$3:B$200))+1), ROW(80:278))),"")</f>
        <v>0</v>
      </c>
      <c r="C82" s="3">
        <f t="array" ref="C82">IFERROR(INDEX('Temp Hisfa'!C$3:C$200, SMALL(IF(ISERROR('Temp Hisfa'!C$3:C$200), "", ROW('Temp Hisfa'!C$3:C$200)-MIN(ROW('Temp Hisfa'!C$3:C$200))+1), ROW(80:278))),"")</f>
        <v>0</v>
      </c>
      <c r="D82" s="3">
        <f t="array" ref="D82">IFERROR(INDEX('Temp Hisfa'!D$3:D$200, SMALL(IF(ISERROR('Temp Hisfa'!D$3:D$200), "", ROW('Temp Hisfa'!D$3:D$200)-MIN(ROW('Temp Hisfa'!D$3:D$200))+1), ROW(80:278))),"")</f>
        <v>0</v>
      </c>
      <c r="E82" s="29">
        <f t="array" ref="E82">IFERROR(INDEX('Temp Hisfa'!E$3:E$200, SMALL(IF(ISERROR('Temp Hisfa'!E$3:E$200), "", ROW('Temp Hisfa'!E$3:E$200)-MIN(ROW('Temp Hisfa'!E$3:E$200))+1), ROW(80:279))),"")</f>
        <v>0</v>
      </c>
      <c r="F82" s="22" t="str">
        <f t="array" ref="F82">IFERROR(INDEX('Temp Hisfa'!F$3:F$200, SMALL(IF(ISERROR('Temp Hisfa'!F$3:F$200), "", ROW('Temp Hisfa'!F$3:F$200)-MIN(ROW('Temp Hisfa'!F$3:F$200))+1), ROW(80:279))),"")</f>
        <v/>
      </c>
      <c r="G82" s="30">
        <f t="array" ref="G82">IFERROR(INDEX('Temp Hisfa'!G$3:G$200, SMALL(IF(ISERROR('Temp Hisfa'!G$3:G$200), "", ROW('Temp Hisfa'!G$3:G$200)-MIN(ROW('Temp Hisfa'!G$3:G$200))+1), ROW(80:279))),"")</f>
        <v>0</v>
      </c>
      <c r="H82" s="22" t="str">
        <f t="array" ref="H82">IFERROR(INDEX('Temp Hisfa'!H$3:H$200, SMALL(IF(ISERROR('Temp Hisfa'!H$3:H$200), "", ROW('Temp Hisfa'!H$3:H$200)-MIN(ROW('Temp Hisfa'!H$3:H$200))+1), ROW(80:279))),"")</f>
        <v/>
      </c>
      <c r="I82" s="22">
        <f t="array" ref="I82">IFERROR(INDEX('Temp Hisfa'!I$3:I$200, SMALL(IF(ISERROR('Temp Hisfa'!I$3:I$200), "", ROW('Temp Hisfa'!I$3:I$200)-MIN(ROW('Temp Hisfa'!I$3:I$200))+1), ROW(80:279))),"")</f>
        <v>0</v>
      </c>
      <c r="J82" s="22">
        <f t="array" ref="J82">IFERROR(INDEX('Temp Hisfa'!J$3:J$200, SMALL(IF(ISERROR('Temp Hisfa'!J$3:J$200), "", ROW('Temp Hisfa'!J$3:J$200)-MIN(ROW('Temp Hisfa'!J$3:J$200))+1), ROW(80:279))),"")</f>
        <v>0</v>
      </c>
      <c r="K82" s="30">
        <f t="array" ref="K82">IFERROR(INDEX('Temp Hisfa'!K$3:K$200, SMALL(IF(ISERROR('Temp Hisfa'!K$3:K$200), "", ROW('Temp Hisfa'!K$3:K$200)-MIN(ROW('Temp Hisfa'!K$3:K$200))+1), ROW(80:279))),"")</f>
        <v>0</v>
      </c>
      <c r="L82" s="22">
        <f t="array" ref="L82">IFERROR(INDEX('Temp Hisfa'!L$3:L$200, SMALL(IF(ISERROR('Temp Hisfa'!L$3:L$200), "", ROW('Temp Hisfa'!L$3:L$200)-MIN(ROW('Temp Hisfa'!L$3:L$200))+1), ROW(80:279))),"")</f>
        <v>0</v>
      </c>
      <c r="M82" s="22">
        <f t="array" ref="M82">IFERROR(INDEX('Temp Hisfa'!M$3:M$200, SMALL(IF(ISERROR('Temp Hisfa'!M$3:M$200), "", ROW('Temp Hisfa'!M$3:M$200)-MIN(ROW('Temp Hisfa'!M$3:M$200))+1), ROW(80:279))),"")</f>
        <v>0</v>
      </c>
      <c r="N82" s="22">
        <f t="array" ref="N82">IFERROR(INDEX('Temp Hisfa'!N$3:N$200, SMALL(IF(ISERROR('Temp Hisfa'!N$3:N$200), "", ROW('Temp Hisfa'!N$3:N$200)-MIN(ROW('Temp Hisfa'!N$3:N$200))+1), ROW(80:279))),"")</f>
        <v>1900</v>
      </c>
      <c r="O82" s="22" t="str">
        <f t="array" ref="O82">IFERROR(INDEX('Temp Hisfa'!O$3:O$200, SMALL(IF(ISERROR('Temp Hisfa'!O$3:O$200), "", ROW('Temp Hisfa'!O$3:O$200)-MIN(ROW('Temp Hisfa'!O$3:O$200))+1), ROW(80:279))),"")</f>
        <v>enero</v>
      </c>
      <c r="P82" s="22">
        <f t="array" ref="P82">IFERROR(INDEX('Temp Hisfa'!P$3:P$200, SMALL(IF(ISERROR('Temp Hisfa'!P$3:P$200), "", ROW('Temp Hisfa'!P$3:P$200)-MIN(ROW('Temp Hisfa'!P$3:P$200))+1), ROW(80:279))),"")</f>
        <v>0</v>
      </c>
      <c r="Q82" s="22">
        <f t="array" ref="Q82">IFERROR(INDEX('Temp Hisfa'!Q$3:Q$200, SMALL(IF(ISERROR('Temp Hisfa'!Q$3:Q$200), "", ROW('Temp Hisfa'!Q$3:Q$200)-MIN(ROW('Temp Hisfa'!Q$3:Q$200))+1), ROW(80:279))),"")</f>
        <v>0</v>
      </c>
      <c r="R82" s="22">
        <f t="array" ref="R82">IFERROR(INDEX('Temp Hisfa'!R$3:R$200, SMALL(IF(ISERROR('Temp Hisfa'!R$3:R$200), "", ROW('Temp Hisfa'!R$3:R$200)-MIN(ROW('Temp Hisfa'!R$3:R$200))+1), ROW(80:279))),"")</f>
        <v>0</v>
      </c>
      <c r="S82" s="22">
        <f t="array" ref="S82">IFERROR(INDEX('Temp Hisfa'!S$3:S$200, SMALL(IF(ISERROR('Temp Hisfa'!S$3:S$200), "", ROW('Temp Hisfa'!S$3:S$200)-MIN(ROW('Temp Hisfa'!S$3:S$200))+1), ROW(80:279))),"")</f>
        <v>0</v>
      </c>
      <c r="T82" s="22">
        <f t="array" ref="T82">IFERROR(INDEX('Temp Hisfa'!T$3:T$200, SMALL(IF(ISERROR('Temp Hisfa'!T$3:T$200), "", ROW('Temp Hisfa'!T$3:T$200)-MIN(ROW('Temp Hisfa'!T$3:T$200))+1), ROW(80:279))),"")</f>
        <v>0</v>
      </c>
      <c r="U82" s="22">
        <f t="array" ref="U82">IFERROR(INDEX('Temp Hisfa'!U$3:U$200, SMALL(IF(ISERROR('Temp Hisfa'!U$3:U$200), "", ROW('Temp Hisfa'!U$3:U$200)-MIN(ROW('Temp Hisfa'!U$3:U$200))+1), ROW(80:279))),"")</f>
        <v>0</v>
      </c>
      <c r="V82" s="22">
        <f t="array" ref="V82">IFERROR(INDEX('Temp Hisfa'!V$3:V$200, SMALL(IF(ISERROR('Temp Hisfa'!V$3:V$200), "", ROW('Temp Hisfa'!V$3:V$200)-MIN(ROW('Temp Hisfa'!V$3:V$200))+1), ROW(80:279))),"")</f>
        <v>0</v>
      </c>
      <c r="W82" s="22">
        <f t="array" ref="W82">IFERROR(INDEX('Temp Hisfa'!W$3:W$200, SMALL(IF(ISERROR('Temp Hisfa'!W$3:W$200), "", ROW('Temp Hisfa'!W$3:W$200)-MIN(ROW('Temp Hisfa'!W$3:W$200))+1), ROW(80:279))),"")</f>
        <v>0</v>
      </c>
      <c r="X82" s="22">
        <f t="array" ref="X82">IFERROR(INDEX('Temp Hisfa'!X$3:X$200, SMALL(IF(ISERROR('Temp Hisfa'!X$3:X$200), "", ROW('Temp Hisfa'!X$3:X$200)-MIN(ROW('Temp Hisfa'!X$3:X$200))+1), ROW(80:279))),"")</f>
        <v>0</v>
      </c>
      <c r="Y82" s="22">
        <f t="array" ref="Y82">IFERROR(INDEX('Temp Hisfa'!Y$3:Y$200, SMALL(IF(ISERROR('Temp Hisfa'!Y$3:Y$200), "", ROW('Temp Hisfa'!Y$3:Y$200)-MIN(ROW('Temp Hisfa'!Y$3:Y$200))+1), ROW(80:279))),"")</f>
        <v>0</v>
      </c>
      <c r="Z82" s="22">
        <f t="array" ref="Z82">IFERROR(INDEX('Temp Hisfa'!Z$3:Z$200, SMALL(IF(ISERROR('Temp Hisfa'!Z$3:Z$200), "", ROW('Temp Hisfa'!Z$3:Z$200)-MIN(ROW('Temp Hisfa'!Z$3:Z$200))+1), ROW(80:279))),"")</f>
        <v>0</v>
      </c>
      <c r="AA82" s="22">
        <f t="array" ref="AA82">IFERROR(INDEX('Temp Hisfa'!AA$3:AA$200, SMALL(IF(ISERROR('Temp Hisfa'!AA$3:AA$200), "", ROW('Temp Hisfa'!AA$3:AA$200)-MIN(ROW('Temp Hisfa'!AA$3:AA$200))+1), ROW(80:279))),"")</f>
        <v>0</v>
      </c>
      <c r="AB82" s="22">
        <f t="array" ref="AB82">IFERROR(INDEX('Temp Hisfa'!AB$3:AB$200, SMALL(IF(ISERROR('Temp Hisfa'!AB$3:AB$200), "", ROW('Temp Hisfa'!AB$3:AB$200)-MIN(ROW('Temp Hisfa'!AB$3:AB$200))+1), ROW(80:279))),"")</f>
        <v>0</v>
      </c>
      <c r="AD82" s="60" t="s">
        <v>75</v>
      </c>
      <c r="AE82" s="88">
        <v>0</v>
      </c>
    </row>
    <row r="83" spans="1:31" x14ac:dyDescent="0.3">
      <c r="A83" s="4">
        <f t="array" ref="A83">IFERROR(INDEX('Temp Hisfa'!A$3:A$200, SMALL(IF(ISERROR('Temp Hisfa'!A$3:A$200), "", ROW('Temp Hisfa'!A$3:A$200)-MIN(ROW('Temp Hisfa'!A$3:A$200))+1), ROW(81:279))),"")</f>
        <v>0</v>
      </c>
      <c r="B83" s="4">
        <f t="array" ref="B83">IFERROR(INDEX('Temp Hisfa'!B$3:B$200, SMALL(IF(ISERROR('Temp Hisfa'!B$3:B$200), "", ROW('Temp Hisfa'!B$3:B$200)-MIN(ROW('Temp Hisfa'!B$3:B$200))+1), ROW(81:279))),"")</f>
        <v>0</v>
      </c>
      <c r="C83" s="3">
        <f t="array" ref="C83">IFERROR(INDEX('Temp Hisfa'!C$3:C$200, SMALL(IF(ISERROR('Temp Hisfa'!C$3:C$200), "", ROW('Temp Hisfa'!C$3:C$200)-MIN(ROW('Temp Hisfa'!C$3:C$200))+1), ROW(81:279))),"")</f>
        <v>0</v>
      </c>
      <c r="D83" s="3">
        <f t="array" ref="D83">IFERROR(INDEX('Temp Hisfa'!D$3:D$200, SMALL(IF(ISERROR('Temp Hisfa'!D$3:D$200), "", ROW('Temp Hisfa'!D$3:D$200)-MIN(ROW('Temp Hisfa'!D$3:D$200))+1), ROW(81:279))),"")</f>
        <v>0</v>
      </c>
      <c r="E83" s="29">
        <f t="array" ref="E83">IFERROR(INDEX('Temp Hisfa'!E$3:E$200, SMALL(IF(ISERROR('Temp Hisfa'!E$3:E$200), "", ROW('Temp Hisfa'!E$3:E$200)-MIN(ROW('Temp Hisfa'!E$3:E$200))+1), ROW(81:280))),"")</f>
        <v>0</v>
      </c>
      <c r="F83" s="22" t="str">
        <f t="array" ref="F83">IFERROR(INDEX('Temp Hisfa'!F$3:F$200, SMALL(IF(ISERROR('Temp Hisfa'!F$3:F$200), "", ROW('Temp Hisfa'!F$3:F$200)-MIN(ROW('Temp Hisfa'!F$3:F$200))+1), ROW(81:280))),"")</f>
        <v/>
      </c>
      <c r="G83" s="30">
        <f t="array" ref="G83">IFERROR(INDEX('Temp Hisfa'!G$3:G$200, SMALL(IF(ISERROR('Temp Hisfa'!G$3:G$200), "", ROW('Temp Hisfa'!G$3:G$200)-MIN(ROW('Temp Hisfa'!G$3:G$200))+1), ROW(81:280))),"")</f>
        <v>0</v>
      </c>
      <c r="H83" s="22" t="str">
        <f t="array" ref="H83">IFERROR(INDEX('Temp Hisfa'!H$3:H$200, SMALL(IF(ISERROR('Temp Hisfa'!H$3:H$200), "", ROW('Temp Hisfa'!H$3:H$200)-MIN(ROW('Temp Hisfa'!H$3:H$200))+1), ROW(81:280))),"")</f>
        <v/>
      </c>
      <c r="I83" s="22">
        <f t="array" ref="I83">IFERROR(INDEX('Temp Hisfa'!I$3:I$200, SMALL(IF(ISERROR('Temp Hisfa'!I$3:I$200), "", ROW('Temp Hisfa'!I$3:I$200)-MIN(ROW('Temp Hisfa'!I$3:I$200))+1), ROW(81:280))),"")</f>
        <v>0</v>
      </c>
      <c r="J83" s="22">
        <f t="array" ref="J83">IFERROR(INDEX('Temp Hisfa'!J$3:J$200, SMALL(IF(ISERROR('Temp Hisfa'!J$3:J$200), "", ROW('Temp Hisfa'!J$3:J$200)-MIN(ROW('Temp Hisfa'!J$3:J$200))+1), ROW(81:280))),"")</f>
        <v>0</v>
      </c>
      <c r="K83" s="30">
        <f t="array" ref="K83">IFERROR(INDEX('Temp Hisfa'!K$3:K$200, SMALL(IF(ISERROR('Temp Hisfa'!K$3:K$200), "", ROW('Temp Hisfa'!K$3:K$200)-MIN(ROW('Temp Hisfa'!K$3:K$200))+1), ROW(81:280))),"")</f>
        <v>0</v>
      </c>
      <c r="L83" s="22">
        <f t="array" ref="L83">IFERROR(INDEX('Temp Hisfa'!L$3:L$200, SMALL(IF(ISERROR('Temp Hisfa'!L$3:L$200), "", ROW('Temp Hisfa'!L$3:L$200)-MIN(ROW('Temp Hisfa'!L$3:L$200))+1), ROW(81:280))),"")</f>
        <v>0</v>
      </c>
      <c r="M83" s="22">
        <f t="array" ref="M83">IFERROR(INDEX('Temp Hisfa'!M$3:M$200, SMALL(IF(ISERROR('Temp Hisfa'!M$3:M$200), "", ROW('Temp Hisfa'!M$3:M$200)-MIN(ROW('Temp Hisfa'!M$3:M$200))+1), ROW(81:280))),"")</f>
        <v>0</v>
      </c>
      <c r="N83" s="22">
        <f t="array" ref="N83">IFERROR(INDEX('Temp Hisfa'!N$3:N$200, SMALL(IF(ISERROR('Temp Hisfa'!N$3:N$200), "", ROW('Temp Hisfa'!N$3:N$200)-MIN(ROW('Temp Hisfa'!N$3:N$200))+1), ROW(81:280))),"")</f>
        <v>1900</v>
      </c>
      <c r="O83" s="22" t="str">
        <f t="array" ref="O83">IFERROR(INDEX('Temp Hisfa'!O$3:O$200, SMALL(IF(ISERROR('Temp Hisfa'!O$3:O$200), "", ROW('Temp Hisfa'!O$3:O$200)-MIN(ROW('Temp Hisfa'!O$3:O$200))+1), ROW(81:280))),"")</f>
        <v>enero</v>
      </c>
      <c r="P83" s="22">
        <f t="array" ref="P83">IFERROR(INDEX('Temp Hisfa'!P$3:P$200, SMALL(IF(ISERROR('Temp Hisfa'!P$3:P$200), "", ROW('Temp Hisfa'!P$3:P$200)-MIN(ROW('Temp Hisfa'!P$3:P$200))+1), ROW(81:280))),"")</f>
        <v>0</v>
      </c>
      <c r="Q83" s="22">
        <f t="array" ref="Q83">IFERROR(INDEX('Temp Hisfa'!Q$3:Q$200, SMALL(IF(ISERROR('Temp Hisfa'!Q$3:Q$200), "", ROW('Temp Hisfa'!Q$3:Q$200)-MIN(ROW('Temp Hisfa'!Q$3:Q$200))+1), ROW(81:280))),"")</f>
        <v>0</v>
      </c>
      <c r="R83" s="22">
        <f t="array" ref="R83">IFERROR(INDEX('Temp Hisfa'!R$3:R$200, SMALL(IF(ISERROR('Temp Hisfa'!R$3:R$200), "", ROW('Temp Hisfa'!R$3:R$200)-MIN(ROW('Temp Hisfa'!R$3:R$200))+1), ROW(81:280))),"")</f>
        <v>0</v>
      </c>
      <c r="S83" s="22">
        <f t="array" ref="S83">IFERROR(INDEX('Temp Hisfa'!S$3:S$200, SMALL(IF(ISERROR('Temp Hisfa'!S$3:S$200), "", ROW('Temp Hisfa'!S$3:S$200)-MIN(ROW('Temp Hisfa'!S$3:S$200))+1), ROW(81:280))),"")</f>
        <v>0</v>
      </c>
      <c r="T83" s="22">
        <f t="array" ref="T83">IFERROR(INDEX('Temp Hisfa'!T$3:T$200, SMALL(IF(ISERROR('Temp Hisfa'!T$3:T$200), "", ROW('Temp Hisfa'!T$3:T$200)-MIN(ROW('Temp Hisfa'!T$3:T$200))+1), ROW(81:280))),"")</f>
        <v>0</v>
      </c>
      <c r="U83" s="22">
        <f t="array" ref="U83">IFERROR(INDEX('Temp Hisfa'!U$3:U$200, SMALL(IF(ISERROR('Temp Hisfa'!U$3:U$200), "", ROW('Temp Hisfa'!U$3:U$200)-MIN(ROW('Temp Hisfa'!U$3:U$200))+1), ROW(81:280))),"")</f>
        <v>0</v>
      </c>
      <c r="V83" s="22">
        <f t="array" ref="V83">IFERROR(INDEX('Temp Hisfa'!V$3:V$200, SMALL(IF(ISERROR('Temp Hisfa'!V$3:V$200), "", ROW('Temp Hisfa'!V$3:V$200)-MIN(ROW('Temp Hisfa'!V$3:V$200))+1), ROW(81:280))),"")</f>
        <v>0</v>
      </c>
      <c r="W83" s="22">
        <f t="array" ref="W83">IFERROR(INDEX('Temp Hisfa'!W$3:W$200, SMALL(IF(ISERROR('Temp Hisfa'!W$3:W$200), "", ROW('Temp Hisfa'!W$3:W$200)-MIN(ROW('Temp Hisfa'!W$3:W$200))+1), ROW(81:280))),"")</f>
        <v>0</v>
      </c>
      <c r="X83" s="22">
        <f t="array" ref="X83">IFERROR(INDEX('Temp Hisfa'!X$3:X$200, SMALL(IF(ISERROR('Temp Hisfa'!X$3:X$200), "", ROW('Temp Hisfa'!X$3:X$200)-MIN(ROW('Temp Hisfa'!X$3:X$200))+1), ROW(81:280))),"")</f>
        <v>0</v>
      </c>
      <c r="Y83" s="22">
        <f t="array" ref="Y83">IFERROR(INDEX('Temp Hisfa'!Y$3:Y$200, SMALL(IF(ISERROR('Temp Hisfa'!Y$3:Y$200), "", ROW('Temp Hisfa'!Y$3:Y$200)-MIN(ROW('Temp Hisfa'!Y$3:Y$200))+1), ROW(81:280))),"")</f>
        <v>0</v>
      </c>
      <c r="Z83" s="22">
        <f t="array" ref="Z83">IFERROR(INDEX('Temp Hisfa'!Z$3:Z$200, SMALL(IF(ISERROR('Temp Hisfa'!Z$3:Z$200), "", ROW('Temp Hisfa'!Z$3:Z$200)-MIN(ROW('Temp Hisfa'!Z$3:Z$200))+1), ROW(81:280))),"")</f>
        <v>0</v>
      </c>
      <c r="AA83" s="22">
        <f t="array" ref="AA83">IFERROR(INDEX('Temp Hisfa'!AA$3:AA$200, SMALL(IF(ISERROR('Temp Hisfa'!AA$3:AA$200), "", ROW('Temp Hisfa'!AA$3:AA$200)-MIN(ROW('Temp Hisfa'!AA$3:AA$200))+1), ROW(81:280))),"")</f>
        <v>0</v>
      </c>
      <c r="AB83" s="22">
        <f t="array" ref="AB83">IFERROR(INDEX('Temp Hisfa'!AB$3:AB$200, SMALL(IF(ISERROR('Temp Hisfa'!AB$3:AB$200), "", ROW('Temp Hisfa'!AB$3:AB$200)-MIN(ROW('Temp Hisfa'!AB$3:AB$200))+1), ROW(81:280))),"")</f>
        <v>0</v>
      </c>
      <c r="AD83" s="60" t="s">
        <v>76</v>
      </c>
      <c r="AE83" s="89">
        <f>IFERROR(AE82/AE80,0)</f>
        <v>0</v>
      </c>
    </row>
    <row r="84" spans="1:31" x14ac:dyDescent="0.3">
      <c r="A84" s="4">
        <f t="array" ref="A84">IFERROR(INDEX('Temp Hisfa'!A$3:A$200, SMALL(IF(ISERROR('Temp Hisfa'!A$3:A$200), "", ROW('Temp Hisfa'!A$3:A$200)-MIN(ROW('Temp Hisfa'!A$3:A$200))+1), ROW(82:280))),"")</f>
        <v>0</v>
      </c>
      <c r="B84" s="4">
        <f t="array" ref="B84">IFERROR(INDEX('Temp Hisfa'!B$3:B$200, SMALL(IF(ISERROR('Temp Hisfa'!B$3:B$200), "", ROW('Temp Hisfa'!B$3:B$200)-MIN(ROW('Temp Hisfa'!B$3:B$200))+1), ROW(82:280))),"")</f>
        <v>0</v>
      </c>
      <c r="C84" s="3">
        <f t="array" ref="C84">IFERROR(INDEX('Temp Hisfa'!C$3:C$200, SMALL(IF(ISERROR('Temp Hisfa'!C$3:C$200), "", ROW('Temp Hisfa'!C$3:C$200)-MIN(ROW('Temp Hisfa'!C$3:C$200))+1), ROW(82:280))),"")</f>
        <v>0</v>
      </c>
      <c r="D84" s="3">
        <f t="array" ref="D84">IFERROR(INDEX('Temp Hisfa'!D$3:D$200, SMALL(IF(ISERROR('Temp Hisfa'!D$3:D$200), "", ROW('Temp Hisfa'!D$3:D$200)-MIN(ROW('Temp Hisfa'!D$3:D$200))+1), ROW(82:280))),"")</f>
        <v>0</v>
      </c>
      <c r="E84" s="29">
        <f t="array" ref="E84">IFERROR(INDEX('Temp Hisfa'!E$3:E$200, SMALL(IF(ISERROR('Temp Hisfa'!E$3:E$200), "", ROW('Temp Hisfa'!E$3:E$200)-MIN(ROW('Temp Hisfa'!E$3:E$200))+1), ROW(82:281))),"")</f>
        <v>0</v>
      </c>
      <c r="F84" s="22" t="str">
        <f t="array" ref="F84">IFERROR(INDEX('Temp Hisfa'!F$3:F$200, SMALL(IF(ISERROR('Temp Hisfa'!F$3:F$200), "", ROW('Temp Hisfa'!F$3:F$200)-MIN(ROW('Temp Hisfa'!F$3:F$200))+1), ROW(82:281))),"")</f>
        <v/>
      </c>
      <c r="G84" s="30">
        <f t="array" ref="G84">IFERROR(INDEX('Temp Hisfa'!G$3:G$200, SMALL(IF(ISERROR('Temp Hisfa'!G$3:G$200), "", ROW('Temp Hisfa'!G$3:G$200)-MIN(ROW('Temp Hisfa'!G$3:G$200))+1), ROW(82:281))),"")</f>
        <v>0</v>
      </c>
      <c r="H84" s="22" t="str">
        <f t="array" ref="H84">IFERROR(INDEX('Temp Hisfa'!H$3:H$200, SMALL(IF(ISERROR('Temp Hisfa'!H$3:H$200), "", ROW('Temp Hisfa'!H$3:H$200)-MIN(ROW('Temp Hisfa'!H$3:H$200))+1), ROW(82:281))),"")</f>
        <v/>
      </c>
      <c r="I84" s="22">
        <f t="array" ref="I84">IFERROR(INDEX('Temp Hisfa'!I$3:I$200, SMALL(IF(ISERROR('Temp Hisfa'!I$3:I$200), "", ROW('Temp Hisfa'!I$3:I$200)-MIN(ROW('Temp Hisfa'!I$3:I$200))+1), ROW(82:281))),"")</f>
        <v>0</v>
      </c>
      <c r="J84" s="22">
        <f t="array" ref="J84">IFERROR(INDEX('Temp Hisfa'!J$3:J$200, SMALL(IF(ISERROR('Temp Hisfa'!J$3:J$200), "", ROW('Temp Hisfa'!J$3:J$200)-MIN(ROW('Temp Hisfa'!J$3:J$200))+1), ROW(82:281))),"")</f>
        <v>0</v>
      </c>
      <c r="K84" s="30">
        <f t="array" ref="K84">IFERROR(INDEX('Temp Hisfa'!K$3:K$200, SMALL(IF(ISERROR('Temp Hisfa'!K$3:K$200), "", ROW('Temp Hisfa'!K$3:K$200)-MIN(ROW('Temp Hisfa'!K$3:K$200))+1), ROW(82:281))),"")</f>
        <v>0</v>
      </c>
      <c r="L84" s="22">
        <f t="array" ref="L84">IFERROR(INDEX('Temp Hisfa'!L$3:L$200, SMALL(IF(ISERROR('Temp Hisfa'!L$3:L$200), "", ROW('Temp Hisfa'!L$3:L$200)-MIN(ROW('Temp Hisfa'!L$3:L$200))+1), ROW(82:281))),"")</f>
        <v>0</v>
      </c>
      <c r="M84" s="22">
        <f t="array" ref="M84">IFERROR(INDEX('Temp Hisfa'!M$3:M$200, SMALL(IF(ISERROR('Temp Hisfa'!M$3:M$200), "", ROW('Temp Hisfa'!M$3:M$200)-MIN(ROW('Temp Hisfa'!M$3:M$200))+1), ROW(82:281))),"")</f>
        <v>0</v>
      </c>
      <c r="N84" s="22">
        <f t="array" ref="N84">IFERROR(INDEX('Temp Hisfa'!N$3:N$200, SMALL(IF(ISERROR('Temp Hisfa'!N$3:N$200), "", ROW('Temp Hisfa'!N$3:N$200)-MIN(ROW('Temp Hisfa'!N$3:N$200))+1), ROW(82:281))),"")</f>
        <v>1900</v>
      </c>
      <c r="O84" s="22" t="str">
        <f t="array" ref="O84">IFERROR(INDEX('Temp Hisfa'!O$3:O$200, SMALL(IF(ISERROR('Temp Hisfa'!O$3:O$200), "", ROW('Temp Hisfa'!O$3:O$200)-MIN(ROW('Temp Hisfa'!O$3:O$200))+1), ROW(82:281))),"")</f>
        <v>enero</v>
      </c>
      <c r="P84" s="22">
        <f t="array" ref="P84">IFERROR(INDEX('Temp Hisfa'!P$3:P$200, SMALL(IF(ISERROR('Temp Hisfa'!P$3:P$200), "", ROW('Temp Hisfa'!P$3:P$200)-MIN(ROW('Temp Hisfa'!P$3:P$200))+1), ROW(82:281))),"")</f>
        <v>0</v>
      </c>
      <c r="Q84" s="22">
        <f t="array" ref="Q84">IFERROR(INDEX('Temp Hisfa'!Q$3:Q$200, SMALL(IF(ISERROR('Temp Hisfa'!Q$3:Q$200), "", ROW('Temp Hisfa'!Q$3:Q$200)-MIN(ROW('Temp Hisfa'!Q$3:Q$200))+1), ROW(82:281))),"")</f>
        <v>0</v>
      </c>
      <c r="R84" s="22">
        <f t="array" ref="R84">IFERROR(INDEX('Temp Hisfa'!R$3:R$200, SMALL(IF(ISERROR('Temp Hisfa'!R$3:R$200), "", ROW('Temp Hisfa'!R$3:R$200)-MIN(ROW('Temp Hisfa'!R$3:R$200))+1), ROW(82:281))),"")</f>
        <v>0</v>
      </c>
      <c r="S84" s="22">
        <f t="array" ref="S84">IFERROR(INDEX('Temp Hisfa'!S$3:S$200, SMALL(IF(ISERROR('Temp Hisfa'!S$3:S$200), "", ROW('Temp Hisfa'!S$3:S$200)-MIN(ROW('Temp Hisfa'!S$3:S$200))+1), ROW(82:281))),"")</f>
        <v>0</v>
      </c>
      <c r="T84" s="22">
        <f t="array" ref="T84">IFERROR(INDEX('Temp Hisfa'!T$3:T$200, SMALL(IF(ISERROR('Temp Hisfa'!T$3:T$200), "", ROW('Temp Hisfa'!T$3:T$200)-MIN(ROW('Temp Hisfa'!T$3:T$200))+1), ROW(82:281))),"")</f>
        <v>0</v>
      </c>
      <c r="U84" s="22">
        <f t="array" ref="U84">IFERROR(INDEX('Temp Hisfa'!U$3:U$200, SMALL(IF(ISERROR('Temp Hisfa'!U$3:U$200), "", ROW('Temp Hisfa'!U$3:U$200)-MIN(ROW('Temp Hisfa'!U$3:U$200))+1), ROW(82:281))),"")</f>
        <v>0</v>
      </c>
      <c r="V84" s="22">
        <f t="array" ref="V84">IFERROR(INDEX('Temp Hisfa'!V$3:V$200, SMALL(IF(ISERROR('Temp Hisfa'!V$3:V$200), "", ROW('Temp Hisfa'!V$3:V$200)-MIN(ROW('Temp Hisfa'!V$3:V$200))+1), ROW(82:281))),"")</f>
        <v>0</v>
      </c>
      <c r="W84" s="22">
        <f t="array" ref="W84">IFERROR(INDEX('Temp Hisfa'!W$3:W$200, SMALL(IF(ISERROR('Temp Hisfa'!W$3:W$200), "", ROW('Temp Hisfa'!W$3:W$200)-MIN(ROW('Temp Hisfa'!W$3:W$200))+1), ROW(82:281))),"")</f>
        <v>0</v>
      </c>
      <c r="X84" s="22">
        <f t="array" ref="X84">IFERROR(INDEX('Temp Hisfa'!X$3:X$200, SMALL(IF(ISERROR('Temp Hisfa'!X$3:X$200), "", ROW('Temp Hisfa'!X$3:X$200)-MIN(ROW('Temp Hisfa'!X$3:X$200))+1), ROW(82:281))),"")</f>
        <v>0</v>
      </c>
      <c r="Y84" s="22">
        <f t="array" ref="Y84">IFERROR(INDEX('Temp Hisfa'!Y$3:Y$200, SMALL(IF(ISERROR('Temp Hisfa'!Y$3:Y$200), "", ROW('Temp Hisfa'!Y$3:Y$200)-MIN(ROW('Temp Hisfa'!Y$3:Y$200))+1), ROW(82:281))),"")</f>
        <v>0</v>
      </c>
      <c r="Z84" s="22">
        <f t="array" ref="Z84">IFERROR(INDEX('Temp Hisfa'!Z$3:Z$200, SMALL(IF(ISERROR('Temp Hisfa'!Z$3:Z$200), "", ROW('Temp Hisfa'!Z$3:Z$200)-MIN(ROW('Temp Hisfa'!Z$3:Z$200))+1), ROW(82:281))),"")</f>
        <v>0</v>
      </c>
      <c r="AA84" s="22">
        <f t="array" ref="AA84">IFERROR(INDEX('Temp Hisfa'!AA$3:AA$200, SMALL(IF(ISERROR('Temp Hisfa'!AA$3:AA$200), "", ROW('Temp Hisfa'!AA$3:AA$200)-MIN(ROW('Temp Hisfa'!AA$3:AA$200))+1), ROW(82:281))),"")</f>
        <v>0</v>
      </c>
      <c r="AB84" s="22">
        <f t="array" ref="AB84">IFERROR(INDEX('Temp Hisfa'!AB$3:AB$200, SMALL(IF(ISERROR('Temp Hisfa'!AB$3:AB$200), "", ROW('Temp Hisfa'!AB$3:AB$200)-MIN(ROW('Temp Hisfa'!AB$3:AB$200))+1), ROW(82:281))),"")</f>
        <v>0</v>
      </c>
    </row>
    <row r="85" spans="1:31" x14ac:dyDescent="0.3">
      <c r="A85" s="4">
        <f t="array" ref="A85">IFERROR(INDEX('Temp Hisfa'!A$3:A$200, SMALL(IF(ISERROR('Temp Hisfa'!A$3:A$200), "", ROW('Temp Hisfa'!A$3:A$200)-MIN(ROW('Temp Hisfa'!A$3:A$200))+1), ROW(83:281))),"")</f>
        <v>0</v>
      </c>
      <c r="B85" s="4">
        <f t="array" ref="B85">IFERROR(INDEX('Temp Hisfa'!B$3:B$200, SMALL(IF(ISERROR('Temp Hisfa'!B$3:B$200), "", ROW('Temp Hisfa'!B$3:B$200)-MIN(ROW('Temp Hisfa'!B$3:B$200))+1), ROW(83:281))),"")</f>
        <v>0</v>
      </c>
      <c r="C85" s="3">
        <f t="array" ref="C85">IFERROR(INDEX('Temp Hisfa'!C$3:C$200, SMALL(IF(ISERROR('Temp Hisfa'!C$3:C$200), "", ROW('Temp Hisfa'!C$3:C$200)-MIN(ROW('Temp Hisfa'!C$3:C$200))+1), ROW(83:281))),"")</f>
        <v>0</v>
      </c>
      <c r="D85" s="3">
        <f t="array" ref="D85">IFERROR(INDEX('Temp Hisfa'!D$3:D$200, SMALL(IF(ISERROR('Temp Hisfa'!D$3:D$200), "", ROW('Temp Hisfa'!D$3:D$200)-MIN(ROW('Temp Hisfa'!D$3:D$200))+1), ROW(83:281))),"")</f>
        <v>0</v>
      </c>
      <c r="E85" s="29">
        <f t="array" ref="E85">IFERROR(INDEX('Temp Hisfa'!E$3:E$200, SMALL(IF(ISERROR('Temp Hisfa'!E$3:E$200), "", ROW('Temp Hisfa'!E$3:E$200)-MIN(ROW('Temp Hisfa'!E$3:E$200))+1), ROW(83:282))),"")</f>
        <v>0</v>
      </c>
      <c r="F85" s="22" t="str">
        <f t="array" ref="F85">IFERROR(INDEX('Temp Hisfa'!F$3:F$200, SMALL(IF(ISERROR('Temp Hisfa'!F$3:F$200), "", ROW('Temp Hisfa'!F$3:F$200)-MIN(ROW('Temp Hisfa'!F$3:F$200))+1), ROW(83:282))),"")</f>
        <v/>
      </c>
      <c r="G85" s="30">
        <f t="array" ref="G85">IFERROR(INDEX('Temp Hisfa'!G$3:G$200, SMALL(IF(ISERROR('Temp Hisfa'!G$3:G$200), "", ROW('Temp Hisfa'!G$3:G$200)-MIN(ROW('Temp Hisfa'!G$3:G$200))+1), ROW(83:282))),"")</f>
        <v>0</v>
      </c>
      <c r="H85" s="22" t="str">
        <f t="array" ref="H85">IFERROR(INDEX('Temp Hisfa'!H$3:H$200, SMALL(IF(ISERROR('Temp Hisfa'!H$3:H$200), "", ROW('Temp Hisfa'!H$3:H$200)-MIN(ROW('Temp Hisfa'!H$3:H$200))+1), ROW(83:282))),"")</f>
        <v/>
      </c>
      <c r="I85" s="22">
        <f t="array" ref="I85">IFERROR(INDEX('Temp Hisfa'!I$3:I$200, SMALL(IF(ISERROR('Temp Hisfa'!I$3:I$200), "", ROW('Temp Hisfa'!I$3:I$200)-MIN(ROW('Temp Hisfa'!I$3:I$200))+1), ROW(83:282))),"")</f>
        <v>0</v>
      </c>
      <c r="J85" s="22">
        <f t="array" ref="J85">IFERROR(INDEX('Temp Hisfa'!J$3:J$200, SMALL(IF(ISERROR('Temp Hisfa'!J$3:J$200), "", ROW('Temp Hisfa'!J$3:J$200)-MIN(ROW('Temp Hisfa'!J$3:J$200))+1), ROW(83:282))),"")</f>
        <v>0</v>
      </c>
      <c r="K85" s="30">
        <f t="array" ref="K85">IFERROR(INDEX('Temp Hisfa'!K$3:K$200, SMALL(IF(ISERROR('Temp Hisfa'!K$3:K$200), "", ROW('Temp Hisfa'!K$3:K$200)-MIN(ROW('Temp Hisfa'!K$3:K$200))+1), ROW(83:282))),"")</f>
        <v>0</v>
      </c>
      <c r="L85" s="22">
        <f t="array" ref="L85">IFERROR(INDEX('Temp Hisfa'!L$3:L$200, SMALL(IF(ISERROR('Temp Hisfa'!L$3:L$200), "", ROW('Temp Hisfa'!L$3:L$200)-MIN(ROW('Temp Hisfa'!L$3:L$200))+1), ROW(83:282))),"")</f>
        <v>0</v>
      </c>
      <c r="M85" s="22">
        <f t="array" ref="M85">IFERROR(INDEX('Temp Hisfa'!M$3:M$200, SMALL(IF(ISERROR('Temp Hisfa'!M$3:M$200), "", ROW('Temp Hisfa'!M$3:M$200)-MIN(ROW('Temp Hisfa'!M$3:M$200))+1), ROW(83:282))),"")</f>
        <v>0</v>
      </c>
      <c r="N85" s="22">
        <f t="array" ref="N85">IFERROR(INDEX('Temp Hisfa'!N$3:N$200, SMALL(IF(ISERROR('Temp Hisfa'!N$3:N$200), "", ROW('Temp Hisfa'!N$3:N$200)-MIN(ROW('Temp Hisfa'!N$3:N$200))+1), ROW(83:282))),"")</f>
        <v>1900</v>
      </c>
      <c r="O85" s="22" t="str">
        <f t="array" ref="O85">IFERROR(INDEX('Temp Hisfa'!O$3:O$200, SMALL(IF(ISERROR('Temp Hisfa'!O$3:O$200), "", ROW('Temp Hisfa'!O$3:O$200)-MIN(ROW('Temp Hisfa'!O$3:O$200))+1), ROW(83:282))),"")</f>
        <v>enero</v>
      </c>
      <c r="P85" s="22">
        <f t="array" ref="P85">IFERROR(INDEX('Temp Hisfa'!P$3:P$200, SMALL(IF(ISERROR('Temp Hisfa'!P$3:P$200), "", ROW('Temp Hisfa'!P$3:P$200)-MIN(ROW('Temp Hisfa'!P$3:P$200))+1), ROW(83:282))),"")</f>
        <v>0</v>
      </c>
      <c r="Q85" s="22">
        <f t="array" ref="Q85">IFERROR(INDEX('Temp Hisfa'!Q$3:Q$200, SMALL(IF(ISERROR('Temp Hisfa'!Q$3:Q$200), "", ROW('Temp Hisfa'!Q$3:Q$200)-MIN(ROW('Temp Hisfa'!Q$3:Q$200))+1), ROW(83:282))),"")</f>
        <v>0</v>
      </c>
      <c r="R85" s="22">
        <f t="array" ref="R85">IFERROR(INDEX('Temp Hisfa'!R$3:R$200, SMALL(IF(ISERROR('Temp Hisfa'!R$3:R$200), "", ROW('Temp Hisfa'!R$3:R$200)-MIN(ROW('Temp Hisfa'!R$3:R$200))+1), ROW(83:282))),"")</f>
        <v>0</v>
      </c>
      <c r="S85" s="22">
        <f t="array" ref="S85">IFERROR(INDEX('Temp Hisfa'!S$3:S$200, SMALL(IF(ISERROR('Temp Hisfa'!S$3:S$200), "", ROW('Temp Hisfa'!S$3:S$200)-MIN(ROW('Temp Hisfa'!S$3:S$200))+1), ROW(83:282))),"")</f>
        <v>0</v>
      </c>
      <c r="T85" s="22">
        <f t="array" ref="T85">IFERROR(INDEX('Temp Hisfa'!T$3:T$200, SMALL(IF(ISERROR('Temp Hisfa'!T$3:T$200), "", ROW('Temp Hisfa'!T$3:T$200)-MIN(ROW('Temp Hisfa'!T$3:T$200))+1), ROW(83:282))),"")</f>
        <v>0</v>
      </c>
      <c r="U85" s="22">
        <f t="array" ref="U85">IFERROR(INDEX('Temp Hisfa'!U$3:U$200, SMALL(IF(ISERROR('Temp Hisfa'!U$3:U$200), "", ROW('Temp Hisfa'!U$3:U$200)-MIN(ROW('Temp Hisfa'!U$3:U$200))+1), ROW(83:282))),"")</f>
        <v>0</v>
      </c>
      <c r="V85" s="22">
        <f t="array" ref="V85">IFERROR(INDEX('Temp Hisfa'!V$3:V$200, SMALL(IF(ISERROR('Temp Hisfa'!V$3:V$200), "", ROW('Temp Hisfa'!V$3:V$200)-MIN(ROW('Temp Hisfa'!V$3:V$200))+1), ROW(83:282))),"")</f>
        <v>0</v>
      </c>
      <c r="W85" s="22">
        <f t="array" ref="W85">IFERROR(INDEX('Temp Hisfa'!W$3:W$200, SMALL(IF(ISERROR('Temp Hisfa'!W$3:W$200), "", ROW('Temp Hisfa'!W$3:W$200)-MIN(ROW('Temp Hisfa'!W$3:W$200))+1), ROW(83:282))),"")</f>
        <v>0</v>
      </c>
      <c r="X85" s="22">
        <f t="array" ref="X85">IFERROR(INDEX('Temp Hisfa'!X$3:X$200, SMALL(IF(ISERROR('Temp Hisfa'!X$3:X$200), "", ROW('Temp Hisfa'!X$3:X$200)-MIN(ROW('Temp Hisfa'!X$3:X$200))+1), ROW(83:282))),"")</f>
        <v>0</v>
      </c>
      <c r="Y85" s="22">
        <f t="array" ref="Y85">IFERROR(INDEX('Temp Hisfa'!Y$3:Y$200, SMALL(IF(ISERROR('Temp Hisfa'!Y$3:Y$200), "", ROW('Temp Hisfa'!Y$3:Y$200)-MIN(ROW('Temp Hisfa'!Y$3:Y$200))+1), ROW(83:282))),"")</f>
        <v>0</v>
      </c>
      <c r="Z85" s="22">
        <f t="array" ref="Z85">IFERROR(INDEX('Temp Hisfa'!Z$3:Z$200, SMALL(IF(ISERROR('Temp Hisfa'!Z$3:Z$200), "", ROW('Temp Hisfa'!Z$3:Z$200)-MIN(ROW('Temp Hisfa'!Z$3:Z$200))+1), ROW(83:282))),"")</f>
        <v>0</v>
      </c>
      <c r="AA85" s="22">
        <f t="array" ref="AA85">IFERROR(INDEX('Temp Hisfa'!AA$3:AA$200, SMALL(IF(ISERROR('Temp Hisfa'!AA$3:AA$200), "", ROW('Temp Hisfa'!AA$3:AA$200)-MIN(ROW('Temp Hisfa'!AA$3:AA$200))+1), ROW(83:282))),"")</f>
        <v>0</v>
      </c>
      <c r="AB85" s="22">
        <f t="array" ref="AB85">IFERROR(INDEX('Temp Hisfa'!AB$3:AB$200, SMALL(IF(ISERROR('Temp Hisfa'!AB$3:AB$200), "", ROW('Temp Hisfa'!AB$3:AB$200)-MIN(ROW('Temp Hisfa'!AB$3:AB$200))+1), ROW(83:282))),"")</f>
        <v>0</v>
      </c>
    </row>
    <row r="86" spans="1:31" x14ac:dyDescent="0.3">
      <c r="A86" s="4">
        <f t="array" ref="A86">IFERROR(INDEX('Temp Hisfa'!A$3:A$200, SMALL(IF(ISERROR('Temp Hisfa'!A$3:A$200), "", ROW('Temp Hisfa'!A$3:A$200)-MIN(ROW('Temp Hisfa'!A$3:A$200))+1), ROW(84:282))),"")</f>
        <v>0</v>
      </c>
      <c r="B86" s="4">
        <f t="array" ref="B86">IFERROR(INDEX('Temp Hisfa'!B$3:B$200, SMALL(IF(ISERROR('Temp Hisfa'!B$3:B$200), "", ROW('Temp Hisfa'!B$3:B$200)-MIN(ROW('Temp Hisfa'!B$3:B$200))+1), ROW(84:282))),"")</f>
        <v>0</v>
      </c>
      <c r="C86" s="3">
        <f t="array" ref="C86">IFERROR(INDEX('Temp Hisfa'!C$3:C$200, SMALL(IF(ISERROR('Temp Hisfa'!C$3:C$200), "", ROW('Temp Hisfa'!C$3:C$200)-MIN(ROW('Temp Hisfa'!C$3:C$200))+1), ROW(84:282))),"")</f>
        <v>0</v>
      </c>
      <c r="D86" s="3">
        <f t="array" ref="D86">IFERROR(INDEX('Temp Hisfa'!D$3:D$200, SMALL(IF(ISERROR('Temp Hisfa'!D$3:D$200), "", ROW('Temp Hisfa'!D$3:D$200)-MIN(ROW('Temp Hisfa'!D$3:D$200))+1), ROW(84:282))),"")</f>
        <v>0</v>
      </c>
      <c r="E86" s="29">
        <f t="array" ref="E86">IFERROR(INDEX('Temp Hisfa'!E$3:E$200, SMALL(IF(ISERROR('Temp Hisfa'!E$3:E$200), "", ROW('Temp Hisfa'!E$3:E$200)-MIN(ROW('Temp Hisfa'!E$3:E$200))+1), ROW(84:283))),"")</f>
        <v>0</v>
      </c>
      <c r="F86" s="22" t="str">
        <f t="array" ref="F86">IFERROR(INDEX('Temp Hisfa'!F$3:F$200, SMALL(IF(ISERROR('Temp Hisfa'!F$3:F$200), "", ROW('Temp Hisfa'!F$3:F$200)-MIN(ROW('Temp Hisfa'!F$3:F$200))+1), ROW(84:283))),"")</f>
        <v/>
      </c>
      <c r="G86" s="30">
        <f t="array" ref="G86">IFERROR(INDEX('Temp Hisfa'!G$3:G$200, SMALL(IF(ISERROR('Temp Hisfa'!G$3:G$200), "", ROW('Temp Hisfa'!G$3:G$200)-MIN(ROW('Temp Hisfa'!G$3:G$200))+1), ROW(84:283))),"")</f>
        <v>0</v>
      </c>
      <c r="H86" s="22" t="str">
        <f t="array" ref="H86">IFERROR(INDEX('Temp Hisfa'!H$3:H$200, SMALL(IF(ISERROR('Temp Hisfa'!H$3:H$200), "", ROW('Temp Hisfa'!H$3:H$200)-MIN(ROW('Temp Hisfa'!H$3:H$200))+1), ROW(84:283))),"")</f>
        <v/>
      </c>
      <c r="I86" s="22">
        <f t="array" ref="I86">IFERROR(INDEX('Temp Hisfa'!I$3:I$200, SMALL(IF(ISERROR('Temp Hisfa'!I$3:I$200), "", ROW('Temp Hisfa'!I$3:I$200)-MIN(ROW('Temp Hisfa'!I$3:I$200))+1), ROW(84:283))),"")</f>
        <v>0</v>
      </c>
      <c r="J86" s="22">
        <f t="array" ref="J86">IFERROR(INDEX('Temp Hisfa'!J$3:J$200, SMALL(IF(ISERROR('Temp Hisfa'!J$3:J$200), "", ROW('Temp Hisfa'!J$3:J$200)-MIN(ROW('Temp Hisfa'!J$3:J$200))+1), ROW(84:283))),"")</f>
        <v>0</v>
      </c>
      <c r="K86" s="30">
        <f t="array" ref="K86">IFERROR(INDEX('Temp Hisfa'!K$3:K$200, SMALL(IF(ISERROR('Temp Hisfa'!K$3:K$200), "", ROW('Temp Hisfa'!K$3:K$200)-MIN(ROW('Temp Hisfa'!K$3:K$200))+1), ROW(84:283))),"")</f>
        <v>0</v>
      </c>
      <c r="L86" s="22">
        <f t="array" ref="L86">IFERROR(INDEX('Temp Hisfa'!L$3:L$200, SMALL(IF(ISERROR('Temp Hisfa'!L$3:L$200), "", ROW('Temp Hisfa'!L$3:L$200)-MIN(ROW('Temp Hisfa'!L$3:L$200))+1), ROW(84:283))),"")</f>
        <v>0</v>
      </c>
      <c r="M86" s="22">
        <f t="array" ref="M86">IFERROR(INDEX('Temp Hisfa'!M$3:M$200, SMALL(IF(ISERROR('Temp Hisfa'!M$3:M$200), "", ROW('Temp Hisfa'!M$3:M$200)-MIN(ROW('Temp Hisfa'!M$3:M$200))+1), ROW(84:283))),"")</f>
        <v>0</v>
      </c>
      <c r="N86" s="22">
        <f t="array" ref="N86">IFERROR(INDEX('Temp Hisfa'!N$3:N$200, SMALL(IF(ISERROR('Temp Hisfa'!N$3:N$200), "", ROW('Temp Hisfa'!N$3:N$200)-MIN(ROW('Temp Hisfa'!N$3:N$200))+1), ROW(84:283))),"")</f>
        <v>1900</v>
      </c>
      <c r="O86" s="22" t="str">
        <f t="array" ref="O86">IFERROR(INDEX('Temp Hisfa'!O$3:O$200, SMALL(IF(ISERROR('Temp Hisfa'!O$3:O$200), "", ROW('Temp Hisfa'!O$3:O$200)-MIN(ROW('Temp Hisfa'!O$3:O$200))+1), ROW(84:283))),"")</f>
        <v>enero</v>
      </c>
      <c r="P86" s="22">
        <f t="array" ref="P86">IFERROR(INDEX('Temp Hisfa'!P$3:P$200, SMALL(IF(ISERROR('Temp Hisfa'!P$3:P$200), "", ROW('Temp Hisfa'!P$3:P$200)-MIN(ROW('Temp Hisfa'!P$3:P$200))+1), ROW(84:283))),"")</f>
        <v>0</v>
      </c>
      <c r="Q86" s="22">
        <f t="array" ref="Q86">IFERROR(INDEX('Temp Hisfa'!Q$3:Q$200, SMALL(IF(ISERROR('Temp Hisfa'!Q$3:Q$200), "", ROW('Temp Hisfa'!Q$3:Q$200)-MIN(ROW('Temp Hisfa'!Q$3:Q$200))+1), ROW(84:283))),"")</f>
        <v>0</v>
      </c>
      <c r="R86" s="22">
        <f t="array" ref="R86">IFERROR(INDEX('Temp Hisfa'!R$3:R$200, SMALL(IF(ISERROR('Temp Hisfa'!R$3:R$200), "", ROW('Temp Hisfa'!R$3:R$200)-MIN(ROW('Temp Hisfa'!R$3:R$200))+1), ROW(84:283))),"")</f>
        <v>0</v>
      </c>
      <c r="S86" s="22">
        <f t="array" ref="S86">IFERROR(INDEX('Temp Hisfa'!S$3:S$200, SMALL(IF(ISERROR('Temp Hisfa'!S$3:S$200), "", ROW('Temp Hisfa'!S$3:S$200)-MIN(ROW('Temp Hisfa'!S$3:S$200))+1), ROW(84:283))),"")</f>
        <v>0</v>
      </c>
      <c r="T86" s="22">
        <f t="array" ref="T86">IFERROR(INDEX('Temp Hisfa'!T$3:T$200, SMALL(IF(ISERROR('Temp Hisfa'!T$3:T$200), "", ROW('Temp Hisfa'!T$3:T$200)-MIN(ROW('Temp Hisfa'!T$3:T$200))+1), ROW(84:283))),"")</f>
        <v>0</v>
      </c>
      <c r="U86" s="22">
        <f t="array" ref="U86">IFERROR(INDEX('Temp Hisfa'!U$3:U$200, SMALL(IF(ISERROR('Temp Hisfa'!U$3:U$200), "", ROW('Temp Hisfa'!U$3:U$200)-MIN(ROW('Temp Hisfa'!U$3:U$200))+1), ROW(84:283))),"")</f>
        <v>0</v>
      </c>
      <c r="V86" s="22">
        <f t="array" ref="V86">IFERROR(INDEX('Temp Hisfa'!V$3:V$200, SMALL(IF(ISERROR('Temp Hisfa'!V$3:V$200), "", ROW('Temp Hisfa'!V$3:V$200)-MIN(ROW('Temp Hisfa'!V$3:V$200))+1), ROW(84:283))),"")</f>
        <v>0</v>
      </c>
      <c r="W86" s="22">
        <f t="array" ref="W86">IFERROR(INDEX('Temp Hisfa'!W$3:W$200, SMALL(IF(ISERROR('Temp Hisfa'!W$3:W$200), "", ROW('Temp Hisfa'!W$3:W$200)-MIN(ROW('Temp Hisfa'!W$3:W$200))+1), ROW(84:283))),"")</f>
        <v>0</v>
      </c>
      <c r="X86" s="22">
        <f t="array" ref="X86">IFERROR(INDEX('Temp Hisfa'!X$3:X$200, SMALL(IF(ISERROR('Temp Hisfa'!X$3:X$200), "", ROW('Temp Hisfa'!X$3:X$200)-MIN(ROW('Temp Hisfa'!X$3:X$200))+1), ROW(84:283))),"")</f>
        <v>0</v>
      </c>
      <c r="Y86" s="22">
        <f t="array" ref="Y86">IFERROR(INDEX('Temp Hisfa'!Y$3:Y$200, SMALL(IF(ISERROR('Temp Hisfa'!Y$3:Y$200), "", ROW('Temp Hisfa'!Y$3:Y$200)-MIN(ROW('Temp Hisfa'!Y$3:Y$200))+1), ROW(84:283))),"")</f>
        <v>0</v>
      </c>
      <c r="Z86" s="22">
        <f t="array" ref="Z86">IFERROR(INDEX('Temp Hisfa'!Z$3:Z$200, SMALL(IF(ISERROR('Temp Hisfa'!Z$3:Z$200), "", ROW('Temp Hisfa'!Z$3:Z$200)-MIN(ROW('Temp Hisfa'!Z$3:Z$200))+1), ROW(84:283))),"")</f>
        <v>0</v>
      </c>
      <c r="AA86" s="22">
        <f t="array" ref="AA86">IFERROR(INDEX('Temp Hisfa'!AA$3:AA$200, SMALL(IF(ISERROR('Temp Hisfa'!AA$3:AA$200), "", ROW('Temp Hisfa'!AA$3:AA$200)-MIN(ROW('Temp Hisfa'!AA$3:AA$200))+1), ROW(84:283))),"")</f>
        <v>0</v>
      </c>
      <c r="AB86" s="22">
        <f t="array" ref="AB86">IFERROR(INDEX('Temp Hisfa'!AB$3:AB$200, SMALL(IF(ISERROR('Temp Hisfa'!AB$3:AB$200), "", ROW('Temp Hisfa'!AB$3:AB$200)-MIN(ROW('Temp Hisfa'!AB$3:AB$200))+1), ROW(84:283))),"")</f>
        <v>0</v>
      </c>
      <c r="AD86" t="s">
        <v>164</v>
      </c>
      <c r="AE86" s="15">
        <f>IFERROR(AE67/AE75,0)</f>
        <v>0</v>
      </c>
    </row>
    <row r="87" spans="1:31" x14ac:dyDescent="0.3">
      <c r="A87" s="4">
        <f t="array" ref="A87">IFERROR(INDEX('Temp Hisfa'!A$3:A$200, SMALL(IF(ISERROR('Temp Hisfa'!A$3:A$200), "", ROW('Temp Hisfa'!A$3:A$200)-MIN(ROW('Temp Hisfa'!A$3:A$200))+1), ROW(85:283))),"")</f>
        <v>0</v>
      </c>
      <c r="B87" s="4">
        <f t="array" ref="B87">IFERROR(INDEX('Temp Hisfa'!B$3:B$200, SMALL(IF(ISERROR('Temp Hisfa'!B$3:B$200), "", ROW('Temp Hisfa'!B$3:B$200)-MIN(ROW('Temp Hisfa'!B$3:B$200))+1), ROW(85:283))),"")</f>
        <v>0</v>
      </c>
      <c r="C87" s="3">
        <f t="array" ref="C87">IFERROR(INDEX('Temp Hisfa'!C$3:C$200, SMALL(IF(ISERROR('Temp Hisfa'!C$3:C$200), "", ROW('Temp Hisfa'!C$3:C$200)-MIN(ROW('Temp Hisfa'!C$3:C$200))+1), ROW(85:283))),"")</f>
        <v>0</v>
      </c>
      <c r="D87" s="3">
        <f t="array" ref="D87">IFERROR(INDEX('Temp Hisfa'!D$3:D$200, SMALL(IF(ISERROR('Temp Hisfa'!D$3:D$200), "", ROW('Temp Hisfa'!D$3:D$200)-MIN(ROW('Temp Hisfa'!D$3:D$200))+1), ROW(85:283))),"")</f>
        <v>0</v>
      </c>
      <c r="E87" s="29">
        <f t="array" ref="E87">IFERROR(INDEX('Temp Hisfa'!E$3:E$200, SMALL(IF(ISERROR('Temp Hisfa'!E$3:E$200), "", ROW('Temp Hisfa'!E$3:E$200)-MIN(ROW('Temp Hisfa'!E$3:E$200))+1), ROW(85:284))),"")</f>
        <v>0</v>
      </c>
      <c r="F87" s="22" t="str">
        <f t="array" ref="F87">IFERROR(INDEX('Temp Hisfa'!F$3:F$200, SMALL(IF(ISERROR('Temp Hisfa'!F$3:F$200), "", ROW('Temp Hisfa'!F$3:F$200)-MIN(ROW('Temp Hisfa'!F$3:F$200))+1), ROW(85:284))),"")</f>
        <v/>
      </c>
      <c r="G87" s="30">
        <f t="array" ref="G87">IFERROR(INDEX('Temp Hisfa'!G$3:G$200, SMALL(IF(ISERROR('Temp Hisfa'!G$3:G$200), "", ROW('Temp Hisfa'!G$3:G$200)-MIN(ROW('Temp Hisfa'!G$3:G$200))+1), ROW(85:284))),"")</f>
        <v>0</v>
      </c>
      <c r="H87" s="22" t="str">
        <f t="array" ref="H87">IFERROR(INDEX('Temp Hisfa'!H$3:H$200, SMALL(IF(ISERROR('Temp Hisfa'!H$3:H$200), "", ROW('Temp Hisfa'!H$3:H$200)-MIN(ROW('Temp Hisfa'!H$3:H$200))+1), ROW(85:284))),"")</f>
        <v/>
      </c>
      <c r="I87" s="22">
        <f t="array" ref="I87">IFERROR(INDEX('Temp Hisfa'!I$3:I$200, SMALL(IF(ISERROR('Temp Hisfa'!I$3:I$200), "", ROW('Temp Hisfa'!I$3:I$200)-MIN(ROW('Temp Hisfa'!I$3:I$200))+1), ROW(85:284))),"")</f>
        <v>0</v>
      </c>
      <c r="J87" s="22">
        <f t="array" ref="J87">IFERROR(INDEX('Temp Hisfa'!J$3:J$200, SMALL(IF(ISERROR('Temp Hisfa'!J$3:J$200), "", ROW('Temp Hisfa'!J$3:J$200)-MIN(ROW('Temp Hisfa'!J$3:J$200))+1), ROW(85:284))),"")</f>
        <v>0</v>
      </c>
      <c r="K87" s="30">
        <f t="array" ref="K87">IFERROR(INDEX('Temp Hisfa'!K$3:K$200, SMALL(IF(ISERROR('Temp Hisfa'!K$3:K$200), "", ROW('Temp Hisfa'!K$3:K$200)-MIN(ROW('Temp Hisfa'!K$3:K$200))+1), ROW(85:284))),"")</f>
        <v>0</v>
      </c>
      <c r="L87" s="22">
        <f t="array" ref="L87">IFERROR(INDEX('Temp Hisfa'!L$3:L$200, SMALL(IF(ISERROR('Temp Hisfa'!L$3:L$200), "", ROW('Temp Hisfa'!L$3:L$200)-MIN(ROW('Temp Hisfa'!L$3:L$200))+1), ROW(85:284))),"")</f>
        <v>0</v>
      </c>
      <c r="M87" s="22">
        <f t="array" ref="M87">IFERROR(INDEX('Temp Hisfa'!M$3:M$200, SMALL(IF(ISERROR('Temp Hisfa'!M$3:M$200), "", ROW('Temp Hisfa'!M$3:M$200)-MIN(ROW('Temp Hisfa'!M$3:M$200))+1), ROW(85:284))),"")</f>
        <v>0</v>
      </c>
      <c r="N87" s="22">
        <f t="array" ref="N87">IFERROR(INDEX('Temp Hisfa'!N$3:N$200, SMALL(IF(ISERROR('Temp Hisfa'!N$3:N$200), "", ROW('Temp Hisfa'!N$3:N$200)-MIN(ROW('Temp Hisfa'!N$3:N$200))+1), ROW(85:284))),"")</f>
        <v>1900</v>
      </c>
      <c r="O87" s="22" t="str">
        <f t="array" ref="O87">IFERROR(INDEX('Temp Hisfa'!O$3:O$200, SMALL(IF(ISERROR('Temp Hisfa'!O$3:O$200), "", ROW('Temp Hisfa'!O$3:O$200)-MIN(ROW('Temp Hisfa'!O$3:O$200))+1), ROW(85:284))),"")</f>
        <v>enero</v>
      </c>
      <c r="P87" s="22">
        <f t="array" ref="P87">IFERROR(INDEX('Temp Hisfa'!P$3:P$200, SMALL(IF(ISERROR('Temp Hisfa'!P$3:P$200), "", ROW('Temp Hisfa'!P$3:P$200)-MIN(ROW('Temp Hisfa'!P$3:P$200))+1), ROW(85:284))),"")</f>
        <v>0</v>
      </c>
      <c r="Q87" s="22">
        <f t="array" ref="Q87">IFERROR(INDEX('Temp Hisfa'!Q$3:Q$200, SMALL(IF(ISERROR('Temp Hisfa'!Q$3:Q$200), "", ROW('Temp Hisfa'!Q$3:Q$200)-MIN(ROW('Temp Hisfa'!Q$3:Q$200))+1), ROW(85:284))),"")</f>
        <v>0</v>
      </c>
      <c r="R87" s="22">
        <f t="array" ref="R87">IFERROR(INDEX('Temp Hisfa'!R$3:R$200, SMALL(IF(ISERROR('Temp Hisfa'!R$3:R$200), "", ROW('Temp Hisfa'!R$3:R$200)-MIN(ROW('Temp Hisfa'!R$3:R$200))+1), ROW(85:284))),"")</f>
        <v>0</v>
      </c>
      <c r="S87" s="22">
        <f t="array" ref="S87">IFERROR(INDEX('Temp Hisfa'!S$3:S$200, SMALL(IF(ISERROR('Temp Hisfa'!S$3:S$200), "", ROW('Temp Hisfa'!S$3:S$200)-MIN(ROW('Temp Hisfa'!S$3:S$200))+1), ROW(85:284))),"")</f>
        <v>0</v>
      </c>
      <c r="T87" s="22">
        <f t="array" ref="T87">IFERROR(INDEX('Temp Hisfa'!T$3:T$200, SMALL(IF(ISERROR('Temp Hisfa'!T$3:T$200), "", ROW('Temp Hisfa'!T$3:T$200)-MIN(ROW('Temp Hisfa'!T$3:T$200))+1), ROW(85:284))),"")</f>
        <v>0</v>
      </c>
      <c r="U87" s="22">
        <f t="array" ref="U87">IFERROR(INDEX('Temp Hisfa'!U$3:U$200, SMALL(IF(ISERROR('Temp Hisfa'!U$3:U$200), "", ROW('Temp Hisfa'!U$3:U$200)-MIN(ROW('Temp Hisfa'!U$3:U$200))+1), ROW(85:284))),"")</f>
        <v>0</v>
      </c>
      <c r="V87" s="22">
        <f t="array" ref="V87">IFERROR(INDEX('Temp Hisfa'!V$3:V$200, SMALL(IF(ISERROR('Temp Hisfa'!V$3:V$200), "", ROW('Temp Hisfa'!V$3:V$200)-MIN(ROW('Temp Hisfa'!V$3:V$200))+1), ROW(85:284))),"")</f>
        <v>0</v>
      </c>
      <c r="W87" s="22">
        <f t="array" ref="W87">IFERROR(INDEX('Temp Hisfa'!W$3:W$200, SMALL(IF(ISERROR('Temp Hisfa'!W$3:W$200), "", ROW('Temp Hisfa'!W$3:W$200)-MIN(ROW('Temp Hisfa'!W$3:W$200))+1), ROW(85:284))),"")</f>
        <v>0</v>
      </c>
      <c r="X87" s="22">
        <f t="array" ref="X87">IFERROR(INDEX('Temp Hisfa'!X$3:X$200, SMALL(IF(ISERROR('Temp Hisfa'!X$3:X$200), "", ROW('Temp Hisfa'!X$3:X$200)-MIN(ROW('Temp Hisfa'!X$3:X$200))+1), ROW(85:284))),"")</f>
        <v>0</v>
      </c>
      <c r="Y87" s="22">
        <f t="array" ref="Y87">IFERROR(INDEX('Temp Hisfa'!Y$3:Y$200, SMALL(IF(ISERROR('Temp Hisfa'!Y$3:Y$200), "", ROW('Temp Hisfa'!Y$3:Y$200)-MIN(ROW('Temp Hisfa'!Y$3:Y$200))+1), ROW(85:284))),"")</f>
        <v>0</v>
      </c>
      <c r="Z87" s="22">
        <f t="array" ref="Z87">IFERROR(INDEX('Temp Hisfa'!Z$3:Z$200, SMALL(IF(ISERROR('Temp Hisfa'!Z$3:Z$200), "", ROW('Temp Hisfa'!Z$3:Z$200)-MIN(ROW('Temp Hisfa'!Z$3:Z$200))+1), ROW(85:284))),"")</f>
        <v>0</v>
      </c>
      <c r="AA87" s="22">
        <f t="array" ref="AA87">IFERROR(INDEX('Temp Hisfa'!AA$3:AA$200, SMALL(IF(ISERROR('Temp Hisfa'!AA$3:AA$200), "", ROW('Temp Hisfa'!AA$3:AA$200)-MIN(ROW('Temp Hisfa'!AA$3:AA$200))+1), ROW(85:284))),"")</f>
        <v>0</v>
      </c>
      <c r="AB87" s="22">
        <f t="array" ref="AB87">IFERROR(INDEX('Temp Hisfa'!AB$3:AB$200, SMALL(IF(ISERROR('Temp Hisfa'!AB$3:AB$200), "", ROW('Temp Hisfa'!AB$3:AB$200)-MIN(ROW('Temp Hisfa'!AB$3:AB$200))+1), ROW(85:284))),"")</f>
        <v>0</v>
      </c>
      <c r="AD87" t="s">
        <v>113</v>
      </c>
      <c r="AE87" s="15">
        <f>IFERROR(100-AE75*100/AE67,0)</f>
        <v>0</v>
      </c>
    </row>
    <row r="88" spans="1:31" x14ac:dyDescent="0.3">
      <c r="A88" s="4">
        <f t="array" ref="A88">IFERROR(INDEX('Temp Hisfa'!A$3:A$200, SMALL(IF(ISERROR('Temp Hisfa'!A$3:A$200), "", ROW('Temp Hisfa'!A$3:A$200)-MIN(ROW('Temp Hisfa'!A$3:A$200))+1), ROW(86:284))),"")</f>
        <v>0</v>
      </c>
      <c r="B88" s="4">
        <f t="array" ref="B88">IFERROR(INDEX('Temp Hisfa'!B$3:B$200, SMALL(IF(ISERROR('Temp Hisfa'!B$3:B$200), "", ROW('Temp Hisfa'!B$3:B$200)-MIN(ROW('Temp Hisfa'!B$3:B$200))+1), ROW(86:284))),"")</f>
        <v>0</v>
      </c>
      <c r="C88" s="3">
        <f t="array" ref="C88">IFERROR(INDEX('Temp Hisfa'!C$3:C$200, SMALL(IF(ISERROR('Temp Hisfa'!C$3:C$200), "", ROW('Temp Hisfa'!C$3:C$200)-MIN(ROW('Temp Hisfa'!C$3:C$200))+1), ROW(86:284))),"")</f>
        <v>0</v>
      </c>
      <c r="D88" s="3">
        <f t="array" ref="D88">IFERROR(INDEX('Temp Hisfa'!D$3:D$200, SMALL(IF(ISERROR('Temp Hisfa'!D$3:D$200), "", ROW('Temp Hisfa'!D$3:D$200)-MIN(ROW('Temp Hisfa'!D$3:D$200))+1), ROW(86:284))),"")</f>
        <v>0</v>
      </c>
      <c r="E88" s="29">
        <f t="array" ref="E88">IFERROR(INDEX('Temp Hisfa'!E$3:E$200, SMALL(IF(ISERROR('Temp Hisfa'!E$3:E$200), "", ROW('Temp Hisfa'!E$3:E$200)-MIN(ROW('Temp Hisfa'!E$3:E$200))+1), ROW(86:285))),"")</f>
        <v>0</v>
      </c>
      <c r="F88" s="22" t="str">
        <f t="array" ref="F88">IFERROR(INDEX('Temp Hisfa'!F$3:F$200, SMALL(IF(ISERROR('Temp Hisfa'!F$3:F$200), "", ROW('Temp Hisfa'!F$3:F$200)-MIN(ROW('Temp Hisfa'!F$3:F$200))+1), ROW(86:285))),"")</f>
        <v/>
      </c>
      <c r="G88" s="30">
        <f t="array" ref="G88">IFERROR(INDEX('Temp Hisfa'!G$3:G$200, SMALL(IF(ISERROR('Temp Hisfa'!G$3:G$200), "", ROW('Temp Hisfa'!G$3:G$200)-MIN(ROW('Temp Hisfa'!G$3:G$200))+1), ROW(86:285))),"")</f>
        <v>0</v>
      </c>
      <c r="H88" s="22" t="str">
        <f t="array" ref="H88">IFERROR(INDEX('Temp Hisfa'!H$3:H$200, SMALL(IF(ISERROR('Temp Hisfa'!H$3:H$200), "", ROW('Temp Hisfa'!H$3:H$200)-MIN(ROW('Temp Hisfa'!H$3:H$200))+1), ROW(86:285))),"")</f>
        <v/>
      </c>
      <c r="I88" s="22">
        <f t="array" ref="I88">IFERROR(INDEX('Temp Hisfa'!I$3:I$200, SMALL(IF(ISERROR('Temp Hisfa'!I$3:I$200), "", ROW('Temp Hisfa'!I$3:I$200)-MIN(ROW('Temp Hisfa'!I$3:I$200))+1), ROW(86:285))),"")</f>
        <v>0</v>
      </c>
      <c r="J88" s="22">
        <f t="array" ref="J88">IFERROR(INDEX('Temp Hisfa'!J$3:J$200, SMALL(IF(ISERROR('Temp Hisfa'!J$3:J$200), "", ROW('Temp Hisfa'!J$3:J$200)-MIN(ROW('Temp Hisfa'!J$3:J$200))+1), ROW(86:285))),"")</f>
        <v>0</v>
      </c>
      <c r="K88" s="30">
        <f t="array" ref="K88">IFERROR(INDEX('Temp Hisfa'!K$3:K$200, SMALL(IF(ISERROR('Temp Hisfa'!K$3:K$200), "", ROW('Temp Hisfa'!K$3:K$200)-MIN(ROW('Temp Hisfa'!K$3:K$200))+1), ROW(86:285))),"")</f>
        <v>0</v>
      </c>
      <c r="L88" s="22">
        <f t="array" ref="L88">IFERROR(INDEX('Temp Hisfa'!L$3:L$200, SMALL(IF(ISERROR('Temp Hisfa'!L$3:L$200), "", ROW('Temp Hisfa'!L$3:L$200)-MIN(ROW('Temp Hisfa'!L$3:L$200))+1), ROW(86:285))),"")</f>
        <v>0</v>
      </c>
      <c r="M88" s="22">
        <f t="array" ref="M88">IFERROR(INDEX('Temp Hisfa'!M$3:M$200, SMALL(IF(ISERROR('Temp Hisfa'!M$3:M$200), "", ROW('Temp Hisfa'!M$3:M$200)-MIN(ROW('Temp Hisfa'!M$3:M$200))+1), ROW(86:285))),"")</f>
        <v>0</v>
      </c>
      <c r="N88" s="22">
        <f t="array" ref="N88">IFERROR(INDEX('Temp Hisfa'!N$3:N$200, SMALL(IF(ISERROR('Temp Hisfa'!N$3:N$200), "", ROW('Temp Hisfa'!N$3:N$200)-MIN(ROW('Temp Hisfa'!N$3:N$200))+1), ROW(86:285))),"")</f>
        <v>1900</v>
      </c>
      <c r="O88" s="22" t="str">
        <f t="array" ref="O88">IFERROR(INDEX('Temp Hisfa'!O$3:O$200, SMALL(IF(ISERROR('Temp Hisfa'!O$3:O$200), "", ROW('Temp Hisfa'!O$3:O$200)-MIN(ROW('Temp Hisfa'!O$3:O$200))+1), ROW(86:285))),"")</f>
        <v>enero</v>
      </c>
      <c r="P88" s="22">
        <f t="array" ref="P88">IFERROR(INDEX('Temp Hisfa'!P$3:P$200, SMALL(IF(ISERROR('Temp Hisfa'!P$3:P$200), "", ROW('Temp Hisfa'!P$3:P$200)-MIN(ROW('Temp Hisfa'!P$3:P$200))+1), ROW(86:285))),"")</f>
        <v>0</v>
      </c>
      <c r="Q88" s="22">
        <f t="array" ref="Q88">IFERROR(INDEX('Temp Hisfa'!Q$3:Q$200, SMALL(IF(ISERROR('Temp Hisfa'!Q$3:Q$200), "", ROW('Temp Hisfa'!Q$3:Q$200)-MIN(ROW('Temp Hisfa'!Q$3:Q$200))+1), ROW(86:285))),"")</f>
        <v>0</v>
      </c>
      <c r="R88" s="22">
        <f t="array" ref="R88">IFERROR(INDEX('Temp Hisfa'!R$3:R$200, SMALL(IF(ISERROR('Temp Hisfa'!R$3:R$200), "", ROW('Temp Hisfa'!R$3:R$200)-MIN(ROW('Temp Hisfa'!R$3:R$200))+1), ROW(86:285))),"")</f>
        <v>0</v>
      </c>
      <c r="S88" s="22">
        <f t="array" ref="S88">IFERROR(INDEX('Temp Hisfa'!S$3:S$200, SMALL(IF(ISERROR('Temp Hisfa'!S$3:S$200), "", ROW('Temp Hisfa'!S$3:S$200)-MIN(ROW('Temp Hisfa'!S$3:S$200))+1), ROW(86:285))),"")</f>
        <v>0</v>
      </c>
      <c r="T88" s="22">
        <f t="array" ref="T88">IFERROR(INDEX('Temp Hisfa'!T$3:T$200, SMALL(IF(ISERROR('Temp Hisfa'!T$3:T$200), "", ROW('Temp Hisfa'!T$3:T$200)-MIN(ROW('Temp Hisfa'!T$3:T$200))+1), ROW(86:285))),"")</f>
        <v>0</v>
      </c>
      <c r="U88" s="22">
        <f t="array" ref="U88">IFERROR(INDEX('Temp Hisfa'!U$3:U$200, SMALL(IF(ISERROR('Temp Hisfa'!U$3:U$200), "", ROW('Temp Hisfa'!U$3:U$200)-MIN(ROW('Temp Hisfa'!U$3:U$200))+1), ROW(86:285))),"")</f>
        <v>0</v>
      </c>
      <c r="V88" s="22">
        <f t="array" ref="V88">IFERROR(INDEX('Temp Hisfa'!V$3:V$200, SMALL(IF(ISERROR('Temp Hisfa'!V$3:V$200), "", ROW('Temp Hisfa'!V$3:V$200)-MIN(ROW('Temp Hisfa'!V$3:V$200))+1), ROW(86:285))),"")</f>
        <v>0</v>
      </c>
      <c r="W88" s="22">
        <f t="array" ref="W88">IFERROR(INDEX('Temp Hisfa'!W$3:W$200, SMALL(IF(ISERROR('Temp Hisfa'!W$3:W$200), "", ROW('Temp Hisfa'!W$3:W$200)-MIN(ROW('Temp Hisfa'!W$3:W$200))+1), ROW(86:285))),"")</f>
        <v>0</v>
      </c>
      <c r="X88" s="22">
        <f t="array" ref="X88">IFERROR(INDEX('Temp Hisfa'!X$3:X$200, SMALL(IF(ISERROR('Temp Hisfa'!X$3:X$200), "", ROW('Temp Hisfa'!X$3:X$200)-MIN(ROW('Temp Hisfa'!X$3:X$200))+1), ROW(86:285))),"")</f>
        <v>0</v>
      </c>
      <c r="Y88" s="22">
        <f t="array" ref="Y88">IFERROR(INDEX('Temp Hisfa'!Y$3:Y$200, SMALL(IF(ISERROR('Temp Hisfa'!Y$3:Y$200), "", ROW('Temp Hisfa'!Y$3:Y$200)-MIN(ROW('Temp Hisfa'!Y$3:Y$200))+1), ROW(86:285))),"")</f>
        <v>0</v>
      </c>
      <c r="Z88" s="22">
        <f t="array" ref="Z88">IFERROR(INDEX('Temp Hisfa'!Z$3:Z$200, SMALL(IF(ISERROR('Temp Hisfa'!Z$3:Z$200), "", ROW('Temp Hisfa'!Z$3:Z$200)-MIN(ROW('Temp Hisfa'!Z$3:Z$200))+1), ROW(86:285))),"")</f>
        <v>0</v>
      </c>
      <c r="AA88" s="22">
        <f t="array" ref="AA88">IFERROR(INDEX('Temp Hisfa'!AA$3:AA$200, SMALL(IF(ISERROR('Temp Hisfa'!AA$3:AA$200), "", ROW('Temp Hisfa'!AA$3:AA$200)-MIN(ROW('Temp Hisfa'!AA$3:AA$200))+1), ROW(86:285))),"")</f>
        <v>0</v>
      </c>
      <c r="AB88" s="22">
        <f t="array" ref="AB88">IFERROR(INDEX('Temp Hisfa'!AB$3:AB$200, SMALL(IF(ISERROR('Temp Hisfa'!AB$3:AB$200), "", ROW('Temp Hisfa'!AB$3:AB$200)-MIN(ROW('Temp Hisfa'!AB$3:AB$200))+1), ROW(86:285))),"")</f>
        <v>0</v>
      </c>
    </row>
    <row r="89" spans="1:31" x14ac:dyDescent="0.3">
      <c r="A89" s="4">
        <f t="array" ref="A89">IFERROR(INDEX('Temp Hisfa'!A$3:A$200, SMALL(IF(ISERROR('Temp Hisfa'!A$3:A$200), "", ROW('Temp Hisfa'!A$3:A$200)-MIN(ROW('Temp Hisfa'!A$3:A$200))+1), ROW(87:285))),"")</f>
        <v>0</v>
      </c>
      <c r="B89" s="4">
        <f t="array" ref="B89">IFERROR(INDEX('Temp Hisfa'!B$3:B$200, SMALL(IF(ISERROR('Temp Hisfa'!B$3:B$200), "", ROW('Temp Hisfa'!B$3:B$200)-MIN(ROW('Temp Hisfa'!B$3:B$200))+1), ROW(87:285))),"")</f>
        <v>0</v>
      </c>
      <c r="C89" s="3">
        <f t="array" ref="C89">IFERROR(INDEX('Temp Hisfa'!C$3:C$200, SMALL(IF(ISERROR('Temp Hisfa'!C$3:C$200), "", ROW('Temp Hisfa'!C$3:C$200)-MIN(ROW('Temp Hisfa'!C$3:C$200))+1), ROW(87:285))),"")</f>
        <v>0</v>
      </c>
      <c r="D89" s="3">
        <f t="array" ref="D89">IFERROR(INDEX('Temp Hisfa'!D$3:D$200, SMALL(IF(ISERROR('Temp Hisfa'!D$3:D$200), "", ROW('Temp Hisfa'!D$3:D$200)-MIN(ROW('Temp Hisfa'!D$3:D$200))+1), ROW(87:285))),"")</f>
        <v>0</v>
      </c>
      <c r="E89" s="29">
        <f t="array" ref="E89">IFERROR(INDEX('Temp Hisfa'!E$3:E$200, SMALL(IF(ISERROR('Temp Hisfa'!E$3:E$200), "", ROW('Temp Hisfa'!E$3:E$200)-MIN(ROW('Temp Hisfa'!E$3:E$200))+1), ROW(87:286))),"")</f>
        <v>0</v>
      </c>
      <c r="F89" s="22" t="str">
        <f t="array" ref="F89">IFERROR(INDEX('Temp Hisfa'!F$3:F$200, SMALL(IF(ISERROR('Temp Hisfa'!F$3:F$200), "", ROW('Temp Hisfa'!F$3:F$200)-MIN(ROW('Temp Hisfa'!F$3:F$200))+1), ROW(87:286))),"")</f>
        <v/>
      </c>
      <c r="G89" s="30">
        <f t="array" ref="G89">IFERROR(INDEX('Temp Hisfa'!G$3:G$200, SMALL(IF(ISERROR('Temp Hisfa'!G$3:G$200), "", ROW('Temp Hisfa'!G$3:G$200)-MIN(ROW('Temp Hisfa'!G$3:G$200))+1), ROW(87:286))),"")</f>
        <v>0</v>
      </c>
      <c r="H89" s="22" t="str">
        <f t="array" ref="H89">IFERROR(INDEX('Temp Hisfa'!H$3:H$200, SMALL(IF(ISERROR('Temp Hisfa'!H$3:H$200), "", ROW('Temp Hisfa'!H$3:H$200)-MIN(ROW('Temp Hisfa'!H$3:H$200))+1), ROW(87:286))),"")</f>
        <v/>
      </c>
      <c r="I89" s="22">
        <f t="array" ref="I89">IFERROR(INDEX('Temp Hisfa'!I$3:I$200, SMALL(IF(ISERROR('Temp Hisfa'!I$3:I$200), "", ROW('Temp Hisfa'!I$3:I$200)-MIN(ROW('Temp Hisfa'!I$3:I$200))+1), ROW(87:286))),"")</f>
        <v>0</v>
      </c>
      <c r="J89" s="22">
        <f t="array" ref="J89">IFERROR(INDEX('Temp Hisfa'!J$3:J$200, SMALL(IF(ISERROR('Temp Hisfa'!J$3:J$200), "", ROW('Temp Hisfa'!J$3:J$200)-MIN(ROW('Temp Hisfa'!J$3:J$200))+1), ROW(87:286))),"")</f>
        <v>0</v>
      </c>
      <c r="K89" s="30">
        <f t="array" ref="K89">IFERROR(INDEX('Temp Hisfa'!K$3:K$200, SMALL(IF(ISERROR('Temp Hisfa'!K$3:K$200), "", ROW('Temp Hisfa'!K$3:K$200)-MIN(ROW('Temp Hisfa'!K$3:K$200))+1), ROW(87:286))),"")</f>
        <v>0</v>
      </c>
      <c r="L89" s="22">
        <f t="array" ref="L89">IFERROR(INDEX('Temp Hisfa'!L$3:L$200, SMALL(IF(ISERROR('Temp Hisfa'!L$3:L$200), "", ROW('Temp Hisfa'!L$3:L$200)-MIN(ROW('Temp Hisfa'!L$3:L$200))+1), ROW(87:286))),"")</f>
        <v>0</v>
      </c>
      <c r="M89" s="22">
        <f t="array" ref="M89">IFERROR(INDEX('Temp Hisfa'!M$3:M$200, SMALL(IF(ISERROR('Temp Hisfa'!M$3:M$200), "", ROW('Temp Hisfa'!M$3:M$200)-MIN(ROW('Temp Hisfa'!M$3:M$200))+1), ROW(87:286))),"")</f>
        <v>0</v>
      </c>
      <c r="N89" s="22">
        <f t="array" ref="N89">IFERROR(INDEX('Temp Hisfa'!N$3:N$200, SMALL(IF(ISERROR('Temp Hisfa'!N$3:N$200), "", ROW('Temp Hisfa'!N$3:N$200)-MIN(ROW('Temp Hisfa'!N$3:N$200))+1), ROW(87:286))),"")</f>
        <v>1900</v>
      </c>
      <c r="O89" s="22" t="str">
        <f t="array" ref="O89">IFERROR(INDEX('Temp Hisfa'!O$3:O$200, SMALL(IF(ISERROR('Temp Hisfa'!O$3:O$200), "", ROW('Temp Hisfa'!O$3:O$200)-MIN(ROW('Temp Hisfa'!O$3:O$200))+1), ROW(87:286))),"")</f>
        <v>enero</v>
      </c>
      <c r="P89" s="22">
        <f t="array" ref="P89">IFERROR(INDEX('Temp Hisfa'!P$3:P$200, SMALL(IF(ISERROR('Temp Hisfa'!P$3:P$200), "", ROW('Temp Hisfa'!P$3:P$200)-MIN(ROW('Temp Hisfa'!P$3:P$200))+1), ROW(87:286))),"")</f>
        <v>0</v>
      </c>
      <c r="Q89" s="22">
        <f t="array" ref="Q89">IFERROR(INDEX('Temp Hisfa'!Q$3:Q$200, SMALL(IF(ISERROR('Temp Hisfa'!Q$3:Q$200), "", ROW('Temp Hisfa'!Q$3:Q$200)-MIN(ROW('Temp Hisfa'!Q$3:Q$200))+1), ROW(87:286))),"")</f>
        <v>0</v>
      </c>
      <c r="R89" s="22">
        <f t="array" ref="R89">IFERROR(INDEX('Temp Hisfa'!R$3:R$200, SMALL(IF(ISERROR('Temp Hisfa'!R$3:R$200), "", ROW('Temp Hisfa'!R$3:R$200)-MIN(ROW('Temp Hisfa'!R$3:R$200))+1), ROW(87:286))),"")</f>
        <v>0</v>
      </c>
      <c r="S89" s="22">
        <f t="array" ref="S89">IFERROR(INDEX('Temp Hisfa'!S$3:S$200, SMALL(IF(ISERROR('Temp Hisfa'!S$3:S$200), "", ROW('Temp Hisfa'!S$3:S$200)-MIN(ROW('Temp Hisfa'!S$3:S$200))+1), ROW(87:286))),"")</f>
        <v>0</v>
      </c>
      <c r="T89" s="22">
        <f t="array" ref="T89">IFERROR(INDEX('Temp Hisfa'!T$3:T$200, SMALL(IF(ISERROR('Temp Hisfa'!T$3:T$200), "", ROW('Temp Hisfa'!T$3:T$200)-MIN(ROW('Temp Hisfa'!T$3:T$200))+1), ROW(87:286))),"")</f>
        <v>0</v>
      </c>
      <c r="U89" s="22">
        <f t="array" ref="U89">IFERROR(INDEX('Temp Hisfa'!U$3:U$200, SMALL(IF(ISERROR('Temp Hisfa'!U$3:U$200), "", ROW('Temp Hisfa'!U$3:U$200)-MIN(ROW('Temp Hisfa'!U$3:U$200))+1), ROW(87:286))),"")</f>
        <v>0</v>
      </c>
      <c r="V89" s="22">
        <f t="array" ref="V89">IFERROR(INDEX('Temp Hisfa'!V$3:V$200, SMALL(IF(ISERROR('Temp Hisfa'!V$3:V$200), "", ROW('Temp Hisfa'!V$3:V$200)-MIN(ROW('Temp Hisfa'!V$3:V$200))+1), ROW(87:286))),"")</f>
        <v>0</v>
      </c>
      <c r="W89" s="22">
        <f t="array" ref="W89">IFERROR(INDEX('Temp Hisfa'!W$3:W$200, SMALL(IF(ISERROR('Temp Hisfa'!W$3:W$200), "", ROW('Temp Hisfa'!W$3:W$200)-MIN(ROW('Temp Hisfa'!W$3:W$200))+1), ROW(87:286))),"")</f>
        <v>0</v>
      </c>
      <c r="X89" s="22">
        <f t="array" ref="X89">IFERROR(INDEX('Temp Hisfa'!X$3:X$200, SMALL(IF(ISERROR('Temp Hisfa'!X$3:X$200), "", ROW('Temp Hisfa'!X$3:X$200)-MIN(ROW('Temp Hisfa'!X$3:X$200))+1), ROW(87:286))),"")</f>
        <v>0</v>
      </c>
      <c r="Y89" s="22">
        <f t="array" ref="Y89">IFERROR(INDEX('Temp Hisfa'!Y$3:Y$200, SMALL(IF(ISERROR('Temp Hisfa'!Y$3:Y$200), "", ROW('Temp Hisfa'!Y$3:Y$200)-MIN(ROW('Temp Hisfa'!Y$3:Y$200))+1), ROW(87:286))),"")</f>
        <v>0</v>
      </c>
      <c r="Z89" s="22">
        <f t="array" ref="Z89">IFERROR(INDEX('Temp Hisfa'!Z$3:Z$200, SMALL(IF(ISERROR('Temp Hisfa'!Z$3:Z$200), "", ROW('Temp Hisfa'!Z$3:Z$200)-MIN(ROW('Temp Hisfa'!Z$3:Z$200))+1), ROW(87:286))),"")</f>
        <v>0</v>
      </c>
      <c r="AA89" s="22">
        <f t="array" ref="AA89">IFERROR(INDEX('Temp Hisfa'!AA$3:AA$200, SMALL(IF(ISERROR('Temp Hisfa'!AA$3:AA$200), "", ROW('Temp Hisfa'!AA$3:AA$200)-MIN(ROW('Temp Hisfa'!AA$3:AA$200))+1), ROW(87:286))),"")</f>
        <v>0</v>
      </c>
      <c r="AB89" s="22">
        <f t="array" ref="AB89">IFERROR(INDEX('Temp Hisfa'!AB$3:AB$200, SMALL(IF(ISERROR('Temp Hisfa'!AB$3:AB$200), "", ROW('Temp Hisfa'!AB$3:AB$200)-MIN(ROW('Temp Hisfa'!AB$3:AB$200))+1), ROW(87:286))),"")</f>
        <v>0</v>
      </c>
    </row>
    <row r="90" spans="1:31" x14ac:dyDescent="0.3">
      <c r="A90" s="4">
        <f t="array" ref="A90">IFERROR(INDEX('Temp Hisfa'!A$3:A$200, SMALL(IF(ISERROR('Temp Hisfa'!A$3:A$200), "", ROW('Temp Hisfa'!A$3:A$200)-MIN(ROW('Temp Hisfa'!A$3:A$200))+1), ROW(88:286))),"")</f>
        <v>0</v>
      </c>
      <c r="B90" s="4">
        <f t="array" ref="B90">IFERROR(INDEX('Temp Hisfa'!B$3:B$200, SMALL(IF(ISERROR('Temp Hisfa'!B$3:B$200), "", ROW('Temp Hisfa'!B$3:B$200)-MIN(ROW('Temp Hisfa'!B$3:B$200))+1), ROW(88:286))),"")</f>
        <v>0</v>
      </c>
      <c r="C90" s="3">
        <f t="array" ref="C90">IFERROR(INDEX('Temp Hisfa'!C$3:C$200, SMALL(IF(ISERROR('Temp Hisfa'!C$3:C$200), "", ROW('Temp Hisfa'!C$3:C$200)-MIN(ROW('Temp Hisfa'!C$3:C$200))+1), ROW(88:286))),"")</f>
        <v>0</v>
      </c>
      <c r="D90" s="3">
        <f t="array" ref="D90">IFERROR(INDEX('Temp Hisfa'!D$3:D$200, SMALL(IF(ISERROR('Temp Hisfa'!D$3:D$200), "", ROW('Temp Hisfa'!D$3:D$200)-MIN(ROW('Temp Hisfa'!D$3:D$200))+1), ROW(88:286))),"")</f>
        <v>0</v>
      </c>
      <c r="E90" s="29">
        <f t="array" ref="E90">IFERROR(INDEX('Temp Hisfa'!E$3:E$200, SMALL(IF(ISERROR('Temp Hisfa'!E$3:E$200), "", ROW('Temp Hisfa'!E$3:E$200)-MIN(ROW('Temp Hisfa'!E$3:E$200))+1), ROW(88:287))),"")</f>
        <v>0</v>
      </c>
      <c r="F90" s="22" t="str">
        <f t="array" ref="F90">IFERROR(INDEX('Temp Hisfa'!F$3:F$200, SMALL(IF(ISERROR('Temp Hisfa'!F$3:F$200), "", ROW('Temp Hisfa'!F$3:F$200)-MIN(ROW('Temp Hisfa'!F$3:F$200))+1), ROW(88:287))),"")</f>
        <v/>
      </c>
      <c r="G90" s="30">
        <f t="array" ref="G90">IFERROR(INDEX('Temp Hisfa'!G$3:G$200, SMALL(IF(ISERROR('Temp Hisfa'!G$3:G$200), "", ROW('Temp Hisfa'!G$3:G$200)-MIN(ROW('Temp Hisfa'!G$3:G$200))+1), ROW(88:287))),"")</f>
        <v>0</v>
      </c>
      <c r="H90" s="22" t="str">
        <f t="array" ref="H90">IFERROR(INDEX('Temp Hisfa'!H$3:H$200, SMALL(IF(ISERROR('Temp Hisfa'!H$3:H$200), "", ROW('Temp Hisfa'!H$3:H$200)-MIN(ROW('Temp Hisfa'!H$3:H$200))+1), ROW(88:287))),"")</f>
        <v/>
      </c>
      <c r="I90" s="22">
        <f t="array" ref="I90">IFERROR(INDEX('Temp Hisfa'!I$3:I$200, SMALL(IF(ISERROR('Temp Hisfa'!I$3:I$200), "", ROW('Temp Hisfa'!I$3:I$200)-MIN(ROW('Temp Hisfa'!I$3:I$200))+1), ROW(88:287))),"")</f>
        <v>0</v>
      </c>
      <c r="J90" s="22">
        <f t="array" ref="J90">IFERROR(INDEX('Temp Hisfa'!J$3:J$200, SMALL(IF(ISERROR('Temp Hisfa'!J$3:J$200), "", ROW('Temp Hisfa'!J$3:J$200)-MIN(ROW('Temp Hisfa'!J$3:J$200))+1), ROW(88:287))),"")</f>
        <v>0</v>
      </c>
      <c r="K90" s="30">
        <f t="array" ref="K90">IFERROR(INDEX('Temp Hisfa'!K$3:K$200, SMALL(IF(ISERROR('Temp Hisfa'!K$3:K$200), "", ROW('Temp Hisfa'!K$3:K$200)-MIN(ROW('Temp Hisfa'!K$3:K$200))+1), ROW(88:287))),"")</f>
        <v>0</v>
      </c>
      <c r="L90" s="22">
        <f t="array" ref="L90">IFERROR(INDEX('Temp Hisfa'!L$3:L$200, SMALL(IF(ISERROR('Temp Hisfa'!L$3:L$200), "", ROW('Temp Hisfa'!L$3:L$200)-MIN(ROW('Temp Hisfa'!L$3:L$200))+1), ROW(88:287))),"")</f>
        <v>0</v>
      </c>
      <c r="M90" s="22">
        <f t="array" ref="M90">IFERROR(INDEX('Temp Hisfa'!M$3:M$200, SMALL(IF(ISERROR('Temp Hisfa'!M$3:M$200), "", ROW('Temp Hisfa'!M$3:M$200)-MIN(ROW('Temp Hisfa'!M$3:M$200))+1), ROW(88:287))),"")</f>
        <v>0</v>
      </c>
      <c r="N90" s="22">
        <f t="array" ref="N90">IFERROR(INDEX('Temp Hisfa'!N$3:N$200, SMALL(IF(ISERROR('Temp Hisfa'!N$3:N$200), "", ROW('Temp Hisfa'!N$3:N$200)-MIN(ROW('Temp Hisfa'!N$3:N$200))+1), ROW(88:287))),"")</f>
        <v>1900</v>
      </c>
      <c r="O90" s="22" t="str">
        <f t="array" ref="O90">IFERROR(INDEX('Temp Hisfa'!O$3:O$200, SMALL(IF(ISERROR('Temp Hisfa'!O$3:O$200), "", ROW('Temp Hisfa'!O$3:O$200)-MIN(ROW('Temp Hisfa'!O$3:O$200))+1), ROW(88:287))),"")</f>
        <v>enero</v>
      </c>
      <c r="P90" s="22">
        <f t="array" ref="P90">IFERROR(INDEX('Temp Hisfa'!P$3:P$200, SMALL(IF(ISERROR('Temp Hisfa'!P$3:P$200), "", ROW('Temp Hisfa'!P$3:P$200)-MIN(ROW('Temp Hisfa'!P$3:P$200))+1), ROW(88:287))),"")</f>
        <v>0</v>
      </c>
      <c r="Q90" s="22">
        <f t="array" ref="Q90">IFERROR(INDEX('Temp Hisfa'!Q$3:Q$200, SMALL(IF(ISERROR('Temp Hisfa'!Q$3:Q$200), "", ROW('Temp Hisfa'!Q$3:Q$200)-MIN(ROW('Temp Hisfa'!Q$3:Q$200))+1), ROW(88:287))),"")</f>
        <v>0</v>
      </c>
      <c r="R90" s="22">
        <f t="array" ref="R90">IFERROR(INDEX('Temp Hisfa'!R$3:R$200, SMALL(IF(ISERROR('Temp Hisfa'!R$3:R$200), "", ROW('Temp Hisfa'!R$3:R$200)-MIN(ROW('Temp Hisfa'!R$3:R$200))+1), ROW(88:287))),"")</f>
        <v>0</v>
      </c>
      <c r="S90" s="22">
        <f t="array" ref="S90">IFERROR(INDEX('Temp Hisfa'!S$3:S$200, SMALL(IF(ISERROR('Temp Hisfa'!S$3:S$200), "", ROW('Temp Hisfa'!S$3:S$200)-MIN(ROW('Temp Hisfa'!S$3:S$200))+1), ROW(88:287))),"")</f>
        <v>0</v>
      </c>
      <c r="T90" s="22">
        <f t="array" ref="T90">IFERROR(INDEX('Temp Hisfa'!T$3:T$200, SMALL(IF(ISERROR('Temp Hisfa'!T$3:T$200), "", ROW('Temp Hisfa'!T$3:T$200)-MIN(ROW('Temp Hisfa'!T$3:T$200))+1), ROW(88:287))),"")</f>
        <v>0</v>
      </c>
      <c r="U90" s="22">
        <f t="array" ref="U90">IFERROR(INDEX('Temp Hisfa'!U$3:U$200, SMALL(IF(ISERROR('Temp Hisfa'!U$3:U$200), "", ROW('Temp Hisfa'!U$3:U$200)-MIN(ROW('Temp Hisfa'!U$3:U$200))+1), ROW(88:287))),"")</f>
        <v>0</v>
      </c>
      <c r="V90" s="22">
        <f t="array" ref="V90">IFERROR(INDEX('Temp Hisfa'!V$3:V$200, SMALL(IF(ISERROR('Temp Hisfa'!V$3:V$200), "", ROW('Temp Hisfa'!V$3:V$200)-MIN(ROW('Temp Hisfa'!V$3:V$200))+1), ROW(88:287))),"")</f>
        <v>0</v>
      </c>
      <c r="W90" s="22">
        <f t="array" ref="W90">IFERROR(INDEX('Temp Hisfa'!W$3:W$200, SMALL(IF(ISERROR('Temp Hisfa'!W$3:W$200), "", ROW('Temp Hisfa'!W$3:W$200)-MIN(ROW('Temp Hisfa'!W$3:W$200))+1), ROW(88:287))),"")</f>
        <v>0</v>
      </c>
      <c r="X90" s="22">
        <f t="array" ref="X90">IFERROR(INDEX('Temp Hisfa'!X$3:X$200, SMALL(IF(ISERROR('Temp Hisfa'!X$3:X$200), "", ROW('Temp Hisfa'!X$3:X$200)-MIN(ROW('Temp Hisfa'!X$3:X$200))+1), ROW(88:287))),"")</f>
        <v>0</v>
      </c>
      <c r="Y90" s="22">
        <f t="array" ref="Y90">IFERROR(INDEX('Temp Hisfa'!Y$3:Y$200, SMALL(IF(ISERROR('Temp Hisfa'!Y$3:Y$200), "", ROW('Temp Hisfa'!Y$3:Y$200)-MIN(ROW('Temp Hisfa'!Y$3:Y$200))+1), ROW(88:287))),"")</f>
        <v>0</v>
      </c>
      <c r="Z90" s="22">
        <f t="array" ref="Z90">IFERROR(INDEX('Temp Hisfa'!Z$3:Z$200, SMALL(IF(ISERROR('Temp Hisfa'!Z$3:Z$200), "", ROW('Temp Hisfa'!Z$3:Z$200)-MIN(ROW('Temp Hisfa'!Z$3:Z$200))+1), ROW(88:287))),"")</f>
        <v>0</v>
      </c>
      <c r="AA90" s="22">
        <f t="array" ref="AA90">IFERROR(INDEX('Temp Hisfa'!AA$3:AA$200, SMALL(IF(ISERROR('Temp Hisfa'!AA$3:AA$200), "", ROW('Temp Hisfa'!AA$3:AA$200)-MIN(ROW('Temp Hisfa'!AA$3:AA$200))+1), ROW(88:287))),"")</f>
        <v>0</v>
      </c>
      <c r="AB90" s="22">
        <f t="array" ref="AB90">IFERROR(INDEX('Temp Hisfa'!AB$3:AB$200, SMALL(IF(ISERROR('Temp Hisfa'!AB$3:AB$200), "", ROW('Temp Hisfa'!AB$3:AB$200)-MIN(ROW('Temp Hisfa'!AB$3:AB$200))+1), ROW(88:287))),"")</f>
        <v>0</v>
      </c>
    </row>
    <row r="91" spans="1:31" x14ac:dyDescent="0.3">
      <c r="A91" s="4">
        <f t="array" ref="A91">IFERROR(INDEX('Temp Hisfa'!A$3:A$200, SMALL(IF(ISERROR('Temp Hisfa'!A$3:A$200), "", ROW('Temp Hisfa'!A$3:A$200)-MIN(ROW('Temp Hisfa'!A$3:A$200))+1), ROW(89:287))),"")</f>
        <v>0</v>
      </c>
      <c r="B91" s="4">
        <f t="array" ref="B91">IFERROR(INDEX('Temp Hisfa'!B$3:B$200, SMALL(IF(ISERROR('Temp Hisfa'!B$3:B$200), "", ROW('Temp Hisfa'!B$3:B$200)-MIN(ROW('Temp Hisfa'!B$3:B$200))+1), ROW(89:287))),"")</f>
        <v>0</v>
      </c>
      <c r="C91" s="3">
        <f t="array" ref="C91">IFERROR(INDEX('Temp Hisfa'!C$3:C$200, SMALL(IF(ISERROR('Temp Hisfa'!C$3:C$200), "", ROW('Temp Hisfa'!C$3:C$200)-MIN(ROW('Temp Hisfa'!C$3:C$200))+1), ROW(89:287))),"")</f>
        <v>0</v>
      </c>
      <c r="D91" s="3">
        <f t="array" ref="D91">IFERROR(INDEX('Temp Hisfa'!D$3:D$200, SMALL(IF(ISERROR('Temp Hisfa'!D$3:D$200), "", ROW('Temp Hisfa'!D$3:D$200)-MIN(ROW('Temp Hisfa'!D$3:D$200))+1), ROW(89:287))),"")</f>
        <v>0</v>
      </c>
      <c r="E91" s="29">
        <f t="array" ref="E91">IFERROR(INDEX('Temp Hisfa'!E$3:E$200, SMALL(IF(ISERROR('Temp Hisfa'!E$3:E$200), "", ROW('Temp Hisfa'!E$3:E$200)-MIN(ROW('Temp Hisfa'!E$3:E$200))+1), ROW(89:288))),"")</f>
        <v>0</v>
      </c>
      <c r="F91" s="22" t="str">
        <f t="array" ref="F91">IFERROR(INDEX('Temp Hisfa'!F$3:F$200, SMALL(IF(ISERROR('Temp Hisfa'!F$3:F$200), "", ROW('Temp Hisfa'!F$3:F$200)-MIN(ROW('Temp Hisfa'!F$3:F$200))+1), ROW(89:288))),"")</f>
        <v/>
      </c>
      <c r="G91" s="30">
        <f t="array" ref="G91">IFERROR(INDEX('Temp Hisfa'!G$3:G$200, SMALL(IF(ISERROR('Temp Hisfa'!G$3:G$200), "", ROW('Temp Hisfa'!G$3:G$200)-MIN(ROW('Temp Hisfa'!G$3:G$200))+1), ROW(89:288))),"")</f>
        <v>0</v>
      </c>
      <c r="H91" s="22" t="str">
        <f t="array" ref="H91">IFERROR(INDEX('Temp Hisfa'!H$3:H$200, SMALL(IF(ISERROR('Temp Hisfa'!H$3:H$200), "", ROW('Temp Hisfa'!H$3:H$200)-MIN(ROW('Temp Hisfa'!H$3:H$200))+1), ROW(89:288))),"")</f>
        <v/>
      </c>
      <c r="I91" s="22">
        <f t="array" ref="I91">IFERROR(INDEX('Temp Hisfa'!I$3:I$200, SMALL(IF(ISERROR('Temp Hisfa'!I$3:I$200), "", ROW('Temp Hisfa'!I$3:I$200)-MIN(ROW('Temp Hisfa'!I$3:I$200))+1), ROW(89:288))),"")</f>
        <v>0</v>
      </c>
      <c r="J91" s="22">
        <f t="array" ref="J91">IFERROR(INDEX('Temp Hisfa'!J$3:J$200, SMALL(IF(ISERROR('Temp Hisfa'!J$3:J$200), "", ROW('Temp Hisfa'!J$3:J$200)-MIN(ROW('Temp Hisfa'!J$3:J$200))+1), ROW(89:288))),"")</f>
        <v>0</v>
      </c>
      <c r="K91" s="30">
        <f t="array" ref="K91">IFERROR(INDEX('Temp Hisfa'!K$3:K$200, SMALL(IF(ISERROR('Temp Hisfa'!K$3:K$200), "", ROW('Temp Hisfa'!K$3:K$200)-MIN(ROW('Temp Hisfa'!K$3:K$200))+1), ROW(89:288))),"")</f>
        <v>0</v>
      </c>
      <c r="L91" s="22">
        <f t="array" ref="L91">IFERROR(INDEX('Temp Hisfa'!L$3:L$200, SMALL(IF(ISERROR('Temp Hisfa'!L$3:L$200), "", ROW('Temp Hisfa'!L$3:L$200)-MIN(ROW('Temp Hisfa'!L$3:L$200))+1), ROW(89:288))),"")</f>
        <v>0</v>
      </c>
      <c r="M91" s="22">
        <f t="array" ref="M91">IFERROR(INDEX('Temp Hisfa'!M$3:M$200, SMALL(IF(ISERROR('Temp Hisfa'!M$3:M$200), "", ROW('Temp Hisfa'!M$3:M$200)-MIN(ROW('Temp Hisfa'!M$3:M$200))+1), ROW(89:288))),"")</f>
        <v>0</v>
      </c>
      <c r="N91" s="22">
        <f t="array" ref="N91">IFERROR(INDEX('Temp Hisfa'!N$3:N$200, SMALL(IF(ISERROR('Temp Hisfa'!N$3:N$200), "", ROW('Temp Hisfa'!N$3:N$200)-MIN(ROW('Temp Hisfa'!N$3:N$200))+1), ROW(89:288))),"")</f>
        <v>1900</v>
      </c>
      <c r="O91" s="22" t="str">
        <f t="array" ref="O91">IFERROR(INDEX('Temp Hisfa'!O$3:O$200, SMALL(IF(ISERROR('Temp Hisfa'!O$3:O$200), "", ROW('Temp Hisfa'!O$3:O$200)-MIN(ROW('Temp Hisfa'!O$3:O$200))+1), ROW(89:288))),"")</f>
        <v>enero</v>
      </c>
      <c r="P91" s="22">
        <f t="array" ref="P91">IFERROR(INDEX('Temp Hisfa'!P$3:P$200, SMALL(IF(ISERROR('Temp Hisfa'!P$3:P$200), "", ROW('Temp Hisfa'!P$3:P$200)-MIN(ROW('Temp Hisfa'!P$3:P$200))+1), ROW(89:288))),"")</f>
        <v>0</v>
      </c>
      <c r="Q91" s="22">
        <f t="array" ref="Q91">IFERROR(INDEX('Temp Hisfa'!Q$3:Q$200, SMALL(IF(ISERROR('Temp Hisfa'!Q$3:Q$200), "", ROW('Temp Hisfa'!Q$3:Q$200)-MIN(ROW('Temp Hisfa'!Q$3:Q$200))+1), ROW(89:288))),"")</f>
        <v>0</v>
      </c>
      <c r="R91" s="22">
        <f t="array" ref="R91">IFERROR(INDEX('Temp Hisfa'!R$3:R$200, SMALL(IF(ISERROR('Temp Hisfa'!R$3:R$200), "", ROW('Temp Hisfa'!R$3:R$200)-MIN(ROW('Temp Hisfa'!R$3:R$200))+1), ROW(89:288))),"")</f>
        <v>0</v>
      </c>
      <c r="S91" s="22">
        <f t="array" ref="S91">IFERROR(INDEX('Temp Hisfa'!S$3:S$200, SMALL(IF(ISERROR('Temp Hisfa'!S$3:S$200), "", ROW('Temp Hisfa'!S$3:S$200)-MIN(ROW('Temp Hisfa'!S$3:S$200))+1), ROW(89:288))),"")</f>
        <v>0</v>
      </c>
      <c r="T91" s="22">
        <f t="array" ref="T91">IFERROR(INDEX('Temp Hisfa'!T$3:T$200, SMALL(IF(ISERROR('Temp Hisfa'!T$3:T$200), "", ROW('Temp Hisfa'!T$3:T$200)-MIN(ROW('Temp Hisfa'!T$3:T$200))+1), ROW(89:288))),"")</f>
        <v>0</v>
      </c>
      <c r="U91" s="22">
        <f t="array" ref="U91">IFERROR(INDEX('Temp Hisfa'!U$3:U$200, SMALL(IF(ISERROR('Temp Hisfa'!U$3:U$200), "", ROW('Temp Hisfa'!U$3:U$200)-MIN(ROW('Temp Hisfa'!U$3:U$200))+1), ROW(89:288))),"")</f>
        <v>0</v>
      </c>
      <c r="V91" s="22">
        <f t="array" ref="V91">IFERROR(INDEX('Temp Hisfa'!V$3:V$200, SMALL(IF(ISERROR('Temp Hisfa'!V$3:V$200), "", ROW('Temp Hisfa'!V$3:V$200)-MIN(ROW('Temp Hisfa'!V$3:V$200))+1), ROW(89:288))),"")</f>
        <v>0</v>
      </c>
      <c r="W91" s="22">
        <f t="array" ref="W91">IFERROR(INDEX('Temp Hisfa'!W$3:W$200, SMALL(IF(ISERROR('Temp Hisfa'!W$3:W$200), "", ROW('Temp Hisfa'!W$3:W$200)-MIN(ROW('Temp Hisfa'!W$3:W$200))+1), ROW(89:288))),"")</f>
        <v>0</v>
      </c>
      <c r="X91" s="22">
        <f t="array" ref="X91">IFERROR(INDEX('Temp Hisfa'!X$3:X$200, SMALL(IF(ISERROR('Temp Hisfa'!X$3:X$200), "", ROW('Temp Hisfa'!X$3:X$200)-MIN(ROW('Temp Hisfa'!X$3:X$200))+1), ROW(89:288))),"")</f>
        <v>0</v>
      </c>
      <c r="Y91" s="22">
        <f t="array" ref="Y91">IFERROR(INDEX('Temp Hisfa'!Y$3:Y$200, SMALL(IF(ISERROR('Temp Hisfa'!Y$3:Y$200), "", ROW('Temp Hisfa'!Y$3:Y$200)-MIN(ROW('Temp Hisfa'!Y$3:Y$200))+1), ROW(89:288))),"")</f>
        <v>0</v>
      </c>
      <c r="Z91" s="22">
        <f t="array" ref="Z91">IFERROR(INDEX('Temp Hisfa'!Z$3:Z$200, SMALL(IF(ISERROR('Temp Hisfa'!Z$3:Z$200), "", ROW('Temp Hisfa'!Z$3:Z$200)-MIN(ROW('Temp Hisfa'!Z$3:Z$200))+1), ROW(89:288))),"")</f>
        <v>0</v>
      </c>
      <c r="AA91" s="22">
        <f t="array" ref="AA91">IFERROR(INDEX('Temp Hisfa'!AA$3:AA$200, SMALL(IF(ISERROR('Temp Hisfa'!AA$3:AA$200), "", ROW('Temp Hisfa'!AA$3:AA$200)-MIN(ROW('Temp Hisfa'!AA$3:AA$200))+1), ROW(89:288))),"")</f>
        <v>0</v>
      </c>
      <c r="AB91" s="22">
        <f t="array" ref="AB91">IFERROR(INDEX('Temp Hisfa'!AB$3:AB$200, SMALL(IF(ISERROR('Temp Hisfa'!AB$3:AB$200), "", ROW('Temp Hisfa'!AB$3:AB$200)-MIN(ROW('Temp Hisfa'!AB$3:AB$200))+1), ROW(89:288))),"")</f>
        <v>0</v>
      </c>
    </row>
    <row r="92" spans="1:31" x14ac:dyDescent="0.3">
      <c r="A92" s="4">
        <f t="array" ref="A92">IFERROR(INDEX('Temp Hisfa'!A$3:A$200, SMALL(IF(ISERROR('Temp Hisfa'!A$3:A$200), "", ROW('Temp Hisfa'!A$3:A$200)-MIN(ROW('Temp Hisfa'!A$3:A$200))+1), ROW(90:288))),"")</f>
        <v>0</v>
      </c>
      <c r="B92" s="4">
        <f t="array" ref="B92">IFERROR(INDEX('Temp Hisfa'!B$3:B$200, SMALL(IF(ISERROR('Temp Hisfa'!B$3:B$200), "", ROW('Temp Hisfa'!B$3:B$200)-MIN(ROW('Temp Hisfa'!B$3:B$200))+1), ROW(90:288))),"")</f>
        <v>0</v>
      </c>
      <c r="C92" s="3">
        <f t="array" ref="C92">IFERROR(INDEX('Temp Hisfa'!C$3:C$200, SMALL(IF(ISERROR('Temp Hisfa'!C$3:C$200), "", ROW('Temp Hisfa'!C$3:C$200)-MIN(ROW('Temp Hisfa'!C$3:C$200))+1), ROW(90:288))),"")</f>
        <v>0</v>
      </c>
      <c r="D92" s="3">
        <f t="array" ref="D92">IFERROR(INDEX('Temp Hisfa'!D$3:D$200, SMALL(IF(ISERROR('Temp Hisfa'!D$3:D$200), "", ROW('Temp Hisfa'!D$3:D$200)-MIN(ROW('Temp Hisfa'!D$3:D$200))+1), ROW(90:288))),"")</f>
        <v>0</v>
      </c>
      <c r="E92" s="29">
        <f t="array" ref="E92">IFERROR(INDEX('Temp Hisfa'!E$3:E$200, SMALL(IF(ISERROR('Temp Hisfa'!E$3:E$200), "", ROW('Temp Hisfa'!E$3:E$200)-MIN(ROW('Temp Hisfa'!E$3:E$200))+1), ROW(90:289))),"")</f>
        <v>0</v>
      </c>
      <c r="F92" s="22" t="str">
        <f t="array" ref="F92">IFERROR(INDEX('Temp Hisfa'!F$3:F$200, SMALL(IF(ISERROR('Temp Hisfa'!F$3:F$200), "", ROW('Temp Hisfa'!F$3:F$200)-MIN(ROW('Temp Hisfa'!F$3:F$200))+1), ROW(90:289))),"")</f>
        <v/>
      </c>
      <c r="G92" s="30">
        <f t="array" ref="G92">IFERROR(INDEX('Temp Hisfa'!G$3:G$200, SMALL(IF(ISERROR('Temp Hisfa'!G$3:G$200), "", ROW('Temp Hisfa'!G$3:G$200)-MIN(ROW('Temp Hisfa'!G$3:G$200))+1), ROW(90:289))),"")</f>
        <v>0</v>
      </c>
      <c r="H92" s="22" t="str">
        <f t="array" ref="H92">IFERROR(INDEX('Temp Hisfa'!H$3:H$200, SMALL(IF(ISERROR('Temp Hisfa'!H$3:H$200), "", ROW('Temp Hisfa'!H$3:H$200)-MIN(ROW('Temp Hisfa'!H$3:H$200))+1), ROW(90:289))),"")</f>
        <v/>
      </c>
      <c r="I92" s="22">
        <f t="array" ref="I92">IFERROR(INDEX('Temp Hisfa'!I$3:I$200, SMALL(IF(ISERROR('Temp Hisfa'!I$3:I$200), "", ROW('Temp Hisfa'!I$3:I$200)-MIN(ROW('Temp Hisfa'!I$3:I$200))+1), ROW(90:289))),"")</f>
        <v>0</v>
      </c>
      <c r="J92" s="22">
        <f t="array" ref="J92">IFERROR(INDEX('Temp Hisfa'!J$3:J$200, SMALL(IF(ISERROR('Temp Hisfa'!J$3:J$200), "", ROW('Temp Hisfa'!J$3:J$200)-MIN(ROW('Temp Hisfa'!J$3:J$200))+1), ROW(90:289))),"")</f>
        <v>0</v>
      </c>
      <c r="K92" s="30">
        <f t="array" ref="K92">IFERROR(INDEX('Temp Hisfa'!K$3:K$200, SMALL(IF(ISERROR('Temp Hisfa'!K$3:K$200), "", ROW('Temp Hisfa'!K$3:K$200)-MIN(ROW('Temp Hisfa'!K$3:K$200))+1), ROW(90:289))),"")</f>
        <v>0</v>
      </c>
      <c r="L92" s="22">
        <f t="array" ref="L92">IFERROR(INDEX('Temp Hisfa'!L$3:L$200, SMALL(IF(ISERROR('Temp Hisfa'!L$3:L$200), "", ROW('Temp Hisfa'!L$3:L$200)-MIN(ROW('Temp Hisfa'!L$3:L$200))+1), ROW(90:289))),"")</f>
        <v>0</v>
      </c>
      <c r="M92" s="22">
        <f t="array" ref="M92">IFERROR(INDEX('Temp Hisfa'!M$3:M$200, SMALL(IF(ISERROR('Temp Hisfa'!M$3:M$200), "", ROW('Temp Hisfa'!M$3:M$200)-MIN(ROW('Temp Hisfa'!M$3:M$200))+1), ROW(90:289))),"")</f>
        <v>0</v>
      </c>
      <c r="N92" s="22">
        <f t="array" ref="N92">IFERROR(INDEX('Temp Hisfa'!N$3:N$200, SMALL(IF(ISERROR('Temp Hisfa'!N$3:N$200), "", ROW('Temp Hisfa'!N$3:N$200)-MIN(ROW('Temp Hisfa'!N$3:N$200))+1), ROW(90:289))),"")</f>
        <v>1900</v>
      </c>
      <c r="O92" s="22" t="str">
        <f t="array" ref="O92">IFERROR(INDEX('Temp Hisfa'!O$3:O$200, SMALL(IF(ISERROR('Temp Hisfa'!O$3:O$200), "", ROW('Temp Hisfa'!O$3:O$200)-MIN(ROW('Temp Hisfa'!O$3:O$200))+1), ROW(90:289))),"")</f>
        <v>enero</v>
      </c>
      <c r="P92" s="22">
        <f t="array" ref="P92">IFERROR(INDEX('Temp Hisfa'!P$3:P$200, SMALL(IF(ISERROR('Temp Hisfa'!P$3:P$200), "", ROW('Temp Hisfa'!P$3:P$200)-MIN(ROW('Temp Hisfa'!P$3:P$200))+1), ROW(90:289))),"")</f>
        <v>0</v>
      </c>
      <c r="Q92" s="22">
        <f t="array" ref="Q92">IFERROR(INDEX('Temp Hisfa'!Q$3:Q$200, SMALL(IF(ISERROR('Temp Hisfa'!Q$3:Q$200), "", ROW('Temp Hisfa'!Q$3:Q$200)-MIN(ROW('Temp Hisfa'!Q$3:Q$200))+1), ROW(90:289))),"")</f>
        <v>0</v>
      </c>
      <c r="R92" s="22">
        <f t="array" ref="R92">IFERROR(INDEX('Temp Hisfa'!R$3:R$200, SMALL(IF(ISERROR('Temp Hisfa'!R$3:R$200), "", ROW('Temp Hisfa'!R$3:R$200)-MIN(ROW('Temp Hisfa'!R$3:R$200))+1), ROW(90:289))),"")</f>
        <v>0</v>
      </c>
      <c r="S92" s="22">
        <f t="array" ref="S92">IFERROR(INDEX('Temp Hisfa'!S$3:S$200, SMALL(IF(ISERROR('Temp Hisfa'!S$3:S$200), "", ROW('Temp Hisfa'!S$3:S$200)-MIN(ROW('Temp Hisfa'!S$3:S$200))+1), ROW(90:289))),"")</f>
        <v>0</v>
      </c>
      <c r="T92" s="22">
        <f t="array" ref="T92">IFERROR(INDEX('Temp Hisfa'!T$3:T$200, SMALL(IF(ISERROR('Temp Hisfa'!T$3:T$200), "", ROW('Temp Hisfa'!T$3:T$200)-MIN(ROW('Temp Hisfa'!T$3:T$200))+1), ROW(90:289))),"")</f>
        <v>0</v>
      </c>
      <c r="U92" s="22">
        <f t="array" ref="U92">IFERROR(INDEX('Temp Hisfa'!U$3:U$200, SMALL(IF(ISERROR('Temp Hisfa'!U$3:U$200), "", ROW('Temp Hisfa'!U$3:U$200)-MIN(ROW('Temp Hisfa'!U$3:U$200))+1), ROW(90:289))),"")</f>
        <v>0</v>
      </c>
      <c r="V92" s="22">
        <f t="array" ref="V92">IFERROR(INDEX('Temp Hisfa'!V$3:V$200, SMALL(IF(ISERROR('Temp Hisfa'!V$3:V$200), "", ROW('Temp Hisfa'!V$3:V$200)-MIN(ROW('Temp Hisfa'!V$3:V$200))+1), ROW(90:289))),"")</f>
        <v>0</v>
      </c>
      <c r="W92" s="22">
        <f t="array" ref="W92">IFERROR(INDEX('Temp Hisfa'!W$3:W$200, SMALL(IF(ISERROR('Temp Hisfa'!W$3:W$200), "", ROW('Temp Hisfa'!W$3:W$200)-MIN(ROW('Temp Hisfa'!W$3:W$200))+1), ROW(90:289))),"")</f>
        <v>0</v>
      </c>
      <c r="X92" s="22">
        <f t="array" ref="X92">IFERROR(INDEX('Temp Hisfa'!X$3:X$200, SMALL(IF(ISERROR('Temp Hisfa'!X$3:X$200), "", ROW('Temp Hisfa'!X$3:X$200)-MIN(ROW('Temp Hisfa'!X$3:X$200))+1), ROW(90:289))),"")</f>
        <v>0</v>
      </c>
      <c r="Y92" s="22">
        <f t="array" ref="Y92">IFERROR(INDEX('Temp Hisfa'!Y$3:Y$200, SMALL(IF(ISERROR('Temp Hisfa'!Y$3:Y$200), "", ROW('Temp Hisfa'!Y$3:Y$200)-MIN(ROW('Temp Hisfa'!Y$3:Y$200))+1), ROW(90:289))),"")</f>
        <v>0</v>
      </c>
      <c r="Z92" s="22">
        <f t="array" ref="Z92">IFERROR(INDEX('Temp Hisfa'!Z$3:Z$200, SMALL(IF(ISERROR('Temp Hisfa'!Z$3:Z$200), "", ROW('Temp Hisfa'!Z$3:Z$200)-MIN(ROW('Temp Hisfa'!Z$3:Z$200))+1), ROW(90:289))),"")</f>
        <v>0</v>
      </c>
      <c r="AA92" s="22">
        <f t="array" ref="AA92">IFERROR(INDEX('Temp Hisfa'!AA$3:AA$200, SMALL(IF(ISERROR('Temp Hisfa'!AA$3:AA$200), "", ROW('Temp Hisfa'!AA$3:AA$200)-MIN(ROW('Temp Hisfa'!AA$3:AA$200))+1), ROW(90:289))),"")</f>
        <v>0</v>
      </c>
      <c r="AB92" s="22">
        <f t="array" ref="AB92">IFERROR(INDEX('Temp Hisfa'!AB$3:AB$200, SMALL(IF(ISERROR('Temp Hisfa'!AB$3:AB$200), "", ROW('Temp Hisfa'!AB$3:AB$200)-MIN(ROW('Temp Hisfa'!AB$3:AB$200))+1), ROW(90:289))),"")</f>
        <v>0</v>
      </c>
    </row>
    <row r="93" spans="1:31" x14ac:dyDescent="0.3">
      <c r="A93" s="4">
        <f t="array" ref="A93">IFERROR(INDEX('Temp Hisfa'!A$3:A$200, SMALL(IF(ISERROR('Temp Hisfa'!A$3:A$200), "", ROW('Temp Hisfa'!A$3:A$200)-MIN(ROW('Temp Hisfa'!A$3:A$200))+1), ROW(91:289))),"")</f>
        <v>0</v>
      </c>
      <c r="B93" s="4">
        <f t="array" ref="B93">IFERROR(INDEX('Temp Hisfa'!B$3:B$200, SMALL(IF(ISERROR('Temp Hisfa'!B$3:B$200), "", ROW('Temp Hisfa'!B$3:B$200)-MIN(ROW('Temp Hisfa'!B$3:B$200))+1), ROW(91:289))),"")</f>
        <v>0</v>
      </c>
      <c r="C93" s="3">
        <f t="array" ref="C93">IFERROR(INDEX('Temp Hisfa'!C$3:C$200, SMALL(IF(ISERROR('Temp Hisfa'!C$3:C$200), "", ROW('Temp Hisfa'!C$3:C$200)-MIN(ROW('Temp Hisfa'!C$3:C$200))+1), ROW(91:289))),"")</f>
        <v>0</v>
      </c>
      <c r="D93" s="3">
        <f t="array" ref="D93">IFERROR(INDEX('Temp Hisfa'!D$3:D$200, SMALL(IF(ISERROR('Temp Hisfa'!D$3:D$200), "", ROW('Temp Hisfa'!D$3:D$200)-MIN(ROW('Temp Hisfa'!D$3:D$200))+1), ROW(91:289))),"")</f>
        <v>0</v>
      </c>
      <c r="E93" s="29">
        <f t="array" ref="E93">IFERROR(INDEX('Temp Hisfa'!E$3:E$200, SMALL(IF(ISERROR('Temp Hisfa'!E$3:E$200), "", ROW('Temp Hisfa'!E$3:E$200)-MIN(ROW('Temp Hisfa'!E$3:E$200))+1), ROW(91:290))),"")</f>
        <v>0</v>
      </c>
      <c r="F93" s="22" t="str">
        <f t="array" ref="F93">IFERROR(INDEX('Temp Hisfa'!F$3:F$200, SMALL(IF(ISERROR('Temp Hisfa'!F$3:F$200), "", ROW('Temp Hisfa'!F$3:F$200)-MIN(ROW('Temp Hisfa'!F$3:F$200))+1), ROW(91:290))),"")</f>
        <v/>
      </c>
      <c r="G93" s="30">
        <f t="array" ref="G93">IFERROR(INDEX('Temp Hisfa'!G$3:G$200, SMALL(IF(ISERROR('Temp Hisfa'!G$3:G$200), "", ROW('Temp Hisfa'!G$3:G$200)-MIN(ROW('Temp Hisfa'!G$3:G$200))+1), ROW(91:290))),"")</f>
        <v>0</v>
      </c>
      <c r="H93" s="22" t="str">
        <f t="array" ref="H93">IFERROR(INDEX('Temp Hisfa'!H$3:H$200, SMALL(IF(ISERROR('Temp Hisfa'!H$3:H$200), "", ROW('Temp Hisfa'!H$3:H$200)-MIN(ROW('Temp Hisfa'!H$3:H$200))+1), ROW(91:290))),"")</f>
        <v/>
      </c>
      <c r="I93" s="22">
        <f t="array" ref="I93">IFERROR(INDEX('Temp Hisfa'!I$3:I$200, SMALL(IF(ISERROR('Temp Hisfa'!I$3:I$200), "", ROW('Temp Hisfa'!I$3:I$200)-MIN(ROW('Temp Hisfa'!I$3:I$200))+1), ROW(91:290))),"")</f>
        <v>0</v>
      </c>
      <c r="J93" s="22">
        <f t="array" ref="J93">IFERROR(INDEX('Temp Hisfa'!J$3:J$200, SMALL(IF(ISERROR('Temp Hisfa'!J$3:J$200), "", ROW('Temp Hisfa'!J$3:J$200)-MIN(ROW('Temp Hisfa'!J$3:J$200))+1), ROW(91:290))),"")</f>
        <v>0</v>
      </c>
      <c r="K93" s="30">
        <f t="array" ref="K93">IFERROR(INDEX('Temp Hisfa'!K$3:K$200, SMALL(IF(ISERROR('Temp Hisfa'!K$3:K$200), "", ROW('Temp Hisfa'!K$3:K$200)-MIN(ROW('Temp Hisfa'!K$3:K$200))+1), ROW(91:290))),"")</f>
        <v>0</v>
      </c>
      <c r="L93" s="22">
        <f t="array" ref="L93">IFERROR(INDEX('Temp Hisfa'!L$3:L$200, SMALL(IF(ISERROR('Temp Hisfa'!L$3:L$200), "", ROW('Temp Hisfa'!L$3:L$200)-MIN(ROW('Temp Hisfa'!L$3:L$200))+1), ROW(91:290))),"")</f>
        <v>0</v>
      </c>
      <c r="M93" s="22">
        <f t="array" ref="M93">IFERROR(INDEX('Temp Hisfa'!M$3:M$200, SMALL(IF(ISERROR('Temp Hisfa'!M$3:M$200), "", ROW('Temp Hisfa'!M$3:M$200)-MIN(ROW('Temp Hisfa'!M$3:M$200))+1), ROW(91:290))),"")</f>
        <v>0</v>
      </c>
      <c r="N93" s="22">
        <f t="array" ref="N93">IFERROR(INDEX('Temp Hisfa'!N$3:N$200, SMALL(IF(ISERROR('Temp Hisfa'!N$3:N$200), "", ROW('Temp Hisfa'!N$3:N$200)-MIN(ROW('Temp Hisfa'!N$3:N$200))+1), ROW(91:290))),"")</f>
        <v>1900</v>
      </c>
      <c r="O93" s="22" t="str">
        <f t="array" ref="O93">IFERROR(INDEX('Temp Hisfa'!O$3:O$200, SMALL(IF(ISERROR('Temp Hisfa'!O$3:O$200), "", ROW('Temp Hisfa'!O$3:O$200)-MIN(ROW('Temp Hisfa'!O$3:O$200))+1), ROW(91:290))),"")</f>
        <v>enero</v>
      </c>
      <c r="P93" s="22">
        <f t="array" ref="P93">IFERROR(INDEX('Temp Hisfa'!P$3:P$200, SMALL(IF(ISERROR('Temp Hisfa'!P$3:P$200), "", ROW('Temp Hisfa'!P$3:P$200)-MIN(ROW('Temp Hisfa'!P$3:P$200))+1), ROW(91:290))),"")</f>
        <v>0</v>
      </c>
      <c r="Q93" s="22">
        <f t="array" ref="Q93">IFERROR(INDEX('Temp Hisfa'!Q$3:Q$200, SMALL(IF(ISERROR('Temp Hisfa'!Q$3:Q$200), "", ROW('Temp Hisfa'!Q$3:Q$200)-MIN(ROW('Temp Hisfa'!Q$3:Q$200))+1), ROW(91:290))),"")</f>
        <v>0</v>
      </c>
      <c r="R93" s="22">
        <f t="array" ref="R93">IFERROR(INDEX('Temp Hisfa'!R$3:R$200, SMALL(IF(ISERROR('Temp Hisfa'!R$3:R$200), "", ROW('Temp Hisfa'!R$3:R$200)-MIN(ROW('Temp Hisfa'!R$3:R$200))+1), ROW(91:290))),"")</f>
        <v>0</v>
      </c>
      <c r="S93" s="22">
        <f t="array" ref="S93">IFERROR(INDEX('Temp Hisfa'!S$3:S$200, SMALL(IF(ISERROR('Temp Hisfa'!S$3:S$200), "", ROW('Temp Hisfa'!S$3:S$200)-MIN(ROW('Temp Hisfa'!S$3:S$200))+1), ROW(91:290))),"")</f>
        <v>0</v>
      </c>
      <c r="T93" s="22">
        <f t="array" ref="T93">IFERROR(INDEX('Temp Hisfa'!T$3:T$200, SMALL(IF(ISERROR('Temp Hisfa'!T$3:T$200), "", ROW('Temp Hisfa'!T$3:T$200)-MIN(ROW('Temp Hisfa'!T$3:T$200))+1), ROW(91:290))),"")</f>
        <v>0</v>
      </c>
      <c r="U93" s="22">
        <f t="array" ref="U93">IFERROR(INDEX('Temp Hisfa'!U$3:U$200, SMALL(IF(ISERROR('Temp Hisfa'!U$3:U$200), "", ROW('Temp Hisfa'!U$3:U$200)-MIN(ROW('Temp Hisfa'!U$3:U$200))+1), ROW(91:290))),"")</f>
        <v>0</v>
      </c>
      <c r="V93" s="22">
        <f t="array" ref="V93">IFERROR(INDEX('Temp Hisfa'!V$3:V$200, SMALL(IF(ISERROR('Temp Hisfa'!V$3:V$200), "", ROW('Temp Hisfa'!V$3:V$200)-MIN(ROW('Temp Hisfa'!V$3:V$200))+1), ROW(91:290))),"")</f>
        <v>0</v>
      </c>
      <c r="W93" s="22">
        <f t="array" ref="W93">IFERROR(INDEX('Temp Hisfa'!W$3:W$200, SMALL(IF(ISERROR('Temp Hisfa'!W$3:W$200), "", ROW('Temp Hisfa'!W$3:W$200)-MIN(ROW('Temp Hisfa'!W$3:W$200))+1), ROW(91:290))),"")</f>
        <v>0</v>
      </c>
      <c r="X93" s="22">
        <f t="array" ref="X93">IFERROR(INDEX('Temp Hisfa'!X$3:X$200, SMALL(IF(ISERROR('Temp Hisfa'!X$3:X$200), "", ROW('Temp Hisfa'!X$3:X$200)-MIN(ROW('Temp Hisfa'!X$3:X$200))+1), ROW(91:290))),"")</f>
        <v>0</v>
      </c>
      <c r="Y93" s="22">
        <f t="array" ref="Y93">IFERROR(INDEX('Temp Hisfa'!Y$3:Y$200, SMALL(IF(ISERROR('Temp Hisfa'!Y$3:Y$200), "", ROW('Temp Hisfa'!Y$3:Y$200)-MIN(ROW('Temp Hisfa'!Y$3:Y$200))+1), ROW(91:290))),"")</f>
        <v>0</v>
      </c>
      <c r="Z93" s="22">
        <f t="array" ref="Z93">IFERROR(INDEX('Temp Hisfa'!Z$3:Z$200, SMALL(IF(ISERROR('Temp Hisfa'!Z$3:Z$200), "", ROW('Temp Hisfa'!Z$3:Z$200)-MIN(ROW('Temp Hisfa'!Z$3:Z$200))+1), ROW(91:290))),"")</f>
        <v>0</v>
      </c>
      <c r="AA93" s="22">
        <f t="array" ref="AA93">IFERROR(INDEX('Temp Hisfa'!AA$3:AA$200, SMALL(IF(ISERROR('Temp Hisfa'!AA$3:AA$200), "", ROW('Temp Hisfa'!AA$3:AA$200)-MIN(ROW('Temp Hisfa'!AA$3:AA$200))+1), ROW(91:290))),"")</f>
        <v>0</v>
      </c>
      <c r="AB93" s="22">
        <f t="array" ref="AB93">IFERROR(INDEX('Temp Hisfa'!AB$3:AB$200, SMALL(IF(ISERROR('Temp Hisfa'!AB$3:AB$200), "", ROW('Temp Hisfa'!AB$3:AB$200)-MIN(ROW('Temp Hisfa'!AB$3:AB$200))+1), ROW(91:290))),"")</f>
        <v>0</v>
      </c>
    </row>
    <row r="94" spans="1:31" x14ac:dyDescent="0.3">
      <c r="A94" s="4">
        <f t="array" ref="A94">IFERROR(INDEX('Temp Hisfa'!A$3:A$200, SMALL(IF(ISERROR('Temp Hisfa'!A$3:A$200), "", ROW('Temp Hisfa'!A$3:A$200)-MIN(ROW('Temp Hisfa'!A$3:A$200))+1), ROW(92:290))),"")</f>
        <v>0</v>
      </c>
      <c r="B94" s="4">
        <f t="array" ref="B94">IFERROR(INDEX('Temp Hisfa'!B$3:B$200, SMALL(IF(ISERROR('Temp Hisfa'!B$3:B$200), "", ROW('Temp Hisfa'!B$3:B$200)-MIN(ROW('Temp Hisfa'!B$3:B$200))+1), ROW(92:290))),"")</f>
        <v>0</v>
      </c>
      <c r="C94" s="3">
        <f t="array" ref="C94">IFERROR(INDEX('Temp Hisfa'!C$3:C$200, SMALL(IF(ISERROR('Temp Hisfa'!C$3:C$200), "", ROW('Temp Hisfa'!C$3:C$200)-MIN(ROW('Temp Hisfa'!C$3:C$200))+1), ROW(92:290))),"")</f>
        <v>0</v>
      </c>
      <c r="D94" s="3">
        <f t="array" ref="D94">IFERROR(INDEX('Temp Hisfa'!D$3:D$200, SMALL(IF(ISERROR('Temp Hisfa'!D$3:D$200), "", ROW('Temp Hisfa'!D$3:D$200)-MIN(ROW('Temp Hisfa'!D$3:D$200))+1), ROW(92:290))),"")</f>
        <v>0</v>
      </c>
      <c r="E94" s="29">
        <f t="array" ref="E94">IFERROR(INDEX('Temp Hisfa'!E$3:E$200, SMALL(IF(ISERROR('Temp Hisfa'!E$3:E$200), "", ROW('Temp Hisfa'!E$3:E$200)-MIN(ROW('Temp Hisfa'!E$3:E$200))+1), ROW(92:291))),"")</f>
        <v>0</v>
      </c>
      <c r="F94" s="22" t="str">
        <f t="array" ref="F94">IFERROR(INDEX('Temp Hisfa'!F$3:F$200, SMALL(IF(ISERROR('Temp Hisfa'!F$3:F$200), "", ROW('Temp Hisfa'!F$3:F$200)-MIN(ROW('Temp Hisfa'!F$3:F$200))+1), ROW(92:291))),"")</f>
        <v/>
      </c>
      <c r="G94" s="30">
        <f t="array" ref="G94">IFERROR(INDEX('Temp Hisfa'!G$3:G$200, SMALL(IF(ISERROR('Temp Hisfa'!G$3:G$200), "", ROW('Temp Hisfa'!G$3:G$200)-MIN(ROW('Temp Hisfa'!G$3:G$200))+1), ROW(92:291))),"")</f>
        <v>0</v>
      </c>
      <c r="H94" s="22" t="str">
        <f t="array" ref="H94">IFERROR(INDEX('Temp Hisfa'!H$3:H$200, SMALL(IF(ISERROR('Temp Hisfa'!H$3:H$200), "", ROW('Temp Hisfa'!H$3:H$200)-MIN(ROW('Temp Hisfa'!H$3:H$200))+1), ROW(92:291))),"")</f>
        <v/>
      </c>
      <c r="I94" s="22">
        <f t="array" ref="I94">IFERROR(INDEX('Temp Hisfa'!I$3:I$200, SMALL(IF(ISERROR('Temp Hisfa'!I$3:I$200), "", ROW('Temp Hisfa'!I$3:I$200)-MIN(ROW('Temp Hisfa'!I$3:I$200))+1), ROW(92:291))),"")</f>
        <v>0</v>
      </c>
      <c r="J94" s="22">
        <f t="array" ref="J94">IFERROR(INDEX('Temp Hisfa'!J$3:J$200, SMALL(IF(ISERROR('Temp Hisfa'!J$3:J$200), "", ROW('Temp Hisfa'!J$3:J$200)-MIN(ROW('Temp Hisfa'!J$3:J$200))+1), ROW(92:291))),"")</f>
        <v>0</v>
      </c>
      <c r="K94" s="30">
        <f t="array" ref="K94">IFERROR(INDEX('Temp Hisfa'!K$3:K$200, SMALL(IF(ISERROR('Temp Hisfa'!K$3:K$200), "", ROW('Temp Hisfa'!K$3:K$200)-MIN(ROW('Temp Hisfa'!K$3:K$200))+1), ROW(92:291))),"")</f>
        <v>0</v>
      </c>
      <c r="L94" s="22">
        <f t="array" ref="L94">IFERROR(INDEX('Temp Hisfa'!L$3:L$200, SMALL(IF(ISERROR('Temp Hisfa'!L$3:L$200), "", ROW('Temp Hisfa'!L$3:L$200)-MIN(ROW('Temp Hisfa'!L$3:L$200))+1), ROW(92:291))),"")</f>
        <v>0</v>
      </c>
      <c r="M94" s="22">
        <f t="array" ref="M94">IFERROR(INDEX('Temp Hisfa'!M$3:M$200, SMALL(IF(ISERROR('Temp Hisfa'!M$3:M$200), "", ROW('Temp Hisfa'!M$3:M$200)-MIN(ROW('Temp Hisfa'!M$3:M$200))+1), ROW(92:291))),"")</f>
        <v>0</v>
      </c>
      <c r="N94" s="22">
        <f t="array" ref="N94">IFERROR(INDEX('Temp Hisfa'!N$3:N$200, SMALL(IF(ISERROR('Temp Hisfa'!N$3:N$200), "", ROW('Temp Hisfa'!N$3:N$200)-MIN(ROW('Temp Hisfa'!N$3:N$200))+1), ROW(92:291))),"")</f>
        <v>1900</v>
      </c>
      <c r="O94" s="22" t="str">
        <f t="array" ref="O94">IFERROR(INDEX('Temp Hisfa'!O$3:O$200, SMALL(IF(ISERROR('Temp Hisfa'!O$3:O$200), "", ROW('Temp Hisfa'!O$3:O$200)-MIN(ROW('Temp Hisfa'!O$3:O$200))+1), ROW(92:291))),"")</f>
        <v>enero</v>
      </c>
      <c r="P94" s="22">
        <f t="array" ref="P94">IFERROR(INDEX('Temp Hisfa'!P$3:P$200, SMALL(IF(ISERROR('Temp Hisfa'!P$3:P$200), "", ROW('Temp Hisfa'!P$3:P$200)-MIN(ROW('Temp Hisfa'!P$3:P$200))+1), ROW(92:291))),"")</f>
        <v>0</v>
      </c>
      <c r="Q94" s="22">
        <f t="array" ref="Q94">IFERROR(INDEX('Temp Hisfa'!Q$3:Q$200, SMALL(IF(ISERROR('Temp Hisfa'!Q$3:Q$200), "", ROW('Temp Hisfa'!Q$3:Q$200)-MIN(ROW('Temp Hisfa'!Q$3:Q$200))+1), ROW(92:291))),"")</f>
        <v>0</v>
      </c>
      <c r="R94" s="22">
        <f t="array" ref="R94">IFERROR(INDEX('Temp Hisfa'!R$3:R$200, SMALL(IF(ISERROR('Temp Hisfa'!R$3:R$200), "", ROW('Temp Hisfa'!R$3:R$200)-MIN(ROW('Temp Hisfa'!R$3:R$200))+1), ROW(92:291))),"")</f>
        <v>0</v>
      </c>
      <c r="S94" s="22">
        <f t="array" ref="S94">IFERROR(INDEX('Temp Hisfa'!S$3:S$200, SMALL(IF(ISERROR('Temp Hisfa'!S$3:S$200), "", ROW('Temp Hisfa'!S$3:S$200)-MIN(ROW('Temp Hisfa'!S$3:S$200))+1), ROW(92:291))),"")</f>
        <v>0</v>
      </c>
      <c r="T94" s="22">
        <f t="array" ref="T94">IFERROR(INDEX('Temp Hisfa'!T$3:T$200, SMALL(IF(ISERROR('Temp Hisfa'!T$3:T$200), "", ROW('Temp Hisfa'!T$3:T$200)-MIN(ROW('Temp Hisfa'!T$3:T$200))+1), ROW(92:291))),"")</f>
        <v>0</v>
      </c>
      <c r="U94" s="22">
        <f t="array" ref="U94">IFERROR(INDEX('Temp Hisfa'!U$3:U$200, SMALL(IF(ISERROR('Temp Hisfa'!U$3:U$200), "", ROW('Temp Hisfa'!U$3:U$200)-MIN(ROW('Temp Hisfa'!U$3:U$200))+1), ROW(92:291))),"")</f>
        <v>0</v>
      </c>
      <c r="V94" s="22">
        <f t="array" ref="V94">IFERROR(INDEX('Temp Hisfa'!V$3:V$200, SMALL(IF(ISERROR('Temp Hisfa'!V$3:V$200), "", ROW('Temp Hisfa'!V$3:V$200)-MIN(ROW('Temp Hisfa'!V$3:V$200))+1), ROW(92:291))),"")</f>
        <v>0</v>
      </c>
      <c r="W94" s="22">
        <f t="array" ref="W94">IFERROR(INDEX('Temp Hisfa'!W$3:W$200, SMALL(IF(ISERROR('Temp Hisfa'!W$3:W$200), "", ROW('Temp Hisfa'!W$3:W$200)-MIN(ROW('Temp Hisfa'!W$3:W$200))+1), ROW(92:291))),"")</f>
        <v>0</v>
      </c>
      <c r="X94" s="22">
        <f t="array" ref="X94">IFERROR(INDEX('Temp Hisfa'!X$3:X$200, SMALL(IF(ISERROR('Temp Hisfa'!X$3:X$200), "", ROW('Temp Hisfa'!X$3:X$200)-MIN(ROW('Temp Hisfa'!X$3:X$200))+1), ROW(92:291))),"")</f>
        <v>0</v>
      </c>
      <c r="Y94" s="22">
        <f t="array" ref="Y94">IFERROR(INDEX('Temp Hisfa'!Y$3:Y$200, SMALL(IF(ISERROR('Temp Hisfa'!Y$3:Y$200), "", ROW('Temp Hisfa'!Y$3:Y$200)-MIN(ROW('Temp Hisfa'!Y$3:Y$200))+1), ROW(92:291))),"")</f>
        <v>0</v>
      </c>
      <c r="Z94" s="22">
        <f t="array" ref="Z94">IFERROR(INDEX('Temp Hisfa'!Z$3:Z$200, SMALL(IF(ISERROR('Temp Hisfa'!Z$3:Z$200), "", ROW('Temp Hisfa'!Z$3:Z$200)-MIN(ROW('Temp Hisfa'!Z$3:Z$200))+1), ROW(92:291))),"")</f>
        <v>0</v>
      </c>
      <c r="AA94" s="22">
        <f t="array" ref="AA94">IFERROR(INDEX('Temp Hisfa'!AA$3:AA$200, SMALL(IF(ISERROR('Temp Hisfa'!AA$3:AA$200), "", ROW('Temp Hisfa'!AA$3:AA$200)-MIN(ROW('Temp Hisfa'!AA$3:AA$200))+1), ROW(92:291))),"")</f>
        <v>0</v>
      </c>
      <c r="AB94" s="22">
        <f t="array" ref="AB94">IFERROR(INDEX('Temp Hisfa'!AB$3:AB$200, SMALL(IF(ISERROR('Temp Hisfa'!AB$3:AB$200), "", ROW('Temp Hisfa'!AB$3:AB$200)-MIN(ROW('Temp Hisfa'!AB$3:AB$200))+1), ROW(92:291))),"")</f>
        <v>0</v>
      </c>
    </row>
    <row r="95" spans="1:31" x14ac:dyDescent="0.3">
      <c r="A95" s="4">
        <f t="array" ref="A95">IFERROR(INDEX('Temp Hisfa'!A$3:A$200, SMALL(IF(ISERROR('Temp Hisfa'!A$3:A$200), "", ROW('Temp Hisfa'!A$3:A$200)-MIN(ROW('Temp Hisfa'!A$3:A$200))+1), ROW(93:291))),"")</f>
        <v>0</v>
      </c>
      <c r="B95" s="4">
        <f t="array" ref="B95">IFERROR(INDEX('Temp Hisfa'!B$3:B$200, SMALL(IF(ISERROR('Temp Hisfa'!B$3:B$200), "", ROW('Temp Hisfa'!B$3:B$200)-MIN(ROW('Temp Hisfa'!B$3:B$200))+1), ROW(93:291))),"")</f>
        <v>0</v>
      </c>
      <c r="C95" s="3">
        <f t="array" ref="C95">IFERROR(INDEX('Temp Hisfa'!C$3:C$200, SMALL(IF(ISERROR('Temp Hisfa'!C$3:C$200), "", ROW('Temp Hisfa'!C$3:C$200)-MIN(ROW('Temp Hisfa'!C$3:C$200))+1), ROW(93:291))),"")</f>
        <v>0</v>
      </c>
      <c r="D95" s="3">
        <f t="array" ref="D95">IFERROR(INDEX('Temp Hisfa'!D$3:D$200, SMALL(IF(ISERROR('Temp Hisfa'!D$3:D$200), "", ROW('Temp Hisfa'!D$3:D$200)-MIN(ROW('Temp Hisfa'!D$3:D$200))+1), ROW(93:291))),"")</f>
        <v>0</v>
      </c>
      <c r="E95" s="29">
        <f t="array" ref="E95">IFERROR(INDEX('Temp Hisfa'!E$3:E$200, SMALL(IF(ISERROR('Temp Hisfa'!E$3:E$200), "", ROW('Temp Hisfa'!E$3:E$200)-MIN(ROW('Temp Hisfa'!E$3:E$200))+1), ROW(93:292))),"")</f>
        <v>0</v>
      </c>
      <c r="F95" s="22" t="str">
        <f t="array" ref="F95">IFERROR(INDEX('Temp Hisfa'!F$3:F$200, SMALL(IF(ISERROR('Temp Hisfa'!F$3:F$200), "", ROW('Temp Hisfa'!F$3:F$200)-MIN(ROW('Temp Hisfa'!F$3:F$200))+1), ROW(93:292))),"")</f>
        <v/>
      </c>
      <c r="G95" s="30">
        <f t="array" ref="G95">IFERROR(INDEX('Temp Hisfa'!G$3:G$200, SMALL(IF(ISERROR('Temp Hisfa'!G$3:G$200), "", ROW('Temp Hisfa'!G$3:G$200)-MIN(ROW('Temp Hisfa'!G$3:G$200))+1), ROW(93:292))),"")</f>
        <v>0</v>
      </c>
      <c r="H95" s="22" t="str">
        <f t="array" ref="H95">IFERROR(INDEX('Temp Hisfa'!H$3:H$200, SMALL(IF(ISERROR('Temp Hisfa'!H$3:H$200), "", ROW('Temp Hisfa'!H$3:H$200)-MIN(ROW('Temp Hisfa'!H$3:H$200))+1), ROW(93:292))),"")</f>
        <v/>
      </c>
      <c r="I95" s="22">
        <f t="array" ref="I95">IFERROR(INDEX('Temp Hisfa'!I$3:I$200, SMALL(IF(ISERROR('Temp Hisfa'!I$3:I$200), "", ROW('Temp Hisfa'!I$3:I$200)-MIN(ROW('Temp Hisfa'!I$3:I$200))+1), ROW(93:292))),"")</f>
        <v>0</v>
      </c>
      <c r="J95" s="22">
        <f t="array" ref="J95">IFERROR(INDEX('Temp Hisfa'!J$3:J$200, SMALL(IF(ISERROR('Temp Hisfa'!J$3:J$200), "", ROW('Temp Hisfa'!J$3:J$200)-MIN(ROW('Temp Hisfa'!J$3:J$200))+1), ROW(93:292))),"")</f>
        <v>0</v>
      </c>
      <c r="K95" s="30">
        <f t="array" ref="K95">IFERROR(INDEX('Temp Hisfa'!K$3:K$200, SMALL(IF(ISERROR('Temp Hisfa'!K$3:K$200), "", ROW('Temp Hisfa'!K$3:K$200)-MIN(ROW('Temp Hisfa'!K$3:K$200))+1), ROW(93:292))),"")</f>
        <v>0</v>
      </c>
      <c r="L95" s="22">
        <f t="array" ref="L95">IFERROR(INDEX('Temp Hisfa'!L$3:L$200, SMALL(IF(ISERROR('Temp Hisfa'!L$3:L$200), "", ROW('Temp Hisfa'!L$3:L$200)-MIN(ROW('Temp Hisfa'!L$3:L$200))+1), ROW(93:292))),"")</f>
        <v>0</v>
      </c>
      <c r="M95" s="22">
        <f t="array" ref="M95">IFERROR(INDEX('Temp Hisfa'!M$3:M$200, SMALL(IF(ISERROR('Temp Hisfa'!M$3:M$200), "", ROW('Temp Hisfa'!M$3:M$200)-MIN(ROW('Temp Hisfa'!M$3:M$200))+1), ROW(93:292))),"")</f>
        <v>0</v>
      </c>
      <c r="N95" s="22">
        <f t="array" ref="N95">IFERROR(INDEX('Temp Hisfa'!N$3:N$200, SMALL(IF(ISERROR('Temp Hisfa'!N$3:N$200), "", ROW('Temp Hisfa'!N$3:N$200)-MIN(ROW('Temp Hisfa'!N$3:N$200))+1), ROW(93:292))),"")</f>
        <v>1900</v>
      </c>
      <c r="O95" s="22" t="str">
        <f t="array" ref="O95">IFERROR(INDEX('Temp Hisfa'!O$3:O$200, SMALL(IF(ISERROR('Temp Hisfa'!O$3:O$200), "", ROW('Temp Hisfa'!O$3:O$200)-MIN(ROW('Temp Hisfa'!O$3:O$200))+1), ROW(93:292))),"")</f>
        <v>enero</v>
      </c>
      <c r="P95" s="22">
        <f t="array" ref="P95">IFERROR(INDEX('Temp Hisfa'!P$3:P$200, SMALL(IF(ISERROR('Temp Hisfa'!P$3:P$200), "", ROW('Temp Hisfa'!P$3:P$200)-MIN(ROW('Temp Hisfa'!P$3:P$200))+1), ROW(93:292))),"")</f>
        <v>0</v>
      </c>
      <c r="Q95" s="22">
        <f t="array" ref="Q95">IFERROR(INDEX('Temp Hisfa'!Q$3:Q$200, SMALL(IF(ISERROR('Temp Hisfa'!Q$3:Q$200), "", ROW('Temp Hisfa'!Q$3:Q$200)-MIN(ROW('Temp Hisfa'!Q$3:Q$200))+1), ROW(93:292))),"")</f>
        <v>0</v>
      </c>
      <c r="R95" s="22">
        <f t="array" ref="R95">IFERROR(INDEX('Temp Hisfa'!R$3:R$200, SMALL(IF(ISERROR('Temp Hisfa'!R$3:R$200), "", ROW('Temp Hisfa'!R$3:R$200)-MIN(ROW('Temp Hisfa'!R$3:R$200))+1), ROW(93:292))),"")</f>
        <v>0</v>
      </c>
      <c r="S95" s="22">
        <f t="array" ref="S95">IFERROR(INDEX('Temp Hisfa'!S$3:S$200, SMALL(IF(ISERROR('Temp Hisfa'!S$3:S$200), "", ROW('Temp Hisfa'!S$3:S$200)-MIN(ROW('Temp Hisfa'!S$3:S$200))+1), ROW(93:292))),"")</f>
        <v>0</v>
      </c>
      <c r="T95" s="22">
        <f t="array" ref="T95">IFERROR(INDEX('Temp Hisfa'!T$3:T$200, SMALL(IF(ISERROR('Temp Hisfa'!T$3:T$200), "", ROW('Temp Hisfa'!T$3:T$200)-MIN(ROW('Temp Hisfa'!T$3:T$200))+1), ROW(93:292))),"")</f>
        <v>0</v>
      </c>
      <c r="U95" s="22">
        <f t="array" ref="U95">IFERROR(INDEX('Temp Hisfa'!U$3:U$200, SMALL(IF(ISERROR('Temp Hisfa'!U$3:U$200), "", ROW('Temp Hisfa'!U$3:U$200)-MIN(ROW('Temp Hisfa'!U$3:U$200))+1), ROW(93:292))),"")</f>
        <v>0</v>
      </c>
      <c r="V95" s="22">
        <f t="array" ref="V95">IFERROR(INDEX('Temp Hisfa'!V$3:V$200, SMALL(IF(ISERROR('Temp Hisfa'!V$3:V$200), "", ROW('Temp Hisfa'!V$3:V$200)-MIN(ROW('Temp Hisfa'!V$3:V$200))+1), ROW(93:292))),"")</f>
        <v>0</v>
      </c>
      <c r="W95" s="22">
        <f t="array" ref="W95">IFERROR(INDEX('Temp Hisfa'!W$3:W$200, SMALL(IF(ISERROR('Temp Hisfa'!W$3:W$200), "", ROW('Temp Hisfa'!W$3:W$200)-MIN(ROW('Temp Hisfa'!W$3:W$200))+1), ROW(93:292))),"")</f>
        <v>0</v>
      </c>
      <c r="X95" s="22">
        <f t="array" ref="X95">IFERROR(INDEX('Temp Hisfa'!X$3:X$200, SMALL(IF(ISERROR('Temp Hisfa'!X$3:X$200), "", ROW('Temp Hisfa'!X$3:X$200)-MIN(ROW('Temp Hisfa'!X$3:X$200))+1), ROW(93:292))),"")</f>
        <v>0</v>
      </c>
      <c r="Y95" s="22">
        <f t="array" ref="Y95">IFERROR(INDEX('Temp Hisfa'!Y$3:Y$200, SMALL(IF(ISERROR('Temp Hisfa'!Y$3:Y$200), "", ROW('Temp Hisfa'!Y$3:Y$200)-MIN(ROW('Temp Hisfa'!Y$3:Y$200))+1), ROW(93:292))),"")</f>
        <v>0</v>
      </c>
      <c r="Z95" s="22">
        <f t="array" ref="Z95">IFERROR(INDEX('Temp Hisfa'!Z$3:Z$200, SMALL(IF(ISERROR('Temp Hisfa'!Z$3:Z$200), "", ROW('Temp Hisfa'!Z$3:Z$200)-MIN(ROW('Temp Hisfa'!Z$3:Z$200))+1), ROW(93:292))),"")</f>
        <v>0</v>
      </c>
      <c r="AA95" s="22">
        <f t="array" ref="AA95">IFERROR(INDEX('Temp Hisfa'!AA$3:AA$200, SMALL(IF(ISERROR('Temp Hisfa'!AA$3:AA$200), "", ROW('Temp Hisfa'!AA$3:AA$200)-MIN(ROW('Temp Hisfa'!AA$3:AA$200))+1), ROW(93:292))),"")</f>
        <v>0</v>
      </c>
      <c r="AB95" s="22">
        <f t="array" ref="AB95">IFERROR(INDEX('Temp Hisfa'!AB$3:AB$200, SMALL(IF(ISERROR('Temp Hisfa'!AB$3:AB$200), "", ROW('Temp Hisfa'!AB$3:AB$200)-MIN(ROW('Temp Hisfa'!AB$3:AB$200))+1), ROW(93:292))),"")</f>
        <v>0</v>
      </c>
    </row>
    <row r="96" spans="1:31" x14ac:dyDescent="0.3">
      <c r="A96" s="4">
        <f t="array" ref="A96">IFERROR(INDEX('Temp Hisfa'!A$3:A$200, SMALL(IF(ISERROR('Temp Hisfa'!A$3:A$200), "", ROW('Temp Hisfa'!A$3:A$200)-MIN(ROW('Temp Hisfa'!A$3:A$200))+1), ROW(94:292))),"")</f>
        <v>0</v>
      </c>
      <c r="B96" s="4">
        <f t="array" ref="B96">IFERROR(INDEX('Temp Hisfa'!B$3:B$200, SMALL(IF(ISERROR('Temp Hisfa'!B$3:B$200), "", ROW('Temp Hisfa'!B$3:B$200)-MIN(ROW('Temp Hisfa'!B$3:B$200))+1), ROW(94:292))),"")</f>
        <v>0</v>
      </c>
      <c r="C96" s="3">
        <f t="array" ref="C96">IFERROR(INDEX('Temp Hisfa'!C$3:C$200, SMALL(IF(ISERROR('Temp Hisfa'!C$3:C$200), "", ROW('Temp Hisfa'!C$3:C$200)-MIN(ROW('Temp Hisfa'!C$3:C$200))+1), ROW(94:292))),"")</f>
        <v>0</v>
      </c>
      <c r="D96" s="3">
        <f t="array" ref="D96">IFERROR(INDEX('Temp Hisfa'!D$3:D$200, SMALL(IF(ISERROR('Temp Hisfa'!D$3:D$200), "", ROW('Temp Hisfa'!D$3:D$200)-MIN(ROW('Temp Hisfa'!D$3:D$200))+1), ROW(94:292))),"")</f>
        <v>0</v>
      </c>
      <c r="E96" s="29">
        <f t="array" ref="E96">IFERROR(INDEX('Temp Hisfa'!E$3:E$200, SMALL(IF(ISERROR('Temp Hisfa'!E$3:E$200), "", ROW('Temp Hisfa'!E$3:E$200)-MIN(ROW('Temp Hisfa'!E$3:E$200))+1), ROW(94:293))),"")</f>
        <v>0</v>
      </c>
      <c r="F96" s="22" t="str">
        <f t="array" ref="F96">IFERROR(INDEX('Temp Hisfa'!F$3:F$200, SMALL(IF(ISERROR('Temp Hisfa'!F$3:F$200), "", ROW('Temp Hisfa'!F$3:F$200)-MIN(ROW('Temp Hisfa'!F$3:F$200))+1), ROW(94:293))),"")</f>
        <v/>
      </c>
      <c r="G96" s="30">
        <f t="array" ref="G96">IFERROR(INDEX('Temp Hisfa'!G$3:G$200, SMALL(IF(ISERROR('Temp Hisfa'!G$3:G$200), "", ROW('Temp Hisfa'!G$3:G$200)-MIN(ROW('Temp Hisfa'!G$3:G$200))+1), ROW(94:293))),"")</f>
        <v>0</v>
      </c>
      <c r="H96" s="22" t="str">
        <f t="array" ref="H96">IFERROR(INDEX('Temp Hisfa'!H$3:H$200, SMALL(IF(ISERROR('Temp Hisfa'!H$3:H$200), "", ROW('Temp Hisfa'!H$3:H$200)-MIN(ROW('Temp Hisfa'!H$3:H$200))+1), ROW(94:293))),"")</f>
        <v/>
      </c>
      <c r="I96" s="22">
        <f t="array" ref="I96">IFERROR(INDEX('Temp Hisfa'!I$3:I$200, SMALL(IF(ISERROR('Temp Hisfa'!I$3:I$200), "", ROW('Temp Hisfa'!I$3:I$200)-MIN(ROW('Temp Hisfa'!I$3:I$200))+1), ROW(94:293))),"")</f>
        <v>0</v>
      </c>
      <c r="J96" s="22">
        <f t="array" ref="J96">IFERROR(INDEX('Temp Hisfa'!J$3:J$200, SMALL(IF(ISERROR('Temp Hisfa'!J$3:J$200), "", ROW('Temp Hisfa'!J$3:J$200)-MIN(ROW('Temp Hisfa'!J$3:J$200))+1), ROW(94:293))),"")</f>
        <v>0</v>
      </c>
      <c r="K96" s="30">
        <f t="array" ref="K96">IFERROR(INDEX('Temp Hisfa'!K$3:K$200, SMALL(IF(ISERROR('Temp Hisfa'!K$3:K$200), "", ROW('Temp Hisfa'!K$3:K$200)-MIN(ROW('Temp Hisfa'!K$3:K$200))+1), ROW(94:293))),"")</f>
        <v>0</v>
      </c>
      <c r="L96" s="22">
        <f t="array" ref="L96">IFERROR(INDEX('Temp Hisfa'!L$3:L$200, SMALL(IF(ISERROR('Temp Hisfa'!L$3:L$200), "", ROW('Temp Hisfa'!L$3:L$200)-MIN(ROW('Temp Hisfa'!L$3:L$200))+1), ROW(94:293))),"")</f>
        <v>0</v>
      </c>
      <c r="M96" s="22">
        <f t="array" ref="M96">IFERROR(INDEX('Temp Hisfa'!M$3:M$200, SMALL(IF(ISERROR('Temp Hisfa'!M$3:M$200), "", ROW('Temp Hisfa'!M$3:M$200)-MIN(ROW('Temp Hisfa'!M$3:M$200))+1), ROW(94:293))),"")</f>
        <v>0</v>
      </c>
      <c r="N96" s="22">
        <f t="array" ref="N96">IFERROR(INDEX('Temp Hisfa'!N$3:N$200, SMALL(IF(ISERROR('Temp Hisfa'!N$3:N$200), "", ROW('Temp Hisfa'!N$3:N$200)-MIN(ROW('Temp Hisfa'!N$3:N$200))+1), ROW(94:293))),"")</f>
        <v>1900</v>
      </c>
      <c r="O96" s="22" t="str">
        <f t="array" ref="O96">IFERROR(INDEX('Temp Hisfa'!O$3:O$200, SMALL(IF(ISERROR('Temp Hisfa'!O$3:O$200), "", ROW('Temp Hisfa'!O$3:O$200)-MIN(ROW('Temp Hisfa'!O$3:O$200))+1), ROW(94:293))),"")</f>
        <v>enero</v>
      </c>
      <c r="P96" s="22">
        <f t="array" ref="P96">IFERROR(INDEX('Temp Hisfa'!P$3:P$200, SMALL(IF(ISERROR('Temp Hisfa'!P$3:P$200), "", ROW('Temp Hisfa'!P$3:P$200)-MIN(ROW('Temp Hisfa'!P$3:P$200))+1), ROW(94:293))),"")</f>
        <v>0</v>
      </c>
      <c r="Q96" s="22">
        <f t="array" ref="Q96">IFERROR(INDEX('Temp Hisfa'!Q$3:Q$200, SMALL(IF(ISERROR('Temp Hisfa'!Q$3:Q$200), "", ROW('Temp Hisfa'!Q$3:Q$200)-MIN(ROW('Temp Hisfa'!Q$3:Q$200))+1), ROW(94:293))),"")</f>
        <v>0</v>
      </c>
      <c r="R96" s="22">
        <f t="array" ref="R96">IFERROR(INDEX('Temp Hisfa'!R$3:R$200, SMALL(IF(ISERROR('Temp Hisfa'!R$3:R$200), "", ROW('Temp Hisfa'!R$3:R$200)-MIN(ROW('Temp Hisfa'!R$3:R$200))+1), ROW(94:293))),"")</f>
        <v>0</v>
      </c>
      <c r="S96" s="22">
        <f t="array" ref="S96">IFERROR(INDEX('Temp Hisfa'!S$3:S$200, SMALL(IF(ISERROR('Temp Hisfa'!S$3:S$200), "", ROW('Temp Hisfa'!S$3:S$200)-MIN(ROW('Temp Hisfa'!S$3:S$200))+1), ROW(94:293))),"")</f>
        <v>0</v>
      </c>
      <c r="T96" s="22">
        <f t="array" ref="T96">IFERROR(INDEX('Temp Hisfa'!T$3:T$200, SMALL(IF(ISERROR('Temp Hisfa'!T$3:T$200), "", ROW('Temp Hisfa'!T$3:T$200)-MIN(ROW('Temp Hisfa'!T$3:T$200))+1), ROW(94:293))),"")</f>
        <v>0</v>
      </c>
      <c r="U96" s="22">
        <f t="array" ref="U96">IFERROR(INDEX('Temp Hisfa'!U$3:U$200, SMALL(IF(ISERROR('Temp Hisfa'!U$3:U$200), "", ROW('Temp Hisfa'!U$3:U$200)-MIN(ROW('Temp Hisfa'!U$3:U$200))+1), ROW(94:293))),"")</f>
        <v>0</v>
      </c>
      <c r="V96" s="22">
        <f t="array" ref="V96">IFERROR(INDEX('Temp Hisfa'!V$3:V$200, SMALL(IF(ISERROR('Temp Hisfa'!V$3:V$200), "", ROW('Temp Hisfa'!V$3:V$200)-MIN(ROW('Temp Hisfa'!V$3:V$200))+1), ROW(94:293))),"")</f>
        <v>0</v>
      </c>
      <c r="W96" s="22">
        <f t="array" ref="W96">IFERROR(INDEX('Temp Hisfa'!W$3:W$200, SMALL(IF(ISERROR('Temp Hisfa'!W$3:W$200), "", ROW('Temp Hisfa'!W$3:W$200)-MIN(ROW('Temp Hisfa'!W$3:W$200))+1), ROW(94:293))),"")</f>
        <v>0</v>
      </c>
      <c r="X96" s="22">
        <f t="array" ref="X96">IFERROR(INDEX('Temp Hisfa'!X$3:X$200, SMALL(IF(ISERROR('Temp Hisfa'!X$3:X$200), "", ROW('Temp Hisfa'!X$3:X$200)-MIN(ROW('Temp Hisfa'!X$3:X$200))+1), ROW(94:293))),"")</f>
        <v>0</v>
      </c>
      <c r="Y96" s="22">
        <f t="array" ref="Y96">IFERROR(INDEX('Temp Hisfa'!Y$3:Y$200, SMALL(IF(ISERROR('Temp Hisfa'!Y$3:Y$200), "", ROW('Temp Hisfa'!Y$3:Y$200)-MIN(ROW('Temp Hisfa'!Y$3:Y$200))+1), ROW(94:293))),"")</f>
        <v>0</v>
      </c>
      <c r="Z96" s="22">
        <f t="array" ref="Z96">IFERROR(INDEX('Temp Hisfa'!Z$3:Z$200, SMALL(IF(ISERROR('Temp Hisfa'!Z$3:Z$200), "", ROW('Temp Hisfa'!Z$3:Z$200)-MIN(ROW('Temp Hisfa'!Z$3:Z$200))+1), ROW(94:293))),"")</f>
        <v>0</v>
      </c>
      <c r="AA96" s="22">
        <f t="array" ref="AA96">IFERROR(INDEX('Temp Hisfa'!AA$3:AA$200, SMALL(IF(ISERROR('Temp Hisfa'!AA$3:AA$200), "", ROW('Temp Hisfa'!AA$3:AA$200)-MIN(ROW('Temp Hisfa'!AA$3:AA$200))+1), ROW(94:293))),"")</f>
        <v>0</v>
      </c>
      <c r="AB96" s="22">
        <f t="array" ref="AB96">IFERROR(INDEX('Temp Hisfa'!AB$3:AB$200, SMALL(IF(ISERROR('Temp Hisfa'!AB$3:AB$200), "", ROW('Temp Hisfa'!AB$3:AB$200)-MIN(ROW('Temp Hisfa'!AB$3:AB$200))+1), ROW(94:293))),"")</f>
        <v>0</v>
      </c>
    </row>
    <row r="97" spans="1:28" x14ac:dyDescent="0.3">
      <c r="A97" s="4">
        <f t="array" ref="A97">IFERROR(INDEX('Temp Hisfa'!A$3:A$200, SMALL(IF(ISERROR('Temp Hisfa'!A$3:A$200), "", ROW('Temp Hisfa'!A$3:A$200)-MIN(ROW('Temp Hisfa'!A$3:A$200))+1), ROW(95:293))),"")</f>
        <v>0</v>
      </c>
      <c r="B97" s="4">
        <f t="array" ref="B97">IFERROR(INDEX('Temp Hisfa'!B$3:B$200, SMALL(IF(ISERROR('Temp Hisfa'!B$3:B$200), "", ROW('Temp Hisfa'!B$3:B$200)-MIN(ROW('Temp Hisfa'!B$3:B$200))+1), ROW(95:293))),"")</f>
        <v>0</v>
      </c>
      <c r="C97" s="3">
        <f t="array" ref="C97">IFERROR(INDEX('Temp Hisfa'!C$3:C$200, SMALL(IF(ISERROR('Temp Hisfa'!C$3:C$200), "", ROW('Temp Hisfa'!C$3:C$200)-MIN(ROW('Temp Hisfa'!C$3:C$200))+1), ROW(95:293))),"")</f>
        <v>0</v>
      </c>
      <c r="D97" s="3">
        <f t="array" ref="D97">IFERROR(INDEX('Temp Hisfa'!D$3:D$200, SMALL(IF(ISERROR('Temp Hisfa'!D$3:D$200), "", ROW('Temp Hisfa'!D$3:D$200)-MIN(ROW('Temp Hisfa'!D$3:D$200))+1), ROW(95:293))),"")</f>
        <v>0</v>
      </c>
      <c r="E97" s="29">
        <f t="array" ref="E97">IFERROR(INDEX('Temp Hisfa'!E$3:E$200, SMALL(IF(ISERROR('Temp Hisfa'!E$3:E$200), "", ROW('Temp Hisfa'!E$3:E$200)-MIN(ROW('Temp Hisfa'!E$3:E$200))+1), ROW(95:294))),"")</f>
        <v>0</v>
      </c>
      <c r="F97" s="22" t="str">
        <f t="array" ref="F97">IFERROR(INDEX('Temp Hisfa'!F$3:F$200, SMALL(IF(ISERROR('Temp Hisfa'!F$3:F$200), "", ROW('Temp Hisfa'!F$3:F$200)-MIN(ROW('Temp Hisfa'!F$3:F$200))+1), ROW(95:294))),"")</f>
        <v/>
      </c>
      <c r="G97" s="30">
        <f t="array" ref="G97">IFERROR(INDEX('Temp Hisfa'!G$3:G$200, SMALL(IF(ISERROR('Temp Hisfa'!G$3:G$200), "", ROW('Temp Hisfa'!G$3:G$200)-MIN(ROW('Temp Hisfa'!G$3:G$200))+1), ROW(95:294))),"")</f>
        <v>0</v>
      </c>
      <c r="H97" s="22" t="str">
        <f t="array" ref="H97">IFERROR(INDEX('Temp Hisfa'!H$3:H$200, SMALL(IF(ISERROR('Temp Hisfa'!H$3:H$200), "", ROW('Temp Hisfa'!H$3:H$200)-MIN(ROW('Temp Hisfa'!H$3:H$200))+1), ROW(95:294))),"")</f>
        <v/>
      </c>
      <c r="I97" s="22">
        <f t="array" ref="I97">IFERROR(INDEX('Temp Hisfa'!I$3:I$200, SMALL(IF(ISERROR('Temp Hisfa'!I$3:I$200), "", ROW('Temp Hisfa'!I$3:I$200)-MIN(ROW('Temp Hisfa'!I$3:I$200))+1), ROW(95:294))),"")</f>
        <v>0</v>
      </c>
      <c r="J97" s="22">
        <f t="array" ref="J97">IFERROR(INDEX('Temp Hisfa'!J$3:J$200, SMALL(IF(ISERROR('Temp Hisfa'!J$3:J$200), "", ROW('Temp Hisfa'!J$3:J$200)-MIN(ROW('Temp Hisfa'!J$3:J$200))+1), ROW(95:294))),"")</f>
        <v>0</v>
      </c>
      <c r="K97" s="30">
        <f t="array" ref="K97">IFERROR(INDEX('Temp Hisfa'!K$3:K$200, SMALL(IF(ISERROR('Temp Hisfa'!K$3:K$200), "", ROW('Temp Hisfa'!K$3:K$200)-MIN(ROW('Temp Hisfa'!K$3:K$200))+1), ROW(95:294))),"")</f>
        <v>0</v>
      </c>
      <c r="L97" s="22">
        <f t="array" ref="L97">IFERROR(INDEX('Temp Hisfa'!L$3:L$200, SMALL(IF(ISERROR('Temp Hisfa'!L$3:L$200), "", ROW('Temp Hisfa'!L$3:L$200)-MIN(ROW('Temp Hisfa'!L$3:L$200))+1), ROW(95:294))),"")</f>
        <v>0</v>
      </c>
      <c r="M97" s="22">
        <f t="array" ref="M97">IFERROR(INDEX('Temp Hisfa'!M$3:M$200, SMALL(IF(ISERROR('Temp Hisfa'!M$3:M$200), "", ROW('Temp Hisfa'!M$3:M$200)-MIN(ROW('Temp Hisfa'!M$3:M$200))+1), ROW(95:294))),"")</f>
        <v>0</v>
      </c>
      <c r="N97" s="22">
        <f t="array" ref="N97">IFERROR(INDEX('Temp Hisfa'!N$3:N$200, SMALL(IF(ISERROR('Temp Hisfa'!N$3:N$200), "", ROW('Temp Hisfa'!N$3:N$200)-MIN(ROW('Temp Hisfa'!N$3:N$200))+1), ROW(95:294))),"")</f>
        <v>1900</v>
      </c>
      <c r="O97" s="22" t="str">
        <f t="array" ref="O97">IFERROR(INDEX('Temp Hisfa'!O$3:O$200, SMALL(IF(ISERROR('Temp Hisfa'!O$3:O$200), "", ROW('Temp Hisfa'!O$3:O$200)-MIN(ROW('Temp Hisfa'!O$3:O$200))+1), ROW(95:294))),"")</f>
        <v>enero</v>
      </c>
      <c r="P97" s="22">
        <f t="array" ref="P97">IFERROR(INDEX('Temp Hisfa'!P$3:P$200, SMALL(IF(ISERROR('Temp Hisfa'!P$3:P$200), "", ROW('Temp Hisfa'!P$3:P$200)-MIN(ROW('Temp Hisfa'!P$3:P$200))+1), ROW(95:294))),"")</f>
        <v>0</v>
      </c>
      <c r="Q97" s="22">
        <f t="array" ref="Q97">IFERROR(INDEX('Temp Hisfa'!Q$3:Q$200, SMALL(IF(ISERROR('Temp Hisfa'!Q$3:Q$200), "", ROW('Temp Hisfa'!Q$3:Q$200)-MIN(ROW('Temp Hisfa'!Q$3:Q$200))+1), ROW(95:294))),"")</f>
        <v>0</v>
      </c>
      <c r="R97" s="22">
        <f t="array" ref="R97">IFERROR(INDEX('Temp Hisfa'!R$3:R$200, SMALL(IF(ISERROR('Temp Hisfa'!R$3:R$200), "", ROW('Temp Hisfa'!R$3:R$200)-MIN(ROW('Temp Hisfa'!R$3:R$200))+1), ROW(95:294))),"")</f>
        <v>0</v>
      </c>
      <c r="S97" s="22">
        <f t="array" ref="S97">IFERROR(INDEX('Temp Hisfa'!S$3:S$200, SMALL(IF(ISERROR('Temp Hisfa'!S$3:S$200), "", ROW('Temp Hisfa'!S$3:S$200)-MIN(ROW('Temp Hisfa'!S$3:S$200))+1), ROW(95:294))),"")</f>
        <v>0</v>
      </c>
      <c r="T97" s="22">
        <f t="array" ref="T97">IFERROR(INDEX('Temp Hisfa'!T$3:T$200, SMALL(IF(ISERROR('Temp Hisfa'!T$3:T$200), "", ROW('Temp Hisfa'!T$3:T$200)-MIN(ROW('Temp Hisfa'!T$3:T$200))+1), ROW(95:294))),"")</f>
        <v>0</v>
      </c>
      <c r="U97" s="22">
        <f t="array" ref="U97">IFERROR(INDEX('Temp Hisfa'!U$3:U$200, SMALL(IF(ISERROR('Temp Hisfa'!U$3:U$200), "", ROW('Temp Hisfa'!U$3:U$200)-MIN(ROW('Temp Hisfa'!U$3:U$200))+1), ROW(95:294))),"")</f>
        <v>0</v>
      </c>
      <c r="V97" s="22">
        <f t="array" ref="V97">IFERROR(INDEX('Temp Hisfa'!V$3:V$200, SMALL(IF(ISERROR('Temp Hisfa'!V$3:V$200), "", ROW('Temp Hisfa'!V$3:V$200)-MIN(ROW('Temp Hisfa'!V$3:V$200))+1), ROW(95:294))),"")</f>
        <v>0</v>
      </c>
      <c r="W97" s="22">
        <f t="array" ref="W97">IFERROR(INDEX('Temp Hisfa'!W$3:W$200, SMALL(IF(ISERROR('Temp Hisfa'!W$3:W$200), "", ROW('Temp Hisfa'!W$3:W$200)-MIN(ROW('Temp Hisfa'!W$3:W$200))+1), ROW(95:294))),"")</f>
        <v>0</v>
      </c>
      <c r="X97" s="22">
        <f t="array" ref="X97">IFERROR(INDEX('Temp Hisfa'!X$3:X$200, SMALL(IF(ISERROR('Temp Hisfa'!X$3:X$200), "", ROW('Temp Hisfa'!X$3:X$200)-MIN(ROW('Temp Hisfa'!X$3:X$200))+1), ROW(95:294))),"")</f>
        <v>0</v>
      </c>
      <c r="Y97" s="22">
        <f t="array" ref="Y97">IFERROR(INDEX('Temp Hisfa'!Y$3:Y$200, SMALL(IF(ISERROR('Temp Hisfa'!Y$3:Y$200), "", ROW('Temp Hisfa'!Y$3:Y$200)-MIN(ROW('Temp Hisfa'!Y$3:Y$200))+1), ROW(95:294))),"")</f>
        <v>0</v>
      </c>
      <c r="Z97" s="22">
        <f t="array" ref="Z97">IFERROR(INDEX('Temp Hisfa'!Z$3:Z$200, SMALL(IF(ISERROR('Temp Hisfa'!Z$3:Z$200), "", ROW('Temp Hisfa'!Z$3:Z$200)-MIN(ROW('Temp Hisfa'!Z$3:Z$200))+1), ROW(95:294))),"")</f>
        <v>0</v>
      </c>
      <c r="AA97" s="22">
        <f t="array" ref="AA97">IFERROR(INDEX('Temp Hisfa'!AA$3:AA$200, SMALL(IF(ISERROR('Temp Hisfa'!AA$3:AA$200), "", ROW('Temp Hisfa'!AA$3:AA$200)-MIN(ROW('Temp Hisfa'!AA$3:AA$200))+1), ROW(95:294))),"")</f>
        <v>0</v>
      </c>
      <c r="AB97" s="22">
        <f t="array" ref="AB97">IFERROR(INDEX('Temp Hisfa'!AB$3:AB$200, SMALL(IF(ISERROR('Temp Hisfa'!AB$3:AB$200), "", ROW('Temp Hisfa'!AB$3:AB$200)-MIN(ROW('Temp Hisfa'!AB$3:AB$200))+1), ROW(95:294))),"")</f>
        <v>0</v>
      </c>
    </row>
    <row r="98" spans="1:28" x14ac:dyDescent="0.3">
      <c r="A98" s="4">
        <f t="array" ref="A98">IFERROR(INDEX('Temp Hisfa'!A$3:A$200, SMALL(IF(ISERROR('Temp Hisfa'!A$3:A$200), "", ROW('Temp Hisfa'!A$3:A$200)-MIN(ROW('Temp Hisfa'!A$3:A$200))+1), ROW(96:294))),"")</f>
        <v>0</v>
      </c>
      <c r="B98" s="4">
        <f t="array" ref="B98">IFERROR(INDEX('Temp Hisfa'!B$3:B$200, SMALL(IF(ISERROR('Temp Hisfa'!B$3:B$200), "", ROW('Temp Hisfa'!B$3:B$200)-MIN(ROW('Temp Hisfa'!B$3:B$200))+1), ROW(96:294))),"")</f>
        <v>0</v>
      </c>
      <c r="C98" s="3">
        <f t="array" ref="C98">IFERROR(INDEX('Temp Hisfa'!C$3:C$200, SMALL(IF(ISERROR('Temp Hisfa'!C$3:C$200), "", ROW('Temp Hisfa'!C$3:C$200)-MIN(ROW('Temp Hisfa'!C$3:C$200))+1), ROW(96:294))),"")</f>
        <v>0</v>
      </c>
      <c r="D98" s="3">
        <f t="array" ref="D98">IFERROR(INDEX('Temp Hisfa'!D$3:D$200, SMALL(IF(ISERROR('Temp Hisfa'!D$3:D$200), "", ROW('Temp Hisfa'!D$3:D$200)-MIN(ROW('Temp Hisfa'!D$3:D$200))+1), ROW(96:294))),"")</f>
        <v>0</v>
      </c>
      <c r="E98" s="29">
        <f t="array" ref="E98">IFERROR(INDEX('Temp Hisfa'!E$3:E$200, SMALL(IF(ISERROR('Temp Hisfa'!E$3:E$200), "", ROW('Temp Hisfa'!E$3:E$200)-MIN(ROW('Temp Hisfa'!E$3:E$200))+1), ROW(96:295))),"")</f>
        <v>0</v>
      </c>
      <c r="F98" s="22" t="str">
        <f t="array" ref="F98">IFERROR(INDEX('Temp Hisfa'!F$3:F$200, SMALL(IF(ISERROR('Temp Hisfa'!F$3:F$200), "", ROW('Temp Hisfa'!F$3:F$200)-MIN(ROW('Temp Hisfa'!F$3:F$200))+1), ROW(96:295))),"")</f>
        <v/>
      </c>
      <c r="G98" s="30">
        <f t="array" ref="G98">IFERROR(INDEX('Temp Hisfa'!G$3:G$200, SMALL(IF(ISERROR('Temp Hisfa'!G$3:G$200), "", ROW('Temp Hisfa'!G$3:G$200)-MIN(ROW('Temp Hisfa'!G$3:G$200))+1), ROW(96:295))),"")</f>
        <v>0</v>
      </c>
      <c r="H98" s="22" t="str">
        <f t="array" ref="H98">IFERROR(INDEX('Temp Hisfa'!H$3:H$200, SMALL(IF(ISERROR('Temp Hisfa'!H$3:H$200), "", ROW('Temp Hisfa'!H$3:H$200)-MIN(ROW('Temp Hisfa'!H$3:H$200))+1), ROW(96:295))),"")</f>
        <v/>
      </c>
      <c r="I98" s="22">
        <f t="array" ref="I98">IFERROR(INDEX('Temp Hisfa'!I$3:I$200, SMALL(IF(ISERROR('Temp Hisfa'!I$3:I$200), "", ROW('Temp Hisfa'!I$3:I$200)-MIN(ROW('Temp Hisfa'!I$3:I$200))+1), ROW(96:295))),"")</f>
        <v>0</v>
      </c>
      <c r="J98" s="22">
        <f t="array" ref="J98">IFERROR(INDEX('Temp Hisfa'!J$3:J$200, SMALL(IF(ISERROR('Temp Hisfa'!J$3:J$200), "", ROW('Temp Hisfa'!J$3:J$200)-MIN(ROW('Temp Hisfa'!J$3:J$200))+1), ROW(96:295))),"")</f>
        <v>0</v>
      </c>
      <c r="K98" s="30">
        <f t="array" ref="K98">IFERROR(INDEX('Temp Hisfa'!K$3:K$200, SMALL(IF(ISERROR('Temp Hisfa'!K$3:K$200), "", ROW('Temp Hisfa'!K$3:K$200)-MIN(ROW('Temp Hisfa'!K$3:K$200))+1), ROW(96:295))),"")</f>
        <v>0</v>
      </c>
      <c r="L98" s="22">
        <f t="array" ref="L98">IFERROR(INDEX('Temp Hisfa'!L$3:L$200, SMALL(IF(ISERROR('Temp Hisfa'!L$3:L$200), "", ROW('Temp Hisfa'!L$3:L$200)-MIN(ROW('Temp Hisfa'!L$3:L$200))+1), ROW(96:295))),"")</f>
        <v>0</v>
      </c>
      <c r="M98" s="22">
        <f t="array" ref="M98">IFERROR(INDEX('Temp Hisfa'!M$3:M$200, SMALL(IF(ISERROR('Temp Hisfa'!M$3:M$200), "", ROW('Temp Hisfa'!M$3:M$200)-MIN(ROW('Temp Hisfa'!M$3:M$200))+1), ROW(96:295))),"")</f>
        <v>0</v>
      </c>
      <c r="N98" s="22">
        <f t="array" ref="N98">IFERROR(INDEX('Temp Hisfa'!N$3:N$200, SMALL(IF(ISERROR('Temp Hisfa'!N$3:N$200), "", ROW('Temp Hisfa'!N$3:N$200)-MIN(ROW('Temp Hisfa'!N$3:N$200))+1), ROW(96:295))),"")</f>
        <v>1900</v>
      </c>
      <c r="O98" s="22" t="str">
        <f t="array" ref="O98">IFERROR(INDEX('Temp Hisfa'!O$3:O$200, SMALL(IF(ISERROR('Temp Hisfa'!O$3:O$200), "", ROW('Temp Hisfa'!O$3:O$200)-MIN(ROW('Temp Hisfa'!O$3:O$200))+1), ROW(96:295))),"")</f>
        <v>enero</v>
      </c>
      <c r="P98" s="22">
        <f t="array" ref="P98">IFERROR(INDEX('Temp Hisfa'!P$3:P$200, SMALL(IF(ISERROR('Temp Hisfa'!P$3:P$200), "", ROW('Temp Hisfa'!P$3:P$200)-MIN(ROW('Temp Hisfa'!P$3:P$200))+1), ROW(96:295))),"")</f>
        <v>0</v>
      </c>
      <c r="Q98" s="22">
        <f t="array" ref="Q98">IFERROR(INDEX('Temp Hisfa'!Q$3:Q$200, SMALL(IF(ISERROR('Temp Hisfa'!Q$3:Q$200), "", ROW('Temp Hisfa'!Q$3:Q$200)-MIN(ROW('Temp Hisfa'!Q$3:Q$200))+1), ROW(96:295))),"")</f>
        <v>0</v>
      </c>
      <c r="R98" s="22">
        <f t="array" ref="R98">IFERROR(INDEX('Temp Hisfa'!R$3:R$200, SMALL(IF(ISERROR('Temp Hisfa'!R$3:R$200), "", ROW('Temp Hisfa'!R$3:R$200)-MIN(ROW('Temp Hisfa'!R$3:R$200))+1), ROW(96:295))),"")</f>
        <v>0</v>
      </c>
      <c r="S98" s="22">
        <f t="array" ref="S98">IFERROR(INDEX('Temp Hisfa'!S$3:S$200, SMALL(IF(ISERROR('Temp Hisfa'!S$3:S$200), "", ROW('Temp Hisfa'!S$3:S$200)-MIN(ROW('Temp Hisfa'!S$3:S$200))+1), ROW(96:295))),"")</f>
        <v>0</v>
      </c>
      <c r="T98" s="22">
        <f t="array" ref="T98">IFERROR(INDEX('Temp Hisfa'!T$3:T$200, SMALL(IF(ISERROR('Temp Hisfa'!T$3:T$200), "", ROW('Temp Hisfa'!T$3:T$200)-MIN(ROW('Temp Hisfa'!T$3:T$200))+1), ROW(96:295))),"")</f>
        <v>0</v>
      </c>
      <c r="U98" s="22">
        <f t="array" ref="U98">IFERROR(INDEX('Temp Hisfa'!U$3:U$200, SMALL(IF(ISERROR('Temp Hisfa'!U$3:U$200), "", ROW('Temp Hisfa'!U$3:U$200)-MIN(ROW('Temp Hisfa'!U$3:U$200))+1), ROW(96:295))),"")</f>
        <v>0</v>
      </c>
      <c r="V98" s="22">
        <f t="array" ref="V98">IFERROR(INDEX('Temp Hisfa'!V$3:V$200, SMALL(IF(ISERROR('Temp Hisfa'!V$3:V$200), "", ROW('Temp Hisfa'!V$3:V$200)-MIN(ROW('Temp Hisfa'!V$3:V$200))+1), ROW(96:295))),"")</f>
        <v>0</v>
      </c>
      <c r="W98" s="22">
        <f t="array" ref="W98">IFERROR(INDEX('Temp Hisfa'!W$3:W$200, SMALL(IF(ISERROR('Temp Hisfa'!W$3:W$200), "", ROW('Temp Hisfa'!W$3:W$200)-MIN(ROW('Temp Hisfa'!W$3:W$200))+1), ROW(96:295))),"")</f>
        <v>0</v>
      </c>
      <c r="X98" s="22">
        <f t="array" ref="X98">IFERROR(INDEX('Temp Hisfa'!X$3:X$200, SMALL(IF(ISERROR('Temp Hisfa'!X$3:X$200), "", ROW('Temp Hisfa'!X$3:X$200)-MIN(ROW('Temp Hisfa'!X$3:X$200))+1), ROW(96:295))),"")</f>
        <v>0</v>
      </c>
      <c r="Y98" s="22">
        <f t="array" ref="Y98">IFERROR(INDEX('Temp Hisfa'!Y$3:Y$200, SMALL(IF(ISERROR('Temp Hisfa'!Y$3:Y$200), "", ROW('Temp Hisfa'!Y$3:Y$200)-MIN(ROW('Temp Hisfa'!Y$3:Y$200))+1), ROW(96:295))),"")</f>
        <v>0</v>
      </c>
      <c r="Z98" s="22">
        <f t="array" ref="Z98">IFERROR(INDEX('Temp Hisfa'!Z$3:Z$200, SMALL(IF(ISERROR('Temp Hisfa'!Z$3:Z$200), "", ROW('Temp Hisfa'!Z$3:Z$200)-MIN(ROW('Temp Hisfa'!Z$3:Z$200))+1), ROW(96:295))),"")</f>
        <v>0</v>
      </c>
      <c r="AA98" s="22">
        <f t="array" ref="AA98">IFERROR(INDEX('Temp Hisfa'!AA$3:AA$200, SMALL(IF(ISERROR('Temp Hisfa'!AA$3:AA$200), "", ROW('Temp Hisfa'!AA$3:AA$200)-MIN(ROW('Temp Hisfa'!AA$3:AA$200))+1), ROW(96:295))),"")</f>
        <v>0</v>
      </c>
      <c r="AB98" s="22">
        <f t="array" ref="AB98">IFERROR(INDEX('Temp Hisfa'!AB$3:AB$200, SMALL(IF(ISERROR('Temp Hisfa'!AB$3:AB$200), "", ROW('Temp Hisfa'!AB$3:AB$200)-MIN(ROW('Temp Hisfa'!AB$3:AB$200))+1), ROW(96:295))),"")</f>
        <v>0</v>
      </c>
    </row>
    <row r="99" spans="1:28" x14ac:dyDescent="0.3">
      <c r="A99" s="4">
        <f t="array" ref="A99">IFERROR(INDEX('Temp Hisfa'!A$3:A$200, SMALL(IF(ISERROR('Temp Hisfa'!A$3:A$200), "", ROW('Temp Hisfa'!A$3:A$200)-MIN(ROW('Temp Hisfa'!A$3:A$200))+1), ROW(97:295))),"")</f>
        <v>0</v>
      </c>
      <c r="B99" s="4">
        <f t="array" ref="B99">IFERROR(INDEX('Temp Hisfa'!B$3:B$200, SMALL(IF(ISERROR('Temp Hisfa'!B$3:B$200), "", ROW('Temp Hisfa'!B$3:B$200)-MIN(ROW('Temp Hisfa'!B$3:B$200))+1), ROW(97:295))),"")</f>
        <v>0</v>
      </c>
      <c r="C99" s="3">
        <f t="array" ref="C99">IFERROR(INDEX('Temp Hisfa'!C$3:C$200, SMALL(IF(ISERROR('Temp Hisfa'!C$3:C$200), "", ROW('Temp Hisfa'!C$3:C$200)-MIN(ROW('Temp Hisfa'!C$3:C$200))+1), ROW(97:295))),"")</f>
        <v>0</v>
      </c>
      <c r="D99" s="3">
        <f t="array" ref="D99">IFERROR(INDEX('Temp Hisfa'!D$3:D$200, SMALL(IF(ISERROR('Temp Hisfa'!D$3:D$200), "", ROW('Temp Hisfa'!D$3:D$200)-MIN(ROW('Temp Hisfa'!D$3:D$200))+1), ROW(97:295))),"")</f>
        <v>0</v>
      </c>
      <c r="E99" s="29">
        <f t="array" ref="E99">IFERROR(INDEX('Temp Hisfa'!E$3:E$200, SMALL(IF(ISERROR('Temp Hisfa'!E$3:E$200), "", ROW('Temp Hisfa'!E$3:E$200)-MIN(ROW('Temp Hisfa'!E$3:E$200))+1), ROW(97:296))),"")</f>
        <v>0</v>
      </c>
      <c r="F99" s="22" t="str">
        <f t="array" ref="F99">IFERROR(INDEX('Temp Hisfa'!F$3:F$200, SMALL(IF(ISERROR('Temp Hisfa'!F$3:F$200), "", ROW('Temp Hisfa'!F$3:F$200)-MIN(ROW('Temp Hisfa'!F$3:F$200))+1), ROW(97:296))),"")</f>
        <v/>
      </c>
      <c r="G99" s="30">
        <f t="array" ref="G99">IFERROR(INDEX('Temp Hisfa'!G$3:G$200, SMALL(IF(ISERROR('Temp Hisfa'!G$3:G$200), "", ROW('Temp Hisfa'!G$3:G$200)-MIN(ROW('Temp Hisfa'!G$3:G$200))+1), ROW(97:296))),"")</f>
        <v>0</v>
      </c>
      <c r="H99" s="22" t="str">
        <f t="array" ref="H99">IFERROR(INDEX('Temp Hisfa'!H$3:H$200, SMALL(IF(ISERROR('Temp Hisfa'!H$3:H$200), "", ROW('Temp Hisfa'!H$3:H$200)-MIN(ROW('Temp Hisfa'!H$3:H$200))+1), ROW(97:296))),"")</f>
        <v/>
      </c>
      <c r="I99" s="22">
        <f t="array" ref="I99">IFERROR(INDEX('Temp Hisfa'!I$3:I$200, SMALL(IF(ISERROR('Temp Hisfa'!I$3:I$200), "", ROW('Temp Hisfa'!I$3:I$200)-MIN(ROW('Temp Hisfa'!I$3:I$200))+1), ROW(97:296))),"")</f>
        <v>0</v>
      </c>
      <c r="J99" s="22">
        <f t="array" ref="J99">IFERROR(INDEX('Temp Hisfa'!J$3:J$200, SMALL(IF(ISERROR('Temp Hisfa'!J$3:J$200), "", ROW('Temp Hisfa'!J$3:J$200)-MIN(ROW('Temp Hisfa'!J$3:J$200))+1), ROW(97:296))),"")</f>
        <v>0</v>
      </c>
      <c r="K99" s="30">
        <f t="array" ref="K99">IFERROR(INDEX('Temp Hisfa'!K$3:K$200, SMALL(IF(ISERROR('Temp Hisfa'!K$3:K$200), "", ROW('Temp Hisfa'!K$3:K$200)-MIN(ROW('Temp Hisfa'!K$3:K$200))+1), ROW(97:296))),"")</f>
        <v>0</v>
      </c>
      <c r="L99" s="22">
        <f t="array" ref="L99">IFERROR(INDEX('Temp Hisfa'!L$3:L$200, SMALL(IF(ISERROR('Temp Hisfa'!L$3:L$200), "", ROW('Temp Hisfa'!L$3:L$200)-MIN(ROW('Temp Hisfa'!L$3:L$200))+1), ROW(97:296))),"")</f>
        <v>0</v>
      </c>
      <c r="M99" s="22">
        <f t="array" ref="M99">IFERROR(INDEX('Temp Hisfa'!M$3:M$200, SMALL(IF(ISERROR('Temp Hisfa'!M$3:M$200), "", ROW('Temp Hisfa'!M$3:M$200)-MIN(ROW('Temp Hisfa'!M$3:M$200))+1), ROW(97:296))),"")</f>
        <v>0</v>
      </c>
      <c r="N99" s="22">
        <f t="array" ref="N99">IFERROR(INDEX('Temp Hisfa'!N$3:N$200, SMALL(IF(ISERROR('Temp Hisfa'!N$3:N$200), "", ROW('Temp Hisfa'!N$3:N$200)-MIN(ROW('Temp Hisfa'!N$3:N$200))+1), ROW(97:296))),"")</f>
        <v>1900</v>
      </c>
      <c r="O99" s="22" t="str">
        <f t="array" ref="O99">IFERROR(INDEX('Temp Hisfa'!O$3:O$200, SMALL(IF(ISERROR('Temp Hisfa'!O$3:O$200), "", ROW('Temp Hisfa'!O$3:O$200)-MIN(ROW('Temp Hisfa'!O$3:O$200))+1), ROW(97:296))),"")</f>
        <v>enero</v>
      </c>
      <c r="P99" s="22">
        <f t="array" ref="P99">IFERROR(INDEX('Temp Hisfa'!P$3:P$200, SMALL(IF(ISERROR('Temp Hisfa'!P$3:P$200), "", ROW('Temp Hisfa'!P$3:P$200)-MIN(ROW('Temp Hisfa'!P$3:P$200))+1), ROW(97:296))),"")</f>
        <v>0</v>
      </c>
      <c r="Q99" s="22">
        <f t="array" ref="Q99">IFERROR(INDEX('Temp Hisfa'!Q$3:Q$200, SMALL(IF(ISERROR('Temp Hisfa'!Q$3:Q$200), "", ROW('Temp Hisfa'!Q$3:Q$200)-MIN(ROW('Temp Hisfa'!Q$3:Q$200))+1), ROW(97:296))),"")</f>
        <v>0</v>
      </c>
      <c r="R99" s="22">
        <f t="array" ref="R99">IFERROR(INDEX('Temp Hisfa'!R$3:R$200, SMALL(IF(ISERROR('Temp Hisfa'!R$3:R$200), "", ROW('Temp Hisfa'!R$3:R$200)-MIN(ROW('Temp Hisfa'!R$3:R$200))+1), ROW(97:296))),"")</f>
        <v>0</v>
      </c>
      <c r="S99" s="22">
        <f t="array" ref="S99">IFERROR(INDEX('Temp Hisfa'!S$3:S$200, SMALL(IF(ISERROR('Temp Hisfa'!S$3:S$200), "", ROW('Temp Hisfa'!S$3:S$200)-MIN(ROW('Temp Hisfa'!S$3:S$200))+1), ROW(97:296))),"")</f>
        <v>0</v>
      </c>
      <c r="T99" s="22">
        <f t="array" ref="T99">IFERROR(INDEX('Temp Hisfa'!T$3:T$200, SMALL(IF(ISERROR('Temp Hisfa'!T$3:T$200), "", ROW('Temp Hisfa'!T$3:T$200)-MIN(ROW('Temp Hisfa'!T$3:T$200))+1), ROW(97:296))),"")</f>
        <v>0</v>
      </c>
      <c r="U99" s="22">
        <f t="array" ref="U99">IFERROR(INDEX('Temp Hisfa'!U$3:U$200, SMALL(IF(ISERROR('Temp Hisfa'!U$3:U$200), "", ROW('Temp Hisfa'!U$3:U$200)-MIN(ROW('Temp Hisfa'!U$3:U$200))+1), ROW(97:296))),"")</f>
        <v>0</v>
      </c>
      <c r="V99" s="22">
        <f t="array" ref="V99">IFERROR(INDEX('Temp Hisfa'!V$3:V$200, SMALL(IF(ISERROR('Temp Hisfa'!V$3:V$200), "", ROW('Temp Hisfa'!V$3:V$200)-MIN(ROW('Temp Hisfa'!V$3:V$200))+1), ROW(97:296))),"")</f>
        <v>0</v>
      </c>
      <c r="W99" s="22">
        <f t="array" ref="W99">IFERROR(INDEX('Temp Hisfa'!W$3:W$200, SMALL(IF(ISERROR('Temp Hisfa'!W$3:W$200), "", ROW('Temp Hisfa'!W$3:W$200)-MIN(ROW('Temp Hisfa'!W$3:W$200))+1), ROW(97:296))),"")</f>
        <v>0</v>
      </c>
      <c r="X99" s="22">
        <f t="array" ref="X99">IFERROR(INDEX('Temp Hisfa'!X$3:X$200, SMALL(IF(ISERROR('Temp Hisfa'!X$3:X$200), "", ROW('Temp Hisfa'!X$3:X$200)-MIN(ROW('Temp Hisfa'!X$3:X$200))+1), ROW(97:296))),"")</f>
        <v>0</v>
      </c>
      <c r="Y99" s="22">
        <f t="array" ref="Y99">IFERROR(INDEX('Temp Hisfa'!Y$3:Y$200, SMALL(IF(ISERROR('Temp Hisfa'!Y$3:Y$200), "", ROW('Temp Hisfa'!Y$3:Y$200)-MIN(ROW('Temp Hisfa'!Y$3:Y$200))+1), ROW(97:296))),"")</f>
        <v>0</v>
      </c>
      <c r="Z99" s="22">
        <f t="array" ref="Z99">IFERROR(INDEX('Temp Hisfa'!Z$3:Z$200, SMALL(IF(ISERROR('Temp Hisfa'!Z$3:Z$200), "", ROW('Temp Hisfa'!Z$3:Z$200)-MIN(ROW('Temp Hisfa'!Z$3:Z$200))+1), ROW(97:296))),"")</f>
        <v>0</v>
      </c>
      <c r="AA99" s="22">
        <f t="array" ref="AA99">IFERROR(INDEX('Temp Hisfa'!AA$3:AA$200, SMALL(IF(ISERROR('Temp Hisfa'!AA$3:AA$200), "", ROW('Temp Hisfa'!AA$3:AA$200)-MIN(ROW('Temp Hisfa'!AA$3:AA$200))+1), ROW(97:296))),"")</f>
        <v>0</v>
      </c>
      <c r="AB99" s="22">
        <f t="array" ref="AB99">IFERROR(INDEX('Temp Hisfa'!AB$3:AB$200, SMALL(IF(ISERROR('Temp Hisfa'!AB$3:AB$200), "", ROW('Temp Hisfa'!AB$3:AB$200)-MIN(ROW('Temp Hisfa'!AB$3:AB$200))+1), ROW(97:296))),"")</f>
        <v>0</v>
      </c>
    </row>
    <row r="100" spans="1:28" x14ac:dyDescent="0.3">
      <c r="A100" s="4">
        <f t="array" ref="A100">IFERROR(INDEX('Temp Hisfa'!A$3:A$200, SMALL(IF(ISERROR('Temp Hisfa'!A$3:A$200), "", ROW('Temp Hisfa'!A$3:A$200)-MIN(ROW('Temp Hisfa'!A$3:A$200))+1), ROW(98:296))),"")</f>
        <v>0</v>
      </c>
      <c r="B100" s="4">
        <f t="array" ref="B100">IFERROR(INDEX('Temp Hisfa'!B$3:B$200, SMALL(IF(ISERROR('Temp Hisfa'!B$3:B$200), "", ROW('Temp Hisfa'!B$3:B$200)-MIN(ROW('Temp Hisfa'!B$3:B$200))+1), ROW(98:296))),"")</f>
        <v>0</v>
      </c>
      <c r="C100" s="3">
        <f t="array" ref="C100">IFERROR(INDEX('Temp Hisfa'!C$3:C$200, SMALL(IF(ISERROR('Temp Hisfa'!C$3:C$200), "", ROW('Temp Hisfa'!C$3:C$200)-MIN(ROW('Temp Hisfa'!C$3:C$200))+1), ROW(98:296))),"")</f>
        <v>0</v>
      </c>
      <c r="D100" s="3">
        <f t="array" ref="D100">IFERROR(INDEX('Temp Hisfa'!D$3:D$200, SMALL(IF(ISERROR('Temp Hisfa'!D$3:D$200), "", ROW('Temp Hisfa'!D$3:D$200)-MIN(ROW('Temp Hisfa'!D$3:D$200))+1), ROW(98:296))),"")</f>
        <v>0</v>
      </c>
      <c r="E100" s="29">
        <f t="array" ref="E100">IFERROR(INDEX('Temp Hisfa'!E$3:E$200, SMALL(IF(ISERROR('Temp Hisfa'!E$3:E$200), "", ROW('Temp Hisfa'!E$3:E$200)-MIN(ROW('Temp Hisfa'!E$3:E$200))+1), ROW(98:297))),"")</f>
        <v>0</v>
      </c>
      <c r="F100" s="22" t="str">
        <f t="array" ref="F100">IFERROR(INDEX('Temp Hisfa'!F$3:F$200, SMALL(IF(ISERROR('Temp Hisfa'!F$3:F$200), "", ROW('Temp Hisfa'!F$3:F$200)-MIN(ROW('Temp Hisfa'!F$3:F$200))+1), ROW(98:297))),"")</f>
        <v/>
      </c>
      <c r="G100" s="30">
        <f t="array" ref="G100">IFERROR(INDEX('Temp Hisfa'!G$3:G$200, SMALL(IF(ISERROR('Temp Hisfa'!G$3:G$200), "", ROW('Temp Hisfa'!G$3:G$200)-MIN(ROW('Temp Hisfa'!G$3:G$200))+1), ROW(98:297))),"")</f>
        <v>0</v>
      </c>
      <c r="H100" s="22" t="str">
        <f t="array" ref="H100">IFERROR(INDEX('Temp Hisfa'!H$3:H$200, SMALL(IF(ISERROR('Temp Hisfa'!H$3:H$200), "", ROW('Temp Hisfa'!H$3:H$200)-MIN(ROW('Temp Hisfa'!H$3:H$200))+1), ROW(98:297))),"")</f>
        <v/>
      </c>
      <c r="I100" s="22">
        <f t="array" ref="I100">IFERROR(INDEX('Temp Hisfa'!I$3:I$200, SMALL(IF(ISERROR('Temp Hisfa'!I$3:I$200), "", ROW('Temp Hisfa'!I$3:I$200)-MIN(ROW('Temp Hisfa'!I$3:I$200))+1), ROW(98:297))),"")</f>
        <v>0</v>
      </c>
      <c r="J100" s="22">
        <f t="array" ref="J100">IFERROR(INDEX('Temp Hisfa'!J$3:J$200, SMALL(IF(ISERROR('Temp Hisfa'!J$3:J$200), "", ROW('Temp Hisfa'!J$3:J$200)-MIN(ROW('Temp Hisfa'!J$3:J$200))+1), ROW(98:297))),"")</f>
        <v>0</v>
      </c>
      <c r="K100" s="30">
        <f t="array" ref="K100">IFERROR(INDEX('Temp Hisfa'!K$3:K$200, SMALL(IF(ISERROR('Temp Hisfa'!K$3:K$200), "", ROW('Temp Hisfa'!K$3:K$200)-MIN(ROW('Temp Hisfa'!K$3:K$200))+1), ROW(98:297))),"")</f>
        <v>0</v>
      </c>
      <c r="L100" s="22">
        <f t="array" ref="L100">IFERROR(INDEX('Temp Hisfa'!L$3:L$200, SMALL(IF(ISERROR('Temp Hisfa'!L$3:L$200), "", ROW('Temp Hisfa'!L$3:L$200)-MIN(ROW('Temp Hisfa'!L$3:L$200))+1), ROW(98:297))),"")</f>
        <v>0</v>
      </c>
      <c r="M100" s="22">
        <f t="array" ref="M100">IFERROR(INDEX('Temp Hisfa'!M$3:M$200, SMALL(IF(ISERROR('Temp Hisfa'!M$3:M$200), "", ROW('Temp Hisfa'!M$3:M$200)-MIN(ROW('Temp Hisfa'!M$3:M$200))+1), ROW(98:297))),"")</f>
        <v>0</v>
      </c>
      <c r="N100" s="22">
        <f t="array" ref="N100">IFERROR(INDEX('Temp Hisfa'!N$3:N$200, SMALL(IF(ISERROR('Temp Hisfa'!N$3:N$200), "", ROW('Temp Hisfa'!N$3:N$200)-MIN(ROW('Temp Hisfa'!N$3:N$200))+1), ROW(98:297))),"")</f>
        <v>1900</v>
      </c>
      <c r="O100" s="22" t="str">
        <f t="array" ref="O100">IFERROR(INDEX('Temp Hisfa'!O$3:O$200, SMALL(IF(ISERROR('Temp Hisfa'!O$3:O$200), "", ROW('Temp Hisfa'!O$3:O$200)-MIN(ROW('Temp Hisfa'!O$3:O$200))+1), ROW(98:297))),"")</f>
        <v>enero</v>
      </c>
      <c r="P100" s="22">
        <f t="array" ref="P100">IFERROR(INDEX('Temp Hisfa'!P$3:P$200, SMALL(IF(ISERROR('Temp Hisfa'!P$3:P$200), "", ROW('Temp Hisfa'!P$3:P$200)-MIN(ROW('Temp Hisfa'!P$3:P$200))+1), ROW(98:297))),"")</f>
        <v>0</v>
      </c>
      <c r="Q100" s="22">
        <f t="array" ref="Q100">IFERROR(INDEX('Temp Hisfa'!Q$3:Q$200, SMALL(IF(ISERROR('Temp Hisfa'!Q$3:Q$200), "", ROW('Temp Hisfa'!Q$3:Q$200)-MIN(ROW('Temp Hisfa'!Q$3:Q$200))+1), ROW(98:297))),"")</f>
        <v>0</v>
      </c>
      <c r="R100" s="22">
        <f t="array" ref="R100">IFERROR(INDEX('Temp Hisfa'!R$3:R$200, SMALL(IF(ISERROR('Temp Hisfa'!R$3:R$200), "", ROW('Temp Hisfa'!R$3:R$200)-MIN(ROW('Temp Hisfa'!R$3:R$200))+1), ROW(98:297))),"")</f>
        <v>0</v>
      </c>
      <c r="S100" s="22">
        <f t="array" ref="S100">IFERROR(INDEX('Temp Hisfa'!S$3:S$200, SMALL(IF(ISERROR('Temp Hisfa'!S$3:S$200), "", ROW('Temp Hisfa'!S$3:S$200)-MIN(ROW('Temp Hisfa'!S$3:S$200))+1), ROW(98:297))),"")</f>
        <v>0</v>
      </c>
      <c r="T100" s="22">
        <f t="array" ref="T100">IFERROR(INDEX('Temp Hisfa'!T$3:T$200, SMALL(IF(ISERROR('Temp Hisfa'!T$3:T$200), "", ROW('Temp Hisfa'!T$3:T$200)-MIN(ROW('Temp Hisfa'!T$3:T$200))+1), ROW(98:297))),"")</f>
        <v>0</v>
      </c>
      <c r="U100" s="22">
        <f t="array" ref="U100">IFERROR(INDEX('Temp Hisfa'!U$3:U$200, SMALL(IF(ISERROR('Temp Hisfa'!U$3:U$200), "", ROW('Temp Hisfa'!U$3:U$200)-MIN(ROW('Temp Hisfa'!U$3:U$200))+1), ROW(98:297))),"")</f>
        <v>0</v>
      </c>
      <c r="V100" s="22">
        <f t="array" ref="V100">IFERROR(INDEX('Temp Hisfa'!V$3:V$200, SMALL(IF(ISERROR('Temp Hisfa'!V$3:V$200), "", ROW('Temp Hisfa'!V$3:V$200)-MIN(ROW('Temp Hisfa'!V$3:V$200))+1), ROW(98:297))),"")</f>
        <v>0</v>
      </c>
      <c r="W100" s="22">
        <f t="array" ref="W100">IFERROR(INDEX('Temp Hisfa'!W$3:W$200, SMALL(IF(ISERROR('Temp Hisfa'!W$3:W$200), "", ROW('Temp Hisfa'!W$3:W$200)-MIN(ROW('Temp Hisfa'!W$3:W$200))+1), ROW(98:297))),"")</f>
        <v>0</v>
      </c>
      <c r="X100" s="22">
        <f t="array" ref="X100">IFERROR(INDEX('Temp Hisfa'!X$3:X$200, SMALL(IF(ISERROR('Temp Hisfa'!X$3:X$200), "", ROW('Temp Hisfa'!X$3:X$200)-MIN(ROW('Temp Hisfa'!X$3:X$200))+1), ROW(98:297))),"")</f>
        <v>0</v>
      </c>
      <c r="Y100" s="22">
        <f t="array" ref="Y100">IFERROR(INDEX('Temp Hisfa'!Y$3:Y$200, SMALL(IF(ISERROR('Temp Hisfa'!Y$3:Y$200), "", ROW('Temp Hisfa'!Y$3:Y$200)-MIN(ROW('Temp Hisfa'!Y$3:Y$200))+1), ROW(98:297))),"")</f>
        <v>0</v>
      </c>
      <c r="Z100" s="22">
        <f t="array" ref="Z100">IFERROR(INDEX('Temp Hisfa'!Z$3:Z$200, SMALL(IF(ISERROR('Temp Hisfa'!Z$3:Z$200), "", ROW('Temp Hisfa'!Z$3:Z$200)-MIN(ROW('Temp Hisfa'!Z$3:Z$200))+1), ROW(98:297))),"")</f>
        <v>0</v>
      </c>
      <c r="AA100" s="22">
        <f t="array" ref="AA100">IFERROR(INDEX('Temp Hisfa'!AA$3:AA$200, SMALL(IF(ISERROR('Temp Hisfa'!AA$3:AA$200), "", ROW('Temp Hisfa'!AA$3:AA$200)-MIN(ROW('Temp Hisfa'!AA$3:AA$200))+1), ROW(98:297))),"")</f>
        <v>0</v>
      </c>
      <c r="AB100" s="22">
        <f t="array" ref="AB100">IFERROR(INDEX('Temp Hisfa'!AB$3:AB$200, SMALL(IF(ISERROR('Temp Hisfa'!AB$3:AB$200), "", ROW('Temp Hisfa'!AB$3:AB$200)-MIN(ROW('Temp Hisfa'!AB$3:AB$200))+1), ROW(98:297))),"")</f>
        <v>0</v>
      </c>
    </row>
    <row r="101" spans="1:28" x14ac:dyDescent="0.3">
      <c r="A101" s="4">
        <f t="array" ref="A101">IFERROR(INDEX('Temp Hisfa'!A$3:A$200, SMALL(IF(ISERROR('Temp Hisfa'!A$3:A$200), "", ROW('Temp Hisfa'!A$3:A$200)-MIN(ROW('Temp Hisfa'!A$3:A$200))+1), ROW(99:297))),"")</f>
        <v>0</v>
      </c>
      <c r="B101" s="4">
        <f t="array" ref="B101">IFERROR(INDEX('Temp Hisfa'!B$3:B$200, SMALL(IF(ISERROR('Temp Hisfa'!B$3:B$200), "", ROW('Temp Hisfa'!B$3:B$200)-MIN(ROW('Temp Hisfa'!B$3:B$200))+1), ROW(99:297))),"")</f>
        <v>0</v>
      </c>
      <c r="C101" s="3">
        <f t="array" ref="C101">IFERROR(INDEX('Temp Hisfa'!C$3:C$200, SMALL(IF(ISERROR('Temp Hisfa'!C$3:C$200), "", ROW('Temp Hisfa'!C$3:C$200)-MIN(ROW('Temp Hisfa'!C$3:C$200))+1), ROW(99:297))),"")</f>
        <v>0</v>
      </c>
      <c r="D101" s="3">
        <f t="array" ref="D101">IFERROR(INDEX('Temp Hisfa'!D$3:D$200, SMALL(IF(ISERROR('Temp Hisfa'!D$3:D$200), "", ROW('Temp Hisfa'!D$3:D$200)-MIN(ROW('Temp Hisfa'!D$3:D$200))+1), ROW(99:297))),"")</f>
        <v>0</v>
      </c>
      <c r="E101" s="29">
        <f t="array" ref="E101">IFERROR(INDEX('Temp Hisfa'!E$3:E$200, SMALL(IF(ISERROR('Temp Hisfa'!E$3:E$200), "", ROW('Temp Hisfa'!E$3:E$200)-MIN(ROW('Temp Hisfa'!E$3:E$200))+1), ROW(99:298))),"")</f>
        <v>0</v>
      </c>
      <c r="F101" s="22" t="str">
        <f t="array" ref="F101">IFERROR(INDEX('Temp Hisfa'!F$3:F$200, SMALL(IF(ISERROR('Temp Hisfa'!F$3:F$200), "", ROW('Temp Hisfa'!F$3:F$200)-MIN(ROW('Temp Hisfa'!F$3:F$200))+1), ROW(99:298))),"")</f>
        <v/>
      </c>
      <c r="G101" s="30">
        <f t="array" ref="G101">IFERROR(INDEX('Temp Hisfa'!G$3:G$200, SMALL(IF(ISERROR('Temp Hisfa'!G$3:G$200), "", ROW('Temp Hisfa'!G$3:G$200)-MIN(ROW('Temp Hisfa'!G$3:G$200))+1), ROW(99:298))),"")</f>
        <v>0</v>
      </c>
      <c r="H101" s="22" t="str">
        <f t="array" ref="H101">IFERROR(INDEX('Temp Hisfa'!H$3:H$200, SMALL(IF(ISERROR('Temp Hisfa'!H$3:H$200), "", ROW('Temp Hisfa'!H$3:H$200)-MIN(ROW('Temp Hisfa'!H$3:H$200))+1), ROW(99:298))),"")</f>
        <v/>
      </c>
      <c r="I101" s="22">
        <f t="array" ref="I101">IFERROR(INDEX('Temp Hisfa'!I$3:I$200, SMALL(IF(ISERROR('Temp Hisfa'!I$3:I$200), "", ROW('Temp Hisfa'!I$3:I$200)-MIN(ROW('Temp Hisfa'!I$3:I$200))+1), ROW(99:298))),"")</f>
        <v>0</v>
      </c>
      <c r="J101" s="22">
        <f t="array" ref="J101">IFERROR(INDEX('Temp Hisfa'!J$3:J$200, SMALL(IF(ISERROR('Temp Hisfa'!J$3:J$200), "", ROW('Temp Hisfa'!J$3:J$200)-MIN(ROW('Temp Hisfa'!J$3:J$200))+1), ROW(99:298))),"")</f>
        <v>0</v>
      </c>
      <c r="K101" s="30">
        <f t="array" ref="K101">IFERROR(INDEX('Temp Hisfa'!K$3:K$200, SMALL(IF(ISERROR('Temp Hisfa'!K$3:K$200), "", ROW('Temp Hisfa'!K$3:K$200)-MIN(ROW('Temp Hisfa'!K$3:K$200))+1), ROW(99:298))),"")</f>
        <v>0</v>
      </c>
      <c r="L101" s="22">
        <f t="array" ref="L101">IFERROR(INDEX('Temp Hisfa'!L$3:L$200, SMALL(IF(ISERROR('Temp Hisfa'!L$3:L$200), "", ROW('Temp Hisfa'!L$3:L$200)-MIN(ROW('Temp Hisfa'!L$3:L$200))+1), ROW(99:298))),"")</f>
        <v>0</v>
      </c>
      <c r="M101" s="22">
        <f t="array" ref="M101">IFERROR(INDEX('Temp Hisfa'!M$3:M$200, SMALL(IF(ISERROR('Temp Hisfa'!M$3:M$200), "", ROW('Temp Hisfa'!M$3:M$200)-MIN(ROW('Temp Hisfa'!M$3:M$200))+1), ROW(99:298))),"")</f>
        <v>0</v>
      </c>
      <c r="N101" s="22">
        <f t="array" ref="N101">IFERROR(INDEX('Temp Hisfa'!N$3:N$200, SMALL(IF(ISERROR('Temp Hisfa'!N$3:N$200), "", ROW('Temp Hisfa'!N$3:N$200)-MIN(ROW('Temp Hisfa'!N$3:N$200))+1), ROW(99:298))),"")</f>
        <v>1900</v>
      </c>
      <c r="O101" s="22" t="str">
        <f t="array" ref="O101">IFERROR(INDEX('Temp Hisfa'!O$3:O$200, SMALL(IF(ISERROR('Temp Hisfa'!O$3:O$200), "", ROW('Temp Hisfa'!O$3:O$200)-MIN(ROW('Temp Hisfa'!O$3:O$200))+1), ROW(99:298))),"")</f>
        <v>enero</v>
      </c>
      <c r="P101" s="22">
        <f t="array" ref="P101">IFERROR(INDEX('Temp Hisfa'!P$3:P$200, SMALL(IF(ISERROR('Temp Hisfa'!P$3:P$200), "", ROW('Temp Hisfa'!P$3:P$200)-MIN(ROW('Temp Hisfa'!P$3:P$200))+1), ROW(99:298))),"")</f>
        <v>0</v>
      </c>
      <c r="Q101" s="22">
        <f t="array" ref="Q101">IFERROR(INDEX('Temp Hisfa'!Q$3:Q$200, SMALL(IF(ISERROR('Temp Hisfa'!Q$3:Q$200), "", ROW('Temp Hisfa'!Q$3:Q$200)-MIN(ROW('Temp Hisfa'!Q$3:Q$200))+1), ROW(99:298))),"")</f>
        <v>0</v>
      </c>
      <c r="R101" s="22">
        <f t="array" ref="R101">IFERROR(INDEX('Temp Hisfa'!R$3:R$200, SMALL(IF(ISERROR('Temp Hisfa'!R$3:R$200), "", ROW('Temp Hisfa'!R$3:R$200)-MIN(ROW('Temp Hisfa'!R$3:R$200))+1), ROW(99:298))),"")</f>
        <v>0</v>
      </c>
      <c r="S101" s="22">
        <f t="array" ref="S101">IFERROR(INDEX('Temp Hisfa'!S$3:S$200, SMALL(IF(ISERROR('Temp Hisfa'!S$3:S$200), "", ROW('Temp Hisfa'!S$3:S$200)-MIN(ROW('Temp Hisfa'!S$3:S$200))+1), ROW(99:298))),"")</f>
        <v>0</v>
      </c>
      <c r="T101" s="22">
        <f t="array" ref="T101">IFERROR(INDEX('Temp Hisfa'!T$3:T$200, SMALL(IF(ISERROR('Temp Hisfa'!T$3:T$200), "", ROW('Temp Hisfa'!T$3:T$200)-MIN(ROW('Temp Hisfa'!T$3:T$200))+1), ROW(99:298))),"")</f>
        <v>0</v>
      </c>
      <c r="U101" s="22">
        <f t="array" ref="U101">IFERROR(INDEX('Temp Hisfa'!U$3:U$200, SMALL(IF(ISERROR('Temp Hisfa'!U$3:U$200), "", ROW('Temp Hisfa'!U$3:U$200)-MIN(ROW('Temp Hisfa'!U$3:U$200))+1), ROW(99:298))),"")</f>
        <v>0</v>
      </c>
      <c r="V101" s="22">
        <f t="array" ref="V101">IFERROR(INDEX('Temp Hisfa'!V$3:V$200, SMALL(IF(ISERROR('Temp Hisfa'!V$3:V$200), "", ROW('Temp Hisfa'!V$3:V$200)-MIN(ROW('Temp Hisfa'!V$3:V$200))+1), ROW(99:298))),"")</f>
        <v>0</v>
      </c>
      <c r="W101" s="22">
        <f t="array" ref="W101">IFERROR(INDEX('Temp Hisfa'!W$3:W$200, SMALL(IF(ISERROR('Temp Hisfa'!W$3:W$200), "", ROW('Temp Hisfa'!W$3:W$200)-MIN(ROW('Temp Hisfa'!W$3:W$200))+1), ROW(99:298))),"")</f>
        <v>0</v>
      </c>
      <c r="X101" s="22">
        <f t="array" ref="X101">IFERROR(INDEX('Temp Hisfa'!X$3:X$200, SMALL(IF(ISERROR('Temp Hisfa'!X$3:X$200), "", ROW('Temp Hisfa'!X$3:X$200)-MIN(ROW('Temp Hisfa'!X$3:X$200))+1), ROW(99:298))),"")</f>
        <v>0</v>
      </c>
      <c r="Y101" s="22">
        <f t="array" ref="Y101">IFERROR(INDEX('Temp Hisfa'!Y$3:Y$200, SMALL(IF(ISERROR('Temp Hisfa'!Y$3:Y$200), "", ROW('Temp Hisfa'!Y$3:Y$200)-MIN(ROW('Temp Hisfa'!Y$3:Y$200))+1), ROW(99:298))),"")</f>
        <v>0</v>
      </c>
      <c r="Z101" s="22">
        <f t="array" ref="Z101">IFERROR(INDEX('Temp Hisfa'!Z$3:Z$200, SMALL(IF(ISERROR('Temp Hisfa'!Z$3:Z$200), "", ROW('Temp Hisfa'!Z$3:Z$200)-MIN(ROW('Temp Hisfa'!Z$3:Z$200))+1), ROW(99:298))),"")</f>
        <v>0</v>
      </c>
      <c r="AA101" s="22">
        <f t="array" ref="AA101">IFERROR(INDEX('Temp Hisfa'!AA$3:AA$200, SMALL(IF(ISERROR('Temp Hisfa'!AA$3:AA$200), "", ROW('Temp Hisfa'!AA$3:AA$200)-MIN(ROW('Temp Hisfa'!AA$3:AA$200))+1), ROW(99:298))),"")</f>
        <v>0</v>
      </c>
      <c r="AB101" s="22">
        <f t="array" ref="AB101">IFERROR(INDEX('Temp Hisfa'!AB$3:AB$200, SMALL(IF(ISERROR('Temp Hisfa'!AB$3:AB$200), "", ROW('Temp Hisfa'!AB$3:AB$200)-MIN(ROW('Temp Hisfa'!AB$3:AB$200))+1), ROW(99:298))),"")</f>
        <v>0</v>
      </c>
    </row>
    <row r="102" spans="1:28" x14ac:dyDescent="0.3">
      <c r="A102" s="4">
        <f t="array" ref="A102">IFERROR(INDEX('Temp Hisfa'!A$3:A$200, SMALL(IF(ISERROR('Temp Hisfa'!A$3:A$200), "", ROW('Temp Hisfa'!A$3:A$200)-MIN(ROW('Temp Hisfa'!A$3:A$200))+1), ROW(100:298))),"")</f>
        <v>0</v>
      </c>
      <c r="B102" s="4">
        <f t="array" ref="B102">IFERROR(INDEX('Temp Hisfa'!B$3:B$200, SMALL(IF(ISERROR('Temp Hisfa'!B$3:B$200), "", ROW('Temp Hisfa'!B$3:B$200)-MIN(ROW('Temp Hisfa'!B$3:B$200))+1), ROW(100:298))),"")</f>
        <v>0</v>
      </c>
      <c r="C102" s="3">
        <f t="array" ref="C102">IFERROR(INDEX('Temp Hisfa'!C$3:C$200, SMALL(IF(ISERROR('Temp Hisfa'!C$3:C$200), "", ROW('Temp Hisfa'!C$3:C$200)-MIN(ROW('Temp Hisfa'!C$3:C$200))+1), ROW(100:298))),"")</f>
        <v>0</v>
      </c>
      <c r="D102" s="3">
        <f t="array" ref="D102">IFERROR(INDEX('Temp Hisfa'!D$3:D$200, SMALL(IF(ISERROR('Temp Hisfa'!D$3:D$200), "", ROW('Temp Hisfa'!D$3:D$200)-MIN(ROW('Temp Hisfa'!D$3:D$200))+1), ROW(100:298))),"")</f>
        <v>0</v>
      </c>
      <c r="E102" s="29">
        <f t="array" ref="E102">IFERROR(INDEX('Temp Hisfa'!E$3:E$200, SMALL(IF(ISERROR('Temp Hisfa'!E$3:E$200), "", ROW('Temp Hisfa'!E$3:E$200)-MIN(ROW('Temp Hisfa'!E$3:E$200))+1), ROW(100:299))),"")</f>
        <v>0</v>
      </c>
      <c r="F102" s="22" t="str">
        <f t="array" ref="F102">IFERROR(INDEX('Temp Hisfa'!F$3:F$200, SMALL(IF(ISERROR('Temp Hisfa'!F$3:F$200), "", ROW('Temp Hisfa'!F$3:F$200)-MIN(ROW('Temp Hisfa'!F$3:F$200))+1), ROW(100:299))),"")</f>
        <v/>
      </c>
      <c r="G102" s="30">
        <f t="array" ref="G102">IFERROR(INDEX('Temp Hisfa'!G$3:G$200, SMALL(IF(ISERROR('Temp Hisfa'!G$3:G$200), "", ROW('Temp Hisfa'!G$3:G$200)-MIN(ROW('Temp Hisfa'!G$3:G$200))+1), ROW(100:299))),"")</f>
        <v>0</v>
      </c>
      <c r="H102" s="22" t="str">
        <f t="array" ref="H102">IFERROR(INDEX('Temp Hisfa'!H$3:H$200, SMALL(IF(ISERROR('Temp Hisfa'!H$3:H$200), "", ROW('Temp Hisfa'!H$3:H$200)-MIN(ROW('Temp Hisfa'!H$3:H$200))+1), ROW(100:299))),"")</f>
        <v/>
      </c>
      <c r="I102" s="22">
        <f t="array" ref="I102">IFERROR(INDEX('Temp Hisfa'!I$3:I$200, SMALL(IF(ISERROR('Temp Hisfa'!I$3:I$200), "", ROW('Temp Hisfa'!I$3:I$200)-MIN(ROW('Temp Hisfa'!I$3:I$200))+1), ROW(100:299))),"")</f>
        <v>0</v>
      </c>
      <c r="J102" s="22">
        <f t="array" ref="J102">IFERROR(INDEX('Temp Hisfa'!J$3:J$200, SMALL(IF(ISERROR('Temp Hisfa'!J$3:J$200), "", ROW('Temp Hisfa'!J$3:J$200)-MIN(ROW('Temp Hisfa'!J$3:J$200))+1), ROW(100:299))),"")</f>
        <v>0</v>
      </c>
      <c r="K102" s="30">
        <f t="array" ref="K102">IFERROR(INDEX('Temp Hisfa'!K$3:K$200, SMALL(IF(ISERROR('Temp Hisfa'!K$3:K$200), "", ROW('Temp Hisfa'!K$3:K$200)-MIN(ROW('Temp Hisfa'!K$3:K$200))+1), ROW(100:299))),"")</f>
        <v>0</v>
      </c>
      <c r="L102" s="22">
        <f t="array" ref="L102">IFERROR(INDEX('Temp Hisfa'!L$3:L$200, SMALL(IF(ISERROR('Temp Hisfa'!L$3:L$200), "", ROW('Temp Hisfa'!L$3:L$200)-MIN(ROW('Temp Hisfa'!L$3:L$200))+1), ROW(100:299))),"")</f>
        <v>0</v>
      </c>
      <c r="M102" s="22">
        <f t="array" ref="M102">IFERROR(INDEX('Temp Hisfa'!M$3:M$200, SMALL(IF(ISERROR('Temp Hisfa'!M$3:M$200), "", ROW('Temp Hisfa'!M$3:M$200)-MIN(ROW('Temp Hisfa'!M$3:M$200))+1), ROW(100:299))),"")</f>
        <v>0</v>
      </c>
      <c r="N102" s="22">
        <f t="array" ref="N102">IFERROR(INDEX('Temp Hisfa'!N$3:N$200, SMALL(IF(ISERROR('Temp Hisfa'!N$3:N$200), "", ROW('Temp Hisfa'!N$3:N$200)-MIN(ROW('Temp Hisfa'!N$3:N$200))+1), ROW(100:299))),"")</f>
        <v>1900</v>
      </c>
      <c r="O102" s="22" t="str">
        <f t="array" ref="O102">IFERROR(INDEX('Temp Hisfa'!O$3:O$200, SMALL(IF(ISERROR('Temp Hisfa'!O$3:O$200), "", ROW('Temp Hisfa'!O$3:O$200)-MIN(ROW('Temp Hisfa'!O$3:O$200))+1), ROW(100:299))),"")</f>
        <v>enero</v>
      </c>
      <c r="P102" s="22">
        <f t="array" ref="P102">IFERROR(INDEX('Temp Hisfa'!P$3:P$200, SMALL(IF(ISERROR('Temp Hisfa'!P$3:P$200), "", ROW('Temp Hisfa'!P$3:P$200)-MIN(ROW('Temp Hisfa'!P$3:P$200))+1), ROW(100:299))),"")</f>
        <v>0</v>
      </c>
      <c r="Q102" s="22">
        <f t="array" ref="Q102">IFERROR(INDEX('Temp Hisfa'!Q$3:Q$200, SMALL(IF(ISERROR('Temp Hisfa'!Q$3:Q$200), "", ROW('Temp Hisfa'!Q$3:Q$200)-MIN(ROW('Temp Hisfa'!Q$3:Q$200))+1), ROW(100:299))),"")</f>
        <v>0</v>
      </c>
      <c r="R102" s="22">
        <f t="array" ref="R102">IFERROR(INDEX('Temp Hisfa'!R$3:R$200, SMALL(IF(ISERROR('Temp Hisfa'!R$3:R$200), "", ROW('Temp Hisfa'!R$3:R$200)-MIN(ROW('Temp Hisfa'!R$3:R$200))+1), ROW(100:299))),"")</f>
        <v>0</v>
      </c>
      <c r="S102" s="22">
        <f t="array" ref="S102">IFERROR(INDEX('Temp Hisfa'!S$3:S$200, SMALL(IF(ISERROR('Temp Hisfa'!S$3:S$200), "", ROW('Temp Hisfa'!S$3:S$200)-MIN(ROW('Temp Hisfa'!S$3:S$200))+1), ROW(100:299))),"")</f>
        <v>0</v>
      </c>
      <c r="T102" s="22">
        <f t="array" ref="T102">IFERROR(INDEX('Temp Hisfa'!T$3:T$200, SMALL(IF(ISERROR('Temp Hisfa'!T$3:T$200), "", ROW('Temp Hisfa'!T$3:T$200)-MIN(ROW('Temp Hisfa'!T$3:T$200))+1), ROW(100:299))),"")</f>
        <v>0</v>
      </c>
      <c r="U102" s="22">
        <f t="array" ref="U102">IFERROR(INDEX('Temp Hisfa'!U$3:U$200, SMALL(IF(ISERROR('Temp Hisfa'!U$3:U$200), "", ROW('Temp Hisfa'!U$3:U$200)-MIN(ROW('Temp Hisfa'!U$3:U$200))+1), ROW(100:299))),"")</f>
        <v>0</v>
      </c>
      <c r="V102" s="22">
        <f t="array" ref="V102">IFERROR(INDEX('Temp Hisfa'!V$3:V$200, SMALL(IF(ISERROR('Temp Hisfa'!V$3:V$200), "", ROW('Temp Hisfa'!V$3:V$200)-MIN(ROW('Temp Hisfa'!V$3:V$200))+1), ROW(100:299))),"")</f>
        <v>0</v>
      </c>
      <c r="W102" s="22">
        <f t="array" ref="W102">IFERROR(INDEX('Temp Hisfa'!W$3:W$200, SMALL(IF(ISERROR('Temp Hisfa'!W$3:W$200), "", ROW('Temp Hisfa'!W$3:W$200)-MIN(ROW('Temp Hisfa'!W$3:W$200))+1), ROW(100:299))),"")</f>
        <v>0</v>
      </c>
      <c r="X102" s="22">
        <f t="array" ref="X102">IFERROR(INDEX('Temp Hisfa'!X$3:X$200, SMALL(IF(ISERROR('Temp Hisfa'!X$3:X$200), "", ROW('Temp Hisfa'!X$3:X$200)-MIN(ROW('Temp Hisfa'!X$3:X$200))+1), ROW(100:299))),"")</f>
        <v>0</v>
      </c>
      <c r="Y102" s="22">
        <f t="array" ref="Y102">IFERROR(INDEX('Temp Hisfa'!Y$3:Y$200, SMALL(IF(ISERROR('Temp Hisfa'!Y$3:Y$200), "", ROW('Temp Hisfa'!Y$3:Y$200)-MIN(ROW('Temp Hisfa'!Y$3:Y$200))+1), ROW(100:299))),"")</f>
        <v>0</v>
      </c>
      <c r="Z102" s="22">
        <f t="array" ref="Z102">IFERROR(INDEX('Temp Hisfa'!Z$3:Z$200, SMALL(IF(ISERROR('Temp Hisfa'!Z$3:Z$200), "", ROW('Temp Hisfa'!Z$3:Z$200)-MIN(ROW('Temp Hisfa'!Z$3:Z$200))+1), ROW(100:299))),"")</f>
        <v>0</v>
      </c>
      <c r="AA102" s="22">
        <f t="array" ref="AA102">IFERROR(INDEX('Temp Hisfa'!AA$3:AA$200, SMALL(IF(ISERROR('Temp Hisfa'!AA$3:AA$200), "", ROW('Temp Hisfa'!AA$3:AA$200)-MIN(ROW('Temp Hisfa'!AA$3:AA$200))+1), ROW(100:299))),"")</f>
        <v>0</v>
      </c>
      <c r="AB102" s="22">
        <f t="array" ref="AB102">IFERROR(INDEX('Temp Hisfa'!AB$3:AB$200, SMALL(IF(ISERROR('Temp Hisfa'!AB$3:AB$200), "", ROW('Temp Hisfa'!AB$3:AB$200)-MIN(ROW('Temp Hisfa'!AB$3:AB$200))+1), ROW(100:299))),"")</f>
        <v>0</v>
      </c>
    </row>
    <row r="103" spans="1:28" x14ac:dyDescent="0.3">
      <c r="A103" s="4">
        <f t="array" ref="A103">IFERROR(INDEX('Temp Hisfa'!A$3:A$200, SMALL(IF(ISERROR('Temp Hisfa'!A$3:A$200), "", ROW('Temp Hisfa'!A$3:A$200)-MIN(ROW('Temp Hisfa'!A$3:A$200))+1), ROW(101:299))),"")</f>
        <v>0</v>
      </c>
      <c r="B103" s="4">
        <f t="array" ref="B103">IFERROR(INDEX('Temp Hisfa'!B$3:B$200, SMALL(IF(ISERROR('Temp Hisfa'!B$3:B$200), "", ROW('Temp Hisfa'!B$3:B$200)-MIN(ROW('Temp Hisfa'!B$3:B$200))+1), ROW(101:299))),"")</f>
        <v>0</v>
      </c>
      <c r="C103" s="3">
        <f t="array" ref="C103">IFERROR(INDEX('Temp Hisfa'!C$3:C$200, SMALL(IF(ISERROR('Temp Hisfa'!C$3:C$200), "", ROW('Temp Hisfa'!C$3:C$200)-MIN(ROW('Temp Hisfa'!C$3:C$200))+1), ROW(101:299))),"")</f>
        <v>0</v>
      </c>
      <c r="D103" s="3">
        <f t="array" ref="D103">IFERROR(INDEX('Temp Hisfa'!D$3:D$200, SMALL(IF(ISERROR('Temp Hisfa'!D$3:D$200), "", ROW('Temp Hisfa'!D$3:D$200)-MIN(ROW('Temp Hisfa'!D$3:D$200))+1), ROW(101:299))),"")</f>
        <v>0</v>
      </c>
      <c r="E103" s="29">
        <f t="array" ref="E103">IFERROR(INDEX('Temp Hisfa'!E$3:E$200, SMALL(IF(ISERROR('Temp Hisfa'!E$3:E$200), "", ROW('Temp Hisfa'!E$3:E$200)-MIN(ROW('Temp Hisfa'!E$3:E$200))+1), ROW(101:300))),"")</f>
        <v>0</v>
      </c>
      <c r="F103" s="22" t="str">
        <f t="array" ref="F103">IFERROR(INDEX('Temp Hisfa'!F$3:F$200, SMALL(IF(ISERROR('Temp Hisfa'!F$3:F$200), "", ROW('Temp Hisfa'!F$3:F$200)-MIN(ROW('Temp Hisfa'!F$3:F$200))+1), ROW(101:300))),"")</f>
        <v/>
      </c>
      <c r="G103" s="30">
        <f t="array" ref="G103">IFERROR(INDEX('Temp Hisfa'!G$3:G$200, SMALL(IF(ISERROR('Temp Hisfa'!G$3:G$200), "", ROW('Temp Hisfa'!G$3:G$200)-MIN(ROW('Temp Hisfa'!G$3:G$200))+1), ROW(101:300))),"")</f>
        <v>0</v>
      </c>
      <c r="H103" s="22" t="str">
        <f t="array" ref="H103">IFERROR(INDEX('Temp Hisfa'!H$3:H$200, SMALL(IF(ISERROR('Temp Hisfa'!H$3:H$200), "", ROW('Temp Hisfa'!H$3:H$200)-MIN(ROW('Temp Hisfa'!H$3:H$200))+1), ROW(101:300))),"")</f>
        <v/>
      </c>
      <c r="I103" s="22">
        <f t="array" ref="I103">IFERROR(INDEX('Temp Hisfa'!I$3:I$200, SMALL(IF(ISERROR('Temp Hisfa'!I$3:I$200), "", ROW('Temp Hisfa'!I$3:I$200)-MIN(ROW('Temp Hisfa'!I$3:I$200))+1), ROW(101:300))),"")</f>
        <v>0</v>
      </c>
      <c r="J103" s="22">
        <f t="array" ref="J103">IFERROR(INDEX('Temp Hisfa'!J$3:J$200, SMALL(IF(ISERROR('Temp Hisfa'!J$3:J$200), "", ROW('Temp Hisfa'!J$3:J$200)-MIN(ROW('Temp Hisfa'!J$3:J$200))+1), ROW(101:300))),"")</f>
        <v>0</v>
      </c>
      <c r="K103" s="30">
        <f t="array" ref="K103">IFERROR(INDEX('Temp Hisfa'!K$3:K$200, SMALL(IF(ISERROR('Temp Hisfa'!K$3:K$200), "", ROW('Temp Hisfa'!K$3:K$200)-MIN(ROW('Temp Hisfa'!K$3:K$200))+1), ROW(101:300))),"")</f>
        <v>0</v>
      </c>
      <c r="L103" s="22">
        <f t="array" ref="L103">IFERROR(INDEX('Temp Hisfa'!L$3:L$200, SMALL(IF(ISERROR('Temp Hisfa'!L$3:L$200), "", ROW('Temp Hisfa'!L$3:L$200)-MIN(ROW('Temp Hisfa'!L$3:L$200))+1), ROW(101:300))),"")</f>
        <v>0</v>
      </c>
      <c r="M103" s="22">
        <f t="array" ref="M103">IFERROR(INDEX('Temp Hisfa'!M$3:M$200, SMALL(IF(ISERROR('Temp Hisfa'!M$3:M$200), "", ROW('Temp Hisfa'!M$3:M$200)-MIN(ROW('Temp Hisfa'!M$3:M$200))+1), ROW(101:300))),"")</f>
        <v>0</v>
      </c>
      <c r="N103" s="22">
        <f t="array" ref="N103">IFERROR(INDEX('Temp Hisfa'!N$3:N$200, SMALL(IF(ISERROR('Temp Hisfa'!N$3:N$200), "", ROW('Temp Hisfa'!N$3:N$200)-MIN(ROW('Temp Hisfa'!N$3:N$200))+1), ROW(101:300))),"")</f>
        <v>1900</v>
      </c>
      <c r="O103" s="22" t="str">
        <f t="array" ref="O103">IFERROR(INDEX('Temp Hisfa'!O$3:O$200, SMALL(IF(ISERROR('Temp Hisfa'!O$3:O$200), "", ROW('Temp Hisfa'!O$3:O$200)-MIN(ROW('Temp Hisfa'!O$3:O$200))+1), ROW(101:300))),"")</f>
        <v>enero</v>
      </c>
      <c r="P103" s="22">
        <f t="array" ref="P103">IFERROR(INDEX('Temp Hisfa'!P$3:P$200, SMALL(IF(ISERROR('Temp Hisfa'!P$3:P$200), "", ROW('Temp Hisfa'!P$3:P$200)-MIN(ROW('Temp Hisfa'!P$3:P$200))+1), ROW(101:300))),"")</f>
        <v>0</v>
      </c>
      <c r="Q103" s="22">
        <f t="array" ref="Q103">IFERROR(INDEX('Temp Hisfa'!Q$3:Q$200, SMALL(IF(ISERROR('Temp Hisfa'!Q$3:Q$200), "", ROW('Temp Hisfa'!Q$3:Q$200)-MIN(ROW('Temp Hisfa'!Q$3:Q$200))+1), ROW(101:300))),"")</f>
        <v>0</v>
      </c>
      <c r="R103" s="22">
        <f t="array" ref="R103">IFERROR(INDEX('Temp Hisfa'!R$3:R$200, SMALL(IF(ISERROR('Temp Hisfa'!R$3:R$200), "", ROW('Temp Hisfa'!R$3:R$200)-MIN(ROW('Temp Hisfa'!R$3:R$200))+1), ROW(101:300))),"")</f>
        <v>0</v>
      </c>
      <c r="S103" s="22">
        <f t="array" ref="S103">IFERROR(INDEX('Temp Hisfa'!S$3:S$200, SMALL(IF(ISERROR('Temp Hisfa'!S$3:S$200), "", ROW('Temp Hisfa'!S$3:S$200)-MIN(ROW('Temp Hisfa'!S$3:S$200))+1), ROW(101:300))),"")</f>
        <v>0</v>
      </c>
      <c r="T103" s="22">
        <f t="array" ref="T103">IFERROR(INDEX('Temp Hisfa'!T$3:T$200, SMALL(IF(ISERROR('Temp Hisfa'!T$3:T$200), "", ROW('Temp Hisfa'!T$3:T$200)-MIN(ROW('Temp Hisfa'!T$3:T$200))+1), ROW(101:300))),"")</f>
        <v>0</v>
      </c>
      <c r="U103" s="22">
        <f t="array" ref="U103">IFERROR(INDEX('Temp Hisfa'!U$3:U$200, SMALL(IF(ISERROR('Temp Hisfa'!U$3:U$200), "", ROW('Temp Hisfa'!U$3:U$200)-MIN(ROW('Temp Hisfa'!U$3:U$200))+1), ROW(101:300))),"")</f>
        <v>0</v>
      </c>
      <c r="V103" s="22">
        <f t="array" ref="V103">IFERROR(INDEX('Temp Hisfa'!V$3:V$200, SMALL(IF(ISERROR('Temp Hisfa'!V$3:V$200), "", ROW('Temp Hisfa'!V$3:V$200)-MIN(ROW('Temp Hisfa'!V$3:V$200))+1), ROW(101:300))),"")</f>
        <v>0</v>
      </c>
      <c r="W103" s="22">
        <f t="array" ref="W103">IFERROR(INDEX('Temp Hisfa'!W$3:W$200, SMALL(IF(ISERROR('Temp Hisfa'!W$3:W$200), "", ROW('Temp Hisfa'!W$3:W$200)-MIN(ROW('Temp Hisfa'!W$3:W$200))+1), ROW(101:300))),"")</f>
        <v>0</v>
      </c>
      <c r="X103" s="22">
        <f t="array" ref="X103">IFERROR(INDEX('Temp Hisfa'!X$3:X$200, SMALL(IF(ISERROR('Temp Hisfa'!X$3:X$200), "", ROW('Temp Hisfa'!X$3:X$200)-MIN(ROW('Temp Hisfa'!X$3:X$200))+1), ROW(101:300))),"")</f>
        <v>0</v>
      </c>
      <c r="Y103" s="22">
        <f t="array" ref="Y103">IFERROR(INDEX('Temp Hisfa'!Y$3:Y$200, SMALL(IF(ISERROR('Temp Hisfa'!Y$3:Y$200), "", ROW('Temp Hisfa'!Y$3:Y$200)-MIN(ROW('Temp Hisfa'!Y$3:Y$200))+1), ROW(101:300))),"")</f>
        <v>0</v>
      </c>
      <c r="Z103" s="22">
        <f t="array" ref="Z103">IFERROR(INDEX('Temp Hisfa'!Z$3:Z$200, SMALL(IF(ISERROR('Temp Hisfa'!Z$3:Z$200), "", ROW('Temp Hisfa'!Z$3:Z$200)-MIN(ROW('Temp Hisfa'!Z$3:Z$200))+1), ROW(101:300))),"")</f>
        <v>0</v>
      </c>
      <c r="AA103" s="22">
        <f t="array" ref="AA103">IFERROR(INDEX('Temp Hisfa'!AA$3:AA$200, SMALL(IF(ISERROR('Temp Hisfa'!AA$3:AA$200), "", ROW('Temp Hisfa'!AA$3:AA$200)-MIN(ROW('Temp Hisfa'!AA$3:AA$200))+1), ROW(101:300))),"")</f>
        <v>0</v>
      </c>
      <c r="AB103" s="22">
        <f t="array" ref="AB103">IFERROR(INDEX('Temp Hisfa'!AB$3:AB$200, SMALL(IF(ISERROR('Temp Hisfa'!AB$3:AB$200), "", ROW('Temp Hisfa'!AB$3:AB$200)-MIN(ROW('Temp Hisfa'!AB$3:AB$200))+1), ROW(101:300))),"")</f>
        <v>0</v>
      </c>
    </row>
    <row r="104" spans="1:28" x14ac:dyDescent="0.3">
      <c r="A104" s="4">
        <f t="array" ref="A104">IFERROR(INDEX('Temp Hisfa'!A$3:A$200, SMALL(IF(ISERROR('Temp Hisfa'!A$3:A$200), "", ROW('Temp Hisfa'!A$3:A$200)-MIN(ROW('Temp Hisfa'!A$3:A$200))+1), ROW(102:300))),"")</f>
        <v>0</v>
      </c>
      <c r="B104" s="4">
        <f t="array" ref="B104">IFERROR(INDEX('Temp Hisfa'!B$3:B$200, SMALL(IF(ISERROR('Temp Hisfa'!B$3:B$200), "", ROW('Temp Hisfa'!B$3:B$200)-MIN(ROW('Temp Hisfa'!B$3:B$200))+1), ROW(102:300))),"")</f>
        <v>0</v>
      </c>
      <c r="C104" s="3">
        <f t="array" ref="C104">IFERROR(INDEX('Temp Hisfa'!C$3:C$200, SMALL(IF(ISERROR('Temp Hisfa'!C$3:C$200), "", ROW('Temp Hisfa'!C$3:C$200)-MIN(ROW('Temp Hisfa'!C$3:C$200))+1), ROW(102:300))),"")</f>
        <v>0</v>
      </c>
      <c r="D104" s="3">
        <f t="array" ref="D104">IFERROR(INDEX('Temp Hisfa'!D$3:D$200, SMALL(IF(ISERROR('Temp Hisfa'!D$3:D$200), "", ROW('Temp Hisfa'!D$3:D$200)-MIN(ROW('Temp Hisfa'!D$3:D$200))+1), ROW(102:300))),"")</f>
        <v>0</v>
      </c>
      <c r="E104" s="29">
        <f t="array" ref="E104">IFERROR(INDEX('Temp Hisfa'!E$3:E$200, SMALL(IF(ISERROR('Temp Hisfa'!E$3:E$200), "", ROW('Temp Hisfa'!E$3:E$200)-MIN(ROW('Temp Hisfa'!E$3:E$200))+1), ROW(102:301))),"")</f>
        <v>0</v>
      </c>
      <c r="F104" s="22" t="str">
        <f t="array" ref="F104">IFERROR(INDEX('Temp Hisfa'!F$3:F$200, SMALL(IF(ISERROR('Temp Hisfa'!F$3:F$200), "", ROW('Temp Hisfa'!F$3:F$200)-MIN(ROW('Temp Hisfa'!F$3:F$200))+1), ROW(102:301))),"")</f>
        <v/>
      </c>
      <c r="G104" s="30">
        <f t="array" ref="G104">IFERROR(INDEX('Temp Hisfa'!G$3:G$200, SMALL(IF(ISERROR('Temp Hisfa'!G$3:G$200), "", ROW('Temp Hisfa'!G$3:G$200)-MIN(ROW('Temp Hisfa'!G$3:G$200))+1), ROW(102:301))),"")</f>
        <v>0</v>
      </c>
      <c r="H104" s="22" t="str">
        <f t="array" ref="H104">IFERROR(INDEX('Temp Hisfa'!H$3:H$200, SMALL(IF(ISERROR('Temp Hisfa'!H$3:H$200), "", ROW('Temp Hisfa'!H$3:H$200)-MIN(ROW('Temp Hisfa'!H$3:H$200))+1), ROW(102:301))),"")</f>
        <v/>
      </c>
      <c r="I104" s="22">
        <f t="array" ref="I104">IFERROR(INDEX('Temp Hisfa'!I$3:I$200, SMALL(IF(ISERROR('Temp Hisfa'!I$3:I$200), "", ROW('Temp Hisfa'!I$3:I$200)-MIN(ROW('Temp Hisfa'!I$3:I$200))+1), ROW(102:301))),"")</f>
        <v>0</v>
      </c>
      <c r="J104" s="22">
        <f t="array" ref="J104">IFERROR(INDEX('Temp Hisfa'!J$3:J$200, SMALL(IF(ISERROR('Temp Hisfa'!J$3:J$200), "", ROW('Temp Hisfa'!J$3:J$200)-MIN(ROW('Temp Hisfa'!J$3:J$200))+1), ROW(102:301))),"")</f>
        <v>0</v>
      </c>
      <c r="K104" s="30">
        <f t="array" ref="K104">IFERROR(INDEX('Temp Hisfa'!K$3:K$200, SMALL(IF(ISERROR('Temp Hisfa'!K$3:K$200), "", ROW('Temp Hisfa'!K$3:K$200)-MIN(ROW('Temp Hisfa'!K$3:K$200))+1), ROW(102:301))),"")</f>
        <v>0</v>
      </c>
      <c r="L104" s="22">
        <f t="array" ref="L104">IFERROR(INDEX('Temp Hisfa'!L$3:L$200, SMALL(IF(ISERROR('Temp Hisfa'!L$3:L$200), "", ROW('Temp Hisfa'!L$3:L$200)-MIN(ROW('Temp Hisfa'!L$3:L$200))+1), ROW(102:301))),"")</f>
        <v>0</v>
      </c>
      <c r="M104" s="22">
        <f t="array" ref="M104">IFERROR(INDEX('Temp Hisfa'!M$3:M$200, SMALL(IF(ISERROR('Temp Hisfa'!M$3:M$200), "", ROW('Temp Hisfa'!M$3:M$200)-MIN(ROW('Temp Hisfa'!M$3:M$200))+1), ROW(102:301))),"")</f>
        <v>0</v>
      </c>
      <c r="N104" s="22">
        <f t="array" ref="N104">IFERROR(INDEX('Temp Hisfa'!N$3:N$200, SMALL(IF(ISERROR('Temp Hisfa'!N$3:N$200), "", ROW('Temp Hisfa'!N$3:N$200)-MIN(ROW('Temp Hisfa'!N$3:N$200))+1), ROW(102:301))),"")</f>
        <v>1900</v>
      </c>
      <c r="O104" s="22" t="str">
        <f t="array" ref="O104">IFERROR(INDEX('Temp Hisfa'!O$3:O$200, SMALL(IF(ISERROR('Temp Hisfa'!O$3:O$200), "", ROW('Temp Hisfa'!O$3:O$200)-MIN(ROW('Temp Hisfa'!O$3:O$200))+1), ROW(102:301))),"")</f>
        <v>enero</v>
      </c>
      <c r="P104" s="22">
        <f t="array" ref="P104">IFERROR(INDEX('Temp Hisfa'!P$3:P$200, SMALL(IF(ISERROR('Temp Hisfa'!P$3:P$200), "", ROW('Temp Hisfa'!P$3:P$200)-MIN(ROW('Temp Hisfa'!P$3:P$200))+1), ROW(102:301))),"")</f>
        <v>0</v>
      </c>
      <c r="Q104" s="22">
        <f t="array" ref="Q104">IFERROR(INDEX('Temp Hisfa'!Q$3:Q$200, SMALL(IF(ISERROR('Temp Hisfa'!Q$3:Q$200), "", ROW('Temp Hisfa'!Q$3:Q$200)-MIN(ROW('Temp Hisfa'!Q$3:Q$200))+1), ROW(102:301))),"")</f>
        <v>0</v>
      </c>
      <c r="R104" s="22">
        <f t="array" ref="R104">IFERROR(INDEX('Temp Hisfa'!R$3:R$200, SMALL(IF(ISERROR('Temp Hisfa'!R$3:R$200), "", ROW('Temp Hisfa'!R$3:R$200)-MIN(ROW('Temp Hisfa'!R$3:R$200))+1), ROW(102:301))),"")</f>
        <v>0</v>
      </c>
      <c r="S104" s="22">
        <f t="array" ref="S104">IFERROR(INDEX('Temp Hisfa'!S$3:S$200, SMALL(IF(ISERROR('Temp Hisfa'!S$3:S$200), "", ROW('Temp Hisfa'!S$3:S$200)-MIN(ROW('Temp Hisfa'!S$3:S$200))+1), ROW(102:301))),"")</f>
        <v>0</v>
      </c>
      <c r="T104" s="22">
        <f t="array" ref="T104">IFERROR(INDEX('Temp Hisfa'!T$3:T$200, SMALL(IF(ISERROR('Temp Hisfa'!T$3:T$200), "", ROW('Temp Hisfa'!T$3:T$200)-MIN(ROW('Temp Hisfa'!T$3:T$200))+1), ROW(102:301))),"")</f>
        <v>0</v>
      </c>
      <c r="U104" s="22">
        <f t="array" ref="U104">IFERROR(INDEX('Temp Hisfa'!U$3:U$200, SMALL(IF(ISERROR('Temp Hisfa'!U$3:U$200), "", ROW('Temp Hisfa'!U$3:U$200)-MIN(ROW('Temp Hisfa'!U$3:U$200))+1), ROW(102:301))),"")</f>
        <v>0</v>
      </c>
      <c r="V104" s="22">
        <f t="array" ref="V104">IFERROR(INDEX('Temp Hisfa'!V$3:V$200, SMALL(IF(ISERROR('Temp Hisfa'!V$3:V$200), "", ROW('Temp Hisfa'!V$3:V$200)-MIN(ROW('Temp Hisfa'!V$3:V$200))+1), ROW(102:301))),"")</f>
        <v>0</v>
      </c>
      <c r="W104" s="22">
        <f t="array" ref="W104">IFERROR(INDEX('Temp Hisfa'!W$3:W$200, SMALL(IF(ISERROR('Temp Hisfa'!W$3:W$200), "", ROW('Temp Hisfa'!W$3:W$200)-MIN(ROW('Temp Hisfa'!W$3:W$200))+1), ROW(102:301))),"")</f>
        <v>0</v>
      </c>
      <c r="X104" s="22">
        <f t="array" ref="X104">IFERROR(INDEX('Temp Hisfa'!X$3:X$200, SMALL(IF(ISERROR('Temp Hisfa'!X$3:X$200), "", ROW('Temp Hisfa'!X$3:X$200)-MIN(ROW('Temp Hisfa'!X$3:X$200))+1), ROW(102:301))),"")</f>
        <v>0</v>
      </c>
      <c r="Y104" s="22">
        <f t="array" ref="Y104">IFERROR(INDEX('Temp Hisfa'!Y$3:Y$200, SMALL(IF(ISERROR('Temp Hisfa'!Y$3:Y$200), "", ROW('Temp Hisfa'!Y$3:Y$200)-MIN(ROW('Temp Hisfa'!Y$3:Y$200))+1), ROW(102:301))),"")</f>
        <v>0</v>
      </c>
      <c r="Z104" s="22">
        <f t="array" ref="Z104">IFERROR(INDEX('Temp Hisfa'!Z$3:Z$200, SMALL(IF(ISERROR('Temp Hisfa'!Z$3:Z$200), "", ROW('Temp Hisfa'!Z$3:Z$200)-MIN(ROW('Temp Hisfa'!Z$3:Z$200))+1), ROW(102:301))),"")</f>
        <v>0</v>
      </c>
      <c r="AA104" s="22">
        <f t="array" ref="AA104">IFERROR(INDEX('Temp Hisfa'!AA$3:AA$200, SMALL(IF(ISERROR('Temp Hisfa'!AA$3:AA$200), "", ROW('Temp Hisfa'!AA$3:AA$200)-MIN(ROW('Temp Hisfa'!AA$3:AA$200))+1), ROW(102:301))),"")</f>
        <v>0</v>
      </c>
      <c r="AB104" s="22">
        <f t="array" ref="AB104">IFERROR(INDEX('Temp Hisfa'!AB$3:AB$200, SMALL(IF(ISERROR('Temp Hisfa'!AB$3:AB$200), "", ROW('Temp Hisfa'!AB$3:AB$200)-MIN(ROW('Temp Hisfa'!AB$3:AB$200))+1), ROW(102:301))),"")</f>
        <v>0</v>
      </c>
    </row>
    <row r="105" spans="1:28" x14ac:dyDescent="0.3">
      <c r="A105" s="4">
        <f t="array" ref="A105">IFERROR(INDEX('Temp Hisfa'!A$3:A$200, SMALL(IF(ISERROR('Temp Hisfa'!A$3:A$200), "", ROW('Temp Hisfa'!A$3:A$200)-MIN(ROW('Temp Hisfa'!A$3:A$200))+1), ROW(103:301))),"")</f>
        <v>0</v>
      </c>
      <c r="B105" s="4">
        <f t="array" ref="B105">IFERROR(INDEX('Temp Hisfa'!B$3:B$200, SMALL(IF(ISERROR('Temp Hisfa'!B$3:B$200), "", ROW('Temp Hisfa'!B$3:B$200)-MIN(ROW('Temp Hisfa'!B$3:B$200))+1), ROW(103:301))),"")</f>
        <v>0</v>
      </c>
      <c r="C105" s="3">
        <f t="array" ref="C105">IFERROR(INDEX('Temp Hisfa'!C$3:C$200, SMALL(IF(ISERROR('Temp Hisfa'!C$3:C$200), "", ROW('Temp Hisfa'!C$3:C$200)-MIN(ROW('Temp Hisfa'!C$3:C$200))+1), ROW(103:301))),"")</f>
        <v>0</v>
      </c>
      <c r="D105" s="3">
        <f t="array" ref="D105">IFERROR(INDEX('Temp Hisfa'!D$3:D$200, SMALL(IF(ISERROR('Temp Hisfa'!D$3:D$200), "", ROW('Temp Hisfa'!D$3:D$200)-MIN(ROW('Temp Hisfa'!D$3:D$200))+1), ROW(103:301))),"")</f>
        <v>0</v>
      </c>
      <c r="E105" s="29">
        <f t="array" ref="E105">IFERROR(INDEX('Temp Hisfa'!E$3:E$200, SMALL(IF(ISERROR('Temp Hisfa'!E$3:E$200), "", ROW('Temp Hisfa'!E$3:E$200)-MIN(ROW('Temp Hisfa'!E$3:E$200))+1), ROW(103:302))),"")</f>
        <v>0</v>
      </c>
      <c r="F105" s="22" t="str">
        <f t="array" ref="F105">IFERROR(INDEX('Temp Hisfa'!F$3:F$200, SMALL(IF(ISERROR('Temp Hisfa'!F$3:F$200), "", ROW('Temp Hisfa'!F$3:F$200)-MIN(ROW('Temp Hisfa'!F$3:F$200))+1), ROW(103:302))),"")</f>
        <v/>
      </c>
      <c r="G105" s="30">
        <f t="array" ref="G105">IFERROR(INDEX('Temp Hisfa'!G$3:G$200, SMALL(IF(ISERROR('Temp Hisfa'!G$3:G$200), "", ROW('Temp Hisfa'!G$3:G$200)-MIN(ROW('Temp Hisfa'!G$3:G$200))+1), ROW(103:302))),"")</f>
        <v>0</v>
      </c>
      <c r="H105" s="22" t="str">
        <f t="array" ref="H105">IFERROR(INDEX('Temp Hisfa'!H$3:H$200, SMALL(IF(ISERROR('Temp Hisfa'!H$3:H$200), "", ROW('Temp Hisfa'!H$3:H$200)-MIN(ROW('Temp Hisfa'!H$3:H$200))+1), ROW(103:302))),"")</f>
        <v/>
      </c>
      <c r="I105" s="22">
        <f t="array" ref="I105">IFERROR(INDEX('Temp Hisfa'!I$3:I$200, SMALL(IF(ISERROR('Temp Hisfa'!I$3:I$200), "", ROW('Temp Hisfa'!I$3:I$200)-MIN(ROW('Temp Hisfa'!I$3:I$200))+1), ROW(103:302))),"")</f>
        <v>0</v>
      </c>
      <c r="J105" s="22">
        <f t="array" ref="J105">IFERROR(INDEX('Temp Hisfa'!J$3:J$200, SMALL(IF(ISERROR('Temp Hisfa'!J$3:J$200), "", ROW('Temp Hisfa'!J$3:J$200)-MIN(ROW('Temp Hisfa'!J$3:J$200))+1), ROW(103:302))),"")</f>
        <v>0</v>
      </c>
      <c r="K105" s="30">
        <f t="array" ref="K105">IFERROR(INDEX('Temp Hisfa'!K$3:K$200, SMALL(IF(ISERROR('Temp Hisfa'!K$3:K$200), "", ROW('Temp Hisfa'!K$3:K$200)-MIN(ROW('Temp Hisfa'!K$3:K$200))+1), ROW(103:302))),"")</f>
        <v>0</v>
      </c>
      <c r="L105" s="22">
        <f t="array" ref="L105">IFERROR(INDEX('Temp Hisfa'!L$3:L$200, SMALL(IF(ISERROR('Temp Hisfa'!L$3:L$200), "", ROW('Temp Hisfa'!L$3:L$200)-MIN(ROW('Temp Hisfa'!L$3:L$200))+1), ROW(103:302))),"")</f>
        <v>0</v>
      </c>
      <c r="M105" s="22">
        <f t="array" ref="M105">IFERROR(INDEX('Temp Hisfa'!M$3:M$200, SMALL(IF(ISERROR('Temp Hisfa'!M$3:M$200), "", ROW('Temp Hisfa'!M$3:M$200)-MIN(ROW('Temp Hisfa'!M$3:M$200))+1), ROW(103:302))),"")</f>
        <v>0</v>
      </c>
      <c r="N105" s="22">
        <f t="array" ref="N105">IFERROR(INDEX('Temp Hisfa'!N$3:N$200, SMALL(IF(ISERROR('Temp Hisfa'!N$3:N$200), "", ROW('Temp Hisfa'!N$3:N$200)-MIN(ROW('Temp Hisfa'!N$3:N$200))+1), ROW(103:302))),"")</f>
        <v>1900</v>
      </c>
      <c r="O105" s="22" t="str">
        <f t="array" ref="O105">IFERROR(INDEX('Temp Hisfa'!O$3:O$200, SMALL(IF(ISERROR('Temp Hisfa'!O$3:O$200), "", ROW('Temp Hisfa'!O$3:O$200)-MIN(ROW('Temp Hisfa'!O$3:O$200))+1), ROW(103:302))),"")</f>
        <v>enero</v>
      </c>
      <c r="P105" s="22">
        <f t="array" ref="P105">IFERROR(INDEX('Temp Hisfa'!P$3:P$200, SMALL(IF(ISERROR('Temp Hisfa'!P$3:P$200), "", ROW('Temp Hisfa'!P$3:P$200)-MIN(ROW('Temp Hisfa'!P$3:P$200))+1), ROW(103:302))),"")</f>
        <v>0</v>
      </c>
      <c r="Q105" s="22">
        <f t="array" ref="Q105">IFERROR(INDEX('Temp Hisfa'!Q$3:Q$200, SMALL(IF(ISERROR('Temp Hisfa'!Q$3:Q$200), "", ROW('Temp Hisfa'!Q$3:Q$200)-MIN(ROW('Temp Hisfa'!Q$3:Q$200))+1), ROW(103:302))),"")</f>
        <v>0</v>
      </c>
      <c r="R105" s="22">
        <f t="array" ref="R105">IFERROR(INDEX('Temp Hisfa'!R$3:R$200, SMALL(IF(ISERROR('Temp Hisfa'!R$3:R$200), "", ROW('Temp Hisfa'!R$3:R$200)-MIN(ROW('Temp Hisfa'!R$3:R$200))+1), ROW(103:302))),"")</f>
        <v>0</v>
      </c>
      <c r="S105" s="22">
        <f t="array" ref="S105">IFERROR(INDEX('Temp Hisfa'!S$3:S$200, SMALL(IF(ISERROR('Temp Hisfa'!S$3:S$200), "", ROW('Temp Hisfa'!S$3:S$200)-MIN(ROW('Temp Hisfa'!S$3:S$200))+1), ROW(103:302))),"")</f>
        <v>0</v>
      </c>
      <c r="T105" s="22">
        <f t="array" ref="T105">IFERROR(INDEX('Temp Hisfa'!T$3:T$200, SMALL(IF(ISERROR('Temp Hisfa'!T$3:T$200), "", ROW('Temp Hisfa'!T$3:T$200)-MIN(ROW('Temp Hisfa'!T$3:T$200))+1), ROW(103:302))),"")</f>
        <v>0</v>
      </c>
      <c r="U105" s="22">
        <f t="array" ref="U105">IFERROR(INDEX('Temp Hisfa'!U$3:U$200, SMALL(IF(ISERROR('Temp Hisfa'!U$3:U$200), "", ROW('Temp Hisfa'!U$3:U$200)-MIN(ROW('Temp Hisfa'!U$3:U$200))+1), ROW(103:302))),"")</f>
        <v>0</v>
      </c>
      <c r="V105" s="22">
        <f t="array" ref="V105">IFERROR(INDEX('Temp Hisfa'!V$3:V$200, SMALL(IF(ISERROR('Temp Hisfa'!V$3:V$200), "", ROW('Temp Hisfa'!V$3:V$200)-MIN(ROW('Temp Hisfa'!V$3:V$200))+1), ROW(103:302))),"")</f>
        <v>0</v>
      </c>
      <c r="W105" s="22">
        <f t="array" ref="W105">IFERROR(INDEX('Temp Hisfa'!W$3:W$200, SMALL(IF(ISERROR('Temp Hisfa'!W$3:W$200), "", ROW('Temp Hisfa'!W$3:W$200)-MIN(ROW('Temp Hisfa'!W$3:W$200))+1), ROW(103:302))),"")</f>
        <v>0</v>
      </c>
      <c r="X105" s="22">
        <f t="array" ref="X105">IFERROR(INDEX('Temp Hisfa'!X$3:X$200, SMALL(IF(ISERROR('Temp Hisfa'!X$3:X$200), "", ROW('Temp Hisfa'!X$3:X$200)-MIN(ROW('Temp Hisfa'!X$3:X$200))+1), ROW(103:302))),"")</f>
        <v>0</v>
      </c>
      <c r="Y105" s="22">
        <f t="array" ref="Y105">IFERROR(INDEX('Temp Hisfa'!Y$3:Y$200, SMALL(IF(ISERROR('Temp Hisfa'!Y$3:Y$200), "", ROW('Temp Hisfa'!Y$3:Y$200)-MIN(ROW('Temp Hisfa'!Y$3:Y$200))+1), ROW(103:302))),"")</f>
        <v>0</v>
      </c>
      <c r="Z105" s="22">
        <f t="array" ref="Z105">IFERROR(INDEX('Temp Hisfa'!Z$3:Z$200, SMALL(IF(ISERROR('Temp Hisfa'!Z$3:Z$200), "", ROW('Temp Hisfa'!Z$3:Z$200)-MIN(ROW('Temp Hisfa'!Z$3:Z$200))+1), ROW(103:302))),"")</f>
        <v>0</v>
      </c>
      <c r="AA105" s="22">
        <f t="array" ref="AA105">IFERROR(INDEX('Temp Hisfa'!AA$3:AA$200, SMALL(IF(ISERROR('Temp Hisfa'!AA$3:AA$200), "", ROW('Temp Hisfa'!AA$3:AA$200)-MIN(ROW('Temp Hisfa'!AA$3:AA$200))+1), ROW(103:302))),"")</f>
        <v>0</v>
      </c>
      <c r="AB105" s="22">
        <f t="array" ref="AB105">IFERROR(INDEX('Temp Hisfa'!AB$3:AB$200, SMALL(IF(ISERROR('Temp Hisfa'!AB$3:AB$200), "", ROW('Temp Hisfa'!AB$3:AB$200)-MIN(ROW('Temp Hisfa'!AB$3:AB$200))+1), ROW(103:302))),"")</f>
        <v>0</v>
      </c>
    </row>
    <row r="106" spans="1:28" x14ac:dyDescent="0.3">
      <c r="A106" s="4">
        <f t="array" ref="A106">IFERROR(INDEX('Temp Hisfa'!A$3:A$200, SMALL(IF(ISERROR('Temp Hisfa'!A$3:A$200), "", ROW('Temp Hisfa'!A$3:A$200)-MIN(ROW('Temp Hisfa'!A$3:A$200))+1), ROW(104:302))),"")</f>
        <v>0</v>
      </c>
      <c r="B106" s="4">
        <f t="array" ref="B106">IFERROR(INDEX('Temp Hisfa'!B$3:B$200, SMALL(IF(ISERROR('Temp Hisfa'!B$3:B$200), "", ROW('Temp Hisfa'!B$3:B$200)-MIN(ROW('Temp Hisfa'!B$3:B$200))+1), ROW(104:302))),"")</f>
        <v>0</v>
      </c>
      <c r="C106" s="3">
        <f t="array" ref="C106">IFERROR(INDEX('Temp Hisfa'!C$3:C$200, SMALL(IF(ISERROR('Temp Hisfa'!C$3:C$200), "", ROW('Temp Hisfa'!C$3:C$200)-MIN(ROW('Temp Hisfa'!C$3:C$200))+1), ROW(104:302))),"")</f>
        <v>0</v>
      </c>
      <c r="D106" s="3">
        <f t="array" ref="D106">IFERROR(INDEX('Temp Hisfa'!D$3:D$200, SMALL(IF(ISERROR('Temp Hisfa'!D$3:D$200), "", ROW('Temp Hisfa'!D$3:D$200)-MIN(ROW('Temp Hisfa'!D$3:D$200))+1), ROW(104:302))),"")</f>
        <v>0</v>
      </c>
      <c r="E106" s="29">
        <f t="array" ref="E106">IFERROR(INDEX('Temp Hisfa'!E$3:E$200, SMALL(IF(ISERROR('Temp Hisfa'!E$3:E$200), "", ROW('Temp Hisfa'!E$3:E$200)-MIN(ROW('Temp Hisfa'!E$3:E$200))+1), ROW(104:303))),"")</f>
        <v>0</v>
      </c>
      <c r="F106" s="22" t="str">
        <f t="array" ref="F106">IFERROR(INDEX('Temp Hisfa'!F$3:F$200, SMALL(IF(ISERROR('Temp Hisfa'!F$3:F$200), "", ROW('Temp Hisfa'!F$3:F$200)-MIN(ROW('Temp Hisfa'!F$3:F$200))+1), ROW(104:303))),"")</f>
        <v/>
      </c>
      <c r="G106" s="30">
        <f t="array" ref="G106">IFERROR(INDEX('Temp Hisfa'!G$3:G$200, SMALL(IF(ISERROR('Temp Hisfa'!G$3:G$200), "", ROW('Temp Hisfa'!G$3:G$200)-MIN(ROW('Temp Hisfa'!G$3:G$200))+1), ROW(104:303))),"")</f>
        <v>0</v>
      </c>
      <c r="H106" s="22" t="str">
        <f t="array" ref="H106">IFERROR(INDEX('Temp Hisfa'!H$3:H$200, SMALL(IF(ISERROR('Temp Hisfa'!H$3:H$200), "", ROW('Temp Hisfa'!H$3:H$200)-MIN(ROW('Temp Hisfa'!H$3:H$200))+1), ROW(104:303))),"")</f>
        <v/>
      </c>
      <c r="I106" s="22">
        <f t="array" ref="I106">IFERROR(INDEX('Temp Hisfa'!I$3:I$200, SMALL(IF(ISERROR('Temp Hisfa'!I$3:I$200), "", ROW('Temp Hisfa'!I$3:I$200)-MIN(ROW('Temp Hisfa'!I$3:I$200))+1), ROW(104:303))),"")</f>
        <v>0</v>
      </c>
      <c r="J106" s="22">
        <f t="array" ref="J106">IFERROR(INDEX('Temp Hisfa'!J$3:J$200, SMALL(IF(ISERROR('Temp Hisfa'!J$3:J$200), "", ROW('Temp Hisfa'!J$3:J$200)-MIN(ROW('Temp Hisfa'!J$3:J$200))+1), ROW(104:303))),"")</f>
        <v>0</v>
      </c>
      <c r="K106" s="30">
        <f t="array" ref="K106">IFERROR(INDEX('Temp Hisfa'!K$3:K$200, SMALL(IF(ISERROR('Temp Hisfa'!K$3:K$200), "", ROW('Temp Hisfa'!K$3:K$200)-MIN(ROW('Temp Hisfa'!K$3:K$200))+1), ROW(104:303))),"")</f>
        <v>0</v>
      </c>
      <c r="L106" s="22">
        <f t="array" ref="L106">IFERROR(INDEX('Temp Hisfa'!L$3:L$200, SMALL(IF(ISERROR('Temp Hisfa'!L$3:L$200), "", ROW('Temp Hisfa'!L$3:L$200)-MIN(ROW('Temp Hisfa'!L$3:L$200))+1), ROW(104:303))),"")</f>
        <v>0</v>
      </c>
      <c r="M106" s="22">
        <f t="array" ref="M106">IFERROR(INDEX('Temp Hisfa'!M$3:M$200, SMALL(IF(ISERROR('Temp Hisfa'!M$3:M$200), "", ROW('Temp Hisfa'!M$3:M$200)-MIN(ROW('Temp Hisfa'!M$3:M$200))+1), ROW(104:303))),"")</f>
        <v>0</v>
      </c>
      <c r="N106" s="22">
        <f t="array" ref="N106">IFERROR(INDEX('Temp Hisfa'!N$3:N$200, SMALL(IF(ISERROR('Temp Hisfa'!N$3:N$200), "", ROW('Temp Hisfa'!N$3:N$200)-MIN(ROW('Temp Hisfa'!N$3:N$200))+1), ROW(104:303))),"")</f>
        <v>1900</v>
      </c>
      <c r="O106" s="22" t="str">
        <f t="array" ref="O106">IFERROR(INDEX('Temp Hisfa'!O$3:O$200, SMALL(IF(ISERROR('Temp Hisfa'!O$3:O$200), "", ROW('Temp Hisfa'!O$3:O$200)-MIN(ROW('Temp Hisfa'!O$3:O$200))+1), ROW(104:303))),"")</f>
        <v>enero</v>
      </c>
      <c r="P106" s="22">
        <f t="array" ref="P106">IFERROR(INDEX('Temp Hisfa'!P$3:P$200, SMALL(IF(ISERROR('Temp Hisfa'!P$3:P$200), "", ROW('Temp Hisfa'!P$3:P$200)-MIN(ROW('Temp Hisfa'!P$3:P$200))+1), ROW(104:303))),"")</f>
        <v>0</v>
      </c>
      <c r="Q106" s="22">
        <f t="array" ref="Q106">IFERROR(INDEX('Temp Hisfa'!Q$3:Q$200, SMALL(IF(ISERROR('Temp Hisfa'!Q$3:Q$200), "", ROW('Temp Hisfa'!Q$3:Q$200)-MIN(ROW('Temp Hisfa'!Q$3:Q$200))+1), ROW(104:303))),"")</f>
        <v>0</v>
      </c>
      <c r="R106" s="22">
        <f t="array" ref="R106">IFERROR(INDEX('Temp Hisfa'!R$3:R$200, SMALL(IF(ISERROR('Temp Hisfa'!R$3:R$200), "", ROW('Temp Hisfa'!R$3:R$200)-MIN(ROW('Temp Hisfa'!R$3:R$200))+1), ROW(104:303))),"")</f>
        <v>0</v>
      </c>
      <c r="S106" s="22">
        <f t="array" ref="S106">IFERROR(INDEX('Temp Hisfa'!S$3:S$200, SMALL(IF(ISERROR('Temp Hisfa'!S$3:S$200), "", ROW('Temp Hisfa'!S$3:S$200)-MIN(ROW('Temp Hisfa'!S$3:S$200))+1), ROW(104:303))),"")</f>
        <v>0</v>
      </c>
      <c r="T106" s="22">
        <f t="array" ref="T106">IFERROR(INDEX('Temp Hisfa'!T$3:T$200, SMALL(IF(ISERROR('Temp Hisfa'!T$3:T$200), "", ROW('Temp Hisfa'!T$3:T$200)-MIN(ROW('Temp Hisfa'!T$3:T$200))+1), ROW(104:303))),"")</f>
        <v>0</v>
      </c>
      <c r="U106" s="22">
        <f t="array" ref="U106">IFERROR(INDEX('Temp Hisfa'!U$3:U$200, SMALL(IF(ISERROR('Temp Hisfa'!U$3:U$200), "", ROW('Temp Hisfa'!U$3:U$200)-MIN(ROW('Temp Hisfa'!U$3:U$200))+1), ROW(104:303))),"")</f>
        <v>0</v>
      </c>
      <c r="V106" s="22">
        <f t="array" ref="V106">IFERROR(INDEX('Temp Hisfa'!V$3:V$200, SMALL(IF(ISERROR('Temp Hisfa'!V$3:V$200), "", ROW('Temp Hisfa'!V$3:V$200)-MIN(ROW('Temp Hisfa'!V$3:V$200))+1), ROW(104:303))),"")</f>
        <v>0</v>
      </c>
      <c r="W106" s="22">
        <f t="array" ref="W106">IFERROR(INDEX('Temp Hisfa'!W$3:W$200, SMALL(IF(ISERROR('Temp Hisfa'!W$3:W$200), "", ROW('Temp Hisfa'!W$3:W$200)-MIN(ROW('Temp Hisfa'!W$3:W$200))+1), ROW(104:303))),"")</f>
        <v>0</v>
      </c>
      <c r="X106" s="22">
        <f t="array" ref="X106">IFERROR(INDEX('Temp Hisfa'!X$3:X$200, SMALL(IF(ISERROR('Temp Hisfa'!X$3:X$200), "", ROW('Temp Hisfa'!X$3:X$200)-MIN(ROW('Temp Hisfa'!X$3:X$200))+1), ROW(104:303))),"")</f>
        <v>0</v>
      </c>
      <c r="Y106" s="22">
        <f t="array" ref="Y106">IFERROR(INDEX('Temp Hisfa'!Y$3:Y$200, SMALL(IF(ISERROR('Temp Hisfa'!Y$3:Y$200), "", ROW('Temp Hisfa'!Y$3:Y$200)-MIN(ROW('Temp Hisfa'!Y$3:Y$200))+1), ROW(104:303))),"")</f>
        <v>0</v>
      </c>
      <c r="Z106" s="22">
        <f t="array" ref="Z106">IFERROR(INDEX('Temp Hisfa'!Z$3:Z$200, SMALL(IF(ISERROR('Temp Hisfa'!Z$3:Z$200), "", ROW('Temp Hisfa'!Z$3:Z$200)-MIN(ROW('Temp Hisfa'!Z$3:Z$200))+1), ROW(104:303))),"")</f>
        <v>0</v>
      </c>
      <c r="AA106" s="22">
        <f t="array" ref="AA106">IFERROR(INDEX('Temp Hisfa'!AA$3:AA$200, SMALL(IF(ISERROR('Temp Hisfa'!AA$3:AA$200), "", ROW('Temp Hisfa'!AA$3:AA$200)-MIN(ROW('Temp Hisfa'!AA$3:AA$200))+1), ROW(104:303))),"")</f>
        <v>0</v>
      </c>
      <c r="AB106" s="22">
        <f t="array" ref="AB106">IFERROR(INDEX('Temp Hisfa'!AB$3:AB$200, SMALL(IF(ISERROR('Temp Hisfa'!AB$3:AB$200), "", ROW('Temp Hisfa'!AB$3:AB$200)-MIN(ROW('Temp Hisfa'!AB$3:AB$200))+1), ROW(104:303))),"")</f>
        <v>0</v>
      </c>
    </row>
    <row r="107" spans="1:28" x14ac:dyDescent="0.3">
      <c r="A107" s="4">
        <f t="array" ref="A107">IFERROR(INDEX('Temp Hisfa'!A$3:A$200, SMALL(IF(ISERROR('Temp Hisfa'!A$3:A$200), "", ROW('Temp Hisfa'!A$3:A$200)-MIN(ROW('Temp Hisfa'!A$3:A$200))+1), ROW(105:303))),"")</f>
        <v>0</v>
      </c>
      <c r="B107" s="4">
        <f t="array" ref="B107">IFERROR(INDEX('Temp Hisfa'!B$3:B$200, SMALL(IF(ISERROR('Temp Hisfa'!B$3:B$200), "", ROW('Temp Hisfa'!B$3:B$200)-MIN(ROW('Temp Hisfa'!B$3:B$200))+1), ROW(105:303))),"")</f>
        <v>0</v>
      </c>
      <c r="C107" s="3">
        <f t="array" ref="C107">IFERROR(INDEX('Temp Hisfa'!C$3:C$200, SMALL(IF(ISERROR('Temp Hisfa'!C$3:C$200), "", ROW('Temp Hisfa'!C$3:C$200)-MIN(ROW('Temp Hisfa'!C$3:C$200))+1), ROW(105:303))),"")</f>
        <v>0</v>
      </c>
      <c r="D107" s="3">
        <f t="array" ref="D107">IFERROR(INDEX('Temp Hisfa'!D$3:D$200, SMALL(IF(ISERROR('Temp Hisfa'!D$3:D$200), "", ROW('Temp Hisfa'!D$3:D$200)-MIN(ROW('Temp Hisfa'!D$3:D$200))+1), ROW(105:303))),"")</f>
        <v>0</v>
      </c>
      <c r="E107" s="29">
        <f t="array" ref="E107">IFERROR(INDEX('Temp Hisfa'!E$3:E$200, SMALL(IF(ISERROR('Temp Hisfa'!E$3:E$200), "", ROW('Temp Hisfa'!E$3:E$200)-MIN(ROW('Temp Hisfa'!E$3:E$200))+1), ROW(105:304))),"")</f>
        <v>0</v>
      </c>
      <c r="F107" s="22" t="str">
        <f t="array" ref="F107">IFERROR(INDEX('Temp Hisfa'!F$3:F$200, SMALL(IF(ISERROR('Temp Hisfa'!F$3:F$200), "", ROW('Temp Hisfa'!F$3:F$200)-MIN(ROW('Temp Hisfa'!F$3:F$200))+1), ROW(105:304))),"")</f>
        <v/>
      </c>
      <c r="G107" s="30">
        <f t="array" ref="G107">IFERROR(INDEX('Temp Hisfa'!G$3:G$200, SMALL(IF(ISERROR('Temp Hisfa'!G$3:G$200), "", ROW('Temp Hisfa'!G$3:G$200)-MIN(ROW('Temp Hisfa'!G$3:G$200))+1), ROW(105:304))),"")</f>
        <v>0</v>
      </c>
      <c r="H107" s="22" t="str">
        <f t="array" ref="H107">IFERROR(INDEX('Temp Hisfa'!H$3:H$200, SMALL(IF(ISERROR('Temp Hisfa'!H$3:H$200), "", ROW('Temp Hisfa'!H$3:H$200)-MIN(ROW('Temp Hisfa'!H$3:H$200))+1), ROW(105:304))),"")</f>
        <v/>
      </c>
      <c r="I107" s="22">
        <f t="array" ref="I107">IFERROR(INDEX('Temp Hisfa'!I$3:I$200, SMALL(IF(ISERROR('Temp Hisfa'!I$3:I$200), "", ROW('Temp Hisfa'!I$3:I$200)-MIN(ROW('Temp Hisfa'!I$3:I$200))+1), ROW(105:304))),"")</f>
        <v>0</v>
      </c>
      <c r="J107" s="22">
        <f t="array" ref="J107">IFERROR(INDEX('Temp Hisfa'!J$3:J$200, SMALL(IF(ISERROR('Temp Hisfa'!J$3:J$200), "", ROW('Temp Hisfa'!J$3:J$200)-MIN(ROW('Temp Hisfa'!J$3:J$200))+1), ROW(105:304))),"")</f>
        <v>0</v>
      </c>
      <c r="K107" s="30">
        <f t="array" ref="K107">IFERROR(INDEX('Temp Hisfa'!K$3:K$200, SMALL(IF(ISERROR('Temp Hisfa'!K$3:K$200), "", ROW('Temp Hisfa'!K$3:K$200)-MIN(ROW('Temp Hisfa'!K$3:K$200))+1), ROW(105:304))),"")</f>
        <v>0</v>
      </c>
      <c r="L107" s="22">
        <f t="array" ref="L107">IFERROR(INDEX('Temp Hisfa'!L$3:L$200, SMALL(IF(ISERROR('Temp Hisfa'!L$3:L$200), "", ROW('Temp Hisfa'!L$3:L$200)-MIN(ROW('Temp Hisfa'!L$3:L$200))+1), ROW(105:304))),"")</f>
        <v>0</v>
      </c>
      <c r="M107" s="22">
        <f t="array" ref="M107">IFERROR(INDEX('Temp Hisfa'!M$3:M$200, SMALL(IF(ISERROR('Temp Hisfa'!M$3:M$200), "", ROW('Temp Hisfa'!M$3:M$200)-MIN(ROW('Temp Hisfa'!M$3:M$200))+1), ROW(105:304))),"")</f>
        <v>0</v>
      </c>
      <c r="N107" s="22">
        <f t="array" ref="N107">IFERROR(INDEX('Temp Hisfa'!N$3:N$200, SMALL(IF(ISERROR('Temp Hisfa'!N$3:N$200), "", ROW('Temp Hisfa'!N$3:N$200)-MIN(ROW('Temp Hisfa'!N$3:N$200))+1), ROW(105:304))),"")</f>
        <v>1900</v>
      </c>
      <c r="O107" s="22" t="str">
        <f t="array" ref="O107">IFERROR(INDEX('Temp Hisfa'!O$3:O$200, SMALL(IF(ISERROR('Temp Hisfa'!O$3:O$200), "", ROW('Temp Hisfa'!O$3:O$200)-MIN(ROW('Temp Hisfa'!O$3:O$200))+1), ROW(105:304))),"")</f>
        <v>enero</v>
      </c>
      <c r="P107" s="22">
        <f t="array" ref="P107">IFERROR(INDEX('Temp Hisfa'!P$3:P$200, SMALL(IF(ISERROR('Temp Hisfa'!P$3:P$200), "", ROW('Temp Hisfa'!P$3:P$200)-MIN(ROW('Temp Hisfa'!P$3:P$200))+1), ROW(105:304))),"")</f>
        <v>0</v>
      </c>
      <c r="Q107" s="22">
        <f t="array" ref="Q107">IFERROR(INDEX('Temp Hisfa'!Q$3:Q$200, SMALL(IF(ISERROR('Temp Hisfa'!Q$3:Q$200), "", ROW('Temp Hisfa'!Q$3:Q$200)-MIN(ROW('Temp Hisfa'!Q$3:Q$200))+1), ROW(105:304))),"")</f>
        <v>0</v>
      </c>
      <c r="R107" s="22">
        <f t="array" ref="R107">IFERROR(INDEX('Temp Hisfa'!R$3:R$200, SMALL(IF(ISERROR('Temp Hisfa'!R$3:R$200), "", ROW('Temp Hisfa'!R$3:R$200)-MIN(ROW('Temp Hisfa'!R$3:R$200))+1), ROW(105:304))),"")</f>
        <v>0</v>
      </c>
      <c r="S107" s="22">
        <f t="array" ref="S107">IFERROR(INDEX('Temp Hisfa'!S$3:S$200, SMALL(IF(ISERROR('Temp Hisfa'!S$3:S$200), "", ROW('Temp Hisfa'!S$3:S$200)-MIN(ROW('Temp Hisfa'!S$3:S$200))+1), ROW(105:304))),"")</f>
        <v>0</v>
      </c>
      <c r="T107" s="22">
        <f t="array" ref="T107">IFERROR(INDEX('Temp Hisfa'!T$3:T$200, SMALL(IF(ISERROR('Temp Hisfa'!T$3:T$200), "", ROW('Temp Hisfa'!T$3:T$200)-MIN(ROW('Temp Hisfa'!T$3:T$200))+1), ROW(105:304))),"")</f>
        <v>0</v>
      </c>
      <c r="U107" s="22">
        <f t="array" ref="U107">IFERROR(INDEX('Temp Hisfa'!U$3:U$200, SMALL(IF(ISERROR('Temp Hisfa'!U$3:U$200), "", ROW('Temp Hisfa'!U$3:U$200)-MIN(ROW('Temp Hisfa'!U$3:U$200))+1), ROW(105:304))),"")</f>
        <v>0</v>
      </c>
      <c r="V107" s="22">
        <f t="array" ref="V107">IFERROR(INDEX('Temp Hisfa'!V$3:V$200, SMALL(IF(ISERROR('Temp Hisfa'!V$3:V$200), "", ROW('Temp Hisfa'!V$3:V$200)-MIN(ROW('Temp Hisfa'!V$3:V$200))+1), ROW(105:304))),"")</f>
        <v>0</v>
      </c>
      <c r="W107" s="22">
        <f t="array" ref="W107">IFERROR(INDEX('Temp Hisfa'!W$3:W$200, SMALL(IF(ISERROR('Temp Hisfa'!W$3:W$200), "", ROW('Temp Hisfa'!W$3:W$200)-MIN(ROW('Temp Hisfa'!W$3:W$200))+1), ROW(105:304))),"")</f>
        <v>0</v>
      </c>
      <c r="X107" s="22">
        <f t="array" ref="X107">IFERROR(INDEX('Temp Hisfa'!X$3:X$200, SMALL(IF(ISERROR('Temp Hisfa'!X$3:X$200), "", ROW('Temp Hisfa'!X$3:X$200)-MIN(ROW('Temp Hisfa'!X$3:X$200))+1), ROW(105:304))),"")</f>
        <v>0</v>
      </c>
      <c r="Y107" s="22">
        <f t="array" ref="Y107">IFERROR(INDEX('Temp Hisfa'!Y$3:Y$200, SMALL(IF(ISERROR('Temp Hisfa'!Y$3:Y$200), "", ROW('Temp Hisfa'!Y$3:Y$200)-MIN(ROW('Temp Hisfa'!Y$3:Y$200))+1), ROW(105:304))),"")</f>
        <v>0</v>
      </c>
      <c r="Z107" s="22">
        <f t="array" ref="Z107">IFERROR(INDEX('Temp Hisfa'!Z$3:Z$200, SMALL(IF(ISERROR('Temp Hisfa'!Z$3:Z$200), "", ROW('Temp Hisfa'!Z$3:Z$200)-MIN(ROW('Temp Hisfa'!Z$3:Z$200))+1), ROW(105:304))),"")</f>
        <v>0</v>
      </c>
      <c r="AA107" s="22">
        <f t="array" ref="AA107">IFERROR(INDEX('Temp Hisfa'!AA$3:AA$200, SMALL(IF(ISERROR('Temp Hisfa'!AA$3:AA$200), "", ROW('Temp Hisfa'!AA$3:AA$200)-MIN(ROW('Temp Hisfa'!AA$3:AA$200))+1), ROW(105:304))),"")</f>
        <v>0</v>
      </c>
      <c r="AB107" s="22">
        <f t="array" ref="AB107">IFERROR(INDEX('Temp Hisfa'!AB$3:AB$200, SMALL(IF(ISERROR('Temp Hisfa'!AB$3:AB$200), "", ROW('Temp Hisfa'!AB$3:AB$200)-MIN(ROW('Temp Hisfa'!AB$3:AB$200))+1), ROW(105:304))),"")</f>
        <v>0</v>
      </c>
    </row>
    <row r="108" spans="1:28" x14ac:dyDescent="0.3">
      <c r="A108" s="4">
        <f t="array" ref="A108">IFERROR(INDEX('Temp Hisfa'!A$3:A$200, SMALL(IF(ISERROR('Temp Hisfa'!A$3:A$200), "", ROW('Temp Hisfa'!A$3:A$200)-MIN(ROW('Temp Hisfa'!A$3:A$200))+1), ROW(106:304))),"")</f>
        <v>0</v>
      </c>
      <c r="B108" s="4">
        <f t="array" ref="B108">IFERROR(INDEX('Temp Hisfa'!B$3:B$200, SMALL(IF(ISERROR('Temp Hisfa'!B$3:B$200), "", ROW('Temp Hisfa'!B$3:B$200)-MIN(ROW('Temp Hisfa'!B$3:B$200))+1), ROW(106:304))),"")</f>
        <v>0</v>
      </c>
      <c r="C108" s="3">
        <f t="array" ref="C108">IFERROR(INDEX('Temp Hisfa'!C$3:C$200, SMALL(IF(ISERROR('Temp Hisfa'!C$3:C$200), "", ROW('Temp Hisfa'!C$3:C$200)-MIN(ROW('Temp Hisfa'!C$3:C$200))+1), ROW(106:304))),"")</f>
        <v>0</v>
      </c>
      <c r="D108" s="3">
        <f t="array" ref="D108">IFERROR(INDEX('Temp Hisfa'!D$3:D$200, SMALL(IF(ISERROR('Temp Hisfa'!D$3:D$200), "", ROW('Temp Hisfa'!D$3:D$200)-MIN(ROW('Temp Hisfa'!D$3:D$200))+1), ROW(106:304))),"")</f>
        <v>0</v>
      </c>
      <c r="E108" s="29">
        <f t="array" ref="E108">IFERROR(INDEX('Temp Hisfa'!E$3:E$200, SMALL(IF(ISERROR('Temp Hisfa'!E$3:E$200), "", ROW('Temp Hisfa'!E$3:E$200)-MIN(ROW('Temp Hisfa'!E$3:E$200))+1), ROW(106:305))),"")</f>
        <v>0</v>
      </c>
      <c r="F108" s="22" t="str">
        <f t="array" ref="F108">IFERROR(INDEX('Temp Hisfa'!F$3:F$200, SMALL(IF(ISERROR('Temp Hisfa'!F$3:F$200), "", ROW('Temp Hisfa'!F$3:F$200)-MIN(ROW('Temp Hisfa'!F$3:F$200))+1), ROW(106:305))),"")</f>
        <v/>
      </c>
      <c r="G108" s="30">
        <f t="array" ref="G108">IFERROR(INDEX('Temp Hisfa'!G$3:G$200, SMALL(IF(ISERROR('Temp Hisfa'!G$3:G$200), "", ROW('Temp Hisfa'!G$3:G$200)-MIN(ROW('Temp Hisfa'!G$3:G$200))+1), ROW(106:305))),"")</f>
        <v>0</v>
      </c>
      <c r="H108" s="22" t="str">
        <f t="array" ref="H108">IFERROR(INDEX('Temp Hisfa'!H$3:H$200, SMALL(IF(ISERROR('Temp Hisfa'!H$3:H$200), "", ROW('Temp Hisfa'!H$3:H$200)-MIN(ROW('Temp Hisfa'!H$3:H$200))+1), ROW(106:305))),"")</f>
        <v/>
      </c>
      <c r="I108" s="22">
        <f t="array" ref="I108">IFERROR(INDEX('Temp Hisfa'!I$3:I$200, SMALL(IF(ISERROR('Temp Hisfa'!I$3:I$200), "", ROW('Temp Hisfa'!I$3:I$200)-MIN(ROW('Temp Hisfa'!I$3:I$200))+1), ROW(106:305))),"")</f>
        <v>0</v>
      </c>
      <c r="J108" s="22">
        <f t="array" ref="J108">IFERROR(INDEX('Temp Hisfa'!J$3:J$200, SMALL(IF(ISERROR('Temp Hisfa'!J$3:J$200), "", ROW('Temp Hisfa'!J$3:J$200)-MIN(ROW('Temp Hisfa'!J$3:J$200))+1), ROW(106:305))),"")</f>
        <v>0</v>
      </c>
      <c r="K108" s="30">
        <f t="array" ref="K108">IFERROR(INDEX('Temp Hisfa'!K$3:K$200, SMALL(IF(ISERROR('Temp Hisfa'!K$3:K$200), "", ROW('Temp Hisfa'!K$3:K$200)-MIN(ROW('Temp Hisfa'!K$3:K$200))+1), ROW(106:305))),"")</f>
        <v>0</v>
      </c>
      <c r="L108" s="22">
        <f t="array" ref="L108">IFERROR(INDEX('Temp Hisfa'!L$3:L$200, SMALL(IF(ISERROR('Temp Hisfa'!L$3:L$200), "", ROW('Temp Hisfa'!L$3:L$200)-MIN(ROW('Temp Hisfa'!L$3:L$200))+1), ROW(106:305))),"")</f>
        <v>0</v>
      </c>
      <c r="M108" s="22">
        <f t="array" ref="M108">IFERROR(INDEX('Temp Hisfa'!M$3:M$200, SMALL(IF(ISERROR('Temp Hisfa'!M$3:M$200), "", ROW('Temp Hisfa'!M$3:M$200)-MIN(ROW('Temp Hisfa'!M$3:M$200))+1), ROW(106:305))),"")</f>
        <v>0</v>
      </c>
      <c r="N108" s="22">
        <f t="array" ref="N108">IFERROR(INDEX('Temp Hisfa'!N$3:N$200, SMALL(IF(ISERROR('Temp Hisfa'!N$3:N$200), "", ROW('Temp Hisfa'!N$3:N$200)-MIN(ROW('Temp Hisfa'!N$3:N$200))+1), ROW(106:305))),"")</f>
        <v>1900</v>
      </c>
      <c r="O108" s="22" t="str">
        <f t="array" ref="O108">IFERROR(INDEX('Temp Hisfa'!O$3:O$200, SMALL(IF(ISERROR('Temp Hisfa'!O$3:O$200), "", ROW('Temp Hisfa'!O$3:O$200)-MIN(ROW('Temp Hisfa'!O$3:O$200))+1), ROW(106:305))),"")</f>
        <v>enero</v>
      </c>
      <c r="P108" s="22">
        <f t="array" ref="P108">IFERROR(INDEX('Temp Hisfa'!P$3:P$200, SMALL(IF(ISERROR('Temp Hisfa'!P$3:P$200), "", ROW('Temp Hisfa'!P$3:P$200)-MIN(ROW('Temp Hisfa'!P$3:P$200))+1), ROW(106:305))),"")</f>
        <v>0</v>
      </c>
      <c r="Q108" s="22">
        <f t="array" ref="Q108">IFERROR(INDEX('Temp Hisfa'!Q$3:Q$200, SMALL(IF(ISERROR('Temp Hisfa'!Q$3:Q$200), "", ROW('Temp Hisfa'!Q$3:Q$200)-MIN(ROW('Temp Hisfa'!Q$3:Q$200))+1), ROW(106:305))),"")</f>
        <v>0</v>
      </c>
      <c r="R108" s="22">
        <f t="array" ref="R108">IFERROR(INDEX('Temp Hisfa'!R$3:R$200, SMALL(IF(ISERROR('Temp Hisfa'!R$3:R$200), "", ROW('Temp Hisfa'!R$3:R$200)-MIN(ROW('Temp Hisfa'!R$3:R$200))+1), ROW(106:305))),"")</f>
        <v>0</v>
      </c>
      <c r="S108" s="22">
        <f t="array" ref="S108">IFERROR(INDEX('Temp Hisfa'!S$3:S$200, SMALL(IF(ISERROR('Temp Hisfa'!S$3:S$200), "", ROW('Temp Hisfa'!S$3:S$200)-MIN(ROW('Temp Hisfa'!S$3:S$200))+1), ROW(106:305))),"")</f>
        <v>0</v>
      </c>
      <c r="T108" s="22">
        <f t="array" ref="T108">IFERROR(INDEX('Temp Hisfa'!T$3:T$200, SMALL(IF(ISERROR('Temp Hisfa'!T$3:T$200), "", ROW('Temp Hisfa'!T$3:T$200)-MIN(ROW('Temp Hisfa'!T$3:T$200))+1), ROW(106:305))),"")</f>
        <v>0</v>
      </c>
      <c r="U108" s="22">
        <f t="array" ref="U108">IFERROR(INDEX('Temp Hisfa'!U$3:U$200, SMALL(IF(ISERROR('Temp Hisfa'!U$3:U$200), "", ROW('Temp Hisfa'!U$3:U$200)-MIN(ROW('Temp Hisfa'!U$3:U$200))+1), ROW(106:305))),"")</f>
        <v>0</v>
      </c>
      <c r="V108" s="22">
        <f t="array" ref="V108">IFERROR(INDEX('Temp Hisfa'!V$3:V$200, SMALL(IF(ISERROR('Temp Hisfa'!V$3:V$200), "", ROW('Temp Hisfa'!V$3:V$200)-MIN(ROW('Temp Hisfa'!V$3:V$200))+1), ROW(106:305))),"")</f>
        <v>0</v>
      </c>
      <c r="W108" s="22">
        <f t="array" ref="W108">IFERROR(INDEX('Temp Hisfa'!W$3:W$200, SMALL(IF(ISERROR('Temp Hisfa'!W$3:W$200), "", ROW('Temp Hisfa'!W$3:W$200)-MIN(ROW('Temp Hisfa'!W$3:W$200))+1), ROW(106:305))),"")</f>
        <v>0</v>
      </c>
      <c r="X108" s="22">
        <f t="array" ref="X108">IFERROR(INDEX('Temp Hisfa'!X$3:X$200, SMALL(IF(ISERROR('Temp Hisfa'!X$3:X$200), "", ROW('Temp Hisfa'!X$3:X$200)-MIN(ROW('Temp Hisfa'!X$3:X$200))+1), ROW(106:305))),"")</f>
        <v>0</v>
      </c>
      <c r="Y108" s="22">
        <f t="array" ref="Y108">IFERROR(INDEX('Temp Hisfa'!Y$3:Y$200, SMALL(IF(ISERROR('Temp Hisfa'!Y$3:Y$200), "", ROW('Temp Hisfa'!Y$3:Y$200)-MIN(ROW('Temp Hisfa'!Y$3:Y$200))+1), ROW(106:305))),"")</f>
        <v>0</v>
      </c>
      <c r="Z108" s="22">
        <f t="array" ref="Z108">IFERROR(INDEX('Temp Hisfa'!Z$3:Z$200, SMALL(IF(ISERROR('Temp Hisfa'!Z$3:Z$200), "", ROW('Temp Hisfa'!Z$3:Z$200)-MIN(ROW('Temp Hisfa'!Z$3:Z$200))+1), ROW(106:305))),"")</f>
        <v>0</v>
      </c>
      <c r="AA108" s="22">
        <f t="array" ref="AA108">IFERROR(INDEX('Temp Hisfa'!AA$3:AA$200, SMALL(IF(ISERROR('Temp Hisfa'!AA$3:AA$200), "", ROW('Temp Hisfa'!AA$3:AA$200)-MIN(ROW('Temp Hisfa'!AA$3:AA$200))+1), ROW(106:305))),"")</f>
        <v>0</v>
      </c>
      <c r="AB108" s="22">
        <f t="array" ref="AB108">IFERROR(INDEX('Temp Hisfa'!AB$3:AB$200, SMALL(IF(ISERROR('Temp Hisfa'!AB$3:AB$200), "", ROW('Temp Hisfa'!AB$3:AB$200)-MIN(ROW('Temp Hisfa'!AB$3:AB$200))+1), ROW(106:305))),"")</f>
        <v>0</v>
      </c>
    </row>
    <row r="109" spans="1:28" x14ac:dyDescent="0.3">
      <c r="A109" s="4">
        <f t="array" ref="A109">IFERROR(INDEX('Temp Hisfa'!A$3:A$200, SMALL(IF(ISERROR('Temp Hisfa'!A$3:A$200), "", ROW('Temp Hisfa'!A$3:A$200)-MIN(ROW('Temp Hisfa'!A$3:A$200))+1), ROW(107:305))),"")</f>
        <v>0</v>
      </c>
      <c r="B109" s="4">
        <f t="array" ref="B109">IFERROR(INDEX('Temp Hisfa'!B$3:B$200, SMALL(IF(ISERROR('Temp Hisfa'!B$3:B$200), "", ROW('Temp Hisfa'!B$3:B$200)-MIN(ROW('Temp Hisfa'!B$3:B$200))+1), ROW(107:305))),"")</f>
        <v>0</v>
      </c>
      <c r="C109" s="3">
        <f t="array" ref="C109">IFERROR(INDEX('Temp Hisfa'!C$3:C$200, SMALL(IF(ISERROR('Temp Hisfa'!C$3:C$200), "", ROW('Temp Hisfa'!C$3:C$200)-MIN(ROW('Temp Hisfa'!C$3:C$200))+1), ROW(107:305))),"")</f>
        <v>0</v>
      </c>
      <c r="D109" s="3">
        <f t="array" ref="D109">IFERROR(INDEX('Temp Hisfa'!D$3:D$200, SMALL(IF(ISERROR('Temp Hisfa'!D$3:D$200), "", ROW('Temp Hisfa'!D$3:D$200)-MIN(ROW('Temp Hisfa'!D$3:D$200))+1), ROW(107:305))),"")</f>
        <v>0</v>
      </c>
      <c r="E109" s="29">
        <f t="array" ref="E109">IFERROR(INDEX('Temp Hisfa'!E$3:E$200, SMALL(IF(ISERROR('Temp Hisfa'!E$3:E$200), "", ROW('Temp Hisfa'!E$3:E$200)-MIN(ROW('Temp Hisfa'!E$3:E$200))+1), ROW(107:306))),"")</f>
        <v>0</v>
      </c>
      <c r="F109" s="22" t="str">
        <f t="array" ref="F109">IFERROR(INDEX('Temp Hisfa'!F$3:F$200, SMALL(IF(ISERROR('Temp Hisfa'!F$3:F$200), "", ROW('Temp Hisfa'!F$3:F$200)-MIN(ROW('Temp Hisfa'!F$3:F$200))+1), ROW(107:306))),"")</f>
        <v/>
      </c>
      <c r="G109" s="30">
        <f t="array" ref="G109">IFERROR(INDEX('Temp Hisfa'!G$3:G$200, SMALL(IF(ISERROR('Temp Hisfa'!G$3:G$200), "", ROW('Temp Hisfa'!G$3:G$200)-MIN(ROW('Temp Hisfa'!G$3:G$200))+1), ROW(107:306))),"")</f>
        <v>0</v>
      </c>
      <c r="H109" s="22" t="str">
        <f t="array" ref="H109">IFERROR(INDEX('Temp Hisfa'!H$3:H$200, SMALL(IF(ISERROR('Temp Hisfa'!H$3:H$200), "", ROW('Temp Hisfa'!H$3:H$200)-MIN(ROW('Temp Hisfa'!H$3:H$200))+1), ROW(107:306))),"")</f>
        <v/>
      </c>
      <c r="I109" s="22">
        <f t="array" ref="I109">IFERROR(INDEX('Temp Hisfa'!I$3:I$200, SMALL(IF(ISERROR('Temp Hisfa'!I$3:I$200), "", ROW('Temp Hisfa'!I$3:I$200)-MIN(ROW('Temp Hisfa'!I$3:I$200))+1), ROW(107:306))),"")</f>
        <v>0</v>
      </c>
      <c r="J109" s="22">
        <f t="array" ref="J109">IFERROR(INDEX('Temp Hisfa'!J$3:J$200, SMALL(IF(ISERROR('Temp Hisfa'!J$3:J$200), "", ROW('Temp Hisfa'!J$3:J$200)-MIN(ROW('Temp Hisfa'!J$3:J$200))+1), ROW(107:306))),"")</f>
        <v>0</v>
      </c>
      <c r="K109" s="30">
        <f t="array" ref="K109">IFERROR(INDEX('Temp Hisfa'!K$3:K$200, SMALL(IF(ISERROR('Temp Hisfa'!K$3:K$200), "", ROW('Temp Hisfa'!K$3:K$200)-MIN(ROW('Temp Hisfa'!K$3:K$200))+1), ROW(107:306))),"")</f>
        <v>0</v>
      </c>
      <c r="L109" s="22">
        <f t="array" ref="L109">IFERROR(INDEX('Temp Hisfa'!L$3:L$200, SMALL(IF(ISERROR('Temp Hisfa'!L$3:L$200), "", ROW('Temp Hisfa'!L$3:L$200)-MIN(ROW('Temp Hisfa'!L$3:L$200))+1), ROW(107:306))),"")</f>
        <v>0</v>
      </c>
      <c r="M109" s="22">
        <f t="array" ref="M109">IFERROR(INDEX('Temp Hisfa'!M$3:M$200, SMALL(IF(ISERROR('Temp Hisfa'!M$3:M$200), "", ROW('Temp Hisfa'!M$3:M$200)-MIN(ROW('Temp Hisfa'!M$3:M$200))+1), ROW(107:306))),"")</f>
        <v>0</v>
      </c>
      <c r="N109" s="22">
        <f t="array" ref="N109">IFERROR(INDEX('Temp Hisfa'!N$3:N$200, SMALL(IF(ISERROR('Temp Hisfa'!N$3:N$200), "", ROW('Temp Hisfa'!N$3:N$200)-MIN(ROW('Temp Hisfa'!N$3:N$200))+1), ROW(107:306))),"")</f>
        <v>1900</v>
      </c>
      <c r="O109" s="22" t="str">
        <f t="array" ref="O109">IFERROR(INDEX('Temp Hisfa'!O$3:O$200, SMALL(IF(ISERROR('Temp Hisfa'!O$3:O$200), "", ROW('Temp Hisfa'!O$3:O$200)-MIN(ROW('Temp Hisfa'!O$3:O$200))+1), ROW(107:306))),"")</f>
        <v>enero</v>
      </c>
      <c r="P109" s="22">
        <f t="array" ref="P109">IFERROR(INDEX('Temp Hisfa'!P$3:P$200, SMALL(IF(ISERROR('Temp Hisfa'!P$3:P$200), "", ROW('Temp Hisfa'!P$3:P$200)-MIN(ROW('Temp Hisfa'!P$3:P$200))+1), ROW(107:306))),"")</f>
        <v>0</v>
      </c>
      <c r="Q109" s="22">
        <f t="array" ref="Q109">IFERROR(INDEX('Temp Hisfa'!Q$3:Q$200, SMALL(IF(ISERROR('Temp Hisfa'!Q$3:Q$200), "", ROW('Temp Hisfa'!Q$3:Q$200)-MIN(ROW('Temp Hisfa'!Q$3:Q$200))+1), ROW(107:306))),"")</f>
        <v>0</v>
      </c>
      <c r="R109" s="22">
        <f t="array" ref="R109">IFERROR(INDEX('Temp Hisfa'!R$3:R$200, SMALL(IF(ISERROR('Temp Hisfa'!R$3:R$200), "", ROW('Temp Hisfa'!R$3:R$200)-MIN(ROW('Temp Hisfa'!R$3:R$200))+1), ROW(107:306))),"")</f>
        <v>0</v>
      </c>
      <c r="S109" s="22">
        <f t="array" ref="S109">IFERROR(INDEX('Temp Hisfa'!S$3:S$200, SMALL(IF(ISERROR('Temp Hisfa'!S$3:S$200), "", ROW('Temp Hisfa'!S$3:S$200)-MIN(ROW('Temp Hisfa'!S$3:S$200))+1), ROW(107:306))),"")</f>
        <v>0</v>
      </c>
      <c r="T109" s="22">
        <f t="array" ref="T109">IFERROR(INDEX('Temp Hisfa'!T$3:T$200, SMALL(IF(ISERROR('Temp Hisfa'!T$3:T$200), "", ROW('Temp Hisfa'!T$3:T$200)-MIN(ROW('Temp Hisfa'!T$3:T$200))+1), ROW(107:306))),"")</f>
        <v>0</v>
      </c>
      <c r="U109" s="22">
        <f t="array" ref="U109">IFERROR(INDEX('Temp Hisfa'!U$3:U$200, SMALL(IF(ISERROR('Temp Hisfa'!U$3:U$200), "", ROW('Temp Hisfa'!U$3:U$200)-MIN(ROW('Temp Hisfa'!U$3:U$200))+1), ROW(107:306))),"")</f>
        <v>0</v>
      </c>
      <c r="V109" s="22">
        <f t="array" ref="V109">IFERROR(INDEX('Temp Hisfa'!V$3:V$200, SMALL(IF(ISERROR('Temp Hisfa'!V$3:V$200), "", ROW('Temp Hisfa'!V$3:V$200)-MIN(ROW('Temp Hisfa'!V$3:V$200))+1), ROW(107:306))),"")</f>
        <v>0</v>
      </c>
      <c r="W109" s="22">
        <f t="array" ref="W109">IFERROR(INDEX('Temp Hisfa'!W$3:W$200, SMALL(IF(ISERROR('Temp Hisfa'!W$3:W$200), "", ROW('Temp Hisfa'!W$3:W$200)-MIN(ROW('Temp Hisfa'!W$3:W$200))+1), ROW(107:306))),"")</f>
        <v>0</v>
      </c>
      <c r="X109" s="22">
        <f t="array" ref="X109">IFERROR(INDEX('Temp Hisfa'!X$3:X$200, SMALL(IF(ISERROR('Temp Hisfa'!X$3:X$200), "", ROW('Temp Hisfa'!X$3:X$200)-MIN(ROW('Temp Hisfa'!X$3:X$200))+1), ROW(107:306))),"")</f>
        <v>0</v>
      </c>
      <c r="Y109" s="22">
        <f t="array" ref="Y109">IFERROR(INDEX('Temp Hisfa'!Y$3:Y$200, SMALL(IF(ISERROR('Temp Hisfa'!Y$3:Y$200), "", ROW('Temp Hisfa'!Y$3:Y$200)-MIN(ROW('Temp Hisfa'!Y$3:Y$200))+1), ROW(107:306))),"")</f>
        <v>0</v>
      </c>
      <c r="Z109" s="22">
        <f t="array" ref="Z109">IFERROR(INDEX('Temp Hisfa'!Z$3:Z$200, SMALL(IF(ISERROR('Temp Hisfa'!Z$3:Z$200), "", ROW('Temp Hisfa'!Z$3:Z$200)-MIN(ROW('Temp Hisfa'!Z$3:Z$200))+1), ROW(107:306))),"")</f>
        <v>0</v>
      </c>
      <c r="AA109" s="22">
        <f t="array" ref="AA109">IFERROR(INDEX('Temp Hisfa'!AA$3:AA$200, SMALL(IF(ISERROR('Temp Hisfa'!AA$3:AA$200), "", ROW('Temp Hisfa'!AA$3:AA$200)-MIN(ROW('Temp Hisfa'!AA$3:AA$200))+1), ROW(107:306))),"")</f>
        <v>0</v>
      </c>
      <c r="AB109" s="22">
        <f t="array" ref="AB109">IFERROR(INDEX('Temp Hisfa'!AB$3:AB$200, SMALL(IF(ISERROR('Temp Hisfa'!AB$3:AB$200), "", ROW('Temp Hisfa'!AB$3:AB$200)-MIN(ROW('Temp Hisfa'!AB$3:AB$200))+1), ROW(107:306))),"")</f>
        <v>0</v>
      </c>
    </row>
    <row r="110" spans="1:28" x14ac:dyDescent="0.3">
      <c r="A110" s="4">
        <f t="array" ref="A110">IFERROR(INDEX('Temp Hisfa'!A$3:A$200, SMALL(IF(ISERROR('Temp Hisfa'!A$3:A$200), "", ROW('Temp Hisfa'!A$3:A$200)-MIN(ROW('Temp Hisfa'!A$3:A$200))+1), ROW(108:306))),"")</f>
        <v>0</v>
      </c>
      <c r="B110" s="4">
        <f t="array" ref="B110">IFERROR(INDEX('Temp Hisfa'!B$3:B$200, SMALL(IF(ISERROR('Temp Hisfa'!B$3:B$200), "", ROW('Temp Hisfa'!B$3:B$200)-MIN(ROW('Temp Hisfa'!B$3:B$200))+1), ROW(108:306))),"")</f>
        <v>0</v>
      </c>
      <c r="C110" s="3">
        <f t="array" ref="C110">IFERROR(INDEX('Temp Hisfa'!C$3:C$200, SMALL(IF(ISERROR('Temp Hisfa'!C$3:C$200), "", ROW('Temp Hisfa'!C$3:C$200)-MIN(ROW('Temp Hisfa'!C$3:C$200))+1), ROW(108:306))),"")</f>
        <v>0</v>
      </c>
      <c r="D110" s="3">
        <f t="array" ref="D110">IFERROR(INDEX('Temp Hisfa'!D$3:D$200, SMALL(IF(ISERROR('Temp Hisfa'!D$3:D$200), "", ROW('Temp Hisfa'!D$3:D$200)-MIN(ROW('Temp Hisfa'!D$3:D$200))+1), ROW(108:306))),"")</f>
        <v>0</v>
      </c>
      <c r="E110" s="29">
        <f t="array" ref="E110">IFERROR(INDEX('Temp Hisfa'!E$3:E$200, SMALL(IF(ISERROR('Temp Hisfa'!E$3:E$200), "", ROW('Temp Hisfa'!E$3:E$200)-MIN(ROW('Temp Hisfa'!E$3:E$200))+1), ROW(108:307))),"")</f>
        <v>0</v>
      </c>
      <c r="F110" s="22" t="str">
        <f t="array" ref="F110">IFERROR(INDEX('Temp Hisfa'!F$3:F$200, SMALL(IF(ISERROR('Temp Hisfa'!F$3:F$200), "", ROW('Temp Hisfa'!F$3:F$200)-MIN(ROW('Temp Hisfa'!F$3:F$200))+1), ROW(108:307))),"")</f>
        <v/>
      </c>
      <c r="G110" s="30">
        <f t="array" ref="G110">IFERROR(INDEX('Temp Hisfa'!G$3:G$200, SMALL(IF(ISERROR('Temp Hisfa'!G$3:G$200), "", ROW('Temp Hisfa'!G$3:G$200)-MIN(ROW('Temp Hisfa'!G$3:G$200))+1), ROW(108:307))),"")</f>
        <v>0</v>
      </c>
      <c r="H110" s="22" t="str">
        <f t="array" ref="H110">IFERROR(INDEX('Temp Hisfa'!H$3:H$200, SMALL(IF(ISERROR('Temp Hisfa'!H$3:H$200), "", ROW('Temp Hisfa'!H$3:H$200)-MIN(ROW('Temp Hisfa'!H$3:H$200))+1), ROW(108:307))),"")</f>
        <v/>
      </c>
      <c r="I110" s="22">
        <f t="array" ref="I110">IFERROR(INDEX('Temp Hisfa'!I$3:I$200, SMALL(IF(ISERROR('Temp Hisfa'!I$3:I$200), "", ROW('Temp Hisfa'!I$3:I$200)-MIN(ROW('Temp Hisfa'!I$3:I$200))+1), ROW(108:307))),"")</f>
        <v>0</v>
      </c>
      <c r="J110" s="22">
        <f t="array" ref="J110">IFERROR(INDEX('Temp Hisfa'!J$3:J$200, SMALL(IF(ISERROR('Temp Hisfa'!J$3:J$200), "", ROW('Temp Hisfa'!J$3:J$200)-MIN(ROW('Temp Hisfa'!J$3:J$200))+1), ROW(108:307))),"")</f>
        <v>0</v>
      </c>
      <c r="K110" s="30">
        <f t="array" ref="K110">IFERROR(INDEX('Temp Hisfa'!K$3:K$200, SMALL(IF(ISERROR('Temp Hisfa'!K$3:K$200), "", ROW('Temp Hisfa'!K$3:K$200)-MIN(ROW('Temp Hisfa'!K$3:K$200))+1), ROW(108:307))),"")</f>
        <v>0</v>
      </c>
      <c r="L110" s="22">
        <f t="array" ref="L110">IFERROR(INDEX('Temp Hisfa'!L$3:L$200, SMALL(IF(ISERROR('Temp Hisfa'!L$3:L$200), "", ROW('Temp Hisfa'!L$3:L$200)-MIN(ROW('Temp Hisfa'!L$3:L$200))+1), ROW(108:307))),"")</f>
        <v>0</v>
      </c>
      <c r="M110" s="22">
        <f t="array" ref="M110">IFERROR(INDEX('Temp Hisfa'!M$3:M$200, SMALL(IF(ISERROR('Temp Hisfa'!M$3:M$200), "", ROW('Temp Hisfa'!M$3:M$200)-MIN(ROW('Temp Hisfa'!M$3:M$200))+1), ROW(108:307))),"")</f>
        <v>0</v>
      </c>
      <c r="N110" s="22">
        <f t="array" ref="N110">IFERROR(INDEX('Temp Hisfa'!N$3:N$200, SMALL(IF(ISERROR('Temp Hisfa'!N$3:N$200), "", ROW('Temp Hisfa'!N$3:N$200)-MIN(ROW('Temp Hisfa'!N$3:N$200))+1), ROW(108:307))),"")</f>
        <v>1900</v>
      </c>
      <c r="O110" s="22" t="str">
        <f t="array" ref="O110">IFERROR(INDEX('Temp Hisfa'!O$3:O$200, SMALL(IF(ISERROR('Temp Hisfa'!O$3:O$200), "", ROW('Temp Hisfa'!O$3:O$200)-MIN(ROW('Temp Hisfa'!O$3:O$200))+1), ROW(108:307))),"")</f>
        <v>enero</v>
      </c>
      <c r="P110" s="22">
        <f t="array" ref="P110">IFERROR(INDEX('Temp Hisfa'!P$3:P$200, SMALL(IF(ISERROR('Temp Hisfa'!P$3:P$200), "", ROW('Temp Hisfa'!P$3:P$200)-MIN(ROW('Temp Hisfa'!P$3:P$200))+1), ROW(108:307))),"")</f>
        <v>0</v>
      </c>
      <c r="Q110" s="22">
        <f t="array" ref="Q110">IFERROR(INDEX('Temp Hisfa'!Q$3:Q$200, SMALL(IF(ISERROR('Temp Hisfa'!Q$3:Q$200), "", ROW('Temp Hisfa'!Q$3:Q$200)-MIN(ROW('Temp Hisfa'!Q$3:Q$200))+1), ROW(108:307))),"")</f>
        <v>0</v>
      </c>
      <c r="R110" s="22">
        <f t="array" ref="R110">IFERROR(INDEX('Temp Hisfa'!R$3:R$200, SMALL(IF(ISERROR('Temp Hisfa'!R$3:R$200), "", ROW('Temp Hisfa'!R$3:R$200)-MIN(ROW('Temp Hisfa'!R$3:R$200))+1), ROW(108:307))),"")</f>
        <v>0</v>
      </c>
      <c r="S110" s="22">
        <f t="array" ref="S110">IFERROR(INDEX('Temp Hisfa'!S$3:S$200, SMALL(IF(ISERROR('Temp Hisfa'!S$3:S$200), "", ROW('Temp Hisfa'!S$3:S$200)-MIN(ROW('Temp Hisfa'!S$3:S$200))+1), ROW(108:307))),"")</f>
        <v>0</v>
      </c>
      <c r="T110" s="22">
        <f t="array" ref="T110">IFERROR(INDEX('Temp Hisfa'!T$3:T$200, SMALL(IF(ISERROR('Temp Hisfa'!T$3:T$200), "", ROW('Temp Hisfa'!T$3:T$200)-MIN(ROW('Temp Hisfa'!T$3:T$200))+1), ROW(108:307))),"")</f>
        <v>0</v>
      </c>
      <c r="U110" s="22">
        <f t="array" ref="U110">IFERROR(INDEX('Temp Hisfa'!U$3:U$200, SMALL(IF(ISERROR('Temp Hisfa'!U$3:U$200), "", ROW('Temp Hisfa'!U$3:U$200)-MIN(ROW('Temp Hisfa'!U$3:U$200))+1), ROW(108:307))),"")</f>
        <v>0</v>
      </c>
      <c r="V110" s="22">
        <f t="array" ref="V110">IFERROR(INDEX('Temp Hisfa'!V$3:V$200, SMALL(IF(ISERROR('Temp Hisfa'!V$3:V$200), "", ROW('Temp Hisfa'!V$3:V$200)-MIN(ROW('Temp Hisfa'!V$3:V$200))+1), ROW(108:307))),"")</f>
        <v>0</v>
      </c>
      <c r="W110" s="22">
        <f t="array" ref="W110">IFERROR(INDEX('Temp Hisfa'!W$3:W$200, SMALL(IF(ISERROR('Temp Hisfa'!W$3:W$200), "", ROW('Temp Hisfa'!W$3:W$200)-MIN(ROW('Temp Hisfa'!W$3:W$200))+1), ROW(108:307))),"")</f>
        <v>0</v>
      </c>
      <c r="X110" s="22">
        <f t="array" ref="X110">IFERROR(INDEX('Temp Hisfa'!X$3:X$200, SMALL(IF(ISERROR('Temp Hisfa'!X$3:X$200), "", ROW('Temp Hisfa'!X$3:X$200)-MIN(ROW('Temp Hisfa'!X$3:X$200))+1), ROW(108:307))),"")</f>
        <v>0</v>
      </c>
      <c r="Y110" s="22">
        <f t="array" ref="Y110">IFERROR(INDEX('Temp Hisfa'!Y$3:Y$200, SMALL(IF(ISERROR('Temp Hisfa'!Y$3:Y$200), "", ROW('Temp Hisfa'!Y$3:Y$200)-MIN(ROW('Temp Hisfa'!Y$3:Y$200))+1), ROW(108:307))),"")</f>
        <v>0</v>
      </c>
      <c r="Z110" s="22">
        <f t="array" ref="Z110">IFERROR(INDEX('Temp Hisfa'!Z$3:Z$200, SMALL(IF(ISERROR('Temp Hisfa'!Z$3:Z$200), "", ROW('Temp Hisfa'!Z$3:Z$200)-MIN(ROW('Temp Hisfa'!Z$3:Z$200))+1), ROW(108:307))),"")</f>
        <v>0</v>
      </c>
      <c r="AA110" s="22">
        <f t="array" ref="AA110">IFERROR(INDEX('Temp Hisfa'!AA$3:AA$200, SMALL(IF(ISERROR('Temp Hisfa'!AA$3:AA$200), "", ROW('Temp Hisfa'!AA$3:AA$200)-MIN(ROW('Temp Hisfa'!AA$3:AA$200))+1), ROW(108:307))),"")</f>
        <v>0</v>
      </c>
      <c r="AB110" s="22">
        <f t="array" ref="AB110">IFERROR(INDEX('Temp Hisfa'!AB$3:AB$200, SMALL(IF(ISERROR('Temp Hisfa'!AB$3:AB$200), "", ROW('Temp Hisfa'!AB$3:AB$200)-MIN(ROW('Temp Hisfa'!AB$3:AB$200))+1), ROW(108:307))),"")</f>
        <v>0</v>
      </c>
    </row>
    <row r="111" spans="1:28" x14ac:dyDescent="0.3">
      <c r="A111" s="4">
        <f t="array" ref="A111">IFERROR(INDEX('Temp Hisfa'!A$3:A$200, SMALL(IF(ISERROR('Temp Hisfa'!A$3:A$200), "", ROW('Temp Hisfa'!A$3:A$200)-MIN(ROW('Temp Hisfa'!A$3:A$200))+1), ROW(109:307))),"")</f>
        <v>0</v>
      </c>
      <c r="B111" s="4">
        <f t="array" ref="B111">IFERROR(INDEX('Temp Hisfa'!B$3:B$200, SMALL(IF(ISERROR('Temp Hisfa'!B$3:B$200), "", ROW('Temp Hisfa'!B$3:B$200)-MIN(ROW('Temp Hisfa'!B$3:B$200))+1), ROW(109:307))),"")</f>
        <v>0</v>
      </c>
      <c r="C111" s="3">
        <f t="array" ref="C111">IFERROR(INDEX('Temp Hisfa'!C$3:C$200, SMALL(IF(ISERROR('Temp Hisfa'!C$3:C$200), "", ROW('Temp Hisfa'!C$3:C$200)-MIN(ROW('Temp Hisfa'!C$3:C$200))+1), ROW(109:307))),"")</f>
        <v>0</v>
      </c>
      <c r="D111" s="3">
        <f t="array" ref="D111">IFERROR(INDEX('Temp Hisfa'!D$3:D$200, SMALL(IF(ISERROR('Temp Hisfa'!D$3:D$200), "", ROW('Temp Hisfa'!D$3:D$200)-MIN(ROW('Temp Hisfa'!D$3:D$200))+1), ROW(109:307))),"")</f>
        <v>0</v>
      </c>
      <c r="E111" s="29">
        <f t="array" ref="E111">IFERROR(INDEX('Temp Hisfa'!E$3:E$200, SMALL(IF(ISERROR('Temp Hisfa'!E$3:E$200), "", ROW('Temp Hisfa'!E$3:E$200)-MIN(ROW('Temp Hisfa'!E$3:E$200))+1), ROW(109:308))),"")</f>
        <v>0</v>
      </c>
      <c r="F111" s="22" t="str">
        <f t="array" ref="F111">IFERROR(INDEX('Temp Hisfa'!F$3:F$200, SMALL(IF(ISERROR('Temp Hisfa'!F$3:F$200), "", ROW('Temp Hisfa'!F$3:F$200)-MIN(ROW('Temp Hisfa'!F$3:F$200))+1), ROW(109:308))),"")</f>
        <v/>
      </c>
      <c r="G111" s="30">
        <f t="array" ref="G111">IFERROR(INDEX('Temp Hisfa'!G$3:G$200, SMALL(IF(ISERROR('Temp Hisfa'!G$3:G$200), "", ROW('Temp Hisfa'!G$3:G$200)-MIN(ROW('Temp Hisfa'!G$3:G$200))+1), ROW(109:308))),"")</f>
        <v>0</v>
      </c>
      <c r="H111" s="22" t="str">
        <f t="array" ref="H111">IFERROR(INDEX('Temp Hisfa'!H$3:H$200, SMALL(IF(ISERROR('Temp Hisfa'!H$3:H$200), "", ROW('Temp Hisfa'!H$3:H$200)-MIN(ROW('Temp Hisfa'!H$3:H$200))+1), ROW(109:308))),"")</f>
        <v/>
      </c>
      <c r="I111" s="22">
        <f t="array" ref="I111">IFERROR(INDEX('Temp Hisfa'!I$3:I$200, SMALL(IF(ISERROR('Temp Hisfa'!I$3:I$200), "", ROW('Temp Hisfa'!I$3:I$200)-MIN(ROW('Temp Hisfa'!I$3:I$200))+1), ROW(109:308))),"")</f>
        <v>0</v>
      </c>
      <c r="J111" s="22">
        <f t="array" ref="J111">IFERROR(INDEX('Temp Hisfa'!J$3:J$200, SMALL(IF(ISERROR('Temp Hisfa'!J$3:J$200), "", ROW('Temp Hisfa'!J$3:J$200)-MIN(ROW('Temp Hisfa'!J$3:J$200))+1), ROW(109:308))),"")</f>
        <v>0</v>
      </c>
      <c r="K111" s="30">
        <f t="array" ref="K111">IFERROR(INDEX('Temp Hisfa'!K$3:K$200, SMALL(IF(ISERROR('Temp Hisfa'!K$3:K$200), "", ROW('Temp Hisfa'!K$3:K$200)-MIN(ROW('Temp Hisfa'!K$3:K$200))+1), ROW(109:308))),"")</f>
        <v>0</v>
      </c>
      <c r="L111" s="22">
        <f t="array" ref="L111">IFERROR(INDEX('Temp Hisfa'!L$3:L$200, SMALL(IF(ISERROR('Temp Hisfa'!L$3:L$200), "", ROW('Temp Hisfa'!L$3:L$200)-MIN(ROW('Temp Hisfa'!L$3:L$200))+1), ROW(109:308))),"")</f>
        <v>0</v>
      </c>
      <c r="M111" s="22">
        <f t="array" ref="M111">IFERROR(INDEX('Temp Hisfa'!M$3:M$200, SMALL(IF(ISERROR('Temp Hisfa'!M$3:M$200), "", ROW('Temp Hisfa'!M$3:M$200)-MIN(ROW('Temp Hisfa'!M$3:M$200))+1), ROW(109:308))),"")</f>
        <v>0</v>
      </c>
      <c r="N111" s="22">
        <f t="array" ref="N111">IFERROR(INDEX('Temp Hisfa'!N$3:N$200, SMALL(IF(ISERROR('Temp Hisfa'!N$3:N$200), "", ROW('Temp Hisfa'!N$3:N$200)-MIN(ROW('Temp Hisfa'!N$3:N$200))+1), ROW(109:308))),"")</f>
        <v>1900</v>
      </c>
      <c r="O111" s="22" t="str">
        <f t="array" ref="O111">IFERROR(INDEX('Temp Hisfa'!O$3:O$200, SMALL(IF(ISERROR('Temp Hisfa'!O$3:O$200), "", ROW('Temp Hisfa'!O$3:O$200)-MIN(ROW('Temp Hisfa'!O$3:O$200))+1), ROW(109:308))),"")</f>
        <v>enero</v>
      </c>
      <c r="P111" s="22">
        <f t="array" ref="P111">IFERROR(INDEX('Temp Hisfa'!P$3:P$200, SMALL(IF(ISERROR('Temp Hisfa'!P$3:P$200), "", ROW('Temp Hisfa'!P$3:P$200)-MIN(ROW('Temp Hisfa'!P$3:P$200))+1), ROW(109:308))),"")</f>
        <v>0</v>
      </c>
      <c r="Q111" s="22">
        <f t="array" ref="Q111">IFERROR(INDEX('Temp Hisfa'!Q$3:Q$200, SMALL(IF(ISERROR('Temp Hisfa'!Q$3:Q$200), "", ROW('Temp Hisfa'!Q$3:Q$200)-MIN(ROW('Temp Hisfa'!Q$3:Q$200))+1), ROW(109:308))),"")</f>
        <v>0</v>
      </c>
      <c r="R111" s="22">
        <f t="array" ref="R111">IFERROR(INDEX('Temp Hisfa'!R$3:R$200, SMALL(IF(ISERROR('Temp Hisfa'!R$3:R$200), "", ROW('Temp Hisfa'!R$3:R$200)-MIN(ROW('Temp Hisfa'!R$3:R$200))+1), ROW(109:308))),"")</f>
        <v>0</v>
      </c>
      <c r="S111" s="22">
        <f t="array" ref="S111">IFERROR(INDEX('Temp Hisfa'!S$3:S$200, SMALL(IF(ISERROR('Temp Hisfa'!S$3:S$200), "", ROW('Temp Hisfa'!S$3:S$200)-MIN(ROW('Temp Hisfa'!S$3:S$200))+1), ROW(109:308))),"")</f>
        <v>0</v>
      </c>
      <c r="T111" s="22">
        <f t="array" ref="T111">IFERROR(INDEX('Temp Hisfa'!T$3:T$200, SMALL(IF(ISERROR('Temp Hisfa'!T$3:T$200), "", ROW('Temp Hisfa'!T$3:T$200)-MIN(ROW('Temp Hisfa'!T$3:T$200))+1), ROW(109:308))),"")</f>
        <v>0</v>
      </c>
      <c r="U111" s="22">
        <f t="array" ref="U111">IFERROR(INDEX('Temp Hisfa'!U$3:U$200, SMALL(IF(ISERROR('Temp Hisfa'!U$3:U$200), "", ROW('Temp Hisfa'!U$3:U$200)-MIN(ROW('Temp Hisfa'!U$3:U$200))+1), ROW(109:308))),"")</f>
        <v>0</v>
      </c>
      <c r="V111" s="22">
        <f t="array" ref="V111">IFERROR(INDEX('Temp Hisfa'!V$3:V$200, SMALL(IF(ISERROR('Temp Hisfa'!V$3:V$200), "", ROW('Temp Hisfa'!V$3:V$200)-MIN(ROW('Temp Hisfa'!V$3:V$200))+1), ROW(109:308))),"")</f>
        <v>0</v>
      </c>
      <c r="W111" s="22">
        <f t="array" ref="W111">IFERROR(INDEX('Temp Hisfa'!W$3:W$200, SMALL(IF(ISERROR('Temp Hisfa'!W$3:W$200), "", ROW('Temp Hisfa'!W$3:W$200)-MIN(ROW('Temp Hisfa'!W$3:W$200))+1), ROW(109:308))),"")</f>
        <v>0</v>
      </c>
      <c r="X111" s="22">
        <f t="array" ref="X111">IFERROR(INDEX('Temp Hisfa'!X$3:X$200, SMALL(IF(ISERROR('Temp Hisfa'!X$3:X$200), "", ROW('Temp Hisfa'!X$3:X$200)-MIN(ROW('Temp Hisfa'!X$3:X$200))+1), ROW(109:308))),"")</f>
        <v>0</v>
      </c>
      <c r="Y111" s="22">
        <f t="array" ref="Y111">IFERROR(INDEX('Temp Hisfa'!Y$3:Y$200, SMALL(IF(ISERROR('Temp Hisfa'!Y$3:Y$200), "", ROW('Temp Hisfa'!Y$3:Y$200)-MIN(ROW('Temp Hisfa'!Y$3:Y$200))+1), ROW(109:308))),"")</f>
        <v>0</v>
      </c>
      <c r="Z111" s="22">
        <f t="array" ref="Z111">IFERROR(INDEX('Temp Hisfa'!Z$3:Z$200, SMALL(IF(ISERROR('Temp Hisfa'!Z$3:Z$200), "", ROW('Temp Hisfa'!Z$3:Z$200)-MIN(ROW('Temp Hisfa'!Z$3:Z$200))+1), ROW(109:308))),"")</f>
        <v>0</v>
      </c>
      <c r="AA111" s="22">
        <f t="array" ref="AA111">IFERROR(INDEX('Temp Hisfa'!AA$3:AA$200, SMALL(IF(ISERROR('Temp Hisfa'!AA$3:AA$200), "", ROW('Temp Hisfa'!AA$3:AA$200)-MIN(ROW('Temp Hisfa'!AA$3:AA$200))+1), ROW(109:308))),"")</f>
        <v>0</v>
      </c>
      <c r="AB111" s="22">
        <f t="array" ref="AB111">IFERROR(INDEX('Temp Hisfa'!AB$3:AB$200, SMALL(IF(ISERROR('Temp Hisfa'!AB$3:AB$200), "", ROW('Temp Hisfa'!AB$3:AB$200)-MIN(ROW('Temp Hisfa'!AB$3:AB$200))+1), ROW(109:308))),"")</f>
        <v>0</v>
      </c>
    </row>
    <row r="112" spans="1:28" x14ac:dyDescent="0.3">
      <c r="A112" s="4">
        <f t="array" ref="A112">IFERROR(INDEX('Temp Hisfa'!A$3:A$200, SMALL(IF(ISERROR('Temp Hisfa'!A$3:A$200), "", ROW('Temp Hisfa'!A$3:A$200)-MIN(ROW('Temp Hisfa'!A$3:A$200))+1), ROW(110:308))),"")</f>
        <v>0</v>
      </c>
      <c r="B112" s="4">
        <f t="array" ref="B112">IFERROR(INDEX('Temp Hisfa'!B$3:B$200, SMALL(IF(ISERROR('Temp Hisfa'!B$3:B$200), "", ROW('Temp Hisfa'!B$3:B$200)-MIN(ROW('Temp Hisfa'!B$3:B$200))+1), ROW(110:308))),"")</f>
        <v>0</v>
      </c>
      <c r="C112" s="3">
        <f t="array" ref="C112">IFERROR(INDEX('Temp Hisfa'!C$3:C$200, SMALL(IF(ISERROR('Temp Hisfa'!C$3:C$200), "", ROW('Temp Hisfa'!C$3:C$200)-MIN(ROW('Temp Hisfa'!C$3:C$200))+1), ROW(110:308))),"")</f>
        <v>0</v>
      </c>
      <c r="D112" s="3">
        <f t="array" ref="D112">IFERROR(INDEX('Temp Hisfa'!D$3:D$200, SMALL(IF(ISERROR('Temp Hisfa'!D$3:D$200), "", ROW('Temp Hisfa'!D$3:D$200)-MIN(ROW('Temp Hisfa'!D$3:D$200))+1), ROW(110:308))),"")</f>
        <v>0</v>
      </c>
      <c r="E112" s="29">
        <f t="array" ref="E112">IFERROR(INDEX('Temp Hisfa'!E$3:E$200, SMALL(IF(ISERROR('Temp Hisfa'!E$3:E$200), "", ROW('Temp Hisfa'!E$3:E$200)-MIN(ROW('Temp Hisfa'!E$3:E$200))+1), ROW(110:309))),"")</f>
        <v>0</v>
      </c>
      <c r="F112" s="22" t="str">
        <f t="array" ref="F112">IFERROR(INDEX('Temp Hisfa'!F$3:F$200, SMALL(IF(ISERROR('Temp Hisfa'!F$3:F$200), "", ROW('Temp Hisfa'!F$3:F$200)-MIN(ROW('Temp Hisfa'!F$3:F$200))+1), ROW(110:309))),"")</f>
        <v/>
      </c>
      <c r="G112" s="30">
        <f t="array" ref="G112">IFERROR(INDEX('Temp Hisfa'!G$3:G$200, SMALL(IF(ISERROR('Temp Hisfa'!G$3:G$200), "", ROW('Temp Hisfa'!G$3:G$200)-MIN(ROW('Temp Hisfa'!G$3:G$200))+1), ROW(110:309))),"")</f>
        <v>0</v>
      </c>
      <c r="H112" s="22" t="str">
        <f t="array" ref="H112">IFERROR(INDEX('Temp Hisfa'!H$3:H$200, SMALL(IF(ISERROR('Temp Hisfa'!H$3:H$200), "", ROW('Temp Hisfa'!H$3:H$200)-MIN(ROW('Temp Hisfa'!H$3:H$200))+1), ROW(110:309))),"")</f>
        <v/>
      </c>
      <c r="I112" s="22">
        <f t="array" ref="I112">IFERROR(INDEX('Temp Hisfa'!I$3:I$200, SMALL(IF(ISERROR('Temp Hisfa'!I$3:I$200), "", ROW('Temp Hisfa'!I$3:I$200)-MIN(ROW('Temp Hisfa'!I$3:I$200))+1), ROW(110:309))),"")</f>
        <v>0</v>
      </c>
      <c r="J112" s="22">
        <f t="array" ref="J112">IFERROR(INDEX('Temp Hisfa'!J$3:J$200, SMALL(IF(ISERROR('Temp Hisfa'!J$3:J$200), "", ROW('Temp Hisfa'!J$3:J$200)-MIN(ROW('Temp Hisfa'!J$3:J$200))+1), ROW(110:309))),"")</f>
        <v>0</v>
      </c>
      <c r="K112" s="30">
        <f t="array" ref="K112">IFERROR(INDEX('Temp Hisfa'!K$3:K$200, SMALL(IF(ISERROR('Temp Hisfa'!K$3:K$200), "", ROW('Temp Hisfa'!K$3:K$200)-MIN(ROW('Temp Hisfa'!K$3:K$200))+1), ROW(110:309))),"")</f>
        <v>0</v>
      </c>
      <c r="L112" s="22">
        <f t="array" ref="L112">IFERROR(INDEX('Temp Hisfa'!L$3:L$200, SMALL(IF(ISERROR('Temp Hisfa'!L$3:L$200), "", ROW('Temp Hisfa'!L$3:L$200)-MIN(ROW('Temp Hisfa'!L$3:L$200))+1), ROW(110:309))),"")</f>
        <v>0</v>
      </c>
      <c r="M112" s="22">
        <f t="array" ref="M112">IFERROR(INDEX('Temp Hisfa'!M$3:M$200, SMALL(IF(ISERROR('Temp Hisfa'!M$3:M$200), "", ROW('Temp Hisfa'!M$3:M$200)-MIN(ROW('Temp Hisfa'!M$3:M$200))+1), ROW(110:309))),"")</f>
        <v>0</v>
      </c>
      <c r="N112" s="22">
        <f t="array" ref="N112">IFERROR(INDEX('Temp Hisfa'!N$3:N$200, SMALL(IF(ISERROR('Temp Hisfa'!N$3:N$200), "", ROW('Temp Hisfa'!N$3:N$200)-MIN(ROW('Temp Hisfa'!N$3:N$200))+1), ROW(110:309))),"")</f>
        <v>1900</v>
      </c>
      <c r="O112" s="22" t="str">
        <f t="array" ref="O112">IFERROR(INDEX('Temp Hisfa'!O$3:O$200, SMALL(IF(ISERROR('Temp Hisfa'!O$3:O$200), "", ROW('Temp Hisfa'!O$3:O$200)-MIN(ROW('Temp Hisfa'!O$3:O$200))+1), ROW(110:309))),"")</f>
        <v>enero</v>
      </c>
      <c r="P112" s="22">
        <f t="array" ref="P112">IFERROR(INDEX('Temp Hisfa'!P$3:P$200, SMALL(IF(ISERROR('Temp Hisfa'!P$3:P$200), "", ROW('Temp Hisfa'!P$3:P$200)-MIN(ROW('Temp Hisfa'!P$3:P$200))+1), ROW(110:309))),"")</f>
        <v>0</v>
      </c>
      <c r="Q112" s="22">
        <f t="array" ref="Q112">IFERROR(INDEX('Temp Hisfa'!Q$3:Q$200, SMALL(IF(ISERROR('Temp Hisfa'!Q$3:Q$200), "", ROW('Temp Hisfa'!Q$3:Q$200)-MIN(ROW('Temp Hisfa'!Q$3:Q$200))+1), ROW(110:309))),"")</f>
        <v>0</v>
      </c>
      <c r="R112" s="22">
        <f t="array" ref="R112">IFERROR(INDEX('Temp Hisfa'!R$3:R$200, SMALL(IF(ISERROR('Temp Hisfa'!R$3:R$200), "", ROW('Temp Hisfa'!R$3:R$200)-MIN(ROW('Temp Hisfa'!R$3:R$200))+1), ROW(110:309))),"")</f>
        <v>0</v>
      </c>
      <c r="S112" s="22">
        <f t="array" ref="S112">IFERROR(INDEX('Temp Hisfa'!S$3:S$200, SMALL(IF(ISERROR('Temp Hisfa'!S$3:S$200), "", ROW('Temp Hisfa'!S$3:S$200)-MIN(ROW('Temp Hisfa'!S$3:S$200))+1), ROW(110:309))),"")</f>
        <v>0</v>
      </c>
      <c r="T112" s="22">
        <f t="array" ref="T112">IFERROR(INDEX('Temp Hisfa'!T$3:T$200, SMALL(IF(ISERROR('Temp Hisfa'!T$3:T$200), "", ROW('Temp Hisfa'!T$3:T$200)-MIN(ROW('Temp Hisfa'!T$3:T$200))+1), ROW(110:309))),"")</f>
        <v>0</v>
      </c>
      <c r="U112" s="22">
        <f t="array" ref="U112">IFERROR(INDEX('Temp Hisfa'!U$3:U$200, SMALL(IF(ISERROR('Temp Hisfa'!U$3:U$200), "", ROW('Temp Hisfa'!U$3:U$200)-MIN(ROW('Temp Hisfa'!U$3:U$200))+1), ROW(110:309))),"")</f>
        <v>0</v>
      </c>
      <c r="V112" s="22">
        <f t="array" ref="V112">IFERROR(INDEX('Temp Hisfa'!V$3:V$200, SMALL(IF(ISERROR('Temp Hisfa'!V$3:V$200), "", ROW('Temp Hisfa'!V$3:V$200)-MIN(ROW('Temp Hisfa'!V$3:V$200))+1), ROW(110:309))),"")</f>
        <v>0</v>
      </c>
      <c r="W112" s="22">
        <f t="array" ref="W112">IFERROR(INDEX('Temp Hisfa'!W$3:W$200, SMALL(IF(ISERROR('Temp Hisfa'!W$3:W$200), "", ROW('Temp Hisfa'!W$3:W$200)-MIN(ROW('Temp Hisfa'!W$3:W$200))+1), ROW(110:309))),"")</f>
        <v>0</v>
      </c>
      <c r="X112" s="22">
        <f t="array" ref="X112">IFERROR(INDEX('Temp Hisfa'!X$3:X$200, SMALL(IF(ISERROR('Temp Hisfa'!X$3:X$200), "", ROW('Temp Hisfa'!X$3:X$200)-MIN(ROW('Temp Hisfa'!X$3:X$200))+1), ROW(110:309))),"")</f>
        <v>0</v>
      </c>
      <c r="Y112" s="22">
        <f t="array" ref="Y112">IFERROR(INDEX('Temp Hisfa'!Y$3:Y$200, SMALL(IF(ISERROR('Temp Hisfa'!Y$3:Y$200), "", ROW('Temp Hisfa'!Y$3:Y$200)-MIN(ROW('Temp Hisfa'!Y$3:Y$200))+1), ROW(110:309))),"")</f>
        <v>0</v>
      </c>
      <c r="Z112" s="22">
        <f t="array" ref="Z112">IFERROR(INDEX('Temp Hisfa'!Z$3:Z$200, SMALL(IF(ISERROR('Temp Hisfa'!Z$3:Z$200), "", ROW('Temp Hisfa'!Z$3:Z$200)-MIN(ROW('Temp Hisfa'!Z$3:Z$200))+1), ROW(110:309))),"")</f>
        <v>0</v>
      </c>
      <c r="AA112" s="22">
        <f t="array" ref="AA112">IFERROR(INDEX('Temp Hisfa'!AA$3:AA$200, SMALL(IF(ISERROR('Temp Hisfa'!AA$3:AA$200), "", ROW('Temp Hisfa'!AA$3:AA$200)-MIN(ROW('Temp Hisfa'!AA$3:AA$200))+1), ROW(110:309))),"")</f>
        <v>0</v>
      </c>
      <c r="AB112" s="22">
        <f t="array" ref="AB112">IFERROR(INDEX('Temp Hisfa'!AB$3:AB$200, SMALL(IF(ISERROR('Temp Hisfa'!AB$3:AB$200), "", ROW('Temp Hisfa'!AB$3:AB$200)-MIN(ROW('Temp Hisfa'!AB$3:AB$200))+1), ROW(110:309))),"")</f>
        <v>0</v>
      </c>
    </row>
    <row r="113" spans="1:28" x14ac:dyDescent="0.3">
      <c r="A113" s="4">
        <f t="array" ref="A113">IFERROR(INDEX('Temp Hisfa'!A$3:A$200, SMALL(IF(ISERROR('Temp Hisfa'!A$3:A$200), "", ROW('Temp Hisfa'!A$3:A$200)-MIN(ROW('Temp Hisfa'!A$3:A$200))+1), ROW(111:309))),"")</f>
        <v>0</v>
      </c>
      <c r="B113" s="4">
        <f t="array" ref="B113">IFERROR(INDEX('Temp Hisfa'!B$3:B$200, SMALL(IF(ISERROR('Temp Hisfa'!B$3:B$200), "", ROW('Temp Hisfa'!B$3:B$200)-MIN(ROW('Temp Hisfa'!B$3:B$200))+1), ROW(111:309))),"")</f>
        <v>0</v>
      </c>
      <c r="C113" s="3">
        <f t="array" ref="C113">IFERROR(INDEX('Temp Hisfa'!C$3:C$200, SMALL(IF(ISERROR('Temp Hisfa'!C$3:C$200), "", ROW('Temp Hisfa'!C$3:C$200)-MIN(ROW('Temp Hisfa'!C$3:C$200))+1), ROW(111:309))),"")</f>
        <v>0</v>
      </c>
      <c r="D113" s="3">
        <f t="array" ref="D113">IFERROR(INDEX('Temp Hisfa'!D$3:D$200, SMALL(IF(ISERROR('Temp Hisfa'!D$3:D$200), "", ROW('Temp Hisfa'!D$3:D$200)-MIN(ROW('Temp Hisfa'!D$3:D$200))+1), ROW(111:309))),"")</f>
        <v>0</v>
      </c>
      <c r="E113" s="29">
        <f t="array" ref="E113">IFERROR(INDEX('Temp Hisfa'!E$3:E$200, SMALL(IF(ISERROR('Temp Hisfa'!E$3:E$200), "", ROW('Temp Hisfa'!E$3:E$200)-MIN(ROW('Temp Hisfa'!E$3:E$200))+1), ROW(111:310))),"")</f>
        <v>0</v>
      </c>
      <c r="F113" s="22" t="str">
        <f t="array" ref="F113">IFERROR(INDEX('Temp Hisfa'!F$3:F$200, SMALL(IF(ISERROR('Temp Hisfa'!F$3:F$200), "", ROW('Temp Hisfa'!F$3:F$200)-MIN(ROW('Temp Hisfa'!F$3:F$200))+1), ROW(111:310))),"")</f>
        <v/>
      </c>
      <c r="G113" s="30">
        <f t="array" ref="G113">IFERROR(INDEX('Temp Hisfa'!G$3:G$200, SMALL(IF(ISERROR('Temp Hisfa'!G$3:G$200), "", ROW('Temp Hisfa'!G$3:G$200)-MIN(ROW('Temp Hisfa'!G$3:G$200))+1), ROW(111:310))),"")</f>
        <v>0</v>
      </c>
      <c r="H113" s="22" t="str">
        <f t="array" ref="H113">IFERROR(INDEX('Temp Hisfa'!H$3:H$200, SMALL(IF(ISERROR('Temp Hisfa'!H$3:H$200), "", ROW('Temp Hisfa'!H$3:H$200)-MIN(ROW('Temp Hisfa'!H$3:H$200))+1), ROW(111:310))),"")</f>
        <v/>
      </c>
      <c r="I113" s="22">
        <f t="array" ref="I113">IFERROR(INDEX('Temp Hisfa'!I$3:I$200, SMALL(IF(ISERROR('Temp Hisfa'!I$3:I$200), "", ROW('Temp Hisfa'!I$3:I$200)-MIN(ROW('Temp Hisfa'!I$3:I$200))+1), ROW(111:310))),"")</f>
        <v>0</v>
      </c>
      <c r="J113" s="22">
        <f t="array" ref="J113">IFERROR(INDEX('Temp Hisfa'!J$3:J$200, SMALL(IF(ISERROR('Temp Hisfa'!J$3:J$200), "", ROW('Temp Hisfa'!J$3:J$200)-MIN(ROW('Temp Hisfa'!J$3:J$200))+1), ROW(111:310))),"")</f>
        <v>0</v>
      </c>
      <c r="K113" s="30">
        <f t="array" ref="K113">IFERROR(INDEX('Temp Hisfa'!K$3:K$200, SMALL(IF(ISERROR('Temp Hisfa'!K$3:K$200), "", ROW('Temp Hisfa'!K$3:K$200)-MIN(ROW('Temp Hisfa'!K$3:K$200))+1), ROW(111:310))),"")</f>
        <v>0</v>
      </c>
      <c r="L113" s="22">
        <f t="array" ref="L113">IFERROR(INDEX('Temp Hisfa'!L$3:L$200, SMALL(IF(ISERROR('Temp Hisfa'!L$3:L$200), "", ROW('Temp Hisfa'!L$3:L$200)-MIN(ROW('Temp Hisfa'!L$3:L$200))+1), ROW(111:310))),"")</f>
        <v>0</v>
      </c>
      <c r="M113" s="22">
        <f t="array" ref="M113">IFERROR(INDEX('Temp Hisfa'!M$3:M$200, SMALL(IF(ISERROR('Temp Hisfa'!M$3:M$200), "", ROW('Temp Hisfa'!M$3:M$200)-MIN(ROW('Temp Hisfa'!M$3:M$200))+1), ROW(111:310))),"")</f>
        <v>0</v>
      </c>
      <c r="N113" s="22">
        <f t="array" ref="N113">IFERROR(INDEX('Temp Hisfa'!N$3:N$200, SMALL(IF(ISERROR('Temp Hisfa'!N$3:N$200), "", ROW('Temp Hisfa'!N$3:N$200)-MIN(ROW('Temp Hisfa'!N$3:N$200))+1), ROW(111:310))),"")</f>
        <v>1900</v>
      </c>
      <c r="O113" s="22" t="str">
        <f t="array" ref="O113">IFERROR(INDEX('Temp Hisfa'!O$3:O$200, SMALL(IF(ISERROR('Temp Hisfa'!O$3:O$200), "", ROW('Temp Hisfa'!O$3:O$200)-MIN(ROW('Temp Hisfa'!O$3:O$200))+1), ROW(111:310))),"")</f>
        <v>enero</v>
      </c>
      <c r="P113" s="22">
        <f t="array" ref="P113">IFERROR(INDEX('Temp Hisfa'!P$3:P$200, SMALL(IF(ISERROR('Temp Hisfa'!P$3:P$200), "", ROW('Temp Hisfa'!P$3:P$200)-MIN(ROW('Temp Hisfa'!P$3:P$200))+1), ROW(111:310))),"")</f>
        <v>0</v>
      </c>
      <c r="Q113" s="22">
        <f t="array" ref="Q113">IFERROR(INDEX('Temp Hisfa'!Q$3:Q$200, SMALL(IF(ISERROR('Temp Hisfa'!Q$3:Q$200), "", ROW('Temp Hisfa'!Q$3:Q$200)-MIN(ROW('Temp Hisfa'!Q$3:Q$200))+1), ROW(111:310))),"")</f>
        <v>0</v>
      </c>
      <c r="R113" s="22">
        <f t="array" ref="R113">IFERROR(INDEX('Temp Hisfa'!R$3:R$200, SMALL(IF(ISERROR('Temp Hisfa'!R$3:R$200), "", ROW('Temp Hisfa'!R$3:R$200)-MIN(ROW('Temp Hisfa'!R$3:R$200))+1), ROW(111:310))),"")</f>
        <v>0</v>
      </c>
      <c r="S113" s="22">
        <f t="array" ref="S113">IFERROR(INDEX('Temp Hisfa'!S$3:S$200, SMALL(IF(ISERROR('Temp Hisfa'!S$3:S$200), "", ROW('Temp Hisfa'!S$3:S$200)-MIN(ROW('Temp Hisfa'!S$3:S$200))+1), ROW(111:310))),"")</f>
        <v>0</v>
      </c>
      <c r="T113" s="22">
        <f t="array" ref="T113">IFERROR(INDEX('Temp Hisfa'!T$3:T$200, SMALL(IF(ISERROR('Temp Hisfa'!T$3:T$200), "", ROW('Temp Hisfa'!T$3:T$200)-MIN(ROW('Temp Hisfa'!T$3:T$200))+1), ROW(111:310))),"")</f>
        <v>0</v>
      </c>
      <c r="U113" s="22">
        <f t="array" ref="U113">IFERROR(INDEX('Temp Hisfa'!U$3:U$200, SMALL(IF(ISERROR('Temp Hisfa'!U$3:U$200), "", ROW('Temp Hisfa'!U$3:U$200)-MIN(ROW('Temp Hisfa'!U$3:U$200))+1), ROW(111:310))),"")</f>
        <v>0</v>
      </c>
      <c r="V113" s="22">
        <f t="array" ref="V113">IFERROR(INDEX('Temp Hisfa'!V$3:V$200, SMALL(IF(ISERROR('Temp Hisfa'!V$3:V$200), "", ROW('Temp Hisfa'!V$3:V$200)-MIN(ROW('Temp Hisfa'!V$3:V$200))+1), ROW(111:310))),"")</f>
        <v>0</v>
      </c>
      <c r="W113" s="22">
        <f t="array" ref="W113">IFERROR(INDEX('Temp Hisfa'!W$3:W$200, SMALL(IF(ISERROR('Temp Hisfa'!W$3:W$200), "", ROW('Temp Hisfa'!W$3:W$200)-MIN(ROW('Temp Hisfa'!W$3:W$200))+1), ROW(111:310))),"")</f>
        <v>0</v>
      </c>
      <c r="X113" s="22">
        <f t="array" ref="X113">IFERROR(INDEX('Temp Hisfa'!X$3:X$200, SMALL(IF(ISERROR('Temp Hisfa'!X$3:X$200), "", ROW('Temp Hisfa'!X$3:X$200)-MIN(ROW('Temp Hisfa'!X$3:X$200))+1), ROW(111:310))),"")</f>
        <v>0</v>
      </c>
      <c r="Y113" s="22">
        <f t="array" ref="Y113">IFERROR(INDEX('Temp Hisfa'!Y$3:Y$200, SMALL(IF(ISERROR('Temp Hisfa'!Y$3:Y$200), "", ROW('Temp Hisfa'!Y$3:Y$200)-MIN(ROW('Temp Hisfa'!Y$3:Y$200))+1), ROW(111:310))),"")</f>
        <v>0</v>
      </c>
      <c r="Z113" s="22">
        <f t="array" ref="Z113">IFERROR(INDEX('Temp Hisfa'!Z$3:Z$200, SMALL(IF(ISERROR('Temp Hisfa'!Z$3:Z$200), "", ROW('Temp Hisfa'!Z$3:Z$200)-MIN(ROW('Temp Hisfa'!Z$3:Z$200))+1), ROW(111:310))),"")</f>
        <v>0</v>
      </c>
      <c r="AA113" s="22">
        <f t="array" ref="AA113">IFERROR(INDEX('Temp Hisfa'!AA$3:AA$200, SMALL(IF(ISERROR('Temp Hisfa'!AA$3:AA$200), "", ROW('Temp Hisfa'!AA$3:AA$200)-MIN(ROW('Temp Hisfa'!AA$3:AA$200))+1), ROW(111:310))),"")</f>
        <v>0</v>
      </c>
      <c r="AB113" s="22">
        <f t="array" ref="AB113">IFERROR(INDEX('Temp Hisfa'!AB$3:AB$200, SMALL(IF(ISERROR('Temp Hisfa'!AB$3:AB$200), "", ROW('Temp Hisfa'!AB$3:AB$200)-MIN(ROW('Temp Hisfa'!AB$3:AB$200))+1), ROW(111:310))),"")</f>
        <v>0</v>
      </c>
    </row>
    <row r="114" spans="1:28" x14ac:dyDescent="0.3">
      <c r="A114" s="4">
        <f t="array" ref="A114">IFERROR(INDEX('Temp Hisfa'!A$3:A$200, SMALL(IF(ISERROR('Temp Hisfa'!A$3:A$200), "", ROW('Temp Hisfa'!A$3:A$200)-MIN(ROW('Temp Hisfa'!A$3:A$200))+1), ROW(112:310))),"")</f>
        <v>0</v>
      </c>
      <c r="B114" s="4">
        <f t="array" ref="B114">IFERROR(INDEX('Temp Hisfa'!B$3:B$200, SMALL(IF(ISERROR('Temp Hisfa'!B$3:B$200), "", ROW('Temp Hisfa'!B$3:B$200)-MIN(ROW('Temp Hisfa'!B$3:B$200))+1), ROW(112:310))),"")</f>
        <v>0</v>
      </c>
      <c r="C114" s="3">
        <f t="array" ref="C114">IFERROR(INDEX('Temp Hisfa'!C$3:C$200, SMALL(IF(ISERROR('Temp Hisfa'!C$3:C$200), "", ROW('Temp Hisfa'!C$3:C$200)-MIN(ROW('Temp Hisfa'!C$3:C$200))+1), ROW(112:310))),"")</f>
        <v>0</v>
      </c>
      <c r="D114" s="3">
        <f t="array" ref="D114">IFERROR(INDEX('Temp Hisfa'!D$3:D$200, SMALL(IF(ISERROR('Temp Hisfa'!D$3:D$200), "", ROW('Temp Hisfa'!D$3:D$200)-MIN(ROW('Temp Hisfa'!D$3:D$200))+1), ROW(112:310))),"")</f>
        <v>0</v>
      </c>
      <c r="E114" s="29">
        <f t="array" ref="E114">IFERROR(INDEX('Temp Hisfa'!E$3:E$200, SMALL(IF(ISERROR('Temp Hisfa'!E$3:E$200), "", ROW('Temp Hisfa'!E$3:E$200)-MIN(ROW('Temp Hisfa'!E$3:E$200))+1), ROW(112:311))),"")</f>
        <v>0</v>
      </c>
      <c r="F114" s="22" t="str">
        <f t="array" ref="F114">IFERROR(INDEX('Temp Hisfa'!F$3:F$200, SMALL(IF(ISERROR('Temp Hisfa'!F$3:F$200), "", ROW('Temp Hisfa'!F$3:F$200)-MIN(ROW('Temp Hisfa'!F$3:F$200))+1), ROW(112:311))),"")</f>
        <v/>
      </c>
      <c r="G114" s="30">
        <f t="array" ref="G114">IFERROR(INDEX('Temp Hisfa'!G$3:G$200, SMALL(IF(ISERROR('Temp Hisfa'!G$3:G$200), "", ROW('Temp Hisfa'!G$3:G$200)-MIN(ROW('Temp Hisfa'!G$3:G$200))+1), ROW(112:311))),"")</f>
        <v>0</v>
      </c>
      <c r="H114" s="22" t="str">
        <f t="array" ref="H114">IFERROR(INDEX('Temp Hisfa'!H$3:H$200, SMALL(IF(ISERROR('Temp Hisfa'!H$3:H$200), "", ROW('Temp Hisfa'!H$3:H$200)-MIN(ROW('Temp Hisfa'!H$3:H$200))+1), ROW(112:311))),"")</f>
        <v/>
      </c>
      <c r="I114" s="22">
        <f t="array" ref="I114">IFERROR(INDEX('Temp Hisfa'!I$3:I$200, SMALL(IF(ISERROR('Temp Hisfa'!I$3:I$200), "", ROW('Temp Hisfa'!I$3:I$200)-MIN(ROW('Temp Hisfa'!I$3:I$200))+1), ROW(112:311))),"")</f>
        <v>0</v>
      </c>
      <c r="J114" s="22">
        <f t="array" ref="J114">IFERROR(INDEX('Temp Hisfa'!J$3:J$200, SMALL(IF(ISERROR('Temp Hisfa'!J$3:J$200), "", ROW('Temp Hisfa'!J$3:J$200)-MIN(ROW('Temp Hisfa'!J$3:J$200))+1), ROW(112:311))),"")</f>
        <v>0</v>
      </c>
      <c r="K114" s="30">
        <f t="array" ref="K114">IFERROR(INDEX('Temp Hisfa'!K$3:K$200, SMALL(IF(ISERROR('Temp Hisfa'!K$3:K$200), "", ROW('Temp Hisfa'!K$3:K$200)-MIN(ROW('Temp Hisfa'!K$3:K$200))+1), ROW(112:311))),"")</f>
        <v>0</v>
      </c>
      <c r="L114" s="22">
        <f t="array" ref="L114">IFERROR(INDEX('Temp Hisfa'!L$3:L$200, SMALL(IF(ISERROR('Temp Hisfa'!L$3:L$200), "", ROW('Temp Hisfa'!L$3:L$200)-MIN(ROW('Temp Hisfa'!L$3:L$200))+1), ROW(112:311))),"")</f>
        <v>0</v>
      </c>
      <c r="M114" s="22">
        <f t="array" ref="M114">IFERROR(INDEX('Temp Hisfa'!M$3:M$200, SMALL(IF(ISERROR('Temp Hisfa'!M$3:M$200), "", ROW('Temp Hisfa'!M$3:M$200)-MIN(ROW('Temp Hisfa'!M$3:M$200))+1), ROW(112:311))),"")</f>
        <v>0</v>
      </c>
      <c r="N114" s="22">
        <f t="array" ref="N114">IFERROR(INDEX('Temp Hisfa'!N$3:N$200, SMALL(IF(ISERROR('Temp Hisfa'!N$3:N$200), "", ROW('Temp Hisfa'!N$3:N$200)-MIN(ROW('Temp Hisfa'!N$3:N$200))+1), ROW(112:311))),"")</f>
        <v>1900</v>
      </c>
      <c r="O114" s="22" t="str">
        <f t="array" ref="O114">IFERROR(INDEX('Temp Hisfa'!O$3:O$200, SMALL(IF(ISERROR('Temp Hisfa'!O$3:O$200), "", ROW('Temp Hisfa'!O$3:O$200)-MIN(ROW('Temp Hisfa'!O$3:O$200))+1), ROW(112:311))),"")</f>
        <v>enero</v>
      </c>
      <c r="P114" s="22">
        <f t="array" ref="P114">IFERROR(INDEX('Temp Hisfa'!P$3:P$200, SMALL(IF(ISERROR('Temp Hisfa'!P$3:P$200), "", ROW('Temp Hisfa'!P$3:P$200)-MIN(ROW('Temp Hisfa'!P$3:P$200))+1), ROW(112:311))),"")</f>
        <v>0</v>
      </c>
      <c r="Q114" s="22">
        <f t="array" ref="Q114">IFERROR(INDEX('Temp Hisfa'!Q$3:Q$200, SMALL(IF(ISERROR('Temp Hisfa'!Q$3:Q$200), "", ROW('Temp Hisfa'!Q$3:Q$200)-MIN(ROW('Temp Hisfa'!Q$3:Q$200))+1), ROW(112:311))),"")</f>
        <v>0</v>
      </c>
      <c r="R114" s="22">
        <f t="array" ref="R114">IFERROR(INDEX('Temp Hisfa'!R$3:R$200, SMALL(IF(ISERROR('Temp Hisfa'!R$3:R$200), "", ROW('Temp Hisfa'!R$3:R$200)-MIN(ROW('Temp Hisfa'!R$3:R$200))+1), ROW(112:311))),"")</f>
        <v>0</v>
      </c>
      <c r="S114" s="22">
        <f t="array" ref="S114">IFERROR(INDEX('Temp Hisfa'!S$3:S$200, SMALL(IF(ISERROR('Temp Hisfa'!S$3:S$200), "", ROW('Temp Hisfa'!S$3:S$200)-MIN(ROW('Temp Hisfa'!S$3:S$200))+1), ROW(112:311))),"")</f>
        <v>0</v>
      </c>
      <c r="T114" s="22">
        <f t="array" ref="T114">IFERROR(INDEX('Temp Hisfa'!T$3:T$200, SMALL(IF(ISERROR('Temp Hisfa'!T$3:T$200), "", ROW('Temp Hisfa'!T$3:T$200)-MIN(ROW('Temp Hisfa'!T$3:T$200))+1), ROW(112:311))),"")</f>
        <v>0</v>
      </c>
      <c r="U114" s="22">
        <f t="array" ref="U114">IFERROR(INDEX('Temp Hisfa'!U$3:U$200, SMALL(IF(ISERROR('Temp Hisfa'!U$3:U$200), "", ROW('Temp Hisfa'!U$3:U$200)-MIN(ROW('Temp Hisfa'!U$3:U$200))+1), ROW(112:311))),"")</f>
        <v>0</v>
      </c>
      <c r="V114" s="22">
        <f t="array" ref="V114">IFERROR(INDEX('Temp Hisfa'!V$3:V$200, SMALL(IF(ISERROR('Temp Hisfa'!V$3:V$200), "", ROW('Temp Hisfa'!V$3:V$200)-MIN(ROW('Temp Hisfa'!V$3:V$200))+1), ROW(112:311))),"")</f>
        <v>0</v>
      </c>
      <c r="W114" s="22">
        <f t="array" ref="W114">IFERROR(INDEX('Temp Hisfa'!W$3:W$200, SMALL(IF(ISERROR('Temp Hisfa'!W$3:W$200), "", ROW('Temp Hisfa'!W$3:W$200)-MIN(ROW('Temp Hisfa'!W$3:W$200))+1), ROW(112:311))),"")</f>
        <v>0</v>
      </c>
      <c r="X114" s="22">
        <f t="array" ref="X114">IFERROR(INDEX('Temp Hisfa'!X$3:X$200, SMALL(IF(ISERROR('Temp Hisfa'!X$3:X$200), "", ROW('Temp Hisfa'!X$3:X$200)-MIN(ROW('Temp Hisfa'!X$3:X$200))+1), ROW(112:311))),"")</f>
        <v>0</v>
      </c>
      <c r="Y114" s="22">
        <f t="array" ref="Y114">IFERROR(INDEX('Temp Hisfa'!Y$3:Y$200, SMALL(IF(ISERROR('Temp Hisfa'!Y$3:Y$200), "", ROW('Temp Hisfa'!Y$3:Y$200)-MIN(ROW('Temp Hisfa'!Y$3:Y$200))+1), ROW(112:311))),"")</f>
        <v>0</v>
      </c>
      <c r="Z114" s="22">
        <f t="array" ref="Z114">IFERROR(INDEX('Temp Hisfa'!Z$3:Z$200, SMALL(IF(ISERROR('Temp Hisfa'!Z$3:Z$200), "", ROW('Temp Hisfa'!Z$3:Z$200)-MIN(ROW('Temp Hisfa'!Z$3:Z$200))+1), ROW(112:311))),"")</f>
        <v>0</v>
      </c>
      <c r="AA114" s="22">
        <f t="array" ref="AA114">IFERROR(INDEX('Temp Hisfa'!AA$3:AA$200, SMALL(IF(ISERROR('Temp Hisfa'!AA$3:AA$200), "", ROW('Temp Hisfa'!AA$3:AA$200)-MIN(ROW('Temp Hisfa'!AA$3:AA$200))+1), ROW(112:311))),"")</f>
        <v>0</v>
      </c>
      <c r="AB114" s="22">
        <f t="array" ref="AB114">IFERROR(INDEX('Temp Hisfa'!AB$3:AB$200, SMALL(IF(ISERROR('Temp Hisfa'!AB$3:AB$200), "", ROW('Temp Hisfa'!AB$3:AB$200)-MIN(ROW('Temp Hisfa'!AB$3:AB$200))+1), ROW(112:311))),"")</f>
        <v>0</v>
      </c>
    </row>
    <row r="115" spans="1:28" x14ac:dyDescent="0.3">
      <c r="A115" s="4">
        <f t="array" ref="A115">IFERROR(INDEX('Temp Hisfa'!A$3:A$200, SMALL(IF(ISERROR('Temp Hisfa'!A$3:A$200), "", ROW('Temp Hisfa'!A$3:A$200)-MIN(ROW('Temp Hisfa'!A$3:A$200))+1), ROW(113:311))),"")</f>
        <v>0</v>
      </c>
      <c r="B115" s="4">
        <f t="array" ref="B115">IFERROR(INDEX('Temp Hisfa'!B$3:B$200, SMALL(IF(ISERROR('Temp Hisfa'!B$3:B$200), "", ROW('Temp Hisfa'!B$3:B$200)-MIN(ROW('Temp Hisfa'!B$3:B$200))+1), ROW(113:311))),"")</f>
        <v>0</v>
      </c>
      <c r="C115" s="3">
        <f t="array" ref="C115">IFERROR(INDEX('Temp Hisfa'!C$3:C$200, SMALL(IF(ISERROR('Temp Hisfa'!C$3:C$200), "", ROW('Temp Hisfa'!C$3:C$200)-MIN(ROW('Temp Hisfa'!C$3:C$200))+1), ROW(113:311))),"")</f>
        <v>0</v>
      </c>
      <c r="D115" s="3">
        <f t="array" ref="D115">IFERROR(INDEX('Temp Hisfa'!D$3:D$200, SMALL(IF(ISERROR('Temp Hisfa'!D$3:D$200), "", ROW('Temp Hisfa'!D$3:D$200)-MIN(ROW('Temp Hisfa'!D$3:D$200))+1), ROW(113:311))),"")</f>
        <v>0</v>
      </c>
      <c r="E115" s="29">
        <f t="array" ref="E115">IFERROR(INDEX('Temp Hisfa'!E$3:E$200, SMALL(IF(ISERROR('Temp Hisfa'!E$3:E$200), "", ROW('Temp Hisfa'!E$3:E$200)-MIN(ROW('Temp Hisfa'!E$3:E$200))+1), ROW(113:312))),"")</f>
        <v>0</v>
      </c>
      <c r="F115" s="22" t="str">
        <f t="array" ref="F115">IFERROR(INDEX('Temp Hisfa'!F$3:F$200, SMALL(IF(ISERROR('Temp Hisfa'!F$3:F$200), "", ROW('Temp Hisfa'!F$3:F$200)-MIN(ROW('Temp Hisfa'!F$3:F$200))+1), ROW(113:312))),"")</f>
        <v/>
      </c>
      <c r="G115" s="30">
        <f t="array" ref="G115">IFERROR(INDEX('Temp Hisfa'!G$3:G$200, SMALL(IF(ISERROR('Temp Hisfa'!G$3:G$200), "", ROW('Temp Hisfa'!G$3:G$200)-MIN(ROW('Temp Hisfa'!G$3:G$200))+1), ROW(113:312))),"")</f>
        <v>0</v>
      </c>
      <c r="H115" s="22" t="str">
        <f t="array" ref="H115">IFERROR(INDEX('Temp Hisfa'!H$3:H$200, SMALL(IF(ISERROR('Temp Hisfa'!H$3:H$200), "", ROW('Temp Hisfa'!H$3:H$200)-MIN(ROW('Temp Hisfa'!H$3:H$200))+1), ROW(113:312))),"")</f>
        <v/>
      </c>
      <c r="I115" s="22">
        <f t="array" ref="I115">IFERROR(INDEX('Temp Hisfa'!I$3:I$200, SMALL(IF(ISERROR('Temp Hisfa'!I$3:I$200), "", ROW('Temp Hisfa'!I$3:I$200)-MIN(ROW('Temp Hisfa'!I$3:I$200))+1), ROW(113:312))),"")</f>
        <v>0</v>
      </c>
      <c r="J115" s="22">
        <f t="array" ref="J115">IFERROR(INDEX('Temp Hisfa'!J$3:J$200, SMALL(IF(ISERROR('Temp Hisfa'!J$3:J$200), "", ROW('Temp Hisfa'!J$3:J$200)-MIN(ROW('Temp Hisfa'!J$3:J$200))+1), ROW(113:312))),"")</f>
        <v>0</v>
      </c>
      <c r="K115" s="30">
        <f t="array" ref="K115">IFERROR(INDEX('Temp Hisfa'!K$3:K$200, SMALL(IF(ISERROR('Temp Hisfa'!K$3:K$200), "", ROW('Temp Hisfa'!K$3:K$200)-MIN(ROW('Temp Hisfa'!K$3:K$200))+1), ROW(113:312))),"")</f>
        <v>0</v>
      </c>
      <c r="L115" s="22">
        <f t="array" ref="L115">IFERROR(INDEX('Temp Hisfa'!L$3:L$200, SMALL(IF(ISERROR('Temp Hisfa'!L$3:L$200), "", ROW('Temp Hisfa'!L$3:L$200)-MIN(ROW('Temp Hisfa'!L$3:L$200))+1), ROW(113:312))),"")</f>
        <v>0</v>
      </c>
      <c r="M115" s="22">
        <f t="array" ref="M115">IFERROR(INDEX('Temp Hisfa'!M$3:M$200, SMALL(IF(ISERROR('Temp Hisfa'!M$3:M$200), "", ROW('Temp Hisfa'!M$3:M$200)-MIN(ROW('Temp Hisfa'!M$3:M$200))+1), ROW(113:312))),"")</f>
        <v>0</v>
      </c>
      <c r="N115" s="22">
        <f t="array" ref="N115">IFERROR(INDEX('Temp Hisfa'!N$3:N$200, SMALL(IF(ISERROR('Temp Hisfa'!N$3:N$200), "", ROW('Temp Hisfa'!N$3:N$200)-MIN(ROW('Temp Hisfa'!N$3:N$200))+1), ROW(113:312))),"")</f>
        <v>1900</v>
      </c>
      <c r="O115" s="22" t="str">
        <f t="array" ref="O115">IFERROR(INDEX('Temp Hisfa'!O$3:O$200, SMALL(IF(ISERROR('Temp Hisfa'!O$3:O$200), "", ROW('Temp Hisfa'!O$3:O$200)-MIN(ROW('Temp Hisfa'!O$3:O$200))+1), ROW(113:312))),"")</f>
        <v>enero</v>
      </c>
      <c r="P115" s="22">
        <f t="array" ref="P115">IFERROR(INDEX('Temp Hisfa'!P$3:P$200, SMALL(IF(ISERROR('Temp Hisfa'!P$3:P$200), "", ROW('Temp Hisfa'!P$3:P$200)-MIN(ROW('Temp Hisfa'!P$3:P$200))+1), ROW(113:312))),"")</f>
        <v>0</v>
      </c>
      <c r="Q115" s="22">
        <f t="array" ref="Q115">IFERROR(INDEX('Temp Hisfa'!Q$3:Q$200, SMALL(IF(ISERROR('Temp Hisfa'!Q$3:Q$200), "", ROW('Temp Hisfa'!Q$3:Q$200)-MIN(ROW('Temp Hisfa'!Q$3:Q$200))+1), ROW(113:312))),"")</f>
        <v>0</v>
      </c>
      <c r="R115" s="22">
        <f t="array" ref="R115">IFERROR(INDEX('Temp Hisfa'!R$3:R$200, SMALL(IF(ISERROR('Temp Hisfa'!R$3:R$200), "", ROW('Temp Hisfa'!R$3:R$200)-MIN(ROW('Temp Hisfa'!R$3:R$200))+1), ROW(113:312))),"")</f>
        <v>0</v>
      </c>
      <c r="S115" s="22">
        <f t="array" ref="S115">IFERROR(INDEX('Temp Hisfa'!S$3:S$200, SMALL(IF(ISERROR('Temp Hisfa'!S$3:S$200), "", ROW('Temp Hisfa'!S$3:S$200)-MIN(ROW('Temp Hisfa'!S$3:S$200))+1), ROW(113:312))),"")</f>
        <v>0</v>
      </c>
      <c r="T115" s="22">
        <f t="array" ref="T115">IFERROR(INDEX('Temp Hisfa'!T$3:T$200, SMALL(IF(ISERROR('Temp Hisfa'!T$3:T$200), "", ROW('Temp Hisfa'!T$3:T$200)-MIN(ROW('Temp Hisfa'!T$3:T$200))+1), ROW(113:312))),"")</f>
        <v>0</v>
      </c>
      <c r="U115" s="22">
        <f t="array" ref="U115">IFERROR(INDEX('Temp Hisfa'!U$3:U$200, SMALL(IF(ISERROR('Temp Hisfa'!U$3:U$200), "", ROW('Temp Hisfa'!U$3:U$200)-MIN(ROW('Temp Hisfa'!U$3:U$200))+1), ROW(113:312))),"")</f>
        <v>0</v>
      </c>
      <c r="V115" s="22">
        <f t="array" ref="V115">IFERROR(INDEX('Temp Hisfa'!V$3:V$200, SMALL(IF(ISERROR('Temp Hisfa'!V$3:V$200), "", ROW('Temp Hisfa'!V$3:V$200)-MIN(ROW('Temp Hisfa'!V$3:V$200))+1), ROW(113:312))),"")</f>
        <v>0</v>
      </c>
      <c r="W115" s="22">
        <f t="array" ref="W115">IFERROR(INDEX('Temp Hisfa'!W$3:W$200, SMALL(IF(ISERROR('Temp Hisfa'!W$3:W$200), "", ROW('Temp Hisfa'!W$3:W$200)-MIN(ROW('Temp Hisfa'!W$3:W$200))+1), ROW(113:312))),"")</f>
        <v>0</v>
      </c>
      <c r="X115" s="22">
        <f t="array" ref="X115">IFERROR(INDEX('Temp Hisfa'!X$3:X$200, SMALL(IF(ISERROR('Temp Hisfa'!X$3:X$200), "", ROW('Temp Hisfa'!X$3:X$200)-MIN(ROW('Temp Hisfa'!X$3:X$200))+1), ROW(113:312))),"")</f>
        <v>0</v>
      </c>
      <c r="Y115" s="22">
        <f t="array" ref="Y115">IFERROR(INDEX('Temp Hisfa'!Y$3:Y$200, SMALL(IF(ISERROR('Temp Hisfa'!Y$3:Y$200), "", ROW('Temp Hisfa'!Y$3:Y$200)-MIN(ROW('Temp Hisfa'!Y$3:Y$200))+1), ROW(113:312))),"")</f>
        <v>0</v>
      </c>
      <c r="Z115" s="22">
        <f t="array" ref="Z115">IFERROR(INDEX('Temp Hisfa'!Z$3:Z$200, SMALL(IF(ISERROR('Temp Hisfa'!Z$3:Z$200), "", ROW('Temp Hisfa'!Z$3:Z$200)-MIN(ROW('Temp Hisfa'!Z$3:Z$200))+1), ROW(113:312))),"")</f>
        <v>0</v>
      </c>
      <c r="AA115" s="22">
        <f t="array" ref="AA115">IFERROR(INDEX('Temp Hisfa'!AA$3:AA$200, SMALL(IF(ISERROR('Temp Hisfa'!AA$3:AA$200), "", ROW('Temp Hisfa'!AA$3:AA$200)-MIN(ROW('Temp Hisfa'!AA$3:AA$200))+1), ROW(113:312))),"")</f>
        <v>0</v>
      </c>
      <c r="AB115" s="22">
        <f t="array" ref="AB115">IFERROR(INDEX('Temp Hisfa'!AB$3:AB$200, SMALL(IF(ISERROR('Temp Hisfa'!AB$3:AB$200), "", ROW('Temp Hisfa'!AB$3:AB$200)-MIN(ROW('Temp Hisfa'!AB$3:AB$200))+1), ROW(113:312))),"")</f>
        <v>0</v>
      </c>
    </row>
    <row r="116" spans="1:28" x14ac:dyDescent="0.3">
      <c r="A116" s="4">
        <f t="array" ref="A116">IFERROR(INDEX('Temp Hisfa'!A$3:A$200, SMALL(IF(ISERROR('Temp Hisfa'!A$3:A$200), "", ROW('Temp Hisfa'!A$3:A$200)-MIN(ROW('Temp Hisfa'!A$3:A$200))+1), ROW(114:312))),"")</f>
        <v>0</v>
      </c>
      <c r="B116" s="4">
        <f t="array" ref="B116">IFERROR(INDEX('Temp Hisfa'!B$3:B$200, SMALL(IF(ISERROR('Temp Hisfa'!B$3:B$200), "", ROW('Temp Hisfa'!B$3:B$200)-MIN(ROW('Temp Hisfa'!B$3:B$200))+1), ROW(114:312))),"")</f>
        <v>0</v>
      </c>
      <c r="C116" s="3">
        <f t="array" ref="C116">IFERROR(INDEX('Temp Hisfa'!C$3:C$200, SMALL(IF(ISERROR('Temp Hisfa'!C$3:C$200), "", ROW('Temp Hisfa'!C$3:C$200)-MIN(ROW('Temp Hisfa'!C$3:C$200))+1), ROW(114:312))),"")</f>
        <v>0</v>
      </c>
      <c r="D116" s="3">
        <f t="array" ref="D116">IFERROR(INDEX('Temp Hisfa'!D$3:D$200, SMALL(IF(ISERROR('Temp Hisfa'!D$3:D$200), "", ROW('Temp Hisfa'!D$3:D$200)-MIN(ROW('Temp Hisfa'!D$3:D$200))+1), ROW(114:312))),"")</f>
        <v>0</v>
      </c>
      <c r="E116" s="29">
        <f t="array" ref="E116">IFERROR(INDEX('Temp Hisfa'!E$3:E$200, SMALL(IF(ISERROR('Temp Hisfa'!E$3:E$200), "", ROW('Temp Hisfa'!E$3:E$200)-MIN(ROW('Temp Hisfa'!E$3:E$200))+1), ROW(114:313))),"")</f>
        <v>0</v>
      </c>
      <c r="F116" s="22" t="str">
        <f t="array" ref="F116">IFERROR(INDEX('Temp Hisfa'!F$3:F$200, SMALL(IF(ISERROR('Temp Hisfa'!F$3:F$200), "", ROW('Temp Hisfa'!F$3:F$200)-MIN(ROW('Temp Hisfa'!F$3:F$200))+1), ROW(114:313))),"")</f>
        <v/>
      </c>
      <c r="G116" s="30">
        <f t="array" ref="G116">IFERROR(INDEX('Temp Hisfa'!G$3:G$200, SMALL(IF(ISERROR('Temp Hisfa'!G$3:G$200), "", ROW('Temp Hisfa'!G$3:G$200)-MIN(ROW('Temp Hisfa'!G$3:G$200))+1), ROW(114:313))),"")</f>
        <v>0</v>
      </c>
      <c r="H116" s="22" t="str">
        <f t="array" ref="H116">IFERROR(INDEX('Temp Hisfa'!H$3:H$200, SMALL(IF(ISERROR('Temp Hisfa'!H$3:H$200), "", ROW('Temp Hisfa'!H$3:H$200)-MIN(ROW('Temp Hisfa'!H$3:H$200))+1), ROW(114:313))),"")</f>
        <v/>
      </c>
      <c r="I116" s="22">
        <f t="array" ref="I116">IFERROR(INDEX('Temp Hisfa'!I$3:I$200, SMALL(IF(ISERROR('Temp Hisfa'!I$3:I$200), "", ROW('Temp Hisfa'!I$3:I$200)-MIN(ROW('Temp Hisfa'!I$3:I$200))+1), ROW(114:313))),"")</f>
        <v>0</v>
      </c>
      <c r="J116" s="22">
        <f t="array" ref="J116">IFERROR(INDEX('Temp Hisfa'!J$3:J$200, SMALL(IF(ISERROR('Temp Hisfa'!J$3:J$200), "", ROW('Temp Hisfa'!J$3:J$200)-MIN(ROW('Temp Hisfa'!J$3:J$200))+1), ROW(114:313))),"")</f>
        <v>0</v>
      </c>
      <c r="K116" s="30">
        <f t="array" ref="K116">IFERROR(INDEX('Temp Hisfa'!K$3:K$200, SMALL(IF(ISERROR('Temp Hisfa'!K$3:K$200), "", ROW('Temp Hisfa'!K$3:K$200)-MIN(ROW('Temp Hisfa'!K$3:K$200))+1), ROW(114:313))),"")</f>
        <v>0</v>
      </c>
      <c r="L116" s="22">
        <f t="array" ref="L116">IFERROR(INDEX('Temp Hisfa'!L$3:L$200, SMALL(IF(ISERROR('Temp Hisfa'!L$3:L$200), "", ROW('Temp Hisfa'!L$3:L$200)-MIN(ROW('Temp Hisfa'!L$3:L$200))+1), ROW(114:313))),"")</f>
        <v>0</v>
      </c>
      <c r="M116" s="22">
        <f t="array" ref="M116">IFERROR(INDEX('Temp Hisfa'!M$3:M$200, SMALL(IF(ISERROR('Temp Hisfa'!M$3:M$200), "", ROW('Temp Hisfa'!M$3:M$200)-MIN(ROW('Temp Hisfa'!M$3:M$200))+1), ROW(114:313))),"")</f>
        <v>0</v>
      </c>
      <c r="N116" s="22">
        <f t="array" ref="N116">IFERROR(INDEX('Temp Hisfa'!N$3:N$200, SMALL(IF(ISERROR('Temp Hisfa'!N$3:N$200), "", ROW('Temp Hisfa'!N$3:N$200)-MIN(ROW('Temp Hisfa'!N$3:N$200))+1), ROW(114:313))),"")</f>
        <v>1900</v>
      </c>
      <c r="O116" s="22" t="str">
        <f t="array" ref="O116">IFERROR(INDEX('Temp Hisfa'!O$3:O$200, SMALL(IF(ISERROR('Temp Hisfa'!O$3:O$200), "", ROW('Temp Hisfa'!O$3:O$200)-MIN(ROW('Temp Hisfa'!O$3:O$200))+1), ROW(114:313))),"")</f>
        <v>enero</v>
      </c>
      <c r="P116" s="22">
        <f t="array" ref="P116">IFERROR(INDEX('Temp Hisfa'!P$3:P$200, SMALL(IF(ISERROR('Temp Hisfa'!P$3:P$200), "", ROW('Temp Hisfa'!P$3:P$200)-MIN(ROW('Temp Hisfa'!P$3:P$200))+1), ROW(114:313))),"")</f>
        <v>0</v>
      </c>
      <c r="Q116" s="22">
        <f t="array" ref="Q116">IFERROR(INDEX('Temp Hisfa'!Q$3:Q$200, SMALL(IF(ISERROR('Temp Hisfa'!Q$3:Q$200), "", ROW('Temp Hisfa'!Q$3:Q$200)-MIN(ROW('Temp Hisfa'!Q$3:Q$200))+1), ROW(114:313))),"")</f>
        <v>0</v>
      </c>
      <c r="R116" s="22">
        <f t="array" ref="R116">IFERROR(INDEX('Temp Hisfa'!R$3:R$200, SMALL(IF(ISERROR('Temp Hisfa'!R$3:R$200), "", ROW('Temp Hisfa'!R$3:R$200)-MIN(ROW('Temp Hisfa'!R$3:R$200))+1), ROW(114:313))),"")</f>
        <v>0</v>
      </c>
      <c r="S116" s="22">
        <f t="array" ref="S116">IFERROR(INDEX('Temp Hisfa'!S$3:S$200, SMALL(IF(ISERROR('Temp Hisfa'!S$3:S$200), "", ROW('Temp Hisfa'!S$3:S$200)-MIN(ROW('Temp Hisfa'!S$3:S$200))+1), ROW(114:313))),"")</f>
        <v>0</v>
      </c>
      <c r="T116" s="22">
        <f t="array" ref="T116">IFERROR(INDEX('Temp Hisfa'!T$3:T$200, SMALL(IF(ISERROR('Temp Hisfa'!T$3:T$200), "", ROW('Temp Hisfa'!T$3:T$200)-MIN(ROW('Temp Hisfa'!T$3:T$200))+1), ROW(114:313))),"")</f>
        <v>0</v>
      </c>
      <c r="U116" s="22">
        <f t="array" ref="U116">IFERROR(INDEX('Temp Hisfa'!U$3:U$200, SMALL(IF(ISERROR('Temp Hisfa'!U$3:U$200), "", ROW('Temp Hisfa'!U$3:U$200)-MIN(ROW('Temp Hisfa'!U$3:U$200))+1), ROW(114:313))),"")</f>
        <v>0</v>
      </c>
      <c r="V116" s="22">
        <f t="array" ref="V116">IFERROR(INDEX('Temp Hisfa'!V$3:V$200, SMALL(IF(ISERROR('Temp Hisfa'!V$3:V$200), "", ROW('Temp Hisfa'!V$3:V$200)-MIN(ROW('Temp Hisfa'!V$3:V$200))+1), ROW(114:313))),"")</f>
        <v>0</v>
      </c>
      <c r="W116" s="22">
        <f t="array" ref="W116">IFERROR(INDEX('Temp Hisfa'!W$3:W$200, SMALL(IF(ISERROR('Temp Hisfa'!W$3:W$200), "", ROW('Temp Hisfa'!W$3:W$200)-MIN(ROW('Temp Hisfa'!W$3:W$200))+1), ROW(114:313))),"")</f>
        <v>0</v>
      </c>
      <c r="X116" s="22">
        <f t="array" ref="X116">IFERROR(INDEX('Temp Hisfa'!X$3:X$200, SMALL(IF(ISERROR('Temp Hisfa'!X$3:X$200), "", ROW('Temp Hisfa'!X$3:X$200)-MIN(ROW('Temp Hisfa'!X$3:X$200))+1), ROW(114:313))),"")</f>
        <v>0</v>
      </c>
      <c r="Y116" s="22">
        <f t="array" ref="Y116">IFERROR(INDEX('Temp Hisfa'!Y$3:Y$200, SMALL(IF(ISERROR('Temp Hisfa'!Y$3:Y$200), "", ROW('Temp Hisfa'!Y$3:Y$200)-MIN(ROW('Temp Hisfa'!Y$3:Y$200))+1), ROW(114:313))),"")</f>
        <v>0</v>
      </c>
      <c r="Z116" s="22">
        <f t="array" ref="Z116">IFERROR(INDEX('Temp Hisfa'!Z$3:Z$200, SMALL(IF(ISERROR('Temp Hisfa'!Z$3:Z$200), "", ROW('Temp Hisfa'!Z$3:Z$200)-MIN(ROW('Temp Hisfa'!Z$3:Z$200))+1), ROW(114:313))),"")</f>
        <v>0</v>
      </c>
      <c r="AA116" s="22">
        <f t="array" ref="AA116">IFERROR(INDEX('Temp Hisfa'!AA$3:AA$200, SMALL(IF(ISERROR('Temp Hisfa'!AA$3:AA$200), "", ROW('Temp Hisfa'!AA$3:AA$200)-MIN(ROW('Temp Hisfa'!AA$3:AA$200))+1), ROW(114:313))),"")</f>
        <v>0</v>
      </c>
      <c r="AB116" s="22">
        <f t="array" ref="AB116">IFERROR(INDEX('Temp Hisfa'!AB$3:AB$200, SMALL(IF(ISERROR('Temp Hisfa'!AB$3:AB$200), "", ROW('Temp Hisfa'!AB$3:AB$200)-MIN(ROW('Temp Hisfa'!AB$3:AB$200))+1), ROW(114:313))),"")</f>
        <v>0</v>
      </c>
    </row>
    <row r="117" spans="1:28" x14ac:dyDescent="0.3">
      <c r="A117" s="4">
        <f t="array" ref="A117">IFERROR(INDEX('Temp Hisfa'!A$3:A$200, SMALL(IF(ISERROR('Temp Hisfa'!A$3:A$200), "", ROW('Temp Hisfa'!A$3:A$200)-MIN(ROW('Temp Hisfa'!A$3:A$200))+1), ROW(115:313))),"")</f>
        <v>0</v>
      </c>
      <c r="B117" s="4">
        <f t="array" ref="B117">IFERROR(INDEX('Temp Hisfa'!B$3:B$200, SMALL(IF(ISERROR('Temp Hisfa'!B$3:B$200), "", ROW('Temp Hisfa'!B$3:B$200)-MIN(ROW('Temp Hisfa'!B$3:B$200))+1), ROW(115:313))),"")</f>
        <v>0</v>
      </c>
      <c r="C117" s="3">
        <f t="array" ref="C117">IFERROR(INDEX('Temp Hisfa'!C$3:C$200, SMALL(IF(ISERROR('Temp Hisfa'!C$3:C$200), "", ROW('Temp Hisfa'!C$3:C$200)-MIN(ROW('Temp Hisfa'!C$3:C$200))+1), ROW(115:313))),"")</f>
        <v>0</v>
      </c>
      <c r="D117" s="3">
        <f t="array" ref="D117">IFERROR(INDEX('Temp Hisfa'!D$3:D$200, SMALL(IF(ISERROR('Temp Hisfa'!D$3:D$200), "", ROW('Temp Hisfa'!D$3:D$200)-MIN(ROW('Temp Hisfa'!D$3:D$200))+1), ROW(115:313))),"")</f>
        <v>0</v>
      </c>
      <c r="E117" s="29">
        <f t="array" ref="E117">IFERROR(INDEX('Temp Hisfa'!E$3:E$200, SMALL(IF(ISERROR('Temp Hisfa'!E$3:E$200), "", ROW('Temp Hisfa'!E$3:E$200)-MIN(ROW('Temp Hisfa'!E$3:E$200))+1), ROW(115:314))),"")</f>
        <v>0</v>
      </c>
      <c r="F117" s="22" t="str">
        <f t="array" ref="F117">IFERROR(INDEX('Temp Hisfa'!F$3:F$200, SMALL(IF(ISERROR('Temp Hisfa'!F$3:F$200), "", ROW('Temp Hisfa'!F$3:F$200)-MIN(ROW('Temp Hisfa'!F$3:F$200))+1), ROW(115:314))),"")</f>
        <v/>
      </c>
      <c r="G117" s="30">
        <f t="array" ref="G117">IFERROR(INDEX('Temp Hisfa'!G$3:G$200, SMALL(IF(ISERROR('Temp Hisfa'!G$3:G$200), "", ROW('Temp Hisfa'!G$3:G$200)-MIN(ROW('Temp Hisfa'!G$3:G$200))+1), ROW(115:314))),"")</f>
        <v>0</v>
      </c>
      <c r="H117" s="22" t="str">
        <f t="array" ref="H117">IFERROR(INDEX('Temp Hisfa'!H$3:H$200, SMALL(IF(ISERROR('Temp Hisfa'!H$3:H$200), "", ROW('Temp Hisfa'!H$3:H$200)-MIN(ROW('Temp Hisfa'!H$3:H$200))+1), ROW(115:314))),"")</f>
        <v/>
      </c>
      <c r="I117" s="22">
        <f t="array" ref="I117">IFERROR(INDEX('Temp Hisfa'!I$3:I$200, SMALL(IF(ISERROR('Temp Hisfa'!I$3:I$200), "", ROW('Temp Hisfa'!I$3:I$200)-MIN(ROW('Temp Hisfa'!I$3:I$200))+1), ROW(115:314))),"")</f>
        <v>0</v>
      </c>
      <c r="J117" s="22">
        <f t="array" ref="J117">IFERROR(INDEX('Temp Hisfa'!J$3:J$200, SMALL(IF(ISERROR('Temp Hisfa'!J$3:J$200), "", ROW('Temp Hisfa'!J$3:J$200)-MIN(ROW('Temp Hisfa'!J$3:J$200))+1), ROW(115:314))),"")</f>
        <v>0</v>
      </c>
      <c r="K117" s="30">
        <f t="array" ref="K117">IFERROR(INDEX('Temp Hisfa'!K$3:K$200, SMALL(IF(ISERROR('Temp Hisfa'!K$3:K$200), "", ROW('Temp Hisfa'!K$3:K$200)-MIN(ROW('Temp Hisfa'!K$3:K$200))+1), ROW(115:314))),"")</f>
        <v>0</v>
      </c>
      <c r="L117" s="22">
        <f t="array" ref="L117">IFERROR(INDEX('Temp Hisfa'!L$3:L$200, SMALL(IF(ISERROR('Temp Hisfa'!L$3:L$200), "", ROW('Temp Hisfa'!L$3:L$200)-MIN(ROW('Temp Hisfa'!L$3:L$200))+1), ROW(115:314))),"")</f>
        <v>0</v>
      </c>
      <c r="M117" s="22">
        <f t="array" ref="M117">IFERROR(INDEX('Temp Hisfa'!M$3:M$200, SMALL(IF(ISERROR('Temp Hisfa'!M$3:M$200), "", ROW('Temp Hisfa'!M$3:M$200)-MIN(ROW('Temp Hisfa'!M$3:M$200))+1), ROW(115:314))),"")</f>
        <v>0</v>
      </c>
      <c r="N117" s="22">
        <f t="array" ref="N117">IFERROR(INDEX('Temp Hisfa'!N$3:N$200, SMALL(IF(ISERROR('Temp Hisfa'!N$3:N$200), "", ROW('Temp Hisfa'!N$3:N$200)-MIN(ROW('Temp Hisfa'!N$3:N$200))+1), ROW(115:314))),"")</f>
        <v>1900</v>
      </c>
      <c r="O117" s="22" t="str">
        <f t="array" ref="O117">IFERROR(INDEX('Temp Hisfa'!O$3:O$200, SMALL(IF(ISERROR('Temp Hisfa'!O$3:O$200), "", ROW('Temp Hisfa'!O$3:O$200)-MIN(ROW('Temp Hisfa'!O$3:O$200))+1), ROW(115:314))),"")</f>
        <v>enero</v>
      </c>
      <c r="P117" s="22">
        <f t="array" ref="P117">IFERROR(INDEX('Temp Hisfa'!P$3:P$200, SMALL(IF(ISERROR('Temp Hisfa'!P$3:P$200), "", ROW('Temp Hisfa'!P$3:P$200)-MIN(ROW('Temp Hisfa'!P$3:P$200))+1), ROW(115:314))),"")</f>
        <v>0</v>
      </c>
      <c r="Q117" s="22">
        <f t="array" ref="Q117">IFERROR(INDEX('Temp Hisfa'!Q$3:Q$200, SMALL(IF(ISERROR('Temp Hisfa'!Q$3:Q$200), "", ROW('Temp Hisfa'!Q$3:Q$200)-MIN(ROW('Temp Hisfa'!Q$3:Q$200))+1), ROW(115:314))),"")</f>
        <v>0</v>
      </c>
      <c r="R117" s="22">
        <f t="array" ref="R117">IFERROR(INDEX('Temp Hisfa'!R$3:R$200, SMALL(IF(ISERROR('Temp Hisfa'!R$3:R$200), "", ROW('Temp Hisfa'!R$3:R$200)-MIN(ROW('Temp Hisfa'!R$3:R$200))+1), ROW(115:314))),"")</f>
        <v>0</v>
      </c>
      <c r="S117" s="22">
        <f t="array" ref="S117">IFERROR(INDEX('Temp Hisfa'!S$3:S$200, SMALL(IF(ISERROR('Temp Hisfa'!S$3:S$200), "", ROW('Temp Hisfa'!S$3:S$200)-MIN(ROW('Temp Hisfa'!S$3:S$200))+1), ROW(115:314))),"")</f>
        <v>0</v>
      </c>
      <c r="T117" s="22">
        <f t="array" ref="T117">IFERROR(INDEX('Temp Hisfa'!T$3:T$200, SMALL(IF(ISERROR('Temp Hisfa'!T$3:T$200), "", ROW('Temp Hisfa'!T$3:T$200)-MIN(ROW('Temp Hisfa'!T$3:T$200))+1), ROW(115:314))),"")</f>
        <v>0</v>
      </c>
      <c r="U117" s="22">
        <f t="array" ref="U117">IFERROR(INDEX('Temp Hisfa'!U$3:U$200, SMALL(IF(ISERROR('Temp Hisfa'!U$3:U$200), "", ROW('Temp Hisfa'!U$3:U$200)-MIN(ROW('Temp Hisfa'!U$3:U$200))+1), ROW(115:314))),"")</f>
        <v>0</v>
      </c>
      <c r="V117" s="22">
        <f t="array" ref="V117">IFERROR(INDEX('Temp Hisfa'!V$3:V$200, SMALL(IF(ISERROR('Temp Hisfa'!V$3:V$200), "", ROW('Temp Hisfa'!V$3:V$200)-MIN(ROW('Temp Hisfa'!V$3:V$200))+1), ROW(115:314))),"")</f>
        <v>0</v>
      </c>
      <c r="W117" s="22">
        <f t="array" ref="W117">IFERROR(INDEX('Temp Hisfa'!W$3:W$200, SMALL(IF(ISERROR('Temp Hisfa'!W$3:W$200), "", ROW('Temp Hisfa'!W$3:W$200)-MIN(ROW('Temp Hisfa'!W$3:W$200))+1), ROW(115:314))),"")</f>
        <v>0</v>
      </c>
      <c r="X117" s="22">
        <f t="array" ref="X117">IFERROR(INDEX('Temp Hisfa'!X$3:X$200, SMALL(IF(ISERROR('Temp Hisfa'!X$3:X$200), "", ROW('Temp Hisfa'!X$3:X$200)-MIN(ROW('Temp Hisfa'!X$3:X$200))+1), ROW(115:314))),"")</f>
        <v>0</v>
      </c>
      <c r="Y117" s="22">
        <f t="array" ref="Y117">IFERROR(INDEX('Temp Hisfa'!Y$3:Y$200, SMALL(IF(ISERROR('Temp Hisfa'!Y$3:Y$200), "", ROW('Temp Hisfa'!Y$3:Y$200)-MIN(ROW('Temp Hisfa'!Y$3:Y$200))+1), ROW(115:314))),"")</f>
        <v>0</v>
      </c>
      <c r="Z117" s="22">
        <f t="array" ref="Z117">IFERROR(INDEX('Temp Hisfa'!Z$3:Z$200, SMALL(IF(ISERROR('Temp Hisfa'!Z$3:Z$200), "", ROW('Temp Hisfa'!Z$3:Z$200)-MIN(ROW('Temp Hisfa'!Z$3:Z$200))+1), ROW(115:314))),"")</f>
        <v>0</v>
      </c>
      <c r="AA117" s="22">
        <f t="array" ref="AA117">IFERROR(INDEX('Temp Hisfa'!AA$3:AA$200, SMALL(IF(ISERROR('Temp Hisfa'!AA$3:AA$200), "", ROW('Temp Hisfa'!AA$3:AA$200)-MIN(ROW('Temp Hisfa'!AA$3:AA$200))+1), ROW(115:314))),"")</f>
        <v>0</v>
      </c>
      <c r="AB117" s="22">
        <f t="array" ref="AB117">IFERROR(INDEX('Temp Hisfa'!AB$3:AB$200, SMALL(IF(ISERROR('Temp Hisfa'!AB$3:AB$200), "", ROW('Temp Hisfa'!AB$3:AB$200)-MIN(ROW('Temp Hisfa'!AB$3:AB$200))+1), ROW(115:314))),"")</f>
        <v>0</v>
      </c>
    </row>
    <row r="118" spans="1:28" x14ac:dyDescent="0.3">
      <c r="A118" s="4">
        <f t="array" ref="A118">IFERROR(INDEX('Temp Hisfa'!A$3:A$200, SMALL(IF(ISERROR('Temp Hisfa'!A$3:A$200), "", ROW('Temp Hisfa'!A$3:A$200)-MIN(ROW('Temp Hisfa'!A$3:A$200))+1), ROW(116:314))),"")</f>
        <v>0</v>
      </c>
      <c r="B118" s="4">
        <f t="array" ref="B118">IFERROR(INDEX('Temp Hisfa'!B$3:B$200, SMALL(IF(ISERROR('Temp Hisfa'!B$3:B$200), "", ROW('Temp Hisfa'!B$3:B$200)-MIN(ROW('Temp Hisfa'!B$3:B$200))+1), ROW(116:314))),"")</f>
        <v>0</v>
      </c>
      <c r="C118" s="3">
        <f t="array" ref="C118">IFERROR(INDEX('Temp Hisfa'!C$3:C$200, SMALL(IF(ISERROR('Temp Hisfa'!C$3:C$200), "", ROW('Temp Hisfa'!C$3:C$200)-MIN(ROW('Temp Hisfa'!C$3:C$200))+1), ROW(116:314))),"")</f>
        <v>0</v>
      </c>
      <c r="D118" s="3">
        <f t="array" ref="D118">IFERROR(INDEX('Temp Hisfa'!D$3:D$200, SMALL(IF(ISERROR('Temp Hisfa'!D$3:D$200), "", ROW('Temp Hisfa'!D$3:D$200)-MIN(ROW('Temp Hisfa'!D$3:D$200))+1), ROW(116:314))),"")</f>
        <v>0</v>
      </c>
      <c r="E118" s="29">
        <f t="array" ref="E118">IFERROR(INDEX('Temp Hisfa'!E$3:E$200, SMALL(IF(ISERROR('Temp Hisfa'!E$3:E$200), "", ROW('Temp Hisfa'!E$3:E$200)-MIN(ROW('Temp Hisfa'!E$3:E$200))+1), ROW(116:315))),"")</f>
        <v>0</v>
      </c>
      <c r="F118" s="22" t="str">
        <f t="array" ref="F118">IFERROR(INDEX('Temp Hisfa'!F$3:F$200, SMALL(IF(ISERROR('Temp Hisfa'!F$3:F$200), "", ROW('Temp Hisfa'!F$3:F$200)-MIN(ROW('Temp Hisfa'!F$3:F$200))+1), ROW(116:315))),"")</f>
        <v/>
      </c>
      <c r="G118" s="30">
        <f t="array" ref="G118">IFERROR(INDEX('Temp Hisfa'!G$3:G$200, SMALL(IF(ISERROR('Temp Hisfa'!G$3:G$200), "", ROW('Temp Hisfa'!G$3:G$200)-MIN(ROW('Temp Hisfa'!G$3:G$200))+1), ROW(116:315))),"")</f>
        <v>0</v>
      </c>
      <c r="H118" s="22" t="str">
        <f t="array" ref="H118">IFERROR(INDEX('Temp Hisfa'!H$3:H$200, SMALL(IF(ISERROR('Temp Hisfa'!H$3:H$200), "", ROW('Temp Hisfa'!H$3:H$200)-MIN(ROW('Temp Hisfa'!H$3:H$200))+1), ROW(116:315))),"")</f>
        <v/>
      </c>
      <c r="I118" s="22">
        <f t="array" ref="I118">IFERROR(INDEX('Temp Hisfa'!I$3:I$200, SMALL(IF(ISERROR('Temp Hisfa'!I$3:I$200), "", ROW('Temp Hisfa'!I$3:I$200)-MIN(ROW('Temp Hisfa'!I$3:I$200))+1), ROW(116:315))),"")</f>
        <v>0</v>
      </c>
      <c r="J118" s="22">
        <f t="array" ref="J118">IFERROR(INDEX('Temp Hisfa'!J$3:J$200, SMALL(IF(ISERROR('Temp Hisfa'!J$3:J$200), "", ROW('Temp Hisfa'!J$3:J$200)-MIN(ROW('Temp Hisfa'!J$3:J$200))+1), ROW(116:315))),"")</f>
        <v>0</v>
      </c>
      <c r="K118" s="30">
        <f t="array" ref="K118">IFERROR(INDEX('Temp Hisfa'!K$3:K$200, SMALL(IF(ISERROR('Temp Hisfa'!K$3:K$200), "", ROW('Temp Hisfa'!K$3:K$200)-MIN(ROW('Temp Hisfa'!K$3:K$200))+1), ROW(116:315))),"")</f>
        <v>0</v>
      </c>
      <c r="L118" s="22">
        <f t="array" ref="L118">IFERROR(INDEX('Temp Hisfa'!L$3:L$200, SMALL(IF(ISERROR('Temp Hisfa'!L$3:L$200), "", ROW('Temp Hisfa'!L$3:L$200)-MIN(ROW('Temp Hisfa'!L$3:L$200))+1), ROW(116:315))),"")</f>
        <v>0</v>
      </c>
      <c r="M118" s="22">
        <f t="array" ref="M118">IFERROR(INDEX('Temp Hisfa'!M$3:M$200, SMALL(IF(ISERROR('Temp Hisfa'!M$3:M$200), "", ROW('Temp Hisfa'!M$3:M$200)-MIN(ROW('Temp Hisfa'!M$3:M$200))+1), ROW(116:315))),"")</f>
        <v>0</v>
      </c>
      <c r="N118" s="22">
        <f t="array" ref="N118">IFERROR(INDEX('Temp Hisfa'!N$3:N$200, SMALL(IF(ISERROR('Temp Hisfa'!N$3:N$200), "", ROW('Temp Hisfa'!N$3:N$200)-MIN(ROW('Temp Hisfa'!N$3:N$200))+1), ROW(116:315))),"")</f>
        <v>1900</v>
      </c>
      <c r="O118" s="22" t="str">
        <f t="array" ref="O118">IFERROR(INDEX('Temp Hisfa'!O$3:O$200, SMALL(IF(ISERROR('Temp Hisfa'!O$3:O$200), "", ROW('Temp Hisfa'!O$3:O$200)-MIN(ROW('Temp Hisfa'!O$3:O$200))+1), ROW(116:315))),"")</f>
        <v>enero</v>
      </c>
      <c r="P118" s="22">
        <f t="array" ref="P118">IFERROR(INDEX('Temp Hisfa'!P$3:P$200, SMALL(IF(ISERROR('Temp Hisfa'!P$3:P$200), "", ROW('Temp Hisfa'!P$3:P$200)-MIN(ROW('Temp Hisfa'!P$3:P$200))+1), ROW(116:315))),"")</f>
        <v>0</v>
      </c>
      <c r="Q118" s="22">
        <f t="array" ref="Q118">IFERROR(INDEX('Temp Hisfa'!Q$3:Q$200, SMALL(IF(ISERROR('Temp Hisfa'!Q$3:Q$200), "", ROW('Temp Hisfa'!Q$3:Q$200)-MIN(ROW('Temp Hisfa'!Q$3:Q$200))+1), ROW(116:315))),"")</f>
        <v>0</v>
      </c>
      <c r="R118" s="22">
        <f t="array" ref="R118">IFERROR(INDEX('Temp Hisfa'!R$3:R$200, SMALL(IF(ISERROR('Temp Hisfa'!R$3:R$200), "", ROW('Temp Hisfa'!R$3:R$200)-MIN(ROW('Temp Hisfa'!R$3:R$200))+1), ROW(116:315))),"")</f>
        <v>0</v>
      </c>
      <c r="S118" s="22">
        <f t="array" ref="S118">IFERROR(INDEX('Temp Hisfa'!S$3:S$200, SMALL(IF(ISERROR('Temp Hisfa'!S$3:S$200), "", ROW('Temp Hisfa'!S$3:S$200)-MIN(ROW('Temp Hisfa'!S$3:S$200))+1), ROW(116:315))),"")</f>
        <v>0</v>
      </c>
      <c r="T118" s="22">
        <f t="array" ref="T118">IFERROR(INDEX('Temp Hisfa'!T$3:T$200, SMALL(IF(ISERROR('Temp Hisfa'!T$3:T$200), "", ROW('Temp Hisfa'!T$3:T$200)-MIN(ROW('Temp Hisfa'!T$3:T$200))+1), ROW(116:315))),"")</f>
        <v>0</v>
      </c>
      <c r="U118" s="22">
        <f t="array" ref="U118">IFERROR(INDEX('Temp Hisfa'!U$3:U$200, SMALL(IF(ISERROR('Temp Hisfa'!U$3:U$200), "", ROW('Temp Hisfa'!U$3:U$200)-MIN(ROW('Temp Hisfa'!U$3:U$200))+1), ROW(116:315))),"")</f>
        <v>0</v>
      </c>
      <c r="V118" s="22">
        <f t="array" ref="V118">IFERROR(INDEX('Temp Hisfa'!V$3:V$200, SMALL(IF(ISERROR('Temp Hisfa'!V$3:V$200), "", ROW('Temp Hisfa'!V$3:V$200)-MIN(ROW('Temp Hisfa'!V$3:V$200))+1), ROW(116:315))),"")</f>
        <v>0</v>
      </c>
      <c r="W118" s="22">
        <f t="array" ref="W118">IFERROR(INDEX('Temp Hisfa'!W$3:W$200, SMALL(IF(ISERROR('Temp Hisfa'!W$3:W$200), "", ROW('Temp Hisfa'!W$3:W$200)-MIN(ROW('Temp Hisfa'!W$3:W$200))+1), ROW(116:315))),"")</f>
        <v>0</v>
      </c>
      <c r="X118" s="22">
        <f t="array" ref="X118">IFERROR(INDEX('Temp Hisfa'!X$3:X$200, SMALL(IF(ISERROR('Temp Hisfa'!X$3:X$200), "", ROW('Temp Hisfa'!X$3:X$200)-MIN(ROW('Temp Hisfa'!X$3:X$200))+1), ROW(116:315))),"")</f>
        <v>0</v>
      </c>
      <c r="Y118" s="22">
        <f t="array" ref="Y118">IFERROR(INDEX('Temp Hisfa'!Y$3:Y$200, SMALL(IF(ISERROR('Temp Hisfa'!Y$3:Y$200), "", ROW('Temp Hisfa'!Y$3:Y$200)-MIN(ROW('Temp Hisfa'!Y$3:Y$200))+1), ROW(116:315))),"")</f>
        <v>0</v>
      </c>
      <c r="Z118" s="22">
        <f t="array" ref="Z118">IFERROR(INDEX('Temp Hisfa'!Z$3:Z$200, SMALL(IF(ISERROR('Temp Hisfa'!Z$3:Z$200), "", ROW('Temp Hisfa'!Z$3:Z$200)-MIN(ROW('Temp Hisfa'!Z$3:Z$200))+1), ROW(116:315))),"")</f>
        <v>0</v>
      </c>
      <c r="AA118" s="22">
        <f t="array" ref="AA118">IFERROR(INDEX('Temp Hisfa'!AA$3:AA$200, SMALL(IF(ISERROR('Temp Hisfa'!AA$3:AA$200), "", ROW('Temp Hisfa'!AA$3:AA$200)-MIN(ROW('Temp Hisfa'!AA$3:AA$200))+1), ROW(116:315))),"")</f>
        <v>0</v>
      </c>
      <c r="AB118" s="22">
        <f t="array" ref="AB118">IFERROR(INDEX('Temp Hisfa'!AB$3:AB$200, SMALL(IF(ISERROR('Temp Hisfa'!AB$3:AB$200), "", ROW('Temp Hisfa'!AB$3:AB$200)-MIN(ROW('Temp Hisfa'!AB$3:AB$200))+1), ROW(116:315))),"")</f>
        <v>0</v>
      </c>
    </row>
    <row r="119" spans="1:28" x14ac:dyDescent="0.3">
      <c r="A119" s="4">
        <f t="array" ref="A119">IFERROR(INDEX('Temp Hisfa'!A$3:A$200, SMALL(IF(ISERROR('Temp Hisfa'!A$3:A$200), "", ROW('Temp Hisfa'!A$3:A$200)-MIN(ROW('Temp Hisfa'!A$3:A$200))+1), ROW(117:315))),"")</f>
        <v>0</v>
      </c>
      <c r="B119" s="4">
        <f t="array" ref="B119">IFERROR(INDEX('Temp Hisfa'!B$3:B$200, SMALL(IF(ISERROR('Temp Hisfa'!B$3:B$200), "", ROW('Temp Hisfa'!B$3:B$200)-MIN(ROW('Temp Hisfa'!B$3:B$200))+1), ROW(117:315))),"")</f>
        <v>0</v>
      </c>
      <c r="C119" s="3">
        <f t="array" ref="C119">IFERROR(INDEX('Temp Hisfa'!C$3:C$200, SMALL(IF(ISERROR('Temp Hisfa'!C$3:C$200), "", ROW('Temp Hisfa'!C$3:C$200)-MIN(ROW('Temp Hisfa'!C$3:C$200))+1), ROW(117:315))),"")</f>
        <v>0</v>
      </c>
      <c r="D119" s="3">
        <f t="array" ref="D119">IFERROR(INDEX('Temp Hisfa'!D$3:D$200, SMALL(IF(ISERROR('Temp Hisfa'!D$3:D$200), "", ROW('Temp Hisfa'!D$3:D$200)-MIN(ROW('Temp Hisfa'!D$3:D$200))+1), ROW(117:315))),"")</f>
        <v>0</v>
      </c>
      <c r="E119" s="29">
        <f t="array" ref="E119">IFERROR(INDEX('Temp Hisfa'!E$3:E$200, SMALL(IF(ISERROR('Temp Hisfa'!E$3:E$200), "", ROW('Temp Hisfa'!E$3:E$200)-MIN(ROW('Temp Hisfa'!E$3:E$200))+1), ROW(117:316))),"")</f>
        <v>0</v>
      </c>
      <c r="F119" s="22" t="str">
        <f t="array" ref="F119">IFERROR(INDEX('Temp Hisfa'!F$3:F$200, SMALL(IF(ISERROR('Temp Hisfa'!F$3:F$200), "", ROW('Temp Hisfa'!F$3:F$200)-MIN(ROW('Temp Hisfa'!F$3:F$200))+1), ROW(117:316))),"")</f>
        <v/>
      </c>
      <c r="G119" s="30">
        <f t="array" ref="G119">IFERROR(INDEX('Temp Hisfa'!G$3:G$200, SMALL(IF(ISERROR('Temp Hisfa'!G$3:G$200), "", ROW('Temp Hisfa'!G$3:G$200)-MIN(ROW('Temp Hisfa'!G$3:G$200))+1), ROW(117:316))),"")</f>
        <v>0</v>
      </c>
      <c r="H119" s="22" t="str">
        <f t="array" ref="H119">IFERROR(INDEX('Temp Hisfa'!H$3:H$200, SMALL(IF(ISERROR('Temp Hisfa'!H$3:H$200), "", ROW('Temp Hisfa'!H$3:H$200)-MIN(ROW('Temp Hisfa'!H$3:H$200))+1), ROW(117:316))),"")</f>
        <v/>
      </c>
      <c r="I119" s="22">
        <f t="array" ref="I119">IFERROR(INDEX('Temp Hisfa'!I$3:I$200, SMALL(IF(ISERROR('Temp Hisfa'!I$3:I$200), "", ROW('Temp Hisfa'!I$3:I$200)-MIN(ROW('Temp Hisfa'!I$3:I$200))+1), ROW(117:316))),"")</f>
        <v>0</v>
      </c>
      <c r="J119" s="22">
        <f t="array" ref="J119">IFERROR(INDEX('Temp Hisfa'!J$3:J$200, SMALL(IF(ISERROR('Temp Hisfa'!J$3:J$200), "", ROW('Temp Hisfa'!J$3:J$200)-MIN(ROW('Temp Hisfa'!J$3:J$200))+1), ROW(117:316))),"")</f>
        <v>0</v>
      </c>
      <c r="K119" s="30">
        <f t="array" ref="K119">IFERROR(INDEX('Temp Hisfa'!K$3:K$200, SMALL(IF(ISERROR('Temp Hisfa'!K$3:K$200), "", ROW('Temp Hisfa'!K$3:K$200)-MIN(ROW('Temp Hisfa'!K$3:K$200))+1), ROW(117:316))),"")</f>
        <v>0</v>
      </c>
      <c r="L119" s="22">
        <f t="array" ref="L119">IFERROR(INDEX('Temp Hisfa'!L$3:L$200, SMALL(IF(ISERROR('Temp Hisfa'!L$3:L$200), "", ROW('Temp Hisfa'!L$3:L$200)-MIN(ROW('Temp Hisfa'!L$3:L$200))+1), ROW(117:316))),"")</f>
        <v>0</v>
      </c>
      <c r="M119" s="22">
        <f t="array" ref="M119">IFERROR(INDEX('Temp Hisfa'!M$3:M$200, SMALL(IF(ISERROR('Temp Hisfa'!M$3:M$200), "", ROW('Temp Hisfa'!M$3:M$200)-MIN(ROW('Temp Hisfa'!M$3:M$200))+1), ROW(117:316))),"")</f>
        <v>0</v>
      </c>
      <c r="N119" s="22">
        <f t="array" ref="N119">IFERROR(INDEX('Temp Hisfa'!N$3:N$200, SMALL(IF(ISERROR('Temp Hisfa'!N$3:N$200), "", ROW('Temp Hisfa'!N$3:N$200)-MIN(ROW('Temp Hisfa'!N$3:N$200))+1), ROW(117:316))),"")</f>
        <v>1900</v>
      </c>
      <c r="O119" s="22" t="str">
        <f t="array" ref="O119">IFERROR(INDEX('Temp Hisfa'!O$3:O$200, SMALL(IF(ISERROR('Temp Hisfa'!O$3:O$200), "", ROW('Temp Hisfa'!O$3:O$200)-MIN(ROW('Temp Hisfa'!O$3:O$200))+1), ROW(117:316))),"")</f>
        <v>enero</v>
      </c>
      <c r="P119" s="22">
        <f t="array" ref="P119">IFERROR(INDEX('Temp Hisfa'!P$3:P$200, SMALL(IF(ISERROR('Temp Hisfa'!P$3:P$200), "", ROW('Temp Hisfa'!P$3:P$200)-MIN(ROW('Temp Hisfa'!P$3:P$200))+1), ROW(117:316))),"")</f>
        <v>0</v>
      </c>
      <c r="Q119" s="22">
        <f t="array" ref="Q119">IFERROR(INDEX('Temp Hisfa'!Q$3:Q$200, SMALL(IF(ISERROR('Temp Hisfa'!Q$3:Q$200), "", ROW('Temp Hisfa'!Q$3:Q$200)-MIN(ROW('Temp Hisfa'!Q$3:Q$200))+1), ROW(117:316))),"")</f>
        <v>0</v>
      </c>
      <c r="R119" s="22">
        <f t="array" ref="R119">IFERROR(INDEX('Temp Hisfa'!R$3:R$200, SMALL(IF(ISERROR('Temp Hisfa'!R$3:R$200), "", ROW('Temp Hisfa'!R$3:R$200)-MIN(ROW('Temp Hisfa'!R$3:R$200))+1), ROW(117:316))),"")</f>
        <v>0</v>
      </c>
      <c r="S119" s="22">
        <f t="array" ref="S119">IFERROR(INDEX('Temp Hisfa'!S$3:S$200, SMALL(IF(ISERROR('Temp Hisfa'!S$3:S$200), "", ROW('Temp Hisfa'!S$3:S$200)-MIN(ROW('Temp Hisfa'!S$3:S$200))+1), ROW(117:316))),"")</f>
        <v>0</v>
      </c>
      <c r="T119" s="22">
        <f t="array" ref="T119">IFERROR(INDEX('Temp Hisfa'!T$3:T$200, SMALL(IF(ISERROR('Temp Hisfa'!T$3:T$200), "", ROW('Temp Hisfa'!T$3:T$200)-MIN(ROW('Temp Hisfa'!T$3:T$200))+1), ROW(117:316))),"")</f>
        <v>0</v>
      </c>
      <c r="U119" s="22">
        <f t="array" ref="U119">IFERROR(INDEX('Temp Hisfa'!U$3:U$200, SMALL(IF(ISERROR('Temp Hisfa'!U$3:U$200), "", ROW('Temp Hisfa'!U$3:U$200)-MIN(ROW('Temp Hisfa'!U$3:U$200))+1), ROW(117:316))),"")</f>
        <v>0</v>
      </c>
      <c r="V119" s="22">
        <f t="array" ref="V119">IFERROR(INDEX('Temp Hisfa'!V$3:V$200, SMALL(IF(ISERROR('Temp Hisfa'!V$3:V$200), "", ROW('Temp Hisfa'!V$3:V$200)-MIN(ROW('Temp Hisfa'!V$3:V$200))+1), ROW(117:316))),"")</f>
        <v>0</v>
      </c>
      <c r="W119" s="22">
        <f t="array" ref="W119">IFERROR(INDEX('Temp Hisfa'!W$3:W$200, SMALL(IF(ISERROR('Temp Hisfa'!W$3:W$200), "", ROW('Temp Hisfa'!W$3:W$200)-MIN(ROW('Temp Hisfa'!W$3:W$200))+1), ROW(117:316))),"")</f>
        <v>0</v>
      </c>
      <c r="X119" s="22">
        <f t="array" ref="X119">IFERROR(INDEX('Temp Hisfa'!X$3:X$200, SMALL(IF(ISERROR('Temp Hisfa'!X$3:X$200), "", ROW('Temp Hisfa'!X$3:X$200)-MIN(ROW('Temp Hisfa'!X$3:X$200))+1), ROW(117:316))),"")</f>
        <v>0</v>
      </c>
      <c r="Y119" s="22">
        <f t="array" ref="Y119">IFERROR(INDEX('Temp Hisfa'!Y$3:Y$200, SMALL(IF(ISERROR('Temp Hisfa'!Y$3:Y$200), "", ROW('Temp Hisfa'!Y$3:Y$200)-MIN(ROW('Temp Hisfa'!Y$3:Y$200))+1), ROW(117:316))),"")</f>
        <v>0</v>
      </c>
      <c r="Z119" s="22">
        <f t="array" ref="Z119">IFERROR(INDEX('Temp Hisfa'!Z$3:Z$200, SMALL(IF(ISERROR('Temp Hisfa'!Z$3:Z$200), "", ROW('Temp Hisfa'!Z$3:Z$200)-MIN(ROW('Temp Hisfa'!Z$3:Z$200))+1), ROW(117:316))),"")</f>
        <v>0</v>
      </c>
      <c r="AA119" s="22">
        <f t="array" ref="AA119">IFERROR(INDEX('Temp Hisfa'!AA$3:AA$200, SMALL(IF(ISERROR('Temp Hisfa'!AA$3:AA$200), "", ROW('Temp Hisfa'!AA$3:AA$200)-MIN(ROW('Temp Hisfa'!AA$3:AA$200))+1), ROW(117:316))),"")</f>
        <v>0</v>
      </c>
      <c r="AB119" s="22">
        <f t="array" ref="AB119">IFERROR(INDEX('Temp Hisfa'!AB$3:AB$200, SMALL(IF(ISERROR('Temp Hisfa'!AB$3:AB$200), "", ROW('Temp Hisfa'!AB$3:AB$200)-MIN(ROW('Temp Hisfa'!AB$3:AB$200))+1), ROW(117:316))),"")</f>
        <v>0</v>
      </c>
    </row>
    <row r="120" spans="1:28" x14ac:dyDescent="0.3">
      <c r="A120" s="4">
        <f t="array" ref="A120">IFERROR(INDEX('Temp Hisfa'!A$3:A$200, SMALL(IF(ISERROR('Temp Hisfa'!A$3:A$200), "", ROW('Temp Hisfa'!A$3:A$200)-MIN(ROW('Temp Hisfa'!A$3:A$200))+1), ROW(118:316))),"")</f>
        <v>0</v>
      </c>
      <c r="B120" s="4">
        <f t="array" ref="B120">IFERROR(INDEX('Temp Hisfa'!B$3:B$200, SMALL(IF(ISERROR('Temp Hisfa'!B$3:B$200), "", ROW('Temp Hisfa'!B$3:B$200)-MIN(ROW('Temp Hisfa'!B$3:B$200))+1), ROW(118:316))),"")</f>
        <v>0</v>
      </c>
      <c r="C120" s="3">
        <f t="array" ref="C120">IFERROR(INDEX('Temp Hisfa'!C$3:C$200, SMALL(IF(ISERROR('Temp Hisfa'!C$3:C$200), "", ROW('Temp Hisfa'!C$3:C$200)-MIN(ROW('Temp Hisfa'!C$3:C$200))+1), ROW(118:316))),"")</f>
        <v>0</v>
      </c>
      <c r="D120" s="3">
        <f t="array" ref="D120">IFERROR(INDEX('Temp Hisfa'!D$3:D$200, SMALL(IF(ISERROR('Temp Hisfa'!D$3:D$200), "", ROW('Temp Hisfa'!D$3:D$200)-MIN(ROW('Temp Hisfa'!D$3:D$200))+1), ROW(118:316))),"")</f>
        <v>0</v>
      </c>
      <c r="E120" s="29">
        <f t="array" ref="E120">IFERROR(INDEX('Temp Hisfa'!E$3:E$200, SMALL(IF(ISERROR('Temp Hisfa'!E$3:E$200), "", ROW('Temp Hisfa'!E$3:E$200)-MIN(ROW('Temp Hisfa'!E$3:E$200))+1), ROW(118:317))),"")</f>
        <v>0</v>
      </c>
      <c r="F120" s="22" t="str">
        <f t="array" ref="F120">IFERROR(INDEX('Temp Hisfa'!F$3:F$200, SMALL(IF(ISERROR('Temp Hisfa'!F$3:F$200), "", ROW('Temp Hisfa'!F$3:F$200)-MIN(ROW('Temp Hisfa'!F$3:F$200))+1), ROW(118:317))),"")</f>
        <v/>
      </c>
      <c r="G120" s="30">
        <f t="array" ref="G120">IFERROR(INDEX('Temp Hisfa'!G$3:G$200, SMALL(IF(ISERROR('Temp Hisfa'!G$3:G$200), "", ROW('Temp Hisfa'!G$3:G$200)-MIN(ROW('Temp Hisfa'!G$3:G$200))+1), ROW(118:317))),"")</f>
        <v>0</v>
      </c>
      <c r="H120" s="22" t="str">
        <f t="array" ref="H120">IFERROR(INDEX('Temp Hisfa'!H$3:H$200, SMALL(IF(ISERROR('Temp Hisfa'!H$3:H$200), "", ROW('Temp Hisfa'!H$3:H$200)-MIN(ROW('Temp Hisfa'!H$3:H$200))+1), ROW(118:317))),"")</f>
        <v/>
      </c>
      <c r="I120" s="22">
        <f t="array" ref="I120">IFERROR(INDEX('Temp Hisfa'!I$3:I$200, SMALL(IF(ISERROR('Temp Hisfa'!I$3:I$200), "", ROW('Temp Hisfa'!I$3:I$200)-MIN(ROW('Temp Hisfa'!I$3:I$200))+1), ROW(118:317))),"")</f>
        <v>0</v>
      </c>
      <c r="J120" s="22">
        <f t="array" ref="J120">IFERROR(INDEX('Temp Hisfa'!J$3:J$200, SMALL(IF(ISERROR('Temp Hisfa'!J$3:J$200), "", ROW('Temp Hisfa'!J$3:J$200)-MIN(ROW('Temp Hisfa'!J$3:J$200))+1), ROW(118:317))),"")</f>
        <v>0</v>
      </c>
      <c r="K120" s="30">
        <f t="array" ref="K120">IFERROR(INDEX('Temp Hisfa'!K$3:K$200, SMALL(IF(ISERROR('Temp Hisfa'!K$3:K$200), "", ROW('Temp Hisfa'!K$3:K$200)-MIN(ROW('Temp Hisfa'!K$3:K$200))+1), ROW(118:317))),"")</f>
        <v>0</v>
      </c>
      <c r="L120" s="22">
        <f t="array" ref="L120">IFERROR(INDEX('Temp Hisfa'!L$3:L$200, SMALL(IF(ISERROR('Temp Hisfa'!L$3:L$200), "", ROW('Temp Hisfa'!L$3:L$200)-MIN(ROW('Temp Hisfa'!L$3:L$200))+1), ROW(118:317))),"")</f>
        <v>0</v>
      </c>
      <c r="M120" s="22">
        <f t="array" ref="M120">IFERROR(INDEX('Temp Hisfa'!M$3:M$200, SMALL(IF(ISERROR('Temp Hisfa'!M$3:M$200), "", ROW('Temp Hisfa'!M$3:M$200)-MIN(ROW('Temp Hisfa'!M$3:M$200))+1), ROW(118:317))),"")</f>
        <v>0</v>
      </c>
      <c r="N120" s="22">
        <f t="array" ref="N120">IFERROR(INDEX('Temp Hisfa'!N$3:N$200, SMALL(IF(ISERROR('Temp Hisfa'!N$3:N$200), "", ROW('Temp Hisfa'!N$3:N$200)-MIN(ROW('Temp Hisfa'!N$3:N$200))+1), ROW(118:317))),"")</f>
        <v>1900</v>
      </c>
      <c r="O120" s="22" t="str">
        <f t="array" ref="O120">IFERROR(INDEX('Temp Hisfa'!O$3:O$200, SMALL(IF(ISERROR('Temp Hisfa'!O$3:O$200), "", ROW('Temp Hisfa'!O$3:O$200)-MIN(ROW('Temp Hisfa'!O$3:O$200))+1), ROW(118:317))),"")</f>
        <v>enero</v>
      </c>
      <c r="P120" s="22">
        <f t="array" ref="P120">IFERROR(INDEX('Temp Hisfa'!P$3:P$200, SMALL(IF(ISERROR('Temp Hisfa'!P$3:P$200), "", ROW('Temp Hisfa'!P$3:P$200)-MIN(ROW('Temp Hisfa'!P$3:P$200))+1), ROW(118:317))),"")</f>
        <v>0</v>
      </c>
      <c r="Q120" s="22">
        <f t="array" ref="Q120">IFERROR(INDEX('Temp Hisfa'!Q$3:Q$200, SMALL(IF(ISERROR('Temp Hisfa'!Q$3:Q$200), "", ROW('Temp Hisfa'!Q$3:Q$200)-MIN(ROW('Temp Hisfa'!Q$3:Q$200))+1), ROW(118:317))),"")</f>
        <v>0</v>
      </c>
      <c r="R120" s="22">
        <f t="array" ref="R120">IFERROR(INDEX('Temp Hisfa'!R$3:R$200, SMALL(IF(ISERROR('Temp Hisfa'!R$3:R$200), "", ROW('Temp Hisfa'!R$3:R$200)-MIN(ROW('Temp Hisfa'!R$3:R$200))+1), ROW(118:317))),"")</f>
        <v>0</v>
      </c>
      <c r="S120" s="22">
        <f t="array" ref="S120">IFERROR(INDEX('Temp Hisfa'!S$3:S$200, SMALL(IF(ISERROR('Temp Hisfa'!S$3:S$200), "", ROW('Temp Hisfa'!S$3:S$200)-MIN(ROW('Temp Hisfa'!S$3:S$200))+1), ROW(118:317))),"")</f>
        <v>0</v>
      </c>
      <c r="T120" s="22">
        <f t="array" ref="T120">IFERROR(INDEX('Temp Hisfa'!T$3:T$200, SMALL(IF(ISERROR('Temp Hisfa'!T$3:T$200), "", ROW('Temp Hisfa'!T$3:T$200)-MIN(ROW('Temp Hisfa'!T$3:T$200))+1), ROW(118:317))),"")</f>
        <v>0</v>
      </c>
      <c r="U120" s="22">
        <f t="array" ref="U120">IFERROR(INDEX('Temp Hisfa'!U$3:U$200, SMALL(IF(ISERROR('Temp Hisfa'!U$3:U$200), "", ROW('Temp Hisfa'!U$3:U$200)-MIN(ROW('Temp Hisfa'!U$3:U$200))+1), ROW(118:317))),"")</f>
        <v>0</v>
      </c>
      <c r="V120" s="22">
        <f t="array" ref="V120">IFERROR(INDEX('Temp Hisfa'!V$3:V$200, SMALL(IF(ISERROR('Temp Hisfa'!V$3:V$200), "", ROW('Temp Hisfa'!V$3:V$200)-MIN(ROW('Temp Hisfa'!V$3:V$200))+1), ROW(118:317))),"")</f>
        <v>0</v>
      </c>
      <c r="W120" s="22">
        <f t="array" ref="W120">IFERROR(INDEX('Temp Hisfa'!W$3:W$200, SMALL(IF(ISERROR('Temp Hisfa'!W$3:W$200), "", ROW('Temp Hisfa'!W$3:W$200)-MIN(ROW('Temp Hisfa'!W$3:W$200))+1), ROW(118:317))),"")</f>
        <v>0</v>
      </c>
      <c r="X120" s="22">
        <f t="array" ref="X120">IFERROR(INDEX('Temp Hisfa'!X$3:X$200, SMALL(IF(ISERROR('Temp Hisfa'!X$3:X$200), "", ROW('Temp Hisfa'!X$3:X$200)-MIN(ROW('Temp Hisfa'!X$3:X$200))+1), ROW(118:317))),"")</f>
        <v>0</v>
      </c>
      <c r="Y120" s="22">
        <f t="array" ref="Y120">IFERROR(INDEX('Temp Hisfa'!Y$3:Y$200, SMALL(IF(ISERROR('Temp Hisfa'!Y$3:Y$200), "", ROW('Temp Hisfa'!Y$3:Y$200)-MIN(ROW('Temp Hisfa'!Y$3:Y$200))+1), ROW(118:317))),"")</f>
        <v>0</v>
      </c>
      <c r="Z120" s="22">
        <f t="array" ref="Z120">IFERROR(INDEX('Temp Hisfa'!Z$3:Z$200, SMALL(IF(ISERROR('Temp Hisfa'!Z$3:Z$200), "", ROW('Temp Hisfa'!Z$3:Z$200)-MIN(ROW('Temp Hisfa'!Z$3:Z$200))+1), ROW(118:317))),"")</f>
        <v>0</v>
      </c>
      <c r="AA120" s="22">
        <f t="array" ref="AA120">IFERROR(INDEX('Temp Hisfa'!AA$3:AA$200, SMALL(IF(ISERROR('Temp Hisfa'!AA$3:AA$200), "", ROW('Temp Hisfa'!AA$3:AA$200)-MIN(ROW('Temp Hisfa'!AA$3:AA$200))+1), ROW(118:317))),"")</f>
        <v>0</v>
      </c>
      <c r="AB120" s="22">
        <f t="array" ref="AB120">IFERROR(INDEX('Temp Hisfa'!AB$3:AB$200, SMALL(IF(ISERROR('Temp Hisfa'!AB$3:AB$200), "", ROW('Temp Hisfa'!AB$3:AB$200)-MIN(ROW('Temp Hisfa'!AB$3:AB$200))+1), ROW(118:317))),"")</f>
        <v>0</v>
      </c>
    </row>
    <row r="121" spans="1:28" x14ac:dyDescent="0.3">
      <c r="A121" s="4">
        <f t="array" ref="A121">IFERROR(INDEX('Temp Hisfa'!A$3:A$200, SMALL(IF(ISERROR('Temp Hisfa'!A$3:A$200), "", ROW('Temp Hisfa'!A$3:A$200)-MIN(ROW('Temp Hisfa'!A$3:A$200))+1), ROW(119:317))),"")</f>
        <v>0</v>
      </c>
      <c r="B121" s="4">
        <f t="array" ref="B121">IFERROR(INDEX('Temp Hisfa'!B$3:B$200, SMALL(IF(ISERROR('Temp Hisfa'!B$3:B$200), "", ROW('Temp Hisfa'!B$3:B$200)-MIN(ROW('Temp Hisfa'!B$3:B$200))+1), ROW(119:317))),"")</f>
        <v>0</v>
      </c>
      <c r="C121" s="3">
        <f t="array" ref="C121">IFERROR(INDEX('Temp Hisfa'!C$3:C$200, SMALL(IF(ISERROR('Temp Hisfa'!C$3:C$200), "", ROW('Temp Hisfa'!C$3:C$200)-MIN(ROW('Temp Hisfa'!C$3:C$200))+1), ROW(119:317))),"")</f>
        <v>0</v>
      </c>
      <c r="D121" s="3">
        <f t="array" ref="D121">IFERROR(INDEX('Temp Hisfa'!D$3:D$200, SMALL(IF(ISERROR('Temp Hisfa'!D$3:D$200), "", ROW('Temp Hisfa'!D$3:D$200)-MIN(ROW('Temp Hisfa'!D$3:D$200))+1), ROW(119:317))),"")</f>
        <v>0</v>
      </c>
      <c r="E121" s="29">
        <f t="array" ref="E121">IFERROR(INDEX('Temp Hisfa'!E$3:E$200, SMALL(IF(ISERROR('Temp Hisfa'!E$3:E$200), "", ROW('Temp Hisfa'!E$3:E$200)-MIN(ROW('Temp Hisfa'!E$3:E$200))+1), ROW(119:318))),"")</f>
        <v>0</v>
      </c>
      <c r="F121" s="22" t="str">
        <f t="array" ref="F121">IFERROR(INDEX('Temp Hisfa'!F$3:F$200, SMALL(IF(ISERROR('Temp Hisfa'!F$3:F$200), "", ROW('Temp Hisfa'!F$3:F$200)-MIN(ROW('Temp Hisfa'!F$3:F$200))+1), ROW(119:318))),"")</f>
        <v/>
      </c>
      <c r="G121" s="30">
        <f t="array" ref="G121">IFERROR(INDEX('Temp Hisfa'!G$3:G$200, SMALL(IF(ISERROR('Temp Hisfa'!G$3:G$200), "", ROW('Temp Hisfa'!G$3:G$200)-MIN(ROW('Temp Hisfa'!G$3:G$200))+1), ROW(119:318))),"")</f>
        <v>0</v>
      </c>
      <c r="H121" s="22" t="str">
        <f t="array" ref="H121">IFERROR(INDEX('Temp Hisfa'!H$3:H$200, SMALL(IF(ISERROR('Temp Hisfa'!H$3:H$200), "", ROW('Temp Hisfa'!H$3:H$200)-MIN(ROW('Temp Hisfa'!H$3:H$200))+1), ROW(119:318))),"")</f>
        <v/>
      </c>
      <c r="I121" s="22">
        <f t="array" ref="I121">IFERROR(INDEX('Temp Hisfa'!I$3:I$200, SMALL(IF(ISERROR('Temp Hisfa'!I$3:I$200), "", ROW('Temp Hisfa'!I$3:I$200)-MIN(ROW('Temp Hisfa'!I$3:I$200))+1), ROW(119:318))),"")</f>
        <v>0</v>
      </c>
      <c r="J121" s="22">
        <f t="array" ref="J121">IFERROR(INDEX('Temp Hisfa'!J$3:J$200, SMALL(IF(ISERROR('Temp Hisfa'!J$3:J$200), "", ROW('Temp Hisfa'!J$3:J$200)-MIN(ROW('Temp Hisfa'!J$3:J$200))+1), ROW(119:318))),"")</f>
        <v>0</v>
      </c>
      <c r="K121" s="30">
        <f t="array" ref="K121">IFERROR(INDEX('Temp Hisfa'!K$3:K$200, SMALL(IF(ISERROR('Temp Hisfa'!K$3:K$200), "", ROW('Temp Hisfa'!K$3:K$200)-MIN(ROW('Temp Hisfa'!K$3:K$200))+1), ROW(119:318))),"")</f>
        <v>0</v>
      </c>
      <c r="L121" s="22">
        <f t="array" ref="L121">IFERROR(INDEX('Temp Hisfa'!L$3:L$200, SMALL(IF(ISERROR('Temp Hisfa'!L$3:L$200), "", ROW('Temp Hisfa'!L$3:L$200)-MIN(ROW('Temp Hisfa'!L$3:L$200))+1), ROW(119:318))),"")</f>
        <v>0</v>
      </c>
      <c r="M121" s="22">
        <f t="array" ref="M121">IFERROR(INDEX('Temp Hisfa'!M$3:M$200, SMALL(IF(ISERROR('Temp Hisfa'!M$3:M$200), "", ROW('Temp Hisfa'!M$3:M$200)-MIN(ROW('Temp Hisfa'!M$3:M$200))+1), ROW(119:318))),"")</f>
        <v>0</v>
      </c>
      <c r="N121" s="22">
        <f t="array" ref="N121">IFERROR(INDEX('Temp Hisfa'!N$3:N$200, SMALL(IF(ISERROR('Temp Hisfa'!N$3:N$200), "", ROW('Temp Hisfa'!N$3:N$200)-MIN(ROW('Temp Hisfa'!N$3:N$200))+1), ROW(119:318))),"")</f>
        <v>1900</v>
      </c>
      <c r="O121" s="22" t="str">
        <f t="array" ref="O121">IFERROR(INDEX('Temp Hisfa'!O$3:O$200, SMALL(IF(ISERROR('Temp Hisfa'!O$3:O$200), "", ROW('Temp Hisfa'!O$3:O$200)-MIN(ROW('Temp Hisfa'!O$3:O$200))+1), ROW(119:318))),"")</f>
        <v>enero</v>
      </c>
      <c r="P121" s="22">
        <f t="array" ref="P121">IFERROR(INDEX('Temp Hisfa'!P$3:P$200, SMALL(IF(ISERROR('Temp Hisfa'!P$3:P$200), "", ROW('Temp Hisfa'!P$3:P$200)-MIN(ROW('Temp Hisfa'!P$3:P$200))+1), ROW(119:318))),"")</f>
        <v>0</v>
      </c>
      <c r="Q121" s="22">
        <f t="array" ref="Q121">IFERROR(INDEX('Temp Hisfa'!Q$3:Q$200, SMALL(IF(ISERROR('Temp Hisfa'!Q$3:Q$200), "", ROW('Temp Hisfa'!Q$3:Q$200)-MIN(ROW('Temp Hisfa'!Q$3:Q$200))+1), ROW(119:318))),"")</f>
        <v>0</v>
      </c>
      <c r="R121" s="22">
        <f t="array" ref="R121">IFERROR(INDEX('Temp Hisfa'!R$3:R$200, SMALL(IF(ISERROR('Temp Hisfa'!R$3:R$200), "", ROW('Temp Hisfa'!R$3:R$200)-MIN(ROW('Temp Hisfa'!R$3:R$200))+1), ROW(119:318))),"")</f>
        <v>0</v>
      </c>
      <c r="S121" s="22">
        <f t="array" ref="S121">IFERROR(INDEX('Temp Hisfa'!S$3:S$200, SMALL(IF(ISERROR('Temp Hisfa'!S$3:S$200), "", ROW('Temp Hisfa'!S$3:S$200)-MIN(ROW('Temp Hisfa'!S$3:S$200))+1), ROW(119:318))),"")</f>
        <v>0</v>
      </c>
      <c r="T121" s="22">
        <f t="array" ref="T121">IFERROR(INDEX('Temp Hisfa'!T$3:T$200, SMALL(IF(ISERROR('Temp Hisfa'!T$3:T$200), "", ROW('Temp Hisfa'!T$3:T$200)-MIN(ROW('Temp Hisfa'!T$3:T$200))+1), ROW(119:318))),"")</f>
        <v>0</v>
      </c>
      <c r="U121" s="22">
        <f t="array" ref="U121">IFERROR(INDEX('Temp Hisfa'!U$3:U$200, SMALL(IF(ISERROR('Temp Hisfa'!U$3:U$200), "", ROW('Temp Hisfa'!U$3:U$200)-MIN(ROW('Temp Hisfa'!U$3:U$200))+1), ROW(119:318))),"")</f>
        <v>0</v>
      </c>
      <c r="V121" s="22">
        <f t="array" ref="V121">IFERROR(INDEX('Temp Hisfa'!V$3:V$200, SMALL(IF(ISERROR('Temp Hisfa'!V$3:V$200), "", ROW('Temp Hisfa'!V$3:V$200)-MIN(ROW('Temp Hisfa'!V$3:V$200))+1), ROW(119:318))),"")</f>
        <v>0</v>
      </c>
      <c r="W121" s="22">
        <f t="array" ref="W121">IFERROR(INDEX('Temp Hisfa'!W$3:W$200, SMALL(IF(ISERROR('Temp Hisfa'!W$3:W$200), "", ROW('Temp Hisfa'!W$3:W$200)-MIN(ROW('Temp Hisfa'!W$3:W$200))+1), ROW(119:318))),"")</f>
        <v>0</v>
      </c>
      <c r="X121" s="22">
        <f t="array" ref="X121">IFERROR(INDEX('Temp Hisfa'!X$3:X$200, SMALL(IF(ISERROR('Temp Hisfa'!X$3:X$200), "", ROW('Temp Hisfa'!X$3:X$200)-MIN(ROW('Temp Hisfa'!X$3:X$200))+1), ROW(119:318))),"")</f>
        <v>0</v>
      </c>
      <c r="Y121" s="22">
        <f t="array" ref="Y121">IFERROR(INDEX('Temp Hisfa'!Y$3:Y$200, SMALL(IF(ISERROR('Temp Hisfa'!Y$3:Y$200), "", ROW('Temp Hisfa'!Y$3:Y$200)-MIN(ROW('Temp Hisfa'!Y$3:Y$200))+1), ROW(119:318))),"")</f>
        <v>0</v>
      </c>
      <c r="Z121" s="22">
        <f t="array" ref="Z121">IFERROR(INDEX('Temp Hisfa'!Z$3:Z$200, SMALL(IF(ISERROR('Temp Hisfa'!Z$3:Z$200), "", ROW('Temp Hisfa'!Z$3:Z$200)-MIN(ROW('Temp Hisfa'!Z$3:Z$200))+1), ROW(119:318))),"")</f>
        <v>0</v>
      </c>
      <c r="AA121" s="22">
        <f t="array" ref="AA121">IFERROR(INDEX('Temp Hisfa'!AA$3:AA$200, SMALL(IF(ISERROR('Temp Hisfa'!AA$3:AA$200), "", ROW('Temp Hisfa'!AA$3:AA$200)-MIN(ROW('Temp Hisfa'!AA$3:AA$200))+1), ROW(119:318))),"")</f>
        <v>0</v>
      </c>
      <c r="AB121" s="22">
        <f t="array" ref="AB121">IFERROR(INDEX('Temp Hisfa'!AB$3:AB$200, SMALL(IF(ISERROR('Temp Hisfa'!AB$3:AB$200), "", ROW('Temp Hisfa'!AB$3:AB$200)-MIN(ROW('Temp Hisfa'!AB$3:AB$200))+1), ROW(119:318))),"")</f>
        <v>0</v>
      </c>
    </row>
    <row r="122" spans="1:28" x14ac:dyDescent="0.3">
      <c r="A122" s="4">
        <f t="array" ref="A122">IFERROR(INDEX('Temp Hisfa'!A$3:A$200, SMALL(IF(ISERROR('Temp Hisfa'!A$3:A$200), "", ROW('Temp Hisfa'!A$3:A$200)-MIN(ROW('Temp Hisfa'!A$3:A$200))+1), ROW(120:318))),"")</f>
        <v>0</v>
      </c>
      <c r="B122" s="4">
        <f t="array" ref="B122">IFERROR(INDEX('Temp Hisfa'!B$3:B$200, SMALL(IF(ISERROR('Temp Hisfa'!B$3:B$200), "", ROW('Temp Hisfa'!B$3:B$200)-MIN(ROW('Temp Hisfa'!B$3:B$200))+1), ROW(120:318))),"")</f>
        <v>0</v>
      </c>
      <c r="C122" s="3">
        <f t="array" ref="C122">IFERROR(INDEX('Temp Hisfa'!C$3:C$200, SMALL(IF(ISERROR('Temp Hisfa'!C$3:C$200), "", ROW('Temp Hisfa'!C$3:C$200)-MIN(ROW('Temp Hisfa'!C$3:C$200))+1), ROW(120:318))),"")</f>
        <v>0</v>
      </c>
      <c r="D122" s="3">
        <f t="array" ref="D122">IFERROR(INDEX('Temp Hisfa'!D$3:D$200, SMALL(IF(ISERROR('Temp Hisfa'!D$3:D$200), "", ROW('Temp Hisfa'!D$3:D$200)-MIN(ROW('Temp Hisfa'!D$3:D$200))+1), ROW(120:318))),"")</f>
        <v>0</v>
      </c>
      <c r="E122" s="29">
        <f t="array" ref="E122">IFERROR(INDEX('Temp Hisfa'!E$3:E$200, SMALL(IF(ISERROR('Temp Hisfa'!E$3:E$200), "", ROW('Temp Hisfa'!E$3:E$200)-MIN(ROW('Temp Hisfa'!E$3:E$200))+1), ROW(120:319))),"")</f>
        <v>0</v>
      </c>
      <c r="F122" s="22" t="str">
        <f t="array" ref="F122">IFERROR(INDEX('Temp Hisfa'!F$3:F$200, SMALL(IF(ISERROR('Temp Hisfa'!F$3:F$200), "", ROW('Temp Hisfa'!F$3:F$200)-MIN(ROW('Temp Hisfa'!F$3:F$200))+1), ROW(120:319))),"")</f>
        <v/>
      </c>
      <c r="G122" s="30">
        <f t="array" ref="G122">IFERROR(INDEX('Temp Hisfa'!G$3:G$200, SMALL(IF(ISERROR('Temp Hisfa'!G$3:G$200), "", ROW('Temp Hisfa'!G$3:G$200)-MIN(ROW('Temp Hisfa'!G$3:G$200))+1), ROW(120:319))),"")</f>
        <v>0</v>
      </c>
      <c r="H122" s="22" t="str">
        <f t="array" ref="H122">IFERROR(INDEX('Temp Hisfa'!H$3:H$200, SMALL(IF(ISERROR('Temp Hisfa'!H$3:H$200), "", ROW('Temp Hisfa'!H$3:H$200)-MIN(ROW('Temp Hisfa'!H$3:H$200))+1), ROW(120:319))),"")</f>
        <v/>
      </c>
      <c r="I122" s="22">
        <f t="array" ref="I122">IFERROR(INDEX('Temp Hisfa'!I$3:I$200, SMALL(IF(ISERROR('Temp Hisfa'!I$3:I$200), "", ROW('Temp Hisfa'!I$3:I$200)-MIN(ROW('Temp Hisfa'!I$3:I$200))+1), ROW(120:319))),"")</f>
        <v>0</v>
      </c>
      <c r="J122" s="22">
        <f t="array" ref="J122">IFERROR(INDEX('Temp Hisfa'!J$3:J$200, SMALL(IF(ISERROR('Temp Hisfa'!J$3:J$200), "", ROW('Temp Hisfa'!J$3:J$200)-MIN(ROW('Temp Hisfa'!J$3:J$200))+1), ROW(120:319))),"")</f>
        <v>0</v>
      </c>
      <c r="K122" s="30">
        <f t="array" ref="K122">IFERROR(INDEX('Temp Hisfa'!K$3:K$200, SMALL(IF(ISERROR('Temp Hisfa'!K$3:K$200), "", ROW('Temp Hisfa'!K$3:K$200)-MIN(ROW('Temp Hisfa'!K$3:K$200))+1), ROW(120:319))),"")</f>
        <v>0</v>
      </c>
      <c r="L122" s="22">
        <f t="array" ref="L122">IFERROR(INDEX('Temp Hisfa'!L$3:L$200, SMALL(IF(ISERROR('Temp Hisfa'!L$3:L$200), "", ROW('Temp Hisfa'!L$3:L$200)-MIN(ROW('Temp Hisfa'!L$3:L$200))+1), ROW(120:319))),"")</f>
        <v>0</v>
      </c>
      <c r="M122" s="22">
        <f t="array" ref="M122">IFERROR(INDEX('Temp Hisfa'!M$3:M$200, SMALL(IF(ISERROR('Temp Hisfa'!M$3:M$200), "", ROW('Temp Hisfa'!M$3:M$200)-MIN(ROW('Temp Hisfa'!M$3:M$200))+1), ROW(120:319))),"")</f>
        <v>0</v>
      </c>
      <c r="N122" s="22">
        <f t="array" ref="N122">IFERROR(INDEX('Temp Hisfa'!N$3:N$200, SMALL(IF(ISERROR('Temp Hisfa'!N$3:N$200), "", ROW('Temp Hisfa'!N$3:N$200)-MIN(ROW('Temp Hisfa'!N$3:N$200))+1), ROW(120:319))),"")</f>
        <v>1900</v>
      </c>
      <c r="O122" s="22" t="str">
        <f t="array" ref="O122">IFERROR(INDEX('Temp Hisfa'!O$3:O$200, SMALL(IF(ISERROR('Temp Hisfa'!O$3:O$200), "", ROW('Temp Hisfa'!O$3:O$200)-MIN(ROW('Temp Hisfa'!O$3:O$200))+1), ROW(120:319))),"")</f>
        <v>enero</v>
      </c>
      <c r="P122" s="22">
        <f t="array" ref="P122">IFERROR(INDEX('Temp Hisfa'!P$3:P$200, SMALL(IF(ISERROR('Temp Hisfa'!P$3:P$200), "", ROW('Temp Hisfa'!P$3:P$200)-MIN(ROW('Temp Hisfa'!P$3:P$200))+1), ROW(120:319))),"")</f>
        <v>0</v>
      </c>
      <c r="Q122" s="22">
        <f t="array" ref="Q122">IFERROR(INDEX('Temp Hisfa'!Q$3:Q$200, SMALL(IF(ISERROR('Temp Hisfa'!Q$3:Q$200), "", ROW('Temp Hisfa'!Q$3:Q$200)-MIN(ROW('Temp Hisfa'!Q$3:Q$200))+1), ROW(120:319))),"")</f>
        <v>0</v>
      </c>
      <c r="R122" s="22">
        <f t="array" ref="R122">IFERROR(INDEX('Temp Hisfa'!R$3:R$200, SMALL(IF(ISERROR('Temp Hisfa'!R$3:R$200), "", ROW('Temp Hisfa'!R$3:R$200)-MIN(ROW('Temp Hisfa'!R$3:R$200))+1), ROW(120:319))),"")</f>
        <v>0</v>
      </c>
      <c r="S122" s="22">
        <f t="array" ref="S122">IFERROR(INDEX('Temp Hisfa'!S$3:S$200, SMALL(IF(ISERROR('Temp Hisfa'!S$3:S$200), "", ROW('Temp Hisfa'!S$3:S$200)-MIN(ROW('Temp Hisfa'!S$3:S$200))+1), ROW(120:319))),"")</f>
        <v>0</v>
      </c>
      <c r="T122" s="22">
        <f t="array" ref="T122">IFERROR(INDEX('Temp Hisfa'!T$3:T$200, SMALL(IF(ISERROR('Temp Hisfa'!T$3:T$200), "", ROW('Temp Hisfa'!T$3:T$200)-MIN(ROW('Temp Hisfa'!T$3:T$200))+1), ROW(120:319))),"")</f>
        <v>0</v>
      </c>
      <c r="U122" s="22">
        <f t="array" ref="U122">IFERROR(INDEX('Temp Hisfa'!U$3:U$200, SMALL(IF(ISERROR('Temp Hisfa'!U$3:U$200), "", ROW('Temp Hisfa'!U$3:U$200)-MIN(ROW('Temp Hisfa'!U$3:U$200))+1), ROW(120:319))),"")</f>
        <v>0</v>
      </c>
      <c r="V122" s="22">
        <f t="array" ref="V122">IFERROR(INDEX('Temp Hisfa'!V$3:V$200, SMALL(IF(ISERROR('Temp Hisfa'!V$3:V$200), "", ROW('Temp Hisfa'!V$3:V$200)-MIN(ROW('Temp Hisfa'!V$3:V$200))+1), ROW(120:319))),"")</f>
        <v>0</v>
      </c>
      <c r="W122" s="22">
        <f t="array" ref="W122">IFERROR(INDEX('Temp Hisfa'!W$3:W$200, SMALL(IF(ISERROR('Temp Hisfa'!W$3:W$200), "", ROW('Temp Hisfa'!W$3:W$200)-MIN(ROW('Temp Hisfa'!W$3:W$200))+1), ROW(120:319))),"")</f>
        <v>0</v>
      </c>
      <c r="X122" s="22">
        <f t="array" ref="X122">IFERROR(INDEX('Temp Hisfa'!X$3:X$200, SMALL(IF(ISERROR('Temp Hisfa'!X$3:X$200), "", ROW('Temp Hisfa'!X$3:X$200)-MIN(ROW('Temp Hisfa'!X$3:X$200))+1), ROW(120:319))),"")</f>
        <v>0</v>
      </c>
      <c r="Y122" s="22">
        <f t="array" ref="Y122">IFERROR(INDEX('Temp Hisfa'!Y$3:Y$200, SMALL(IF(ISERROR('Temp Hisfa'!Y$3:Y$200), "", ROW('Temp Hisfa'!Y$3:Y$200)-MIN(ROW('Temp Hisfa'!Y$3:Y$200))+1), ROW(120:319))),"")</f>
        <v>0</v>
      </c>
      <c r="Z122" s="22">
        <f t="array" ref="Z122">IFERROR(INDEX('Temp Hisfa'!Z$3:Z$200, SMALL(IF(ISERROR('Temp Hisfa'!Z$3:Z$200), "", ROW('Temp Hisfa'!Z$3:Z$200)-MIN(ROW('Temp Hisfa'!Z$3:Z$200))+1), ROW(120:319))),"")</f>
        <v>0</v>
      </c>
      <c r="AA122" s="22">
        <f t="array" ref="AA122">IFERROR(INDEX('Temp Hisfa'!AA$3:AA$200, SMALL(IF(ISERROR('Temp Hisfa'!AA$3:AA$200), "", ROW('Temp Hisfa'!AA$3:AA$200)-MIN(ROW('Temp Hisfa'!AA$3:AA$200))+1), ROW(120:319))),"")</f>
        <v>0</v>
      </c>
      <c r="AB122" s="22">
        <f t="array" ref="AB122">IFERROR(INDEX('Temp Hisfa'!AB$3:AB$200, SMALL(IF(ISERROR('Temp Hisfa'!AB$3:AB$200), "", ROW('Temp Hisfa'!AB$3:AB$200)-MIN(ROW('Temp Hisfa'!AB$3:AB$200))+1), ROW(120:319))),"")</f>
        <v>0</v>
      </c>
    </row>
    <row r="123" spans="1:28" x14ac:dyDescent="0.3">
      <c r="A123" s="4">
        <f t="array" ref="A123">IFERROR(INDEX('Temp Hisfa'!A$3:A$200, SMALL(IF(ISERROR('Temp Hisfa'!A$3:A$200), "", ROW('Temp Hisfa'!A$3:A$200)-MIN(ROW('Temp Hisfa'!A$3:A$200))+1), ROW(121:319))),"")</f>
        <v>0</v>
      </c>
      <c r="B123" s="4">
        <f t="array" ref="B123">IFERROR(INDEX('Temp Hisfa'!B$3:B$200, SMALL(IF(ISERROR('Temp Hisfa'!B$3:B$200), "", ROW('Temp Hisfa'!B$3:B$200)-MIN(ROW('Temp Hisfa'!B$3:B$200))+1), ROW(121:319))),"")</f>
        <v>0</v>
      </c>
      <c r="C123" s="3">
        <f t="array" ref="C123">IFERROR(INDEX('Temp Hisfa'!C$3:C$200, SMALL(IF(ISERROR('Temp Hisfa'!C$3:C$200), "", ROW('Temp Hisfa'!C$3:C$200)-MIN(ROW('Temp Hisfa'!C$3:C$200))+1), ROW(121:319))),"")</f>
        <v>0</v>
      </c>
      <c r="D123" s="3">
        <f t="array" ref="D123">IFERROR(INDEX('Temp Hisfa'!D$3:D$200, SMALL(IF(ISERROR('Temp Hisfa'!D$3:D$200), "", ROW('Temp Hisfa'!D$3:D$200)-MIN(ROW('Temp Hisfa'!D$3:D$200))+1), ROW(121:319))),"")</f>
        <v>0</v>
      </c>
      <c r="E123" s="29">
        <f t="array" ref="E123">IFERROR(INDEX('Temp Hisfa'!E$3:E$200, SMALL(IF(ISERROR('Temp Hisfa'!E$3:E$200), "", ROW('Temp Hisfa'!E$3:E$200)-MIN(ROW('Temp Hisfa'!E$3:E$200))+1), ROW(121:320))),"")</f>
        <v>0</v>
      </c>
      <c r="F123" s="22" t="str">
        <f t="array" ref="F123">IFERROR(INDEX('Temp Hisfa'!F$3:F$200, SMALL(IF(ISERROR('Temp Hisfa'!F$3:F$200), "", ROW('Temp Hisfa'!F$3:F$200)-MIN(ROW('Temp Hisfa'!F$3:F$200))+1), ROW(121:320))),"")</f>
        <v/>
      </c>
      <c r="G123" s="30">
        <f t="array" ref="G123">IFERROR(INDEX('Temp Hisfa'!G$3:G$200, SMALL(IF(ISERROR('Temp Hisfa'!G$3:G$200), "", ROW('Temp Hisfa'!G$3:G$200)-MIN(ROW('Temp Hisfa'!G$3:G$200))+1), ROW(121:320))),"")</f>
        <v>0</v>
      </c>
      <c r="H123" s="22" t="str">
        <f t="array" ref="H123">IFERROR(INDEX('Temp Hisfa'!H$3:H$200, SMALL(IF(ISERROR('Temp Hisfa'!H$3:H$200), "", ROW('Temp Hisfa'!H$3:H$200)-MIN(ROW('Temp Hisfa'!H$3:H$200))+1), ROW(121:320))),"")</f>
        <v/>
      </c>
      <c r="I123" s="22">
        <f t="array" ref="I123">IFERROR(INDEX('Temp Hisfa'!I$3:I$200, SMALL(IF(ISERROR('Temp Hisfa'!I$3:I$200), "", ROW('Temp Hisfa'!I$3:I$200)-MIN(ROW('Temp Hisfa'!I$3:I$200))+1), ROW(121:320))),"")</f>
        <v>0</v>
      </c>
      <c r="J123" s="22">
        <f t="array" ref="J123">IFERROR(INDEX('Temp Hisfa'!J$3:J$200, SMALL(IF(ISERROR('Temp Hisfa'!J$3:J$200), "", ROW('Temp Hisfa'!J$3:J$200)-MIN(ROW('Temp Hisfa'!J$3:J$200))+1), ROW(121:320))),"")</f>
        <v>0</v>
      </c>
      <c r="K123" s="30">
        <f t="array" ref="K123">IFERROR(INDEX('Temp Hisfa'!K$3:K$200, SMALL(IF(ISERROR('Temp Hisfa'!K$3:K$200), "", ROW('Temp Hisfa'!K$3:K$200)-MIN(ROW('Temp Hisfa'!K$3:K$200))+1), ROW(121:320))),"")</f>
        <v>0</v>
      </c>
      <c r="L123" s="22">
        <f t="array" ref="L123">IFERROR(INDEX('Temp Hisfa'!L$3:L$200, SMALL(IF(ISERROR('Temp Hisfa'!L$3:L$200), "", ROW('Temp Hisfa'!L$3:L$200)-MIN(ROW('Temp Hisfa'!L$3:L$200))+1), ROW(121:320))),"")</f>
        <v>0</v>
      </c>
      <c r="M123" s="22">
        <f t="array" ref="M123">IFERROR(INDEX('Temp Hisfa'!M$3:M$200, SMALL(IF(ISERROR('Temp Hisfa'!M$3:M$200), "", ROW('Temp Hisfa'!M$3:M$200)-MIN(ROW('Temp Hisfa'!M$3:M$200))+1), ROW(121:320))),"")</f>
        <v>0</v>
      </c>
      <c r="N123" s="22">
        <f t="array" ref="N123">IFERROR(INDEX('Temp Hisfa'!N$3:N$200, SMALL(IF(ISERROR('Temp Hisfa'!N$3:N$200), "", ROW('Temp Hisfa'!N$3:N$200)-MIN(ROW('Temp Hisfa'!N$3:N$200))+1), ROW(121:320))),"")</f>
        <v>1900</v>
      </c>
      <c r="O123" s="22" t="str">
        <f t="array" ref="O123">IFERROR(INDEX('Temp Hisfa'!O$3:O$200, SMALL(IF(ISERROR('Temp Hisfa'!O$3:O$200), "", ROW('Temp Hisfa'!O$3:O$200)-MIN(ROW('Temp Hisfa'!O$3:O$200))+1), ROW(121:320))),"")</f>
        <v>enero</v>
      </c>
      <c r="P123" s="22">
        <f t="array" ref="P123">IFERROR(INDEX('Temp Hisfa'!P$3:P$200, SMALL(IF(ISERROR('Temp Hisfa'!P$3:P$200), "", ROW('Temp Hisfa'!P$3:P$200)-MIN(ROW('Temp Hisfa'!P$3:P$200))+1), ROW(121:320))),"")</f>
        <v>0</v>
      </c>
      <c r="Q123" s="22">
        <f t="array" ref="Q123">IFERROR(INDEX('Temp Hisfa'!Q$3:Q$200, SMALL(IF(ISERROR('Temp Hisfa'!Q$3:Q$200), "", ROW('Temp Hisfa'!Q$3:Q$200)-MIN(ROW('Temp Hisfa'!Q$3:Q$200))+1), ROW(121:320))),"")</f>
        <v>0</v>
      </c>
      <c r="R123" s="22">
        <f t="array" ref="R123">IFERROR(INDEX('Temp Hisfa'!R$3:R$200, SMALL(IF(ISERROR('Temp Hisfa'!R$3:R$200), "", ROW('Temp Hisfa'!R$3:R$200)-MIN(ROW('Temp Hisfa'!R$3:R$200))+1), ROW(121:320))),"")</f>
        <v>0</v>
      </c>
      <c r="S123" s="22">
        <f t="array" ref="S123">IFERROR(INDEX('Temp Hisfa'!S$3:S$200, SMALL(IF(ISERROR('Temp Hisfa'!S$3:S$200), "", ROW('Temp Hisfa'!S$3:S$200)-MIN(ROW('Temp Hisfa'!S$3:S$200))+1), ROW(121:320))),"")</f>
        <v>0</v>
      </c>
      <c r="T123" s="22">
        <f t="array" ref="T123">IFERROR(INDEX('Temp Hisfa'!T$3:T$200, SMALL(IF(ISERROR('Temp Hisfa'!T$3:T$200), "", ROW('Temp Hisfa'!T$3:T$200)-MIN(ROW('Temp Hisfa'!T$3:T$200))+1), ROW(121:320))),"")</f>
        <v>0</v>
      </c>
      <c r="U123" s="22">
        <f t="array" ref="U123">IFERROR(INDEX('Temp Hisfa'!U$3:U$200, SMALL(IF(ISERROR('Temp Hisfa'!U$3:U$200), "", ROW('Temp Hisfa'!U$3:U$200)-MIN(ROW('Temp Hisfa'!U$3:U$200))+1), ROW(121:320))),"")</f>
        <v>0</v>
      </c>
      <c r="V123" s="22">
        <f t="array" ref="V123">IFERROR(INDEX('Temp Hisfa'!V$3:V$200, SMALL(IF(ISERROR('Temp Hisfa'!V$3:V$200), "", ROW('Temp Hisfa'!V$3:V$200)-MIN(ROW('Temp Hisfa'!V$3:V$200))+1), ROW(121:320))),"")</f>
        <v>0</v>
      </c>
      <c r="W123" s="22">
        <f t="array" ref="W123">IFERROR(INDEX('Temp Hisfa'!W$3:W$200, SMALL(IF(ISERROR('Temp Hisfa'!W$3:W$200), "", ROW('Temp Hisfa'!W$3:W$200)-MIN(ROW('Temp Hisfa'!W$3:W$200))+1), ROW(121:320))),"")</f>
        <v>0</v>
      </c>
      <c r="X123" s="22">
        <f t="array" ref="X123">IFERROR(INDEX('Temp Hisfa'!X$3:X$200, SMALL(IF(ISERROR('Temp Hisfa'!X$3:X$200), "", ROW('Temp Hisfa'!X$3:X$200)-MIN(ROW('Temp Hisfa'!X$3:X$200))+1), ROW(121:320))),"")</f>
        <v>0</v>
      </c>
      <c r="Y123" s="22">
        <f t="array" ref="Y123">IFERROR(INDEX('Temp Hisfa'!Y$3:Y$200, SMALL(IF(ISERROR('Temp Hisfa'!Y$3:Y$200), "", ROW('Temp Hisfa'!Y$3:Y$200)-MIN(ROW('Temp Hisfa'!Y$3:Y$200))+1), ROW(121:320))),"")</f>
        <v>0</v>
      </c>
      <c r="Z123" s="22">
        <f t="array" ref="Z123">IFERROR(INDEX('Temp Hisfa'!Z$3:Z$200, SMALL(IF(ISERROR('Temp Hisfa'!Z$3:Z$200), "", ROW('Temp Hisfa'!Z$3:Z$200)-MIN(ROW('Temp Hisfa'!Z$3:Z$200))+1), ROW(121:320))),"")</f>
        <v>0</v>
      </c>
      <c r="AA123" s="22">
        <f t="array" ref="AA123">IFERROR(INDEX('Temp Hisfa'!AA$3:AA$200, SMALL(IF(ISERROR('Temp Hisfa'!AA$3:AA$200), "", ROW('Temp Hisfa'!AA$3:AA$200)-MIN(ROW('Temp Hisfa'!AA$3:AA$200))+1), ROW(121:320))),"")</f>
        <v>0</v>
      </c>
      <c r="AB123" s="22">
        <f t="array" ref="AB123">IFERROR(INDEX('Temp Hisfa'!AB$3:AB$200, SMALL(IF(ISERROR('Temp Hisfa'!AB$3:AB$200), "", ROW('Temp Hisfa'!AB$3:AB$200)-MIN(ROW('Temp Hisfa'!AB$3:AB$200))+1), ROW(121:320))),"")</f>
        <v>0</v>
      </c>
    </row>
    <row r="124" spans="1:28" x14ac:dyDescent="0.3">
      <c r="A124" s="4">
        <f t="array" ref="A124">IFERROR(INDEX('Temp Hisfa'!A$3:A$200, SMALL(IF(ISERROR('Temp Hisfa'!A$3:A$200), "", ROW('Temp Hisfa'!A$3:A$200)-MIN(ROW('Temp Hisfa'!A$3:A$200))+1), ROW(122:320))),"")</f>
        <v>0</v>
      </c>
      <c r="B124" s="4">
        <f t="array" ref="B124">IFERROR(INDEX('Temp Hisfa'!B$3:B$200, SMALL(IF(ISERROR('Temp Hisfa'!B$3:B$200), "", ROW('Temp Hisfa'!B$3:B$200)-MIN(ROW('Temp Hisfa'!B$3:B$200))+1), ROW(122:320))),"")</f>
        <v>0</v>
      </c>
      <c r="C124" s="3">
        <f t="array" ref="C124">IFERROR(INDEX('Temp Hisfa'!C$3:C$200, SMALL(IF(ISERROR('Temp Hisfa'!C$3:C$200), "", ROW('Temp Hisfa'!C$3:C$200)-MIN(ROW('Temp Hisfa'!C$3:C$200))+1), ROW(122:320))),"")</f>
        <v>0</v>
      </c>
      <c r="D124" s="3">
        <f t="array" ref="D124">IFERROR(INDEX('Temp Hisfa'!D$3:D$200, SMALL(IF(ISERROR('Temp Hisfa'!D$3:D$200), "", ROW('Temp Hisfa'!D$3:D$200)-MIN(ROW('Temp Hisfa'!D$3:D$200))+1), ROW(122:320))),"")</f>
        <v>0</v>
      </c>
      <c r="E124" s="29">
        <f t="array" ref="E124">IFERROR(INDEX('Temp Hisfa'!E$3:E$200, SMALL(IF(ISERROR('Temp Hisfa'!E$3:E$200), "", ROW('Temp Hisfa'!E$3:E$200)-MIN(ROW('Temp Hisfa'!E$3:E$200))+1), ROW(122:321))),"")</f>
        <v>0</v>
      </c>
      <c r="F124" s="22" t="str">
        <f t="array" ref="F124">IFERROR(INDEX('Temp Hisfa'!F$3:F$200, SMALL(IF(ISERROR('Temp Hisfa'!F$3:F$200), "", ROW('Temp Hisfa'!F$3:F$200)-MIN(ROW('Temp Hisfa'!F$3:F$200))+1), ROW(122:321))),"")</f>
        <v/>
      </c>
      <c r="G124" s="30">
        <f t="array" ref="G124">IFERROR(INDEX('Temp Hisfa'!G$3:G$200, SMALL(IF(ISERROR('Temp Hisfa'!G$3:G$200), "", ROW('Temp Hisfa'!G$3:G$200)-MIN(ROW('Temp Hisfa'!G$3:G$200))+1), ROW(122:321))),"")</f>
        <v>0</v>
      </c>
      <c r="H124" s="22" t="str">
        <f t="array" ref="H124">IFERROR(INDEX('Temp Hisfa'!H$3:H$200, SMALL(IF(ISERROR('Temp Hisfa'!H$3:H$200), "", ROW('Temp Hisfa'!H$3:H$200)-MIN(ROW('Temp Hisfa'!H$3:H$200))+1), ROW(122:321))),"")</f>
        <v/>
      </c>
      <c r="I124" s="22">
        <f t="array" ref="I124">IFERROR(INDEX('Temp Hisfa'!I$3:I$200, SMALL(IF(ISERROR('Temp Hisfa'!I$3:I$200), "", ROW('Temp Hisfa'!I$3:I$200)-MIN(ROW('Temp Hisfa'!I$3:I$200))+1), ROW(122:321))),"")</f>
        <v>0</v>
      </c>
      <c r="J124" s="22">
        <f t="array" ref="J124">IFERROR(INDEX('Temp Hisfa'!J$3:J$200, SMALL(IF(ISERROR('Temp Hisfa'!J$3:J$200), "", ROW('Temp Hisfa'!J$3:J$200)-MIN(ROW('Temp Hisfa'!J$3:J$200))+1), ROW(122:321))),"")</f>
        <v>0</v>
      </c>
      <c r="K124" s="30">
        <f t="array" ref="K124">IFERROR(INDEX('Temp Hisfa'!K$3:K$200, SMALL(IF(ISERROR('Temp Hisfa'!K$3:K$200), "", ROW('Temp Hisfa'!K$3:K$200)-MIN(ROW('Temp Hisfa'!K$3:K$200))+1), ROW(122:321))),"")</f>
        <v>0</v>
      </c>
      <c r="L124" s="22">
        <f t="array" ref="L124">IFERROR(INDEX('Temp Hisfa'!L$3:L$200, SMALL(IF(ISERROR('Temp Hisfa'!L$3:L$200), "", ROW('Temp Hisfa'!L$3:L$200)-MIN(ROW('Temp Hisfa'!L$3:L$200))+1), ROW(122:321))),"")</f>
        <v>0</v>
      </c>
      <c r="M124" s="22">
        <f t="array" ref="M124">IFERROR(INDEX('Temp Hisfa'!M$3:M$200, SMALL(IF(ISERROR('Temp Hisfa'!M$3:M$200), "", ROW('Temp Hisfa'!M$3:M$200)-MIN(ROW('Temp Hisfa'!M$3:M$200))+1), ROW(122:321))),"")</f>
        <v>0</v>
      </c>
      <c r="N124" s="22">
        <f t="array" ref="N124">IFERROR(INDEX('Temp Hisfa'!N$3:N$200, SMALL(IF(ISERROR('Temp Hisfa'!N$3:N$200), "", ROW('Temp Hisfa'!N$3:N$200)-MIN(ROW('Temp Hisfa'!N$3:N$200))+1), ROW(122:321))),"")</f>
        <v>1900</v>
      </c>
      <c r="O124" s="22" t="str">
        <f t="array" ref="O124">IFERROR(INDEX('Temp Hisfa'!O$3:O$200, SMALL(IF(ISERROR('Temp Hisfa'!O$3:O$200), "", ROW('Temp Hisfa'!O$3:O$200)-MIN(ROW('Temp Hisfa'!O$3:O$200))+1), ROW(122:321))),"")</f>
        <v>enero</v>
      </c>
      <c r="P124" s="22">
        <f t="array" ref="P124">IFERROR(INDEX('Temp Hisfa'!P$3:P$200, SMALL(IF(ISERROR('Temp Hisfa'!P$3:P$200), "", ROW('Temp Hisfa'!P$3:P$200)-MIN(ROW('Temp Hisfa'!P$3:P$200))+1), ROW(122:321))),"")</f>
        <v>0</v>
      </c>
      <c r="Q124" s="22">
        <f t="array" ref="Q124">IFERROR(INDEX('Temp Hisfa'!Q$3:Q$200, SMALL(IF(ISERROR('Temp Hisfa'!Q$3:Q$200), "", ROW('Temp Hisfa'!Q$3:Q$200)-MIN(ROW('Temp Hisfa'!Q$3:Q$200))+1), ROW(122:321))),"")</f>
        <v>0</v>
      </c>
      <c r="R124" s="22">
        <f t="array" ref="R124">IFERROR(INDEX('Temp Hisfa'!R$3:R$200, SMALL(IF(ISERROR('Temp Hisfa'!R$3:R$200), "", ROW('Temp Hisfa'!R$3:R$200)-MIN(ROW('Temp Hisfa'!R$3:R$200))+1), ROW(122:321))),"")</f>
        <v>0</v>
      </c>
      <c r="S124" s="22">
        <f t="array" ref="S124">IFERROR(INDEX('Temp Hisfa'!S$3:S$200, SMALL(IF(ISERROR('Temp Hisfa'!S$3:S$200), "", ROW('Temp Hisfa'!S$3:S$200)-MIN(ROW('Temp Hisfa'!S$3:S$200))+1), ROW(122:321))),"")</f>
        <v>0</v>
      </c>
      <c r="T124" s="22">
        <f t="array" ref="T124">IFERROR(INDEX('Temp Hisfa'!T$3:T$200, SMALL(IF(ISERROR('Temp Hisfa'!T$3:T$200), "", ROW('Temp Hisfa'!T$3:T$200)-MIN(ROW('Temp Hisfa'!T$3:T$200))+1), ROW(122:321))),"")</f>
        <v>0</v>
      </c>
      <c r="U124" s="22">
        <f t="array" ref="U124">IFERROR(INDEX('Temp Hisfa'!U$3:U$200, SMALL(IF(ISERROR('Temp Hisfa'!U$3:U$200), "", ROW('Temp Hisfa'!U$3:U$200)-MIN(ROW('Temp Hisfa'!U$3:U$200))+1), ROW(122:321))),"")</f>
        <v>0</v>
      </c>
      <c r="V124" s="22">
        <f t="array" ref="V124">IFERROR(INDEX('Temp Hisfa'!V$3:V$200, SMALL(IF(ISERROR('Temp Hisfa'!V$3:V$200), "", ROW('Temp Hisfa'!V$3:V$200)-MIN(ROW('Temp Hisfa'!V$3:V$200))+1), ROW(122:321))),"")</f>
        <v>0</v>
      </c>
      <c r="W124" s="22">
        <f t="array" ref="W124">IFERROR(INDEX('Temp Hisfa'!W$3:W$200, SMALL(IF(ISERROR('Temp Hisfa'!W$3:W$200), "", ROW('Temp Hisfa'!W$3:W$200)-MIN(ROW('Temp Hisfa'!W$3:W$200))+1), ROW(122:321))),"")</f>
        <v>0</v>
      </c>
      <c r="X124" s="22">
        <f t="array" ref="X124">IFERROR(INDEX('Temp Hisfa'!X$3:X$200, SMALL(IF(ISERROR('Temp Hisfa'!X$3:X$200), "", ROW('Temp Hisfa'!X$3:X$200)-MIN(ROW('Temp Hisfa'!X$3:X$200))+1), ROW(122:321))),"")</f>
        <v>0</v>
      </c>
      <c r="Y124" s="22">
        <f t="array" ref="Y124">IFERROR(INDEX('Temp Hisfa'!Y$3:Y$200, SMALL(IF(ISERROR('Temp Hisfa'!Y$3:Y$200), "", ROW('Temp Hisfa'!Y$3:Y$200)-MIN(ROW('Temp Hisfa'!Y$3:Y$200))+1), ROW(122:321))),"")</f>
        <v>0</v>
      </c>
      <c r="Z124" s="22">
        <f t="array" ref="Z124">IFERROR(INDEX('Temp Hisfa'!Z$3:Z$200, SMALL(IF(ISERROR('Temp Hisfa'!Z$3:Z$200), "", ROW('Temp Hisfa'!Z$3:Z$200)-MIN(ROW('Temp Hisfa'!Z$3:Z$200))+1), ROW(122:321))),"")</f>
        <v>0</v>
      </c>
      <c r="AA124" s="22">
        <f t="array" ref="AA124">IFERROR(INDEX('Temp Hisfa'!AA$3:AA$200, SMALL(IF(ISERROR('Temp Hisfa'!AA$3:AA$200), "", ROW('Temp Hisfa'!AA$3:AA$200)-MIN(ROW('Temp Hisfa'!AA$3:AA$200))+1), ROW(122:321))),"")</f>
        <v>0</v>
      </c>
      <c r="AB124" s="22">
        <f t="array" ref="AB124">IFERROR(INDEX('Temp Hisfa'!AB$3:AB$200, SMALL(IF(ISERROR('Temp Hisfa'!AB$3:AB$200), "", ROW('Temp Hisfa'!AB$3:AB$200)-MIN(ROW('Temp Hisfa'!AB$3:AB$200))+1), ROW(122:321))),"")</f>
        <v>0</v>
      </c>
    </row>
    <row r="125" spans="1:28" x14ac:dyDescent="0.3">
      <c r="A125" s="4">
        <f t="array" ref="A125">IFERROR(INDEX('Temp Hisfa'!A$3:A$200, SMALL(IF(ISERROR('Temp Hisfa'!A$3:A$200), "", ROW('Temp Hisfa'!A$3:A$200)-MIN(ROW('Temp Hisfa'!A$3:A$200))+1), ROW(123:321))),"")</f>
        <v>0</v>
      </c>
      <c r="B125" s="4">
        <f t="array" ref="B125">IFERROR(INDEX('Temp Hisfa'!B$3:B$200, SMALL(IF(ISERROR('Temp Hisfa'!B$3:B$200), "", ROW('Temp Hisfa'!B$3:B$200)-MIN(ROW('Temp Hisfa'!B$3:B$200))+1), ROW(123:321))),"")</f>
        <v>0</v>
      </c>
      <c r="C125" s="3">
        <f t="array" ref="C125">IFERROR(INDEX('Temp Hisfa'!C$3:C$200, SMALL(IF(ISERROR('Temp Hisfa'!C$3:C$200), "", ROW('Temp Hisfa'!C$3:C$200)-MIN(ROW('Temp Hisfa'!C$3:C$200))+1), ROW(123:321))),"")</f>
        <v>0</v>
      </c>
      <c r="D125" s="3">
        <f t="array" ref="D125">IFERROR(INDEX('Temp Hisfa'!D$3:D$200, SMALL(IF(ISERROR('Temp Hisfa'!D$3:D$200), "", ROW('Temp Hisfa'!D$3:D$200)-MIN(ROW('Temp Hisfa'!D$3:D$200))+1), ROW(123:321))),"")</f>
        <v>0</v>
      </c>
      <c r="E125" s="29">
        <f t="array" ref="E125">IFERROR(INDEX('Temp Hisfa'!E$3:E$200, SMALL(IF(ISERROR('Temp Hisfa'!E$3:E$200), "", ROW('Temp Hisfa'!E$3:E$200)-MIN(ROW('Temp Hisfa'!E$3:E$200))+1), ROW(123:322))),"")</f>
        <v>0</v>
      </c>
      <c r="F125" s="22" t="str">
        <f t="array" ref="F125">IFERROR(INDEX('Temp Hisfa'!F$3:F$200, SMALL(IF(ISERROR('Temp Hisfa'!F$3:F$200), "", ROW('Temp Hisfa'!F$3:F$200)-MIN(ROW('Temp Hisfa'!F$3:F$200))+1), ROW(123:322))),"")</f>
        <v/>
      </c>
      <c r="G125" s="30">
        <f t="array" ref="G125">IFERROR(INDEX('Temp Hisfa'!G$3:G$200, SMALL(IF(ISERROR('Temp Hisfa'!G$3:G$200), "", ROW('Temp Hisfa'!G$3:G$200)-MIN(ROW('Temp Hisfa'!G$3:G$200))+1), ROW(123:322))),"")</f>
        <v>0</v>
      </c>
      <c r="H125" s="22" t="str">
        <f t="array" ref="H125">IFERROR(INDEX('Temp Hisfa'!H$3:H$200, SMALL(IF(ISERROR('Temp Hisfa'!H$3:H$200), "", ROW('Temp Hisfa'!H$3:H$200)-MIN(ROW('Temp Hisfa'!H$3:H$200))+1), ROW(123:322))),"")</f>
        <v/>
      </c>
      <c r="I125" s="22">
        <f t="array" ref="I125">IFERROR(INDEX('Temp Hisfa'!I$3:I$200, SMALL(IF(ISERROR('Temp Hisfa'!I$3:I$200), "", ROW('Temp Hisfa'!I$3:I$200)-MIN(ROW('Temp Hisfa'!I$3:I$200))+1), ROW(123:322))),"")</f>
        <v>0</v>
      </c>
      <c r="J125" s="22">
        <f t="array" ref="J125">IFERROR(INDEX('Temp Hisfa'!J$3:J$200, SMALL(IF(ISERROR('Temp Hisfa'!J$3:J$200), "", ROW('Temp Hisfa'!J$3:J$200)-MIN(ROW('Temp Hisfa'!J$3:J$200))+1), ROW(123:322))),"")</f>
        <v>0</v>
      </c>
      <c r="K125" s="30">
        <f t="array" ref="K125">IFERROR(INDEX('Temp Hisfa'!K$3:K$200, SMALL(IF(ISERROR('Temp Hisfa'!K$3:K$200), "", ROW('Temp Hisfa'!K$3:K$200)-MIN(ROW('Temp Hisfa'!K$3:K$200))+1), ROW(123:322))),"")</f>
        <v>0</v>
      </c>
      <c r="L125" s="22">
        <f t="array" ref="L125">IFERROR(INDEX('Temp Hisfa'!L$3:L$200, SMALL(IF(ISERROR('Temp Hisfa'!L$3:L$200), "", ROW('Temp Hisfa'!L$3:L$200)-MIN(ROW('Temp Hisfa'!L$3:L$200))+1), ROW(123:322))),"")</f>
        <v>0</v>
      </c>
      <c r="M125" s="22">
        <f t="array" ref="M125">IFERROR(INDEX('Temp Hisfa'!M$3:M$200, SMALL(IF(ISERROR('Temp Hisfa'!M$3:M$200), "", ROW('Temp Hisfa'!M$3:M$200)-MIN(ROW('Temp Hisfa'!M$3:M$200))+1), ROW(123:322))),"")</f>
        <v>0</v>
      </c>
      <c r="N125" s="22">
        <f t="array" ref="N125">IFERROR(INDEX('Temp Hisfa'!N$3:N$200, SMALL(IF(ISERROR('Temp Hisfa'!N$3:N$200), "", ROW('Temp Hisfa'!N$3:N$200)-MIN(ROW('Temp Hisfa'!N$3:N$200))+1), ROW(123:322))),"")</f>
        <v>1900</v>
      </c>
      <c r="O125" s="22" t="str">
        <f t="array" ref="O125">IFERROR(INDEX('Temp Hisfa'!O$3:O$200, SMALL(IF(ISERROR('Temp Hisfa'!O$3:O$200), "", ROW('Temp Hisfa'!O$3:O$200)-MIN(ROW('Temp Hisfa'!O$3:O$200))+1), ROW(123:322))),"")</f>
        <v>enero</v>
      </c>
      <c r="P125" s="22">
        <f t="array" ref="P125">IFERROR(INDEX('Temp Hisfa'!P$3:P$200, SMALL(IF(ISERROR('Temp Hisfa'!P$3:P$200), "", ROW('Temp Hisfa'!P$3:P$200)-MIN(ROW('Temp Hisfa'!P$3:P$200))+1), ROW(123:322))),"")</f>
        <v>0</v>
      </c>
      <c r="Q125" s="22">
        <f t="array" ref="Q125">IFERROR(INDEX('Temp Hisfa'!Q$3:Q$200, SMALL(IF(ISERROR('Temp Hisfa'!Q$3:Q$200), "", ROW('Temp Hisfa'!Q$3:Q$200)-MIN(ROW('Temp Hisfa'!Q$3:Q$200))+1), ROW(123:322))),"")</f>
        <v>0</v>
      </c>
      <c r="R125" s="22">
        <f t="array" ref="R125">IFERROR(INDEX('Temp Hisfa'!R$3:R$200, SMALL(IF(ISERROR('Temp Hisfa'!R$3:R$200), "", ROW('Temp Hisfa'!R$3:R$200)-MIN(ROW('Temp Hisfa'!R$3:R$200))+1), ROW(123:322))),"")</f>
        <v>0</v>
      </c>
      <c r="S125" s="22">
        <f t="array" ref="S125">IFERROR(INDEX('Temp Hisfa'!S$3:S$200, SMALL(IF(ISERROR('Temp Hisfa'!S$3:S$200), "", ROW('Temp Hisfa'!S$3:S$200)-MIN(ROW('Temp Hisfa'!S$3:S$200))+1), ROW(123:322))),"")</f>
        <v>0</v>
      </c>
      <c r="T125" s="22">
        <f t="array" ref="T125">IFERROR(INDEX('Temp Hisfa'!T$3:T$200, SMALL(IF(ISERROR('Temp Hisfa'!T$3:T$200), "", ROW('Temp Hisfa'!T$3:T$200)-MIN(ROW('Temp Hisfa'!T$3:T$200))+1), ROW(123:322))),"")</f>
        <v>0</v>
      </c>
      <c r="U125" s="22">
        <f t="array" ref="U125">IFERROR(INDEX('Temp Hisfa'!U$3:U$200, SMALL(IF(ISERROR('Temp Hisfa'!U$3:U$200), "", ROW('Temp Hisfa'!U$3:U$200)-MIN(ROW('Temp Hisfa'!U$3:U$200))+1), ROW(123:322))),"")</f>
        <v>0</v>
      </c>
      <c r="V125" s="22">
        <f t="array" ref="V125">IFERROR(INDEX('Temp Hisfa'!V$3:V$200, SMALL(IF(ISERROR('Temp Hisfa'!V$3:V$200), "", ROW('Temp Hisfa'!V$3:V$200)-MIN(ROW('Temp Hisfa'!V$3:V$200))+1), ROW(123:322))),"")</f>
        <v>0</v>
      </c>
      <c r="W125" s="22">
        <f t="array" ref="W125">IFERROR(INDEX('Temp Hisfa'!W$3:W$200, SMALL(IF(ISERROR('Temp Hisfa'!W$3:W$200), "", ROW('Temp Hisfa'!W$3:W$200)-MIN(ROW('Temp Hisfa'!W$3:W$200))+1), ROW(123:322))),"")</f>
        <v>0</v>
      </c>
      <c r="X125" s="22">
        <f t="array" ref="X125">IFERROR(INDEX('Temp Hisfa'!X$3:X$200, SMALL(IF(ISERROR('Temp Hisfa'!X$3:X$200), "", ROW('Temp Hisfa'!X$3:X$200)-MIN(ROW('Temp Hisfa'!X$3:X$200))+1), ROW(123:322))),"")</f>
        <v>0</v>
      </c>
      <c r="Y125" s="22">
        <f t="array" ref="Y125">IFERROR(INDEX('Temp Hisfa'!Y$3:Y$200, SMALL(IF(ISERROR('Temp Hisfa'!Y$3:Y$200), "", ROW('Temp Hisfa'!Y$3:Y$200)-MIN(ROW('Temp Hisfa'!Y$3:Y$200))+1), ROW(123:322))),"")</f>
        <v>0</v>
      </c>
      <c r="Z125" s="22">
        <f t="array" ref="Z125">IFERROR(INDEX('Temp Hisfa'!Z$3:Z$200, SMALL(IF(ISERROR('Temp Hisfa'!Z$3:Z$200), "", ROW('Temp Hisfa'!Z$3:Z$200)-MIN(ROW('Temp Hisfa'!Z$3:Z$200))+1), ROW(123:322))),"")</f>
        <v>0</v>
      </c>
      <c r="AA125" s="22">
        <f t="array" ref="AA125">IFERROR(INDEX('Temp Hisfa'!AA$3:AA$200, SMALL(IF(ISERROR('Temp Hisfa'!AA$3:AA$200), "", ROW('Temp Hisfa'!AA$3:AA$200)-MIN(ROW('Temp Hisfa'!AA$3:AA$200))+1), ROW(123:322))),"")</f>
        <v>0</v>
      </c>
      <c r="AB125" s="22">
        <f t="array" ref="AB125">IFERROR(INDEX('Temp Hisfa'!AB$3:AB$200, SMALL(IF(ISERROR('Temp Hisfa'!AB$3:AB$200), "", ROW('Temp Hisfa'!AB$3:AB$200)-MIN(ROW('Temp Hisfa'!AB$3:AB$200))+1), ROW(123:322))),"")</f>
        <v>0</v>
      </c>
    </row>
    <row r="126" spans="1:28" x14ac:dyDescent="0.3">
      <c r="A126" s="4">
        <f t="array" ref="A126">IFERROR(INDEX('Temp Hisfa'!A$3:A$200, SMALL(IF(ISERROR('Temp Hisfa'!A$3:A$200), "", ROW('Temp Hisfa'!A$3:A$200)-MIN(ROW('Temp Hisfa'!A$3:A$200))+1), ROW(124:322))),"")</f>
        <v>0</v>
      </c>
      <c r="B126" s="4">
        <f t="array" ref="B126">IFERROR(INDEX('Temp Hisfa'!B$3:B$200, SMALL(IF(ISERROR('Temp Hisfa'!B$3:B$200), "", ROW('Temp Hisfa'!B$3:B$200)-MIN(ROW('Temp Hisfa'!B$3:B$200))+1), ROW(124:322))),"")</f>
        <v>0</v>
      </c>
      <c r="C126" s="3">
        <f t="array" ref="C126">IFERROR(INDEX('Temp Hisfa'!C$3:C$200, SMALL(IF(ISERROR('Temp Hisfa'!C$3:C$200), "", ROW('Temp Hisfa'!C$3:C$200)-MIN(ROW('Temp Hisfa'!C$3:C$200))+1), ROW(124:322))),"")</f>
        <v>0</v>
      </c>
      <c r="D126" s="3">
        <f t="array" ref="D126">IFERROR(INDEX('Temp Hisfa'!D$3:D$200, SMALL(IF(ISERROR('Temp Hisfa'!D$3:D$200), "", ROW('Temp Hisfa'!D$3:D$200)-MIN(ROW('Temp Hisfa'!D$3:D$200))+1), ROW(124:322))),"")</f>
        <v>0</v>
      </c>
      <c r="E126" s="29">
        <f t="array" ref="E126">IFERROR(INDEX('Temp Hisfa'!E$3:E$200, SMALL(IF(ISERROR('Temp Hisfa'!E$3:E$200), "", ROW('Temp Hisfa'!E$3:E$200)-MIN(ROW('Temp Hisfa'!E$3:E$200))+1), ROW(124:323))),"")</f>
        <v>0</v>
      </c>
      <c r="F126" s="22" t="str">
        <f t="array" ref="F126">IFERROR(INDEX('Temp Hisfa'!F$3:F$200, SMALL(IF(ISERROR('Temp Hisfa'!F$3:F$200), "", ROW('Temp Hisfa'!F$3:F$200)-MIN(ROW('Temp Hisfa'!F$3:F$200))+1), ROW(124:323))),"")</f>
        <v/>
      </c>
      <c r="G126" s="30">
        <f t="array" ref="G126">IFERROR(INDEX('Temp Hisfa'!G$3:G$200, SMALL(IF(ISERROR('Temp Hisfa'!G$3:G$200), "", ROW('Temp Hisfa'!G$3:G$200)-MIN(ROW('Temp Hisfa'!G$3:G$200))+1), ROW(124:323))),"")</f>
        <v>0</v>
      </c>
      <c r="H126" s="22" t="str">
        <f t="array" ref="H126">IFERROR(INDEX('Temp Hisfa'!H$3:H$200, SMALL(IF(ISERROR('Temp Hisfa'!H$3:H$200), "", ROW('Temp Hisfa'!H$3:H$200)-MIN(ROW('Temp Hisfa'!H$3:H$200))+1), ROW(124:323))),"")</f>
        <v/>
      </c>
      <c r="I126" s="22">
        <f t="array" ref="I126">IFERROR(INDEX('Temp Hisfa'!I$3:I$200, SMALL(IF(ISERROR('Temp Hisfa'!I$3:I$200), "", ROW('Temp Hisfa'!I$3:I$200)-MIN(ROW('Temp Hisfa'!I$3:I$200))+1), ROW(124:323))),"")</f>
        <v>0</v>
      </c>
      <c r="J126" s="22">
        <f t="array" ref="J126">IFERROR(INDEX('Temp Hisfa'!J$3:J$200, SMALL(IF(ISERROR('Temp Hisfa'!J$3:J$200), "", ROW('Temp Hisfa'!J$3:J$200)-MIN(ROW('Temp Hisfa'!J$3:J$200))+1), ROW(124:323))),"")</f>
        <v>0</v>
      </c>
      <c r="K126" s="30">
        <f t="array" ref="K126">IFERROR(INDEX('Temp Hisfa'!K$3:K$200, SMALL(IF(ISERROR('Temp Hisfa'!K$3:K$200), "", ROW('Temp Hisfa'!K$3:K$200)-MIN(ROW('Temp Hisfa'!K$3:K$200))+1), ROW(124:323))),"")</f>
        <v>0</v>
      </c>
      <c r="L126" s="22">
        <f t="array" ref="L126">IFERROR(INDEX('Temp Hisfa'!L$3:L$200, SMALL(IF(ISERROR('Temp Hisfa'!L$3:L$200), "", ROW('Temp Hisfa'!L$3:L$200)-MIN(ROW('Temp Hisfa'!L$3:L$200))+1), ROW(124:323))),"")</f>
        <v>0</v>
      </c>
      <c r="M126" s="22">
        <f t="array" ref="M126">IFERROR(INDEX('Temp Hisfa'!M$3:M$200, SMALL(IF(ISERROR('Temp Hisfa'!M$3:M$200), "", ROW('Temp Hisfa'!M$3:M$200)-MIN(ROW('Temp Hisfa'!M$3:M$200))+1), ROW(124:323))),"")</f>
        <v>0</v>
      </c>
      <c r="N126" s="22">
        <f t="array" ref="N126">IFERROR(INDEX('Temp Hisfa'!N$3:N$200, SMALL(IF(ISERROR('Temp Hisfa'!N$3:N$200), "", ROW('Temp Hisfa'!N$3:N$200)-MIN(ROW('Temp Hisfa'!N$3:N$200))+1), ROW(124:323))),"")</f>
        <v>1900</v>
      </c>
      <c r="O126" s="22" t="str">
        <f t="array" ref="O126">IFERROR(INDEX('Temp Hisfa'!O$3:O$200, SMALL(IF(ISERROR('Temp Hisfa'!O$3:O$200), "", ROW('Temp Hisfa'!O$3:O$200)-MIN(ROW('Temp Hisfa'!O$3:O$200))+1), ROW(124:323))),"")</f>
        <v>enero</v>
      </c>
      <c r="P126" s="22">
        <f t="array" ref="P126">IFERROR(INDEX('Temp Hisfa'!P$3:P$200, SMALL(IF(ISERROR('Temp Hisfa'!P$3:P$200), "", ROW('Temp Hisfa'!P$3:P$200)-MIN(ROW('Temp Hisfa'!P$3:P$200))+1), ROW(124:323))),"")</f>
        <v>0</v>
      </c>
      <c r="Q126" s="22">
        <f t="array" ref="Q126">IFERROR(INDEX('Temp Hisfa'!Q$3:Q$200, SMALL(IF(ISERROR('Temp Hisfa'!Q$3:Q$200), "", ROW('Temp Hisfa'!Q$3:Q$200)-MIN(ROW('Temp Hisfa'!Q$3:Q$200))+1), ROW(124:323))),"")</f>
        <v>0</v>
      </c>
      <c r="R126" s="22">
        <f t="array" ref="R126">IFERROR(INDEX('Temp Hisfa'!R$3:R$200, SMALL(IF(ISERROR('Temp Hisfa'!R$3:R$200), "", ROW('Temp Hisfa'!R$3:R$200)-MIN(ROW('Temp Hisfa'!R$3:R$200))+1), ROW(124:323))),"")</f>
        <v>0</v>
      </c>
      <c r="S126" s="22">
        <f t="array" ref="S126">IFERROR(INDEX('Temp Hisfa'!S$3:S$200, SMALL(IF(ISERROR('Temp Hisfa'!S$3:S$200), "", ROW('Temp Hisfa'!S$3:S$200)-MIN(ROW('Temp Hisfa'!S$3:S$200))+1), ROW(124:323))),"")</f>
        <v>0</v>
      </c>
      <c r="T126" s="22">
        <f t="array" ref="T126">IFERROR(INDEX('Temp Hisfa'!T$3:T$200, SMALL(IF(ISERROR('Temp Hisfa'!T$3:T$200), "", ROW('Temp Hisfa'!T$3:T$200)-MIN(ROW('Temp Hisfa'!T$3:T$200))+1), ROW(124:323))),"")</f>
        <v>0</v>
      </c>
      <c r="U126" s="22">
        <f t="array" ref="U126">IFERROR(INDEX('Temp Hisfa'!U$3:U$200, SMALL(IF(ISERROR('Temp Hisfa'!U$3:U$200), "", ROW('Temp Hisfa'!U$3:U$200)-MIN(ROW('Temp Hisfa'!U$3:U$200))+1), ROW(124:323))),"")</f>
        <v>0</v>
      </c>
      <c r="V126" s="22">
        <f t="array" ref="V126">IFERROR(INDEX('Temp Hisfa'!V$3:V$200, SMALL(IF(ISERROR('Temp Hisfa'!V$3:V$200), "", ROW('Temp Hisfa'!V$3:V$200)-MIN(ROW('Temp Hisfa'!V$3:V$200))+1), ROW(124:323))),"")</f>
        <v>0</v>
      </c>
      <c r="W126" s="22">
        <f t="array" ref="W126">IFERROR(INDEX('Temp Hisfa'!W$3:W$200, SMALL(IF(ISERROR('Temp Hisfa'!W$3:W$200), "", ROW('Temp Hisfa'!W$3:W$200)-MIN(ROW('Temp Hisfa'!W$3:W$200))+1), ROW(124:323))),"")</f>
        <v>0</v>
      </c>
      <c r="X126" s="22">
        <f t="array" ref="X126">IFERROR(INDEX('Temp Hisfa'!X$3:X$200, SMALL(IF(ISERROR('Temp Hisfa'!X$3:X$200), "", ROW('Temp Hisfa'!X$3:X$200)-MIN(ROW('Temp Hisfa'!X$3:X$200))+1), ROW(124:323))),"")</f>
        <v>0</v>
      </c>
      <c r="Y126" s="22">
        <f t="array" ref="Y126">IFERROR(INDEX('Temp Hisfa'!Y$3:Y$200, SMALL(IF(ISERROR('Temp Hisfa'!Y$3:Y$200), "", ROW('Temp Hisfa'!Y$3:Y$200)-MIN(ROW('Temp Hisfa'!Y$3:Y$200))+1), ROW(124:323))),"")</f>
        <v>0</v>
      </c>
      <c r="Z126" s="22">
        <f t="array" ref="Z126">IFERROR(INDEX('Temp Hisfa'!Z$3:Z$200, SMALL(IF(ISERROR('Temp Hisfa'!Z$3:Z$200), "", ROW('Temp Hisfa'!Z$3:Z$200)-MIN(ROW('Temp Hisfa'!Z$3:Z$200))+1), ROW(124:323))),"")</f>
        <v>0</v>
      </c>
      <c r="AA126" s="22">
        <f t="array" ref="AA126">IFERROR(INDEX('Temp Hisfa'!AA$3:AA$200, SMALL(IF(ISERROR('Temp Hisfa'!AA$3:AA$200), "", ROW('Temp Hisfa'!AA$3:AA$200)-MIN(ROW('Temp Hisfa'!AA$3:AA$200))+1), ROW(124:323))),"")</f>
        <v>0</v>
      </c>
      <c r="AB126" s="22">
        <f t="array" ref="AB126">IFERROR(INDEX('Temp Hisfa'!AB$3:AB$200, SMALL(IF(ISERROR('Temp Hisfa'!AB$3:AB$200), "", ROW('Temp Hisfa'!AB$3:AB$200)-MIN(ROW('Temp Hisfa'!AB$3:AB$200))+1), ROW(124:323))),"")</f>
        <v>0</v>
      </c>
    </row>
    <row r="127" spans="1:28" x14ac:dyDescent="0.3">
      <c r="A127" s="4">
        <f t="array" ref="A127">IFERROR(INDEX('Temp Hisfa'!A$3:A$200, SMALL(IF(ISERROR('Temp Hisfa'!A$3:A$200), "", ROW('Temp Hisfa'!A$3:A$200)-MIN(ROW('Temp Hisfa'!A$3:A$200))+1), ROW(125:323))),"")</f>
        <v>0</v>
      </c>
      <c r="B127" s="4">
        <f t="array" ref="B127">IFERROR(INDEX('Temp Hisfa'!B$3:B$200, SMALL(IF(ISERROR('Temp Hisfa'!B$3:B$200), "", ROW('Temp Hisfa'!B$3:B$200)-MIN(ROW('Temp Hisfa'!B$3:B$200))+1), ROW(125:323))),"")</f>
        <v>0</v>
      </c>
      <c r="C127" s="3">
        <f t="array" ref="C127">IFERROR(INDEX('Temp Hisfa'!C$3:C$200, SMALL(IF(ISERROR('Temp Hisfa'!C$3:C$200), "", ROW('Temp Hisfa'!C$3:C$200)-MIN(ROW('Temp Hisfa'!C$3:C$200))+1), ROW(125:323))),"")</f>
        <v>0</v>
      </c>
      <c r="D127" s="3">
        <f t="array" ref="D127">IFERROR(INDEX('Temp Hisfa'!D$3:D$200, SMALL(IF(ISERROR('Temp Hisfa'!D$3:D$200), "", ROW('Temp Hisfa'!D$3:D$200)-MIN(ROW('Temp Hisfa'!D$3:D$200))+1), ROW(125:323))),"")</f>
        <v>0</v>
      </c>
      <c r="E127" s="29">
        <f t="array" ref="E127">IFERROR(INDEX('Temp Hisfa'!E$3:E$200, SMALL(IF(ISERROR('Temp Hisfa'!E$3:E$200), "", ROW('Temp Hisfa'!E$3:E$200)-MIN(ROW('Temp Hisfa'!E$3:E$200))+1), ROW(125:324))),"")</f>
        <v>0</v>
      </c>
      <c r="F127" s="22" t="str">
        <f t="array" ref="F127">IFERROR(INDEX('Temp Hisfa'!F$3:F$200, SMALL(IF(ISERROR('Temp Hisfa'!F$3:F$200), "", ROW('Temp Hisfa'!F$3:F$200)-MIN(ROW('Temp Hisfa'!F$3:F$200))+1), ROW(125:324))),"")</f>
        <v/>
      </c>
      <c r="G127" s="30">
        <f t="array" ref="G127">IFERROR(INDEX('Temp Hisfa'!G$3:G$200, SMALL(IF(ISERROR('Temp Hisfa'!G$3:G$200), "", ROW('Temp Hisfa'!G$3:G$200)-MIN(ROW('Temp Hisfa'!G$3:G$200))+1), ROW(125:324))),"")</f>
        <v>0</v>
      </c>
      <c r="H127" s="22" t="str">
        <f t="array" ref="H127">IFERROR(INDEX('Temp Hisfa'!H$3:H$200, SMALL(IF(ISERROR('Temp Hisfa'!H$3:H$200), "", ROW('Temp Hisfa'!H$3:H$200)-MIN(ROW('Temp Hisfa'!H$3:H$200))+1), ROW(125:324))),"")</f>
        <v/>
      </c>
      <c r="I127" s="22">
        <f t="array" ref="I127">IFERROR(INDEX('Temp Hisfa'!I$3:I$200, SMALL(IF(ISERROR('Temp Hisfa'!I$3:I$200), "", ROW('Temp Hisfa'!I$3:I$200)-MIN(ROW('Temp Hisfa'!I$3:I$200))+1), ROW(125:324))),"")</f>
        <v>0</v>
      </c>
      <c r="J127" s="22">
        <f t="array" ref="J127">IFERROR(INDEX('Temp Hisfa'!J$3:J$200, SMALL(IF(ISERROR('Temp Hisfa'!J$3:J$200), "", ROW('Temp Hisfa'!J$3:J$200)-MIN(ROW('Temp Hisfa'!J$3:J$200))+1), ROW(125:324))),"")</f>
        <v>0</v>
      </c>
      <c r="K127" s="30">
        <f t="array" ref="K127">IFERROR(INDEX('Temp Hisfa'!K$3:K$200, SMALL(IF(ISERROR('Temp Hisfa'!K$3:K$200), "", ROW('Temp Hisfa'!K$3:K$200)-MIN(ROW('Temp Hisfa'!K$3:K$200))+1), ROW(125:324))),"")</f>
        <v>0</v>
      </c>
      <c r="L127" s="22">
        <f t="array" ref="L127">IFERROR(INDEX('Temp Hisfa'!L$3:L$200, SMALL(IF(ISERROR('Temp Hisfa'!L$3:L$200), "", ROW('Temp Hisfa'!L$3:L$200)-MIN(ROW('Temp Hisfa'!L$3:L$200))+1), ROW(125:324))),"")</f>
        <v>0</v>
      </c>
      <c r="M127" s="22">
        <f t="array" ref="M127">IFERROR(INDEX('Temp Hisfa'!M$3:M$200, SMALL(IF(ISERROR('Temp Hisfa'!M$3:M$200), "", ROW('Temp Hisfa'!M$3:M$200)-MIN(ROW('Temp Hisfa'!M$3:M$200))+1), ROW(125:324))),"")</f>
        <v>0</v>
      </c>
      <c r="N127" s="22">
        <f t="array" ref="N127">IFERROR(INDEX('Temp Hisfa'!N$3:N$200, SMALL(IF(ISERROR('Temp Hisfa'!N$3:N$200), "", ROW('Temp Hisfa'!N$3:N$200)-MIN(ROW('Temp Hisfa'!N$3:N$200))+1), ROW(125:324))),"")</f>
        <v>1900</v>
      </c>
      <c r="O127" s="22" t="str">
        <f t="array" ref="O127">IFERROR(INDEX('Temp Hisfa'!O$3:O$200, SMALL(IF(ISERROR('Temp Hisfa'!O$3:O$200), "", ROW('Temp Hisfa'!O$3:O$200)-MIN(ROW('Temp Hisfa'!O$3:O$200))+1), ROW(125:324))),"")</f>
        <v>enero</v>
      </c>
      <c r="P127" s="22">
        <f t="array" ref="P127">IFERROR(INDEX('Temp Hisfa'!P$3:P$200, SMALL(IF(ISERROR('Temp Hisfa'!P$3:P$200), "", ROW('Temp Hisfa'!P$3:P$200)-MIN(ROW('Temp Hisfa'!P$3:P$200))+1), ROW(125:324))),"")</f>
        <v>0</v>
      </c>
      <c r="Q127" s="22">
        <f t="array" ref="Q127">IFERROR(INDEX('Temp Hisfa'!Q$3:Q$200, SMALL(IF(ISERROR('Temp Hisfa'!Q$3:Q$200), "", ROW('Temp Hisfa'!Q$3:Q$200)-MIN(ROW('Temp Hisfa'!Q$3:Q$200))+1), ROW(125:324))),"")</f>
        <v>0</v>
      </c>
      <c r="R127" s="22">
        <f t="array" ref="R127">IFERROR(INDEX('Temp Hisfa'!R$3:R$200, SMALL(IF(ISERROR('Temp Hisfa'!R$3:R$200), "", ROW('Temp Hisfa'!R$3:R$200)-MIN(ROW('Temp Hisfa'!R$3:R$200))+1), ROW(125:324))),"")</f>
        <v>0</v>
      </c>
      <c r="S127" s="22">
        <f t="array" ref="S127">IFERROR(INDEX('Temp Hisfa'!S$3:S$200, SMALL(IF(ISERROR('Temp Hisfa'!S$3:S$200), "", ROW('Temp Hisfa'!S$3:S$200)-MIN(ROW('Temp Hisfa'!S$3:S$200))+1), ROW(125:324))),"")</f>
        <v>0</v>
      </c>
      <c r="T127" s="22">
        <f t="array" ref="T127">IFERROR(INDEX('Temp Hisfa'!T$3:T$200, SMALL(IF(ISERROR('Temp Hisfa'!T$3:T$200), "", ROW('Temp Hisfa'!T$3:T$200)-MIN(ROW('Temp Hisfa'!T$3:T$200))+1), ROW(125:324))),"")</f>
        <v>0</v>
      </c>
      <c r="U127" s="22">
        <f t="array" ref="U127">IFERROR(INDEX('Temp Hisfa'!U$3:U$200, SMALL(IF(ISERROR('Temp Hisfa'!U$3:U$200), "", ROW('Temp Hisfa'!U$3:U$200)-MIN(ROW('Temp Hisfa'!U$3:U$200))+1), ROW(125:324))),"")</f>
        <v>0</v>
      </c>
      <c r="V127" s="22">
        <f t="array" ref="V127">IFERROR(INDEX('Temp Hisfa'!V$3:V$200, SMALL(IF(ISERROR('Temp Hisfa'!V$3:V$200), "", ROW('Temp Hisfa'!V$3:V$200)-MIN(ROW('Temp Hisfa'!V$3:V$200))+1), ROW(125:324))),"")</f>
        <v>0</v>
      </c>
      <c r="W127" s="22">
        <f t="array" ref="W127">IFERROR(INDEX('Temp Hisfa'!W$3:W$200, SMALL(IF(ISERROR('Temp Hisfa'!W$3:W$200), "", ROW('Temp Hisfa'!W$3:W$200)-MIN(ROW('Temp Hisfa'!W$3:W$200))+1), ROW(125:324))),"")</f>
        <v>0</v>
      </c>
      <c r="X127" s="22">
        <f t="array" ref="X127">IFERROR(INDEX('Temp Hisfa'!X$3:X$200, SMALL(IF(ISERROR('Temp Hisfa'!X$3:X$200), "", ROW('Temp Hisfa'!X$3:X$200)-MIN(ROW('Temp Hisfa'!X$3:X$200))+1), ROW(125:324))),"")</f>
        <v>0</v>
      </c>
      <c r="Y127" s="22">
        <f t="array" ref="Y127">IFERROR(INDEX('Temp Hisfa'!Y$3:Y$200, SMALL(IF(ISERROR('Temp Hisfa'!Y$3:Y$200), "", ROW('Temp Hisfa'!Y$3:Y$200)-MIN(ROW('Temp Hisfa'!Y$3:Y$200))+1), ROW(125:324))),"")</f>
        <v>0</v>
      </c>
      <c r="Z127" s="22">
        <f t="array" ref="Z127">IFERROR(INDEX('Temp Hisfa'!Z$3:Z$200, SMALL(IF(ISERROR('Temp Hisfa'!Z$3:Z$200), "", ROW('Temp Hisfa'!Z$3:Z$200)-MIN(ROW('Temp Hisfa'!Z$3:Z$200))+1), ROW(125:324))),"")</f>
        <v>0</v>
      </c>
      <c r="AA127" s="22">
        <f t="array" ref="AA127">IFERROR(INDEX('Temp Hisfa'!AA$3:AA$200, SMALL(IF(ISERROR('Temp Hisfa'!AA$3:AA$200), "", ROW('Temp Hisfa'!AA$3:AA$200)-MIN(ROW('Temp Hisfa'!AA$3:AA$200))+1), ROW(125:324))),"")</f>
        <v>0</v>
      </c>
      <c r="AB127" s="22">
        <f t="array" ref="AB127">IFERROR(INDEX('Temp Hisfa'!AB$3:AB$200, SMALL(IF(ISERROR('Temp Hisfa'!AB$3:AB$200), "", ROW('Temp Hisfa'!AB$3:AB$200)-MIN(ROW('Temp Hisfa'!AB$3:AB$200))+1), ROW(125:324))),"")</f>
        <v>0</v>
      </c>
    </row>
    <row r="128" spans="1:28" x14ac:dyDescent="0.3">
      <c r="A128" s="4">
        <f t="array" ref="A128">IFERROR(INDEX('Temp Hisfa'!A$3:A$200, SMALL(IF(ISERROR('Temp Hisfa'!A$3:A$200), "", ROW('Temp Hisfa'!A$3:A$200)-MIN(ROW('Temp Hisfa'!A$3:A$200))+1), ROW(126:324))),"")</f>
        <v>0</v>
      </c>
      <c r="B128" s="4">
        <f t="array" ref="B128">IFERROR(INDEX('Temp Hisfa'!B$3:B$200, SMALL(IF(ISERROR('Temp Hisfa'!B$3:B$200), "", ROW('Temp Hisfa'!B$3:B$200)-MIN(ROW('Temp Hisfa'!B$3:B$200))+1), ROW(126:324))),"")</f>
        <v>0</v>
      </c>
      <c r="C128" s="3">
        <f t="array" ref="C128">IFERROR(INDEX('Temp Hisfa'!C$3:C$200, SMALL(IF(ISERROR('Temp Hisfa'!C$3:C$200), "", ROW('Temp Hisfa'!C$3:C$200)-MIN(ROW('Temp Hisfa'!C$3:C$200))+1), ROW(126:324))),"")</f>
        <v>0</v>
      </c>
      <c r="D128" s="3">
        <f t="array" ref="D128">IFERROR(INDEX('Temp Hisfa'!D$3:D$200, SMALL(IF(ISERROR('Temp Hisfa'!D$3:D$200), "", ROW('Temp Hisfa'!D$3:D$200)-MIN(ROW('Temp Hisfa'!D$3:D$200))+1), ROW(126:324))),"")</f>
        <v>0</v>
      </c>
      <c r="E128" s="29">
        <f t="array" ref="E128">IFERROR(INDEX('Temp Hisfa'!E$3:E$200, SMALL(IF(ISERROR('Temp Hisfa'!E$3:E$200), "", ROW('Temp Hisfa'!E$3:E$200)-MIN(ROW('Temp Hisfa'!E$3:E$200))+1), ROW(126:325))),"")</f>
        <v>0</v>
      </c>
      <c r="F128" s="22" t="str">
        <f t="array" ref="F128">IFERROR(INDEX('Temp Hisfa'!F$3:F$200, SMALL(IF(ISERROR('Temp Hisfa'!F$3:F$200), "", ROW('Temp Hisfa'!F$3:F$200)-MIN(ROW('Temp Hisfa'!F$3:F$200))+1), ROW(126:325))),"")</f>
        <v/>
      </c>
      <c r="G128" s="30">
        <f t="array" ref="G128">IFERROR(INDEX('Temp Hisfa'!G$3:G$200, SMALL(IF(ISERROR('Temp Hisfa'!G$3:G$200), "", ROW('Temp Hisfa'!G$3:G$200)-MIN(ROW('Temp Hisfa'!G$3:G$200))+1), ROW(126:325))),"")</f>
        <v>0</v>
      </c>
      <c r="H128" s="22" t="str">
        <f t="array" ref="H128">IFERROR(INDEX('Temp Hisfa'!H$3:H$200, SMALL(IF(ISERROR('Temp Hisfa'!H$3:H$200), "", ROW('Temp Hisfa'!H$3:H$200)-MIN(ROW('Temp Hisfa'!H$3:H$200))+1), ROW(126:325))),"")</f>
        <v/>
      </c>
      <c r="I128" s="22">
        <f t="array" ref="I128">IFERROR(INDEX('Temp Hisfa'!I$3:I$200, SMALL(IF(ISERROR('Temp Hisfa'!I$3:I$200), "", ROW('Temp Hisfa'!I$3:I$200)-MIN(ROW('Temp Hisfa'!I$3:I$200))+1), ROW(126:325))),"")</f>
        <v>0</v>
      </c>
      <c r="J128" s="22">
        <f t="array" ref="J128">IFERROR(INDEX('Temp Hisfa'!J$3:J$200, SMALL(IF(ISERROR('Temp Hisfa'!J$3:J$200), "", ROW('Temp Hisfa'!J$3:J$200)-MIN(ROW('Temp Hisfa'!J$3:J$200))+1), ROW(126:325))),"")</f>
        <v>0</v>
      </c>
      <c r="K128" s="30">
        <f t="array" ref="K128">IFERROR(INDEX('Temp Hisfa'!K$3:K$200, SMALL(IF(ISERROR('Temp Hisfa'!K$3:K$200), "", ROW('Temp Hisfa'!K$3:K$200)-MIN(ROW('Temp Hisfa'!K$3:K$200))+1), ROW(126:325))),"")</f>
        <v>0</v>
      </c>
      <c r="L128" s="22">
        <f t="array" ref="L128">IFERROR(INDEX('Temp Hisfa'!L$3:L$200, SMALL(IF(ISERROR('Temp Hisfa'!L$3:L$200), "", ROW('Temp Hisfa'!L$3:L$200)-MIN(ROW('Temp Hisfa'!L$3:L$200))+1), ROW(126:325))),"")</f>
        <v>0</v>
      </c>
      <c r="M128" s="22">
        <f t="array" ref="M128">IFERROR(INDEX('Temp Hisfa'!M$3:M$200, SMALL(IF(ISERROR('Temp Hisfa'!M$3:M$200), "", ROW('Temp Hisfa'!M$3:M$200)-MIN(ROW('Temp Hisfa'!M$3:M$200))+1), ROW(126:325))),"")</f>
        <v>0</v>
      </c>
      <c r="N128" s="22">
        <f t="array" ref="N128">IFERROR(INDEX('Temp Hisfa'!N$3:N$200, SMALL(IF(ISERROR('Temp Hisfa'!N$3:N$200), "", ROW('Temp Hisfa'!N$3:N$200)-MIN(ROW('Temp Hisfa'!N$3:N$200))+1), ROW(126:325))),"")</f>
        <v>1900</v>
      </c>
      <c r="O128" s="22" t="str">
        <f t="array" ref="O128">IFERROR(INDEX('Temp Hisfa'!O$3:O$200, SMALL(IF(ISERROR('Temp Hisfa'!O$3:O$200), "", ROW('Temp Hisfa'!O$3:O$200)-MIN(ROW('Temp Hisfa'!O$3:O$200))+1), ROW(126:325))),"")</f>
        <v>enero</v>
      </c>
      <c r="P128" s="22">
        <f t="array" ref="P128">IFERROR(INDEX('Temp Hisfa'!P$3:P$200, SMALL(IF(ISERROR('Temp Hisfa'!P$3:P$200), "", ROW('Temp Hisfa'!P$3:P$200)-MIN(ROW('Temp Hisfa'!P$3:P$200))+1), ROW(126:325))),"")</f>
        <v>0</v>
      </c>
      <c r="Q128" s="22">
        <f t="array" ref="Q128">IFERROR(INDEX('Temp Hisfa'!Q$3:Q$200, SMALL(IF(ISERROR('Temp Hisfa'!Q$3:Q$200), "", ROW('Temp Hisfa'!Q$3:Q$200)-MIN(ROW('Temp Hisfa'!Q$3:Q$200))+1), ROW(126:325))),"")</f>
        <v>0</v>
      </c>
      <c r="R128" s="22">
        <f t="array" ref="R128">IFERROR(INDEX('Temp Hisfa'!R$3:R$200, SMALL(IF(ISERROR('Temp Hisfa'!R$3:R$200), "", ROW('Temp Hisfa'!R$3:R$200)-MIN(ROW('Temp Hisfa'!R$3:R$200))+1), ROW(126:325))),"")</f>
        <v>0</v>
      </c>
      <c r="S128" s="22">
        <f t="array" ref="S128">IFERROR(INDEX('Temp Hisfa'!S$3:S$200, SMALL(IF(ISERROR('Temp Hisfa'!S$3:S$200), "", ROW('Temp Hisfa'!S$3:S$200)-MIN(ROW('Temp Hisfa'!S$3:S$200))+1), ROW(126:325))),"")</f>
        <v>0</v>
      </c>
      <c r="T128" s="22">
        <f t="array" ref="T128">IFERROR(INDEX('Temp Hisfa'!T$3:T$200, SMALL(IF(ISERROR('Temp Hisfa'!T$3:T$200), "", ROW('Temp Hisfa'!T$3:T$200)-MIN(ROW('Temp Hisfa'!T$3:T$200))+1), ROW(126:325))),"")</f>
        <v>0</v>
      </c>
      <c r="U128" s="22">
        <f t="array" ref="U128">IFERROR(INDEX('Temp Hisfa'!U$3:U$200, SMALL(IF(ISERROR('Temp Hisfa'!U$3:U$200), "", ROW('Temp Hisfa'!U$3:U$200)-MIN(ROW('Temp Hisfa'!U$3:U$200))+1), ROW(126:325))),"")</f>
        <v>0</v>
      </c>
      <c r="V128" s="22">
        <f t="array" ref="V128">IFERROR(INDEX('Temp Hisfa'!V$3:V$200, SMALL(IF(ISERROR('Temp Hisfa'!V$3:V$200), "", ROW('Temp Hisfa'!V$3:V$200)-MIN(ROW('Temp Hisfa'!V$3:V$200))+1), ROW(126:325))),"")</f>
        <v>0</v>
      </c>
      <c r="W128" s="22">
        <f t="array" ref="W128">IFERROR(INDEX('Temp Hisfa'!W$3:W$200, SMALL(IF(ISERROR('Temp Hisfa'!W$3:W$200), "", ROW('Temp Hisfa'!W$3:W$200)-MIN(ROW('Temp Hisfa'!W$3:W$200))+1), ROW(126:325))),"")</f>
        <v>0</v>
      </c>
      <c r="X128" s="22">
        <f t="array" ref="X128">IFERROR(INDEX('Temp Hisfa'!X$3:X$200, SMALL(IF(ISERROR('Temp Hisfa'!X$3:X$200), "", ROW('Temp Hisfa'!X$3:X$200)-MIN(ROW('Temp Hisfa'!X$3:X$200))+1), ROW(126:325))),"")</f>
        <v>0</v>
      </c>
      <c r="Y128" s="22">
        <f t="array" ref="Y128">IFERROR(INDEX('Temp Hisfa'!Y$3:Y$200, SMALL(IF(ISERROR('Temp Hisfa'!Y$3:Y$200), "", ROW('Temp Hisfa'!Y$3:Y$200)-MIN(ROW('Temp Hisfa'!Y$3:Y$200))+1), ROW(126:325))),"")</f>
        <v>0</v>
      </c>
      <c r="Z128" s="22">
        <f t="array" ref="Z128">IFERROR(INDEX('Temp Hisfa'!Z$3:Z$200, SMALL(IF(ISERROR('Temp Hisfa'!Z$3:Z$200), "", ROW('Temp Hisfa'!Z$3:Z$200)-MIN(ROW('Temp Hisfa'!Z$3:Z$200))+1), ROW(126:325))),"")</f>
        <v>0</v>
      </c>
      <c r="AA128" s="22">
        <f t="array" ref="AA128">IFERROR(INDEX('Temp Hisfa'!AA$3:AA$200, SMALL(IF(ISERROR('Temp Hisfa'!AA$3:AA$200), "", ROW('Temp Hisfa'!AA$3:AA$200)-MIN(ROW('Temp Hisfa'!AA$3:AA$200))+1), ROW(126:325))),"")</f>
        <v>0</v>
      </c>
      <c r="AB128" s="22">
        <f t="array" ref="AB128">IFERROR(INDEX('Temp Hisfa'!AB$3:AB$200, SMALL(IF(ISERROR('Temp Hisfa'!AB$3:AB$200), "", ROW('Temp Hisfa'!AB$3:AB$200)-MIN(ROW('Temp Hisfa'!AB$3:AB$200))+1), ROW(126:325))),"")</f>
        <v>0</v>
      </c>
    </row>
    <row r="129" spans="1:28" x14ac:dyDescent="0.3">
      <c r="A129" s="4">
        <f t="array" ref="A129">IFERROR(INDEX('Temp Hisfa'!A$3:A$200, SMALL(IF(ISERROR('Temp Hisfa'!A$3:A$200), "", ROW('Temp Hisfa'!A$3:A$200)-MIN(ROW('Temp Hisfa'!A$3:A$200))+1), ROW(127:325))),"")</f>
        <v>0</v>
      </c>
      <c r="B129" s="4">
        <f t="array" ref="B129">IFERROR(INDEX('Temp Hisfa'!B$3:B$200, SMALL(IF(ISERROR('Temp Hisfa'!B$3:B$200), "", ROW('Temp Hisfa'!B$3:B$200)-MIN(ROW('Temp Hisfa'!B$3:B$200))+1), ROW(127:325))),"")</f>
        <v>0</v>
      </c>
      <c r="C129" s="3">
        <f t="array" ref="C129">IFERROR(INDEX('Temp Hisfa'!C$3:C$200, SMALL(IF(ISERROR('Temp Hisfa'!C$3:C$200), "", ROW('Temp Hisfa'!C$3:C$200)-MIN(ROW('Temp Hisfa'!C$3:C$200))+1), ROW(127:325))),"")</f>
        <v>0</v>
      </c>
      <c r="D129" s="3">
        <f t="array" ref="D129">IFERROR(INDEX('Temp Hisfa'!D$3:D$200, SMALL(IF(ISERROR('Temp Hisfa'!D$3:D$200), "", ROW('Temp Hisfa'!D$3:D$200)-MIN(ROW('Temp Hisfa'!D$3:D$200))+1), ROW(127:325))),"")</f>
        <v>0</v>
      </c>
      <c r="E129" s="29">
        <f t="array" ref="E129">IFERROR(INDEX('Temp Hisfa'!E$3:E$200, SMALL(IF(ISERROR('Temp Hisfa'!E$3:E$200), "", ROW('Temp Hisfa'!E$3:E$200)-MIN(ROW('Temp Hisfa'!E$3:E$200))+1), ROW(127:326))),"")</f>
        <v>0</v>
      </c>
      <c r="F129" s="22" t="str">
        <f t="array" ref="F129">IFERROR(INDEX('Temp Hisfa'!F$3:F$200, SMALL(IF(ISERROR('Temp Hisfa'!F$3:F$200), "", ROW('Temp Hisfa'!F$3:F$200)-MIN(ROW('Temp Hisfa'!F$3:F$200))+1), ROW(127:326))),"")</f>
        <v/>
      </c>
      <c r="G129" s="30">
        <f t="array" ref="G129">IFERROR(INDEX('Temp Hisfa'!G$3:G$200, SMALL(IF(ISERROR('Temp Hisfa'!G$3:G$200), "", ROW('Temp Hisfa'!G$3:G$200)-MIN(ROW('Temp Hisfa'!G$3:G$200))+1), ROW(127:326))),"")</f>
        <v>0</v>
      </c>
      <c r="H129" s="22" t="str">
        <f t="array" ref="H129">IFERROR(INDEX('Temp Hisfa'!H$3:H$200, SMALL(IF(ISERROR('Temp Hisfa'!H$3:H$200), "", ROW('Temp Hisfa'!H$3:H$200)-MIN(ROW('Temp Hisfa'!H$3:H$200))+1), ROW(127:326))),"")</f>
        <v/>
      </c>
      <c r="I129" s="22">
        <f t="array" ref="I129">IFERROR(INDEX('Temp Hisfa'!I$3:I$200, SMALL(IF(ISERROR('Temp Hisfa'!I$3:I$200), "", ROW('Temp Hisfa'!I$3:I$200)-MIN(ROW('Temp Hisfa'!I$3:I$200))+1), ROW(127:326))),"")</f>
        <v>0</v>
      </c>
      <c r="J129" s="22">
        <f t="array" ref="J129">IFERROR(INDEX('Temp Hisfa'!J$3:J$200, SMALL(IF(ISERROR('Temp Hisfa'!J$3:J$200), "", ROW('Temp Hisfa'!J$3:J$200)-MIN(ROW('Temp Hisfa'!J$3:J$200))+1), ROW(127:326))),"")</f>
        <v>0</v>
      </c>
      <c r="K129" s="30">
        <f t="array" ref="K129">IFERROR(INDEX('Temp Hisfa'!K$3:K$200, SMALL(IF(ISERROR('Temp Hisfa'!K$3:K$200), "", ROW('Temp Hisfa'!K$3:K$200)-MIN(ROW('Temp Hisfa'!K$3:K$200))+1), ROW(127:326))),"")</f>
        <v>0</v>
      </c>
      <c r="L129" s="22">
        <f t="array" ref="L129">IFERROR(INDEX('Temp Hisfa'!L$3:L$200, SMALL(IF(ISERROR('Temp Hisfa'!L$3:L$200), "", ROW('Temp Hisfa'!L$3:L$200)-MIN(ROW('Temp Hisfa'!L$3:L$200))+1), ROW(127:326))),"")</f>
        <v>0</v>
      </c>
      <c r="M129" s="22">
        <f t="array" ref="M129">IFERROR(INDEX('Temp Hisfa'!M$3:M$200, SMALL(IF(ISERROR('Temp Hisfa'!M$3:M$200), "", ROW('Temp Hisfa'!M$3:M$200)-MIN(ROW('Temp Hisfa'!M$3:M$200))+1), ROW(127:326))),"")</f>
        <v>0</v>
      </c>
      <c r="N129" s="22">
        <f t="array" ref="N129">IFERROR(INDEX('Temp Hisfa'!N$3:N$200, SMALL(IF(ISERROR('Temp Hisfa'!N$3:N$200), "", ROW('Temp Hisfa'!N$3:N$200)-MIN(ROW('Temp Hisfa'!N$3:N$200))+1), ROW(127:326))),"")</f>
        <v>1900</v>
      </c>
      <c r="O129" s="22" t="str">
        <f t="array" ref="O129">IFERROR(INDEX('Temp Hisfa'!O$3:O$200, SMALL(IF(ISERROR('Temp Hisfa'!O$3:O$200), "", ROW('Temp Hisfa'!O$3:O$200)-MIN(ROW('Temp Hisfa'!O$3:O$200))+1), ROW(127:326))),"")</f>
        <v>enero</v>
      </c>
      <c r="P129" s="22">
        <f t="array" ref="P129">IFERROR(INDEX('Temp Hisfa'!P$3:P$200, SMALL(IF(ISERROR('Temp Hisfa'!P$3:P$200), "", ROW('Temp Hisfa'!P$3:P$200)-MIN(ROW('Temp Hisfa'!P$3:P$200))+1), ROW(127:326))),"")</f>
        <v>0</v>
      </c>
      <c r="Q129" s="22">
        <f t="array" ref="Q129">IFERROR(INDEX('Temp Hisfa'!Q$3:Q$200, SMALL(IF(ISERROR('Temp Hisfa'!Q$3:Q$200), "", ROW('Temp Hisfa'!Q$3:Q$200)-MIN(ROW('Temp Hisfa'!Q$3:Q$200))+1), ROW(127:326))),"")</f>
        <v>0</v>
      </c>
      <c r="R129" s="22">
        <f t="array" ref="R129">IFERROR(INDEX('Temp Hisfa'!R$3:R$200, SMALL(IF(ISERROR('Temp Hisfa'!R$3:R$200), "", ROW('Temp Hisfa'!R$3:R$200)-MIN(ROW('Temp Hisfa'!R$3:R$200))+1), ROW(127:326))),"")</f>
        <v>0</v>
      </c>
      <c r="S129" s="22">
        <f t="array" ref="S129">IFERROR(INDEX('Temp Hisfa'!S$3:S$200, SMALL(IF(ISERROR('Temp Hisfa'!S$3:S$200), "", ROW('Temp Hisfa'!S$3:S$200)-MIN(ROW('Temp Hisfa'!S$3:S$200))+1), ROW(127:326))),"")</f>
        <v>0</v>
      </c>
      <c r="T129" s="22">
        <f t="array" ref="T129">IFERROR(INDEX('Temp Hisfa'!T$3:T$200, SMALL(IF(ISERROR('Temp Hisfa'!T$3:T$200), "", ROW('Temp Hisfa'!T$3:T$200)-MIN(ROW('Temp Hisfa'!T$3:T$200))+1), ROW(127:326))),"")</f>
        <v>0</v>
      </c>
      <c r="U129" s="22">
        <f t="array" ref="U129">IFERROR(INDEX('Temp Hisfa'!U$3:U$200, SMALL(IF(ISERROR('Temp Hisfa'!U$3:U$200), "", ROW('Temp Hisfa'!U$3:U$200)-MIN(ROW('Temp Hisfa'!U$3:U$200))+1), ROW(127:326))),"")</f>
        <v>0</v>
      </c>
      <c r="V129" s="22">
        <f t="array" ref="V129">IFERROR(INDEX('Temp Hisfa'!V$3:V$200, SMALL(IF(ISERROR('Temp Hisfa'!V$3:V$200), "", ROW('Temp Hisfa'!V$3:V$200)-MIN(ROW('Temp Hisfa'!V$3:V$200))+1), ROW(127:326))),"")</f>
        <v>0</v>
      </c>
      <c r="W129" s="22">
        <f t="array" ref="W129">IFERROR(INDEX('Temp Hisfa'!W$3:W$200, SMALL(IF(ISERROR('Temp Hisfa'!W$3:W$200), "", ROW('Temp Hisfa'!W$3:W$200)-MIN(ROW('Temp Hisfa'!W$3:W$200))+1), ROW(127:326))),"")</f>
        <v>0</v>
      </c>
      <c r="X129" s="22">
        <f t="array" ref="X129">IFERROR(INDEX('Temp Hisfa'!X$3:X$200, SMALL(IF(ISERROR('Temp Hisfa'!X$3:X$200), "", ROW('Temp Hisfa'!X$3:X$200)-MIN(ROW('Temp Hisfa'!X$3:X$200))+1), ROW(127:326))),"")</f>
        <v>0</v>
      </c>
      <c r="Y129" s="22">
        <f t="array" ref="Y129">IFERROR(INDEX('Temp Hisfa'!Y$3:Y$200, SMALL(IF(ISERROR('Temp Hisfa'!Y$3:Y$200), "", ROW('Temp Hisfa'!Y$3:Y$200)-MIN(ROW('Temp Hisfa'!Y$3:Y$200))+1), ROW(127:326))),"")</f>
        <v>0</v>
      </c>
      <c r="Z129" s="22">
        <f t="array" ref="Z129">IFERROR(INDEX('Temp Hisfa'!Z$3:Z$200, SMALL(IF(ISERROR('Temp Hisfa'!Z$3:Z$200), "", ROW('Temp Hisfa'!Z$3:Z$200)-MIN(ROW('Temp Hisfa'!Z$3:Z$200))+1), ROW(127:326))),"")</f>
        <v>0</v>
      </c>
      <c r="AA129" s="22">
        <f t="array" ref="AA129">IFERROR(INDEX('Temp Hisfa'!AA$3:AA$200, SMALL(IF(ISERROR('Temp Hisfa'!AA$3:AA$200), "", ROW('Temp Hisfa'!AA$3:AA$200)-MIN(ROW('Temp Hisfa'!AA$3:AA$200))+1), ROW(127:326))),"")</f>
        <v>0</v>
      </c>
      <c r="AB129" s="22">
        <f t="array" ref="AB129">IFERROR(INDEX('Temp Hisfa'!AB$3:AB$200, SMALL(IF(ISERROR('Temp Hisfa'!AB$3:AB$200), "", ROW('Temp Hisfa'!AB$3:AB$200)-MIN(ROW('Temp Hisfa'!AB$3:AB$200))+1), ROW(127:326))),"")</f>
        <v>0</v>
      </c>
    </row>
    <row r="130" spans="1:28" x14ac:dyDescent="0.3">
      <c r="A130" s="4">
        <f t="array" ref="A130">IFERROR(INDEX('Temp Hisfa'!A$3:A$200, SMALL(IF(ISERROR('Temp Hisfa'!A$3:A$200), "", ROW('Temp Hisfa'!A$3:A$200)-MIN(ROW('Temp Hisfa'!A$3:A$200))+1), ROW(128:326))),"")</f>
        <v>0</v>
      </c>
      <c r="B130" s="4">
        <f t="array" ref="B130">IFERROR(INDEX('Temp Hisfa'!B$3:B$200, SMALL(IF(ISERROR('Temp Hisfa'!B$3:B$200), "", ROW('Temp Hisfa'!B$3:B$200)-MIN(ROW('Temp Hisfa'!B$3:B$200))+1), ROW(128:326))),"")</f>
        <v>0</v>
      </c>
      <c r="C130" s="3">
        <f t="array" ref="C130">IFERROR(INDEX('Temp Hisfa'!C$3:C$200, SMALL(IF(ISERROR('Temp Hisfa'!C$3:C$200), "", ROW('Temp Hisfa'!C$3:C$200)-MIN(ROW('Temp Hisfa'!C$3:C$200))+1), ROW(128:326))),"")</f>
        <v>0</v>
      </c>
      <c r="D130" s="3">
        <f t="array" ref="D130">IFERROR(INDEX('Temp Hisfa'!D$3:D$200, SMALL(IF(ISERROR('Temp Hisfa'!D$3:D$200), "", ROW('Temp Hisfa'!D$3:D$200)-MIN(ROW('Temp Hisfa'!D$3:D$200))+1), ROW(128:326))),"")</f>
        <v>0</v>
      </c>
      <c r="E130" s="29">
        <f t="array" ref="E130">IFERROR(INDEX('Temp Hisfa'!E$3:E$200, SMALL(IF(ISERROR('Temp Hisfa'!E$3:E$200), "", ROW('Temp Hisfa'!E$3:E$200)-MIN(ROW('Temp Hisfa'!E$3:E$200))+1), ROW(128:327))),"")</f>
        <v>0</v>
      </c>
      <c r="F130" s="22" t="str">
        <f t="array" ref="F130">IFERROR(INDEX('Temp Hisfa'!F$3:F$200, SMALL(IF(ISERROR('Temp Hisfa'!F$3:F$200), "", ROW('Temp Hisfa'!F$3:F$200)-MIN(ROW('Temp Hisfa'!F$3:F$200))+1), ROW(128:327))),"")</f>
        <v/>
      </c>
      <c r="G130" s="30">
        <f t="array" ref="G130">IFERROR(INDEX('Temp Hisfa'!G$3:G$200, SMALL(IF(ISERROR('Temp Hisfa'!G$3:G$200), "", ROW('Temp Hisfa'!G$3:G$200)-MIN(ROW('Temp Hisfa'!G$3:G$200))+1), ROW(128:327))),"")</f>
        <v>0</v>
      </c>
      <c r="H130" s="22" t="str">
        <f t="array" ref="H130">IFERROR(INDEX('Temp Hisfa'!H$3:H$200, SMALL(IF(ISERROR('Temp Hisfa'!H$3:H$200), "", ROW('Temp Hisfa'!H$3:H$200)-MIN(ROW('Temp Hisfa'!H$3:H$200))+1), ROW(128:327))),"")</f>
        <v/>
      </c>
      <c r="I130" s="22">
        <f t="array" ref="I130">IFERROR(INDEX('Temp Hisfa'!I$3:I$200, SMALL(IF(ISERROR('Temp Hisfa'!I$3:I$200), "", ROW('Temp Hisfa'!I$3:I$200)-MIN(ROW('Temp Hisfa'!I$3:I$200))+1), ROW(128:327))),"")</f>
        <v>0</v>
      </c>
      <c r="J130" s="22">
        <f t="array" ref="J130">IFERROR(INDEX('Temp Hisfa'!J$3:J$200, SMALL(IF(ISERROR('Temp Hisfa'!J$3:J$200), "", ROW('Temp Hisfa'!J$3:J$200)-MIN(ROW('Temp Hisfa'!J$3:J$200))+1), ROW(128:327))),"")</f>
        <v>0</v>
      </c>
      <c r="K130" s="30">
        <f t="array" ref="K130">IFERROR(INDEX('Temp Hisfa'!K$3:K$200, SMALL(IF(ISERROR('Temp Hisfa'!K$3:K$200), "", ROW('Temp Hisfa'!K$3:K$200)-MIN(ROW('Temp Hisfa'!K$3:K$200))+1), ROW(128:327))),"")</f>
        <v>0</v>
      </c>
      <c r="L130" s="22">
        <f t="array" ref="L130">IFERROR(INDEX('Temp Hisfa'!L$3:L$200, SMALL(IF(ISERROR('Temp Hisfa'!L$3:L$200), "", ROW('Temp Hisfa'!L$3:L$200)-MIN(ROW('Temp Hisfa'!L$3:L$200))+1), ROW(128:327))),"")</f>
        <v>0</v>
      </c>
      <c r="M130" s="22">
        <f t="array" ref="M130">IFERROR(INDEX('Temp Hisfa'!M$3:M$200, SMALL(IF(ISERROR('Temp Hisfa'!M$3:M$200), "", ROW('Temp Hisfa'!M$3:M$200)-MIN(ROW('Temp Hisfa'!M$3:M$200))+1), ROW(128:327))),"")</f>
        <v>0</v>
      </c>
      <c r="N130" s="22">
        <f t="array" ref="N130">IFERROR(INDEX('Temp Hisfa'!N$3:N$200, SMALL(IF(ISERROR('Temp Hisfa'!N$3:N$200), "", ROW('Temp Hisfa'!N$3:N$200)-MIN(ROW('Temp Hisfa'!N$3:N$200))+1), ROW(128:327))),"")</f>
        <v>1900</v>
      </c>
      <c r="O130" s="22" t="str">
        <f t="array" ref="O130">IFERROR(INDEX('Temp Hisfa'!O$3:O$200, SMALL(IF(ISERROR('Temp Hisfa'!O$3:O$200), "", ROW('Temp Hisfa'!O$3:O$200)-MIN(ROW('Temp Hisfa'!O$3:O$200))+1), ROW(128:327))),"")</f>
        <v>enero</v>
      </c>
      <c r="P130" s="22">
        <f t="array" ref="P130">IFERROR(INDEX('Temp Hisfa'!P$3:P$200, SMALL(IF(ISERROR('Temp Hisfa'!P$3:P$200), "", ROW('Temp Hisfa'!P$3:P$200)-MIN(ROW('Temp Hisfa'!P$3:P$200))+1), ROW(128:327))),"")</f>
        <v>0</v>
      </c>
      <c r="Q130" s="22">
        <f t="array" ref="Q130">IFERROR(INDEX('Temp Hisfa'!Q$3:Q$200, SMALL(IF(ISERROR('Temp Hisfa'!Q$3:Q$200), "", ROW('Temp Hisfa'!Q$3:Q$200)-MIN(ROW('Temp Hisfa'!Q$3:Q$200))+1), ROW(128:327))),"")</f>
        <v>0</v>
      </c>
      <c r="R130" s="22">
        <f t="array" ref="R130">IFERROR(INDEX('Temp Hisfa'!R$3:R$200, SMALL(IF(ISERROR('Temp Hisfa'!R$3:R$200), "", ROW('Temp Hisfa'!R$3:R$200)-MIN(ROW('Temp Hisfa'!R$3:R$200))+1), ROW(128:327))),"")</f>
        <v>0</v>
      </c>
      <c r="S130" s="22">
        <f t="array" ref="S130">IFERROR(INDEX('Temp Hisfa'!S$3:S$200, SMALL(IF(ISERROR('Temp Hisfa'!S$3:S$200), "", ROW('Temp Hisfa'!S$3:S$200)-MIN(ROW('Temp Hisfa'!S$3:S$200))+1), ROW(128:327))),"")</f>
        <v>0</v>
      </c>
      <c r="T130" s="22">
        <f t="array" ref="T130">IFERROR(INDEX('Temp Hisfa'!T$3:T$200, SMALL(IF(ISERROR('Temp Hisfa'!T$3:T$200), "", ROW('Temp Hisfa'!T$3:T$200)-MIN(ROW('Temp Hisfa'!T$3:T$200))+1), ROW(128:327))),"")</f>
        <v>0</v>
      </c>
      <c r="U130" s="22">
        <f t="array" ref="U130">IFERROR(INDEX('Temp Hisfa'!U$3:U$200, SMALL(IF(ISERROR('Temp Hisfa'!U$3:U$200), "", ROW('Temp Hisfa'!U$3:U$200)-MIN(ROW('Temp Hisfa'!U$3:U$200))+1), ROW(128:327))),"")</f>
        <v>0</v>
      </c>
      <c r="V130" s="22">
        <f t="array" ref="V130">IFERROR(INDEX('Temp Hisfa'!V$3:V$200, SMALL(IF(ISERROR('Temp Hisfa'!V$3:V$200), "", ROW('Temp Hisfa'!V$3:V$200)-MIN(ROW('Temp Hisfa'!V$3:V$200))+1), ROW(128:327))),"")</f>
        <v>0</v>
      </c>
      <c r="W130" s="22">
        <f t="array" ref="W130">IFERROR(INDEX('Temp Hisfa'!W$3:W$200, SMALL(IF(ISERROR('Temp Hisfa'!W$3:W$200), "", ROW('Temp Hisfa'!W$3:W$200)-MIN(ROW('Temp Hisfa'!W$3:W$200))+1), ROW(128:327))),"")</f>
        <v>0</v>
      </c>
      <c r="X130" s="22">
        <f t="array" ref="X130">IFERROR(INDEX('Temp Hisfa'!X$3:X$200, SMALL(IF(ISERROR('Temp Hisfa'!X$3:X$200), "", ROW('Temp Hisfa'!X$3:X$200)-MIN(ROW('Temp Hisfa'!X$3:X$200))+1), ROW(128:327))),"")</f>
        <v>0</v>
      </c>
      <c r="Y130" s="22">
        <f t="array" ref="Y130">IFERROR(INDEX('Temp Hisfa'!Y$3:Y$200, SMALL(IF(ISERROR('Temp Hisfa'!Y$3:Y$200), "", ROW('Temp Hisfa'!Y$3:Y$200)-MIN(ROW('Temp Hisfa'!Y$3:Y$200))+1), ROW(128:327))),"")</f>
        <v>0</v>
      </c>
      <c r="Z130" s="22">
        <f t="array" ref="Z130">IFERROR(INDEX('Temp Hisfa'!Z$3:Z$200, SMALL(IF(ISERROR('Temp Hisfa'!Z$3:Z$200), "", ROW('Temp Hisfa'!Z$3:Z$200)-MIN(ROW('Temp Hisfa'!Z$3:Z$200))+1), ROW(128:327))),"")</f>
        <v>0</v>
      </c>
      <c r="AA130" s="22">
        <f t="array" ref="AA130">IFERROR(INDEX('Temp Hisfa'!AA$3:AA$200, SMALL(IF(ISERROR('Temp Hisfa'!AA$3:AA$200), "", ROW('Temp Hisfa'!AA$3:AA$200)-MIN(ROW('Temp Hisfa'!AA$3:AA$200))+1), ROW(128:327))),"")</f>
        <v>0</v>
      </c>
      <c r="AB130" s="22">
        <f t="array" ref="AB130">IFERROR(INDEX('Temp Hisfa'!AB$3:AB$200, SMALL(IF(ISERROR('Temp Hisfa'!AB$3:AB$200), "", ROW('Temp Hisfa'!AB$3:AB$200)-MIN(ROW('Temp Hisfa'!AB$3:AB$200))+1), ROW(128:327))),"")</f>
        <v>0</v>
      </c>
    </row>
    <row r="131" spans="1:28" x14ac:dyDescent="0.3">
      <c r="A131" s="4">
        <f t="array" ref="A131">IFERROR(INDEX('Temp Hisfa'!A$3:A$200, SMALL(IF(ISERROR('Temp Hisfa'!A$3:A$200), "", ROW('Temp Hisfa'!A$3:A$200)-MIN(ROW('Temp Hisfa'!A$3:A$200))+1), ROW(129:327))),"")</f>
        <v>0</v>
      </c>
      <c r="B131" s="4">
        <f t="array" ref="B131">IFERROR(INDEX('Temp Hisfa'!B$3:B$200, SMALL(IF(ISERROR('Temp Hisfa'!B$3:B$200), "", ROW('Temp Hisfa'!B$3:B$200)-MIN(ROW('Temp Hisfa'!B$3:B$200))+1), ROW(129:327))),"")</f>
        <v>0</v>
      </c>
      <c r="C131" s="3">
        <f t="array" ref="C131">IFERROR(INDEX('Temp Hisfa'!C$3:C$200, SMALL(IF(ISERROR('Temp Hisfa'!C$3:C$200), "", ROW('Temp Hisfa'!C$3:C$200)-MIN(ROW('Temp Hisfa'!C$3:C$200))+1), ROW(129:327))),"")</f>
        <v>0</v>
      </c>
      <c r="D131" s="3">
        <f t="array" ref="D131">IFERROR(INDEX('Temp Hisfa'!D$3:D$200, SMALL(IF(ISERROR('Temp Hisfa'!D$3:D$200), "", ROW('Temp Hisfa'!D$3:D$200)-MIN(ROW('Temp Hisfa'!D$3:D$200))+1), ROW(129:327))),"")</f>
        <v>0</v>
      </c>
      <c r="E131" s="29">
        <f t="array" ref="E131">IFERROR(INDEX('Temp Hisfa'!E$3:E$200, SMALL(IF(ISERROR('Temp Hisfa'!E$3:E$200), "", ROW('Temp Hisfa'!E$3:E$200)-MIN(ROW('Temp Hisfa'!E$3:E$200))+1), ROW(129:328))),"")</f>
        <v>0</v>
      </c>
      <c r="F131" s="22" t="str">
        <f t="array" ref="F131">IFERROR(INDEX('Temp Hisfa'!F$3:F$200, SMALL(IF(ISERROR('Temp Hisfa'!F$3:F$200), "", ROW('Temp Hisfa'!F$3:F$200)-MIN(ROW('Temp Hisfa'!F$3:F$200))+1), ROW(129:328))),"")</f>
        <v/>
      </c>
      <c r="G131" s="30">
        <f t="array" ref="G131">IFERROR(INDEX('Temp Hisfa'!G$3:G$200, SMALL(IF(ISERROR('Temp Hisfa'!G$3:G$200), "", ROW('Temp Hisfa'!G$3:G$200)-MIN(ROW('Temp Hisfa'!G$3:G$200))+1), ROW(129:328))),"")</f>
        <v>0</v>
      </c>
      <c r="H131" s="22" t="str">
        <f t="array" ref="H131">IFERROR(INDEX('Temp Hisfa'!H$3:H$200, SMALL(IF(ISERROR('Temp Hisfa'!H$3:H$200), "", ROW('Temp Hisfa'!H$3:H$200)-MIN(ROW('Temp Hisfa'!H$3:H$200))+1), ROW(129:328))),"")</f>
        <v/>
      </c>
      <c r="I131" s="22">
        <f t="array" ref="I131">IFERROR(INDEX('Temp Hisfa'!I$3:I$200, SMALL(IF(ISERROR('Temp Hisfa'!I$3:I$200), "", ROW('Temp Hisfa'!I$3:I$200)-MIN(ROW('Temp Hisfa'!I$3:I$200))+1), ROW(129:328))),"")</f>
        <v>0</v>
      </c>
      <c r="J131" s="22">
        <f t="array" ref="J131">IFERROR(INDEX('Temp Hisfa'!J$3:J$200, SMALL(IF(ISERROR('Temp Hisfa'!J$3:J$200), "", ROW('Temp Hisfa'!J$3:J$200)-MIN(ROW('Temp Hisfa'!J$3:J$200))+1), ROW(129:328))),"")</f>
        <v>0</v>
      </c>
      <c r="K131" s="30">
        <f t="array" ref="K131">IFERROR(INDEX('Temp Hisfa'!K$3:K$200, SMALL(IF(ISERROR('Temp Hisfa'!K$3:K$200), "", ROW('Temp Hisfa'!K$3:K$200)-MIN(ROW('Temp Hisfa'!K$3:K$200))+1), ROW(129:328))),"")</f>
        <v>0</v>
      </c>
      <c r="L131" s="22">
        <f t="array" ref="L131">IFERROR(INDEX('Temp Hisfa'!L$3:L$200, SMALL(IF(ISERROR('Temp Hisfa'!L$3:L$200), "", ROW('Temp Hisfa'!L$3:L$200)-MIN(ROW('Temp Hisfa'!L$3:L$200))+1), ROW(129:328))),"")</f>
        <v>0</v>
      </c>
      <c r="M131" s="22">
        <f t="array" ref="M131">IFERROR(INDEX('Temp Hisfa'!M$3:M$200, SMALL(IF(ISERROR('Temp Hisfa'!M$3:M$200), "", ROW('Temp Hisfa'!M$3:M$200)-MIN(ROW('Temp Hisfa'!M$3:M$200))+1), ROW(129:328))),"")</f>
        <v>0</v>
      </c>
      <c r="N131" s="22">
        <f t="array" ref="N131">IFERROR(INDEX('Temp Hisfa'!N$3:N$200, SMALL(IF(ISERROR('Temp Hisfa'!N$3:N$200), "", ROW('Temp Hisfa'!N$3:N$200)-MIN(ROW('Temp Hisfa'!N$3:N$200))+1), ROW(129:328))),"")</f>
        <v>1900</v>
      </c>
      <c r="O131" s="22" t="str">
        <f t="array" ref="O131">IFERROR(INDEX('Temp Hisfa'!O$3:O$200, SMALL(IF(ISERROR('Temp Hisfa'!O$3:O$200), "", ROW('Temp Hisfa'!O$3:O$200)-MIN(ROW('Temp Hisfa'!O$3:O$200))+1), ROW(129:328))),"")</f>
        <v>enero</v>
      </c>
      <c r="P131" s="22">
        <f t="array" ref="P131">IFERROR(INDEX('Temp Hisfa'!P$3:P$200, SMALL(IF(ISERROR('Temp Hisfa'!P$3:P$200), "", ROW('Temp Hisfa'!P$3:P$200)-MIN(ROW('Temp Hisfa'!P$3:P$200))+1), ROW(129:328))),"")</f>
        <v>0</v>
      </c>
      <c r="Q131" s="22">
        <f t="array" ref="Q131">IFERROR(INDEX('Temp Hisfa'!Q$3:Q$200, SMALL(IF(ISERROR('Temp Hisfa'!Q$3:Q$200), "", ROW('Temp Hisfa'!Q$3:Q$200)-MIN(ROW('Temp Hisfa'!Q$3:Q$200))+1), ROW(129:328))),"")</f>
        <v>0</v>
      </c>
      <c r="R131" s="22">
        <f t="array" ref="R131">IFERROR(INDEX('Temp Hisfa'!R$3:R$200, SMALL(IF(ISERROR('Temp Hisfa'!R$3:R$200), "", ROW('Temp Hisfa'!R$3:R$200)-MIN(ROW('Temp Hisfa'!R$3:R$200))+1), ROW(129:328))),"")</f>
        <v>0</v>
      </c>
      <c r="S131" s="22">
        <f t="array" ref="S131">IFERROR(INDEX('Temp Hisfa'!S$3:S$200, SMALL(IF(ISERROR('Temp Hisfa'!S$3:S$200), "", ROW('Temp Hisfa'!S$3:S$200)-MIN(ROW('Temp Hisfa'!S$3:S$200))+1), ROW(129:328))),"")</f>
        <v>0</v>
      </c>
      <c r="T131" s="22">
        <f t="array" ref="T131">IFERROR(INDEX('Temp Hisfa'!T$3:T$200, SMALL(IF(ISERROR('Temp Hisfa'!T$3:T$200), "", ROW('Temp Hisfa'!T$3:T$200)-MIN(ROW('Temp Hisfa'!T$3:T$200))+1), ROW(129:328))),"")</f>
        <v>0</v>
      </c>
      <c r="U131" s="22">
        <f t="array" ref="U131">IFERROR(INDEX('Temp Hisfa'!U$3:U$200, SMALL(IF(ISERROR('Temp Hisfa'!U$3:U$200), "", ROW('Temp Hisfa'!U$3:U$200)-MIN(ROW('Temp Hisfa'!U$3:U$200))+1), ROW(129:328))),"")</f>
        <v>0</v>
      </c>
      <c r="V131" s="22">
        <f t="array" ref="V131">IFERROR(INDEX('Temp Hisfa'!V$3:V$200, SMALL(IF(ISERROR('Temp Hisfa'!V$3:V$200), "", ROW('Temp Hisfa'!V$3:V$200)-MIN(ROW('Temp Hisfa'!V$3:V$200))+1), ROW(129:328))),"")</f>
        <v>0</v>
      </c>
      <c r="W131" s="22">
        <f t="array" ref="W131">IFERROR(INDEX('Temp Hisfa'!W$3:W$200, SMALL(IF(ISERROR('Temp Hisfa'!W$3:W$200), "", ROW('Temp Hisfa'!W$3:W$200)-MIN(ROW('Temp Hisfa'!W$3:W$200))+1), ROW(129:328))),"")</f>
        <v>0</v>
      </c>
      <c r="X131" s="22">
        <f t="array" ref="X131">IFERROR(INDEX('Temp Hisfa'!X$3:X$200, SMALL(IF(ISERROR('Temp Hisfa'!X$3:X$200), "", ROW('Temp Hisfa'!X$3:X$200)-MIN(ROW('Temp Hisfa'!X$3:X$200))+1), ROW(129:328))),"")</f>
        <v>0</v>
      </c>
      <c r="Y131" s="22">
        <f t="array" ref="Y131">IFERROR(INDEX('Temp Hisfa'!Y$3:Y$200, SMALL(IF(ISERROR('Temp Hisfa'!Y$3:Y$200), "", ROW('Temp Hisfa'!Y$3:Y$200)-MIN(ROW('Temp Hisfa'!Y$3:Y$200))+1), ROW(129:328))),"")</f>
        <v>0</v>
      </c>
      <c r="Z131" s="22">
        <f t="array" ref="Z131">IFERROR(INDEX('Temp Hisfa'!Z$3:Z$200, SMALL(IF(ISERROR('Temp Hisfa'!Z$3:Z$200), "", ROW('Temp Hisfa'!Z$3:Z$200)-MIN(ROW('Temp Hisfa'!Z$3:Z$200))+1), ROW(129:328))),"")</f>
        <v>0</v>
      </c>
      <c r="AA131" s="22">
        <f t="array" ref="AA131">IFERROR(INDEX('Temp Hisfa'!AA$3:AA$200, SMALL(IF(ISERROR('Temp Hisfa'!AA$3:AA$200), "", ROW('Temp Hisfa'!AA$3:AA$200)-MIN(ROW('Temp Hisfa'!AA$3:AA$200))+1), ROW(129:328))),"")</f>
        <v>0</v>
      </c>
      <c r="AB131" s="22">
        <f t="array" ref="AB131">IFERROR(INDEX('Temp Hisfa'!AB$3:AB$200, SMALL(IF(ISERROR('Temp Hisfa'!AB$3:AB$200), "", ROW('Temp Hisfa'!AB$3:AB$200)-MIN(ROW('Temp Hisfa'!AB$3:AB$200))+1), ROW(129:328))),"")</f>
        <v>0</v>
      </c>
    </row>
    <row r="132" spans="1:28" x14ac:dyDescent="0.3">
      <c r="A132" s="4">
        <f t="array" ref="A132">IFERROR(INDEX('Temp Hisfa'!A$3:A$200, SMALL(IF(ISERROR('Temp Hisfa'!A$3:A$200), "", ROW('Temp Hisfa'!A$3:A$200)-MIN(ROW('Temp Hisfa'!A$3:A$200))+1), ROW(130:328))),"")</f>
        <v>0</v>
      </c>
      <c r="B132" s="4">
        <f t="array" ref="B132">IFERROR(INDEX('Temp Hisfa'!B$3:B$200, SMALL(IF(ISERROR('Temp Hisfa'!B$3:B$200), "", ROW('Temp Hisfa'!B$3:B$200)-MIN(ROW('Temp Hisfa'!B$3:B$200))+1), ROW(130:328))),"")</f>
        <v>0</v>
      </c>
      <c r="C132" s="3">
        <f t="array" ref="C132">IFERROR(INDEX('Temp Hisfa'!C$3:C$200, SMALL(IF(ISERROR('Temp Hisfa'!C$3:C$200), "", ROW('Temp Hisfa'!C$3:C$200)-MIN(ROW('Temp Hisfa'!C$3:C$200))+1), ROW(130:328))),"")</f>
        <v>0</v>
      </c>
      <c r="D132" s="3">
        <f t="array" ref="D132">IFERROR(INDEX('Temp Hisfa'!D$3:D$200, SMALL(IF(ISERROR('Temp Hisfa'!D$3:D$200), "", ROW('Temp Hisfa'!D$3:D$200)-MIN(ROW('Temp Hisfa'!D$3:D$200))+1), ROW(130:328))),"")</f>
        <v>0</v>
      </c>
      <c r="E132" s="29">
        <f t="array" ref="E132">IFERROR(INDEX('Temp Hisfa'!E$3:E$200, SMALL(IF(ISERROR('Temp Hisfa'!E$3:E$200), "", ROW('Temp Hisfa'!E$3:E$200)-MIN(ROW('Temp Hisfa'!E$3:E$200))+1), ROW(130:329))),"")</f>
        <v>0</v>
      </c>
      <c r="F132" s="22" t="str">
        <f t="array" ref="F132">IFERROR(INDEX('Temp Hisfa'!F$3:F$200, SMALL(IF(ISERROR('Temp Hisfa'!F$3:F$200), "", ROW('Temp Hisfa'!F$3:F$200)-MIN(ROW('Temp Hisfa'!F$3:F$200))+1), ROW(130:329))),"")</f>
        <v/>
      </c>
      <c r="G132" s="30">
        <f t="array" ref="G132">IFERROR(INDEX('Temp Hisfa'!G$3:G$200, SMALL(IF(ISERROR('Temp Hisfa'!G$3:G$200), "", ROW('Temp Hisfa'!G$3:G$200)-MIN(ROW('Temp Hisfa'!G$3:G$200))+1), ROW(130:329))),"")</f>
        <v>0</v>
      </c>
      <c r="H132" s="22" t="str">
        <f t="array" ref="H132">IFERROR(INDEX('Temp Hisfa'!H$3:H$200, SMALL(IF(ISERROR('Temp Hisfa'!H$3:H$200), "", ROW('Temp Hisfa'!H$3:H$200)-MIN(ROW('Temp Hisfa'!H$3:H$200))+1), ROW(130:329))),"")</f>
        <v/>
      </c>
      <c r="I132" s="22">
        <f t="array" ref="I132">IFERROR(INDEX('Temp Hisfa'!I$3:I$200, SMALL(IF(ISERROR('Temp Hisfa'!I$3:I$200), "", ROW('Temp Hisfa'!I$3:I$200)-MIN(ROW('Temp Hisfa'!I$3:I$200))+1), ROW(130:329))),"")</f>
        <v>0</v>
      </c>
      <c r="J132" s="22">
        <f t="array" ref="J132">IFERROR(INDEX('Temp Hisfa'!J$3:J$200, SMALL(IF(ISERROR('Temp Hisfa'!J$3:J$200), "", ROW('Temp Hisfa'!J$3:J$200)-MIN(ROW('Temp Hisfa'!J$3:J$200))+1), ROW(130:329))),"")</f>
        <v>0</v>
      </c>
      <c r="K132" s="30">
        <f t="array" ref="K132">IFERROR(INDEX('Temp Hisfa'!K$3:K$200, SMALL(IF(ISERROR('Temp Hisfa'!K$3:K$200), "", ROW('Temp Hisfa'!K$3:K$200)-MIN(ROW('Temp Hisfa'!K$3:K$200))+1), ROW(130:329))),"")</f>
        <v>0</v>
      </c>
      <c r="L132" s="22">
        <f t="array" ref="L132">IFERROR(INDEX('Temp Hisfa'!L$3:L$200, SMALL(IF(ISERROR('Temp Hisfa'!L$3:L$200), "", ROW('Temp Hisfa'!L$3:L$200)-MIN(ROW('Temp Hisfa'!L$3:L$200))+1), ROW(130:329))),"")</f>
        <v>0</v>
      </c>
      <c r="M132" s="22">
        <f t="array" ref="M132">IFERROR(INDEX('Temp Hisfa'!M$3:M$200, SMALL(IF(ISERROR('Temp Hisfa'!M$3:M$200), "", ROW('Temp Hisfa'!M$3:M$200)-MIN(ROW('Temp Hisfa'!M$3:M$200))+1), ROW(130:329))),"")</f>
        <v>0</v>
      </c>
      <c r="N132" s="22">
        <f t="array" ref="N132">IFERROR(INDEX('Temp Hisfa'!N$3:N$200, SMALL(IF(ISERROR('Temp Hisfa'!N$3:N$200), "", ROW('Temp Hisfa'!N$3:N$200)-MIN(ROW('Temp Hisfa'!N$3:N$200))+1), ROW(130:329))),"")</f>
        <v>1900</v>
      </c>
      <c r="O132" s="22" t="str">
        <f t="array" ref="O132">IFERROR(INDEX('Temp Hisfa'!O$3:O$200, SMALL(IF(ISERROR('Temp Hisfa'!O$3:O$200), "", ROW('Temp Hisfa'!O$3:O$200)-MIN(ROW('Temp Hisfa'!O$3:O$200))+1), ROW(130:329))),"")</f>
        <v>enero</v>
      </c>
      <c r="P132" s="22">
        <f t="array" ref="P132">IFERROR(INDEX('Temp Hisfa'!P$3:P$200, SMALL(IF(ISERROR('Temp Hisfa'!P$3:P$200), "", ROW('Temp Hisfa'!P$3:P$200)-MIN(ROW('Temp Hisfa'!P$3:P$200))+1), ROW(130:329))),"")</f>
        <v>0</v>
      </c>
      <c r="Q132" s="22">
        <f t="array" ref="Q132">IFERROR(INDEX('Temp Hisfa'!Q$3:Q$200, SMALL(IF(ISERROR('Temp Hisfa'!Q$3:Q$200), "", ROW('Temp Hisfa'!Q$3:Q$200)-MIN(ROW('Temp Hisfa'!Q$3:Q$200))+1), ROW(130:329))),"")</f>
        <v>0</v>
      </c>
      <c r="R132" s="22">
        <f t="array" ref="R132">IFERROR(INDEX('Temp Hisfa'!R$3:R$200, SMALL(IF(ISERROR('Temp Hisfa'!R$3:R$200), "", ROW('Temp Hisfa'!R$3:R$200)-MIN(ROW('Temp Hisfa'!R$3:R$200))+1), ROW(130:329))),"")</f>
        <v>0</v>
      </c>
      <c r="S132" s="22">
        <f t="array" ref="S132">IFERROR(INDEX('Temp Hisfa'!S$3:S$200, SMALL(IF(ISERROR('Temp Hisfa'!S$3:S$200), "", ROW('Temp Hisfa'!S$3:S$200)-MIN(ROW('Temp Hisfa'!S$3:S$200))+1), ROW(130:329))),"")</f>
        <v>0</v>
      </c>
      <c r="T132" s="22">
        <f t="array" ref="T132">IFERROR(INDEX('Temp Hisfa'!T$3:T$200, SMALL(IF(ISERROR('Temp Hisfa'!T$3:T$200), "", ROW('Temp Hisfa'!T$3:T$200)-MIN(ROW('Temp Hisfa'!T$3:T$200))+1), ROW(130:329))),"")</f>
        <v>0</v>
      </c>
      <c r="U132" s="22">
        <f t="array" ref="U132">IFERROR(INDEX('Temp Hisfa'!U$3:U$200, SMALL(IF(ISERROR('Temp Hisfa'!U$3:U$200), "", ROW('Temp Hisfa'!U$3:U$200)-MIN(ROW('Temp Hisfa'!U$3:U$200))+1), ROW(130:329))),"")</f>
        <v>0</v>
      </c>
      <c r="V132" s="22">
        <f t="array" ref="V132">IFERROR(INDEX('Temp Hisfa'!V$3:V$200, SMALL(IF(ISERROR('Temp Hisfa'!V$3:V$200), "", ROW('Temp Hisfa'!V$3:V$200)-MIN(ROW('Temp Hisfa'!V$3:V$200))+1), ROW(130:329))),"")</f>
        <v>0</v>
      </c>
      <c r="W132" s="22">
        <f t="array" ref="W132">IFERROR(INDEX('Temp Hisfa'!W$3:W$200, SMALL(IF(ISERROR('Temp Hisfa'!W$3:W$200), "", ROW('Temp Hisfa'!W$3:W$200)-MIN(ROW('Temp Hisfa'!W$3:W$200))+1), ROW(130:329))),"")</f>
        <v>0</v>
      </c>
      <c r="X132" s="22">
        <f t="array" ref="X132">IFERROR(INDEX('Temp Hisfa'!X$3:X$200, SMALL(IF(ISERROR('Temp Hisfa'!X$3:X$200), "", ROW('Temp Hisfa'!X$3:X$200)-MIN(ROW('Temp Hisfa'!X$3:X$200))+1), ROW(130:329))),"")</f>
        <v>0</v>
      </c>
      <c r="Y132" s="22">
        <f t="array" ref="Y132">IFERROR(INDEX('Temp Hisfa'!Y$3:Y$200, SMALL(IF(ISERROR('Temp Hisfa'!Y$3:Y$200), "", ROW('Temp Hisfa'!Y$3:Y$200)-MIN(ROW('Temp Hisfa'!Y$3:Y$200))+1), ROW(130:329))),"")</f>
        <v>0</v>
      </c>
      <c r="Z132" s="22">
        <f t="array" ref="Z132">IFERROR(INDEX('Temp Hisfa'!Z$3:Z$200, SMALL(IF(ISERROR('Temp Hisfa'!Z$3:Z$200), "", ROW('Temp Hisfa'!Z$3:Z$200)-MIN(ROW('Temp Hisfa'!Z$3:Z$200))+1), ROW(130:329))),"")</f>
        <v>0</v>
      </c>
      <c r="AA132" s="22">
        <f t="array" ref="AA132">IFERROR(INDEX('Temp Hisfa'!AA$3:AA$200, SMALL(IF(ISERROR('Temp Hisfa'!AA$3:AA$200), "", ROW('Temp Hisfa'!AA$3:AA$200)-MIN(ROW('Temp Hisfa'!AA$3:AA$200))+1), ROW(130:329))),"")</f>
        <v>0</v>
      </c>
      <c r="AB132" s="22">
        <f t="array" ref="AB132">IFERROR(INDEX('Temp Hisfa'!AB$3:AB$200, SMALL(IF(ISERROR('Temp Hisfa'!AB$3:AB$200), "", ROW('Temp Hisfa'!AB$3:AB$200)-MIN(ROW('Temp Hisfa'!AB$3:AB$200))+1), ROW(130:329))),"")</f>
        <v>0</v>
      </c>
    </row>
    <row r="133" spans="1:28" x14ac:dyDescent="0.3">
      <c r="A133" s="4">
        <f t="array" ref="A133">IFERROR(INDEX('Temp Hisfa'!A$3:A$200, SMALL(IF(ISERROR('Temp Hisfa'!A$3:A$200), "", ROW('Temp Hisfa'!A$3:A$200)-MIN(ROW('Temp Hisfa'!A$3:A$200))+1), ROW(131:329))),"")</f>
        <v>0</v>
      </c>
      <c r="B133" s="4">
        <f t="array" ref="B133">IFERROR(INDEX('Temp Hisfa'!B$3:B$200, SMALL(IF(ISERROR('Temp Hisfa'!B$3:B$200), "", ROW('Temp Hisfa'!B$3:B$200)-MIN(ROW('Temp Hisfa'!B$3:B$200))+1), ROW(131:329))),"")</f>
        <v>0</v>
      </c>
      <c r="C133" s="3">
        <f t="array" ref="C133">IFERROR(INDEX('Temp Hisfa'!C$3:C$200, SMALL(IF(ISERROR('Temp Hisfa'!C$3:C$200), "", ROW('Temp Hisfa'!C$3:C$200)-MIN(ROW('Temp Hisfa'!C$3:C$200))+1), ROW(131:329))),"")</f>
        <v>0</v>
      </c>
      <c r="D133" s="3">
        <f t="array" ref="D133">IFERROR(INDEX('Temp Hisfa'!D$3:D$200, SMALL(IF(ISERROR('Temp Hisfa'!D$3:D$200), "", ROW('Temp Hisfa'!D$3:D$200)-MIN(ROW('Temp Hisfa'!D$3:D$200))+1), ROW(131:329))),"")</f>
        <v>0</v>
      </c>
      <c r="E133" s="29">
        <f t="array" ref="E133">IFERROR(INDEX('Temp Hisfa'!E$3:E$200, SMALL(IF(ISERROR('Temp Hisfa'!E$3:E$200), "", ROW('Temp Hisfa'!E$3:E$200)-MIN(ROW('Temp Hisfa'!E$3:E$200))+1), ROW(131:330))),"")</f>
        <v>0</v>
      </c>
      <c r="F133" s="22" t="str">
        <f t="array" ref="F133">IFERROR(INDEX('Temp Hisfa'!F$3:F$200, SMALL(IF(ISERROR('Temp Hisfa'!F$3:F$200), "", ROW('Temp Hisfa'!F$3:F$200)-MIN(ROW('Temp Hisfa'!F$3:F$200))+1), ROW(131:330))),"")</f>
        <v/>
      </c>
      <c r="G133" s="30">
        <f t="array" ref="G133">IFERROR(INDEX('Temp Hisfa'!G$3:G$200, SMALL(IF(ISERROR('Temp Hisfa'!G$3:G$200), "", ROW('Temp Hisfa'!G$3:G$200)-MIN(ROW('Temp Hisfa'!G$3:G$200))+1), ROW(131:330))),"")</f>
        <v>0</v>
      </c>
      <c r="H133" s="22" t="str">
        <f t="array" ref="H133">IFERROR(INDEX('Temp Hisfa'!H$3:H$200, SMALL(IF(ISERROR('Temp Hisfa'!H$3:H$200), "", ROW('Temp Hisfa'!H$3:H$200)-MIN(ROW('Temp Hisfa'!H$3:H$200))+1), ROW(131:330))),"")</f>
        <v/>
      </c>
      <c r="I133" s="22">
        <f t="array" ref="I133">IFERROR(INDEX('Temp Hisfa'!I$3:I$200, SMALL(IF(ISERROR('Temp Hisfa'!I$3:I$200), "", ROW('Temp Hisfa'!I$3:I$200)-MIN(ROW('Temp Hisfa'!I$3:I$200))+1), ROW(131:330))),"")</f>
        <v>0</v>
      </c>
      <c r="J133" s="22">
        <f t="array" ref="J133">IFERROR(INDEX('Temp Hisfa'!J$3:J$200, SMALL(IF(ISERROR('Temp Hisfa'!J$3:J$200), "", ROW('Temp Hisfa'!J$3:J$200)-MIN(ROW('Temp Hisfa'!J$3:J$200))+1), ROW(131:330))),"")</f>
        <v>0</v>
      </c>
      <c r="K133" s="30">
        <f t="array" ref="K133">IFERROR(INDEX('Temp Hisfa'!K$3:K$200, SMALL(IF(ISERROR('Temp Hisfa'!K$3:K$200), "", ROW('Temp Hisfa'!K$3:K$200)-MIN(ROW('Temp Hisfa'!K$3:K$200))+1), ROW(131:330))),"")</f>
        <v>0</v>
      </c>
      <c r="L133" s="22">
        <f t="array" ref="L133">IFERROR(INDEX('Temp Hisfa'!L$3:L$200, SMALL(IF(ISERROR('Temp Hisfa'!L$3:L$200), "", ROW('Temp Hisfa'!L$3:L$200)-MIN(ROW('Temp Hisfa'!L$3:L$200))+1), ROW(131:330))),"")</f>
        <v>0</v>
      </c>
      <c r="M133" s="22">
        <f t="array" ref="M133">IFERROR(INDEX('Temp Hisfa'!M$3:M$200, SMALL(IF(ISERROR('Temp Hisfa'!M$3:M$200), "", ROW('Temp Hisfa'!M$3:M$200)-MIN(ROW('Temp Hisfa'!M$3:M$200))+1), ROW(131:330))),"")</f>
        <v>0</v>
      </c>
      <c r="N133" s="22">
        <f t="array" ref="N133">IFERROR(INDEX('Temp Hisfa'!N$3:N$200, SMALL(IF(ISERROR('Temp Hisfa'!N$3:N$200), "", ROW('Temp Hisfa'!N$3:N$200)-MIN(ROW('Temp Hisfa'!N$3:N$200))+1), ROW(131:330))),"")</f>
        <v>1900</v>
      </c>
      <c r="O133" s="22" t="str">
        <f t="array" ref="O133">IFERROR(INDEX('Temp Hisfa'!O$3:O$200, SMALL(IF(ISERROR('Temp Hisfa'!O$3:O$200), "", ROW('Temp Hisfa'!O$3:O$200)-MIN(ROW('Temp Hisfa'!O$3:O$200))+1), ROW(131:330))),"")</f>
        <v>enero</v>
      </c>
      <c r="P133" s="22">
        <f t="array" ref="P133">IFERROR(INDEX('Temp Hisfa'!P$3:P$200, SMALL(IF(ISERROR('Temp Hisfa'!P$3:P$200), "", ROW('Temp Hisfa'!P$3:P$200)-MIN(ROW('Temp Hisfa'!P$3:P$200))+1), ROW(131:330))),"")</f>
        <v>0</v>
      </c>
      <c r="Q133" s="22">
        <f t="array" ref="Q133">IFERROR(INDEX('Temp Hisfa'!Q$3:Q$200, SMALL(IF(ISERROR('Temp Hisfa'!Q$3:Q$200), "", ROW('Temp Hisfa'!Q$3:Q$200)-MIN(ROW('Temp Hisfa'!Q$3:Q$200))+1), ROW(131:330))),"")</f>
        <v>0</v>
      </c>
      <c r="R133" s="22">
        <f t="array" ref="R133">IFERROR(INDEX('Temp Hisfa'!R$3:R$200, SMALL(IF(ISERROR('Temp Hisfa'!R$3:R$200), "", ROW('Temp Hisfa'!R$3:R$200)-MIN(ROW('Temp Hisfa'!R$3:R$200))+1), ROW(131:330))),"")</f>
        <v>0</v>
      </c>
      <c r="S133" s="22">
        <f t="array" ref="S133">IFERROR(INDEX('Temp Hisfa'!S$3:S$200, SMALL(IF(ISERROR('Temp Hisfa'!S$3:S$200), "", ROW('Temp Hisfa'!S$3:S$200)-MIN(ROW('Temp Hisfa'!S$3:S$200))+1), ROW(131:330))),"")</f>
        <v>0</v>
      </c>
      <c r="T133" s="22">
        <f t="array" ref="T133">IFERROR(INDEX('Temp Hisfa'!T$3:T$200, SMALL(IF(ISERROR('Temp Hisfa'!T$3:T$200), "", ROW('Temp Hisfa'!T$3:T$200)-MIN(ROW('Temp Hisfa'!T$3:T$200))+1), ROW(131:330))),"")</f>
        <v>0</v>
      </c>
      <c r="U133" s="22">
        <f t="array" ref="U133">IFERROR(INDEX('Temp Hisfa'!U$3:U$200, SMALL(IF(ISERROR('Temp Hisfa'!U$3:U$200), "", ROW('Temp Hisfa'!U$3:U$200)-MIN(ROW('Temp Hisfa'!U$3:U$200))+1), ROW(131:330))),"")</f>
        <v>0</v>
      </c>
      <c r="V133" s="22">
        <f t="array" ref="V133">IFERROR(INDEX('Temp Hisfa'!V$3:V$200, SMALL(IF(ISERROR('Temp Hisfa'!V$3:V$200), "", ROW('Temp Hisfa'!V$3:V$200)-MIN(ROW('Temp Hisfa'!V$3:V$200))+1), ROW(131:330))),"")</f>
        <v>0</v>
      </c>
      <c r="W133" s="22">
        <f t="array" ref="W133">IFERROR(INDEX('Temp Hisfa'!W$3:W$200, SMALL(IF(ISERROR('Temp Hisfa'!W$3:W$200), "", ROW('Temp Hisfa'!W$3:W$200)-MIN(ROW('Temp Hisfa'!W$3:W$200))+1), ROW(131:330))),"")</f>
        <v>0</v>
      </c>
      <c r="X133" s="22">
        <f t="array" ref="X133">IFERROR(INDEX('Temp Hisfa'!X$3:X$200, SMALL(IF(ISERROR('Temp Hisfa'!X$3:X$200), "", ROW('Temp Hisfa'!X$3:X$200)-MIN(ROW('Temp Hisfa'!X$3:X$200))+1), ROW(131:330))),"")</f>
        <v>0</v>
      </c>
      <c r="Y133" s="22">
        <f t="array" ref="Y133">IFERROR(INDEX('Temp Hisfa'!Y$3:Y$200, SMALL(IF(ISERROR('Temp Hisfa'!Y$3:Y$200), "", ROW('Temp Hisfa'!Y$3:Y$200)-MIN(ROW('Temp Hisfa'!Y$3:Y$200))+1), ROW(131:330))),"")</f>
        <v>0</v>
      </c>
      <c r="Z133" s="22">
        <f t="array" ref="Z133">IFERROR(INDEX('Temp Hisfa'!Z$3:Z$200, SMALL(IF(ISERROR('Temp Hisfa'!Z$3:Z$200), "", ROW('Temp Hisfa'!Z$3:Z$200)-MIN(ROW('Temp Hisfa'!Z$3:Z$200))+1), ROW(131:330))),"")</f>
        <v>0</v>
      </c>
      <c r="AA133" s="22">
        <f t="array" ref="AA133">IFERROR(INDEX('Temp Hisfa'!AA$3:AA$200, SMALL(IF(ISERROR('Temp Hisfa'!AA$3:AA$200), "", ROW('Temp Hisfa'!AA$3:AA$200)-MIN(ROW('Temp Hisfa'!AA$3:AA$200))+1), ROW(131:330))),"")</f>
        <v>0</v>
      </c>
      <c r="AB133" s="22">
        <f t="array" ref="AB133">IFERROR(INDEX('Temp Hisfa'!AB$3:AB$200, SMALL(IF(ISERROR('Temp Hisfa'!AB$3:AB$200), "", ROW('Temp Hisfa'!AB$3:AB$200)-MIN(ROW('Temp Hisfa'!AB$3:AB$200))+1), ROW(131:330))),"")</f>
        <v>0</v>
      </c>
    </row>
    <row r="134" spans="1:28" x14ac:dyDescent="0.3">
      <c r="A134" s="4">
        <f t="array" ref="A134">IFERROR(INDEX('Temp Hisfa'!A$3:A$200, SMALL(IF(ISERROR('Temp Hisfa'!A$3:A$200), "", ROW('Temp Hisfa'!A$3:A$200)-MIN(ROW('Temp Hisfa'!A$3:A$200))+1), ROW(132:330))),"")</f>
        <v>0</v>
      </c>
      <c r="B134" s="4">
        <f t="array" ref="B134">IFERROR(INDEX('Temp Hisfa'!B$3:B$200, SMALL(IF(ISERROR('Temp Hisfa'!B$3:B$200), "", ROW('Temp Hisfa'!B$3:B$200)-MIN(ROW('Temp Hisfa'!B$3:B$200))+1), ROW(132:330))),"")</f>
        <v>0</v>
      </c>
      <c r="C134" s="3">
        <f t="array" ref="C134">IFERROR(INDEX('Temp Hisfa'!C$3:C$200, SMALL(IF(ISERROR('Temp Hisfa'!C$3:C$200), "", ROW('Temp Hisfa'!C$3:C$200)-MIN(ROW('Temp Hisfa'!C$3:C$200))+1), ROW(132:330))),"")</f>
        <v>0</v>
      </c>
      <c r="D134" s="3">
        <f t="array" ref="D134">IFERROR(INDEX('Temp Hisfa'!D$3:D$200, SMALL(IF(ISERROR('Temp Hisfa'!D$3:D$200), "", ROW('Temp Hisfa'!D$3:D$200)-MIN(ROW('Temp Hisfa'!D$3:D$200))+1), ROW(132:330))),"")</f>
        <v>0</v>
      </c>
      <c r="E134" s="29">
        <f t="array" ref="E134">IFERROR(INDEX('Temp Hisfa'!E$3:E$200, SMALL(IF(ISERROR('Temp Hisfa'!E$3:E$200), "", ROW('Temp Hisfa'!E$3:E$200)-MIN(ROW('Temp Hisfa'!E$3:E$200))+1), ROW(132:331))),"")</f>
        <v>0</v>
      </c>
      <c r="F134" s="22" t="str">
        <f t="array" ref="F134">IFERROR(INDEX('Temp Hisfa'!F$3:F$200, SMALL(IF(ISERROR('Temp Hisfa'!F$3:F$200), "", ROW('Temp Hisfa'!F$3:F$200)-MIN(ROW('Temp Hisfa'!F$3:F$200))+1), ROW(132:331))),"")</f>
        <v/>
      </c>
      <c r="G134" s="30">
        <f t="array" ref="G134">IFERROR(INDEX('Temp Hisfa'!G$3:G$200, SMALL(IF(ISERROR('Temp Hisfa'!G$3:G$200), "", ROW('Temp Hisfa'!G$3:G$200)-MIN(ROW('Temp Hisfa'!G$3:G$200))+1), ROW(132:331))),"")</f>
        <v>0</v>
      </c>
      <c r="H134" s="22" t="str">
        <f t="array" ref="H134">IFERROR(INDEX('Temp Hisfa'!H$3:H$200, SMALL(IF(ISERROR('Temp Hisfa'!H$3:H$200), "", ROW('Temp Hisfa'!H$3:H$200)-MIN(ROW('Temp Hisfa'!H$3:H$200))+1), ROW(132:331))),"")</f>
        <v/>
      </c>
      <c r="I134" s="22">
        <f t="array" ref="I134">IFERROR(INDEX('Temp Hisfa'!I$3:I$200, SMALL(IF(ISERROR('Temp Hisfa'!I$3:I$200), "", ROW('Temp Hisfa'!I$3:I$200)-MIN(ROW('Temp Hisfa'!I$3:I$200))+1), ROW(132:331))),"")</f>
        <v>0</v>
      </c>
      <c r="J134" s="22">
        <f t="array" ref="J134">IFERROR(INDEX('Temp Hisfa'!J$3:J$200, SMALL(IF(ISERROR('Temp Hisfa'!J$3:J$200), "", ROW('Temp Hisfa'!J$3:J$200)-MIN(ROW('Temp Hisfa'!J$3:J$200))+1), ROW(132:331))),"")</f>
        <v>0</v>
      </c>
      <c r="K134" s="30">
        <f t="array" ref="K134">IFERROR(INDEX('Temp Hisfa'!K$3:K$200, SMALL(IF(ISERROR('Temp Hisfa'!K$3:K$200), "", ROW('Temp Hisfa'!K$3:K$200)-MIN(ROW('Temp Hisfa'!K$3:K$200))+1), ROW(132:331))),"")</f>
        <v>0</v>
      </c>
      <c r="L134" s="22">
        <f t="array" ref="L134">IFERROR(INDEX('Temp Hisfa'!L$3:L$200, SMALL(IF(ISERROR('Temp Hisfa'!L$3:L$200), "", ROW('Temp Hisfa'!L$3:L$200)-MIN(ROW('Temp Hisfa'!L$3:L$200))+1), ROW(132:331))),"")</f>
        <v>0</v>
      </c>
      <c r="M134" s="22">
        <f t="array" ref="M134">IFERROR(INDEX('Temp Hisfa'!M$3:M$200, SMALL(IF(ISERROR('Temp Hisfa'!M$3:M$200), "", ROW('Temp Hisfa'!M$3:M$200)-MIN(ROW('Temp Hisfa'!M$3:M$200))+1), ROW(132:331))),"")</f>
        <v>0</v>
      </c>
      <c r="N134" s="22">
        <f t="array" ref="N134">IFERROR(INDEX('Temp Hisfa'!N$3:N$200, SMALL(IF(ISERROR('Temp Hisfa'!N$3:N$200), "", ROW('Temp Hisfa'!N$3:N$200)-MIN(ROW('Temp Hisfa'!N$3:N$200))+1), ROW(132:331))),"")</f>
        <v>1900</v>
      </c>
      <c r="O134" s="22" t="str">
        <f t="array" ref="O134">IFERROR(INDEX('Temp Hisfa'!O$3:O$200, SMALL(IF(ISERROR('Temp Hisfa'!O$3:O$200), "", ROW('Temp Hisfa'!O$3:O$200)-MIN(ROW('Temp Hisfa'!O$3:O$200))+1), ROW(132:331))),"")</f>
        <v>enero</v>
      </c>
      <c r="P134" s="22">
        <f t="array" ref="P134">IFERROR(INDEX('Temp Hisfa'!P$3:P$200, SMALL(IF(ISERROR('Temp Hisfa'!P$3:P$200), "", ROW('Temp Hisfa'!P$3:P$200)-MIN(ROW('Temp Hisfa'!P$3:P$200))+1), ROW(132:331))),"")</f>
        <v>0</v>
      </c>
      <c r="Q134" s="22">
        <f t="array" ref="Q134">IFERROR(INDEX('Temp Hisfa'!Q$3:Q$200, SMALL(IF(ISERROR('Temp Hisfa'!Q$3:Q$200), "", ROW('Temp Hisfa'!Q$3:Q$200)-MIN(ROW('Temp Hisfa'!Q$3:Q$200))+1), ROW(132:331))),"")</f>
        <v>0</v>
      </c>
      <c r="R134" s="22">
        <f t="array" ref="R134">IFERROR(INDEX('Temp Hisfa'!R$3:R$200, SMALL(IF(ISERROR('Temp Hisfa'!R$3:R$200), "", ROW('Temp Hisfa'!R$3:R$200)-MIN(ROW('Temp Hisfa'!R$3:R$200))+1), ROW(132:331))),"")</f>
        <v>0</v>
      </c>
      <c r="S134" s="22">
        <f t="array" ref="S134">IFERROR(INDEX('Temp Hisfa'!S$3:S$200, SMALL(IF(ISERROR('Temp Hisfa'!S$3:S$200), "", ROW('Temp Hisfa'!S$3:S$200)-MIN(ROW('Temp Hisfa'!S$3:S$200))+1), ROW(132:331))),"")</f>
        <v>0</v>
      </c>
      <c r="T134" s="22">
        <f t="array" ref="T134">IFERROR(INDEX('Temp Hisfa'!T$3:T$200, SMALL(IF(ISERROR('Temp Hisfa'!T$3:T$200), "", ROW('Temp Hisfa'!T$3:T$200)-MIN(ROW('Temp Hisfa'!T$3:T$200))+1), ROW(132:331))),"")</f>
        <v>0</v>
      </c>
      <c r="U134" s="22">
        <f t="array" ref="U134">IFERROR(INDEX('Temp Hisfa'!U$3:U$200, SMALL(IF(ISERROR('Temp Hisfa'!U$3:U$200), "", ROW('Temp Hisfa'!U$3:U$200)-MIN(ROW('Temp Hisfa'!U$3:U$200))+1), ROW(132:331))),"")</f>
        <v>0</v>
      </c>
      <c r="V134" s="22">
        <f t="array" ref="V134">IFERROR(INDEX('Temp Hisfa'!V$3:V$200, SMALL(IF(ISERROR('Temp Hisfa'!V$3:V$200), "", ROW('Temp Hisfa'!V$3:V$200)-MIN(ROW('Temp Hisfa'!V$3:V$200))+1), ROW(132:331))),"")</f>
        <v>0</v>
      </c>
      <c r="W134" s="22">
        <f t="array" ref="W134">IFERROR(INDEX('Temp Hisfa'!W$3:W$200, SMALL(IF(ISERROR('Temp Hisfa'!W$3:W$200), "", ROW('Temp Hisfa'!W$3:W$200)-MIN(ROW('Temp Hisfa'!W$3:W$200))+1), ROW(132:331))),"")</f>
        <v>0</v>
      </c>
      <c r="X134" s="22">
        <f t="array" ref="X134">IFERROR(INDEX('Temp Hisfa'!X$3:X$200, SMALL(IF(ISERROR('Temp Hisfa'!X$3:X$200), "", ROW('Temp Hisfa'!X$3:X$200)-MIN(ROW('Temp Hisfa'!X$3:X$200))+1), ROW(132:331))),"")</f>
        <v>0</v>
      </c>
      <c r="Y134" s="22">
        <f t="array" ref="Y134">IFERROR(INDEX('Temp Hisfa'!Y$3:Y$200, SMALL(IF(ISERROR('Temp Hisfa'!Y$3:Y$200), "", ROW('Temp Hisfa'!Y$3:Y$200)-MIN(ROW('Temp Hisfa'!Y$3:Y$200))+1), ROW(132:331))),"")</f>
        <v>0</v>
      </c>
      <c r="Z134" s="22">
        <f t="array" ref="Z134">IFERROR(INDEX('Temp Hisfa'!Z$3:Z$200, SMALL(IF(ISERROR('Temp Hisfa'!Z$3:Z$200), "", ROW('Temp Hisfa'!Z$3:Z$200)-MIN(ROW('Temp Hisfa'!Z$3:Z$200))+1), ROW(132:331))),"")</f>
        <v>0</v>
      </c>
      <c r="AA134" s="22">
        <f t="array" ref="AA134">IFERROR(INDEX('Temp Hisfa'!AA$3:AA$200, SMALL(IF(ISERROR('Temp Hisfa'!AA$3:AA$200), "", ROW('Temp Hisfa'!AA$3:AA$200)-MIN(ROW('Temp Hisfa'!AA$3:AA$200))+1), ROW(132:331))),"")</f>
        <v>0</v>
      </c>
      <c r="AB134" s="22">
        <f t="array" ref="AB134">IFERROR(INDEX('Temp Hisfa'!AB$3:AB$200, SMALL(IF(ISERROR('Temp Hisfa'!AB$3:AB$200), "", ROW('Temp Hisfa'!AB$3:AB$200)-MIN(ROW('Temp Hisfa'!AB$3:AB$200))+1), ROW(132:331))),"")</f>
        <v>0</v>
      </c>
    </row>
    <row r="135" spans="1:28" x14ac:dyDescent="0.3">
      <c r="A135" s="4">
        <f t="array" ref="A135">IFERROR(INDEX('Temp Hisfa'!A$3:A$200, SMALL(IF(ISERROR('Temp Hisfa'!A$3:A$200), "", ROW('Temp Hisfa'!A$3:A$200)-MIN(ROW('Temp Hisfa'!A$3:A$200))+1), ROW(133:331))),"")</f>
        <v>0</v>
      </c>
      <c r="B135" s="4">
        <f t="array" ref="B135">IFERROR(INDEX('Temp Hisfa'!B$3:B$200, SMALL(IF(ISERROR('Temp Hisfa'!B$3:B$200), "", ROW('Temp Hisfa'!B$3:B$200)-MIN(ROW('Temp Hisfa'!B$3:B$200))+1), ROW(133:331))),"")</f>
        <v>0</v>
      </c>
      <c r="C135" s="3">
        <f t="array" ref="C135">IFERROR(INDEX('Temp Hisfa'!C$3:C$200, SMALL(IF(ISERROR('Temp Hisfa'!C$3:C$200), "", ROW('Temp Hisfa'!C$3:C$200)-MIN(ROW('Temp Hisfa'!C$3:C$200))+1), ROW(133:331))),"")</f>
        <v>0</v>
      </c>
      <c r="D135" s="3">
        <f t="array" ref="D135">IFERROR(INDEX('Temp Hisfa'!D$3:D$200, SMALL(IF(ISERROR('Temp Hisfa'!D$3:D$200), "", ROW('Temp Hisfa'!D$3:D$200)-MIN(ROW('Temp Hisfa'!D$3:D$200))+1), ROW(133:331))),"")</f>
        <v>0</v>
      </c>
      <c r="E135" s="29">
        <f t="array" ref="E135">IFERROR(INDEX('Temp Hisfa'!E$3:E$200, SMALL(IF(ISERROR('Temp Hisfa'!E$3:E$200), "", ROW('Temp Hisfa'!E$3:E$200)-MIN(ROW('Temp Hisfa'!E$3:E$200))+1), ROW(133:332))),"")</f>
        <v>0</v>
      </c>
      <c r="F135" s="22" t="str">
        <f t="array" ref="F135">IFERROR(INDEX('Temp Hisfa'!F$3:F$200, SMALL(IF(ISERROR('Temp Hisfa'!F$3:F$200), "", ROW('Temp Hisfa'!F$3:F$200)-MIN(ROW('Temp Hisfa'!F$3:F$200))+1), ROW(133:332))),"")</f>
        <v/>
      </c>
      <c r="G135" s="30">
        <f t="array" ref="G135">IFERROR(INDEX('Temp Hisfa'!G$3:G$200, SMALL(IF(ISERROR('Temp Hisfa'!G$3:G$200), "", ROW('Temp Hisfa'!G$3:G$200)-MIN(ROW('Temp Hisfa'!G$3:G$200))+1), ROW(133:332))),"")</f>
        <v>0</v>
      </c>
      <c r="H135" s="22" t="str">
        <f t="array" ref="H135">IFERROR(INDEX('Temp Hisfa'!H$3:H$200, SMALL(IF(ISERROR('Temp Hisfa'!H$3:H$200), "", ROW('Temp Hisfa'!H$3:H$200)-MIN(ROW('Temp Hisfa'!H$3:H$200))+1), ROW(133:332))),"")</f>
        <v/>
      </c>
      <c r="I135" s="22">
        <f t="array" ref="I135">IFERROR(INDEX('Temp Hisfa'!I$3:I$200, SMALL(IF(ISERROR('Temp Hisfa'!I$3:I$200), "", ROW('Temp Hisfa'!I$3:I$200)-MIN(ROW('Temp Hisfa'!I$3:I$200))+1), ROW(133:332))),"")</f>
        <v>0</v>
      </c>
      <c r="J135" s="22">
        <f t="array" ref="J135">IFERROR(INDEX('Temp Hisfa'!J$3:J$200, SMALL(IF(ISERROR('Temp Hisfa'!J$3:J$200), "", ROW('Temp Hisfa'!J$3:J$200)-MIN(ROW('Temp Hisfa'!J$3:J$200))+1), ROW(133:332))),"")</f>
        <v>0</v>
      </c>
      <c r="K135" s="30">
        <f t="array" ref="K135">IFERROR(INDEX('Temp Hisfa'!K$3:K$200, SMALL(IF(ISERROR('Temp Hisfa'!K$3:K$200), "", ROW('Temp Hisfa'!K$3:K$200)-MIN(ROW('Temp Hisfa'!K$3:K$200))+1), ROW(133:332))),"")</f>
        <v>0</v>
      </c>
      <c r="L135" s="22">
        <f t="array" ref="L135">IFERROR(INDEX('Temp Hisfa'!L$3:L$200, SMALL(IF(ISERROR('Temp Hisfa'!L$3:L$200), "", ROW('Temp Hisfa'!L$3:L$200)-MIN(ROW('Temp Hisfa'!L$3:L$200))+1), ROW(133:332))),"")</f>
        <v>0</v>
      </c>
      <c r="M135" s="22">
        <f t="array" ref="M135">IFERROR(INDEX('Temp Hisfa'!M$3:M$200, SMALL(IF(ISERROR('Temp Hisfa'!M$3:M$200), "", ROW('Temp Hisfa'!M$3:M$200)-MIN(ROW('Temp Hisfa'!M$3:M$200))+1), ROW(133:332))),"")</f>
        <v>0</v>
      </c>
      <c r="N135" s="22">
        <f t="array" ref="N135">IFERROR(INDEX('Temp Hisfa'!N$3:N$200, SMALL(IF(ISERROR('Temp Hisfa'!N$3:N$200), "", ROW('Temp Hisfa'!N$3:N$200)-MIN(ROW('Temp Hisfa'!N$3:N$200))+1), ROW(133:332))),"")</f>
        <v>1900</v>
      </c>
      <c r="O135" s="22" t="str">
        <f t="array" ref="O135">IFERROR(INDEX('Temp Hisfa'!O$3:O$200, SMALL(IF(ISERROR('Temp Hisfa'!O$3:O$200), "", ROW('Temp Hisfa'!O$3:O$200)-MIN(ROW('Temp Hisfa'!O$3:O$200))+1), ROW(133:332))),"")</f>
        <v>enero</v>
      </c>
      <c r="P135" s="22">
        <f t="array" ref="P135">IFERROR(INDEX('Temp Hisfa'!P$3:P$200, SMALL(IF(ISERROR('Temp Hisfa'!P$3:P$200), "", ROW('Temp Hisfa'!P$3:P$200)-MIN(ROW('Temp Hisfa'!P$3:P$200))+1), ROW(133:332))),"")</f>
        <v>0</v>
      </c>
      <c r="Q135" s="22">
        <f t="array" ref="Q135">IFERROR(INDEX('Temp Hisfa'!Q$3:Q$200, SMALL(IF(ISERROR('Temp Hisfa'!Q$3:Q$200), "", ROW('Temp Hisfa'!Q$3:Q$200)-MIN(ROW('Temp Hisfa'!Q$3:Q$200))+1), ROW(133:332))),"")</f>
        <v>0</v>
      </c>
      <c r="R135" s="22">
        <f t="array" ref="R135">IFERROR(INDEX('Temp Hisfa'!R$3:R$200, SMALL(IF(ISERROR('Temp Hisfa'!R$3:R$200), "", ROW('Temp Hisfa'!R$3:R$200)-MIN(ROW('Temp Hisfa'!R$3:R$200))+1), ROW(133:332))),"")</f>
        <v>0</v>
      </c>
      <c r="S135" s="22">
        <f t="array" ref="S135">IFERROR(INDEX('Temp Hisfa'!S$3:S$200, SMALL(IF(ISERROR('Temp Hisfa'!S$3:S$200), "", ROW('Temp Hisfa'!S$3:S$200)-MIN(ROW('Temp Hisfa'!S$3:S$200))+1), ROW(133:332))),"")</f>
        <v>0</v>
      </c>
      <c r="T135" s="22">
        <f t="array" ref="T135">IFERROR(INDEX('Temp Hisfa'!T$3:T$200, SMALL(IF(ISERROR('Temp Hisfa'!T$3:T$200), "", ROW('Temp Hisfa'!T$3:T$200)-MIN(ROW('Temp Hisfa'!T$3:T$200))+1), ROW(133:332))),"")</f>
        <v>0</v>
      </c>
      <c r="U135" s="22">
        <f t="array" ref="U135">IFERROR(INDEX('Temp Hisfa'!U$3:U$200, SMALL(IF(ISERROR('Temp Hisfa'!U$3:U$200), "", ROW('Temp Hisfa'!U$3:U$200)-MIN(ROW('Temp Hisfa'!U$3:U$200))+1), ROW(133:332))),"")</f>
        <v>0</v>
      </c>
      <c r="V135" s="22">
        <f t="array" ref="V135">IFERROR(INDEX('Temp Hisfa'!V$3:V$200, SMALL(IF(ISERROR('Temp Hisfa'!V$3:V$200), "", ROW('Temp Hisfa'!V$3:V$200)-MIN(ROW('Temp Hisfa'!V$3:V$200))+1), ROW(133:332))),"")</f>
        <v>0</v>
      </c>
      <c r="W135" s="22">
        <f t="array" ref="W135">IFERROR(INDEX('Temp Hisfa'!W$3:W$200, SMALL(IF(ISERROR('Temp Hisfa'!W$3:W$200), "", ROW('Temp Hisfa'!W$3:W$200)-MIN(ROW('Temp Hisfa'!W$3:W$200))+1), ROW(133:332))),"")</f>
        <v>0</v>
      </c>
      <c r="X135" s="22">
        <f t="array" ref="X135">IFERROR(INDEX('Temp Hisfa'!X$3:X$200, SMALL(IF(ISERROR('Temp Hisfa'!X$3:X$200), "", ROW('Temp Hisfa'!X$3:X$200)-MIN(ROW('Temp Hisfa'!X$3:X$200))+1), ROW(133:332))),"")</f>
        <v>0</v>
      </c>
      <c r="Y135" s="22">
        <f t="array" ref="Y135">IFERROR(INDEX('Temp Hisfa'!Y$3:Y$200, SMALL(IF(ISERROR('Temp Hisfa'!Y$3:Y$200), "", ROW('Temp Hisfa'!Y$3:Y$200)-MIN(ROW('Temp Hisfa'!Y$3:Y$200))+1), ROW(133:332))),"")</f>
        <v>0</v>
      </c>
      <c r="Z135" s="22">
        <f t="array" ref="Z135">IFERROR(INDEX('Temp Hisfa'!Z$3:Z$200, SMALL(IF(ISERROR('Temp Hisfa'!Z$3:Z$200), "", ROW('Temp Hisfa'!Z$3:Z$200)-MIN(ROW('Temp Hisfa'!Z$3:Z$200))+1), ROW(133:332))),"")</f>
        <v>0</v>
      </c>
      <c r="AA135" s="22">
        <f t="array" ref="AA135">IFERROR(INDEX('Temp Hisfa'!AA$3:AA$200, SMALL(IF(ISERROR('Temp Hisfa'!AA$3:AA$200), "", ROW('Temp Hisfa'!AA$3:AA$200)-MIN(ROW('Temp Hisfa'!AA$3:AA$200))+1), ROW(133:332))),"")</f>
        <v>0</v>
      </c>
      <c r="AB135" s="22">
        <f t="array" ref="AB135">IFERROR(INDEX('Temp Hisfa'!AB$3:AB$200, SMALL(IF(ISERROR('Temp Hisfa'!AB$3:AB$200), "", ROW('Temp Hisfa'!AB$3:AB$200)-MIN(ROW('Temp Hisfa'!AB$3:AB$200))+1), ROW(133:332))),"")</f>
        <v>0</v>
      </c>
    </row>
    <row r="136" spans="1:28" x14ac:dyDescent="0.3">
      <c r="A136" s="4">
        <f t="array" ref="A136">IFERROR(INDEX('Temp Hisfa'!A$3:A$200, SMALL(IF(ISERROR('Temp Hisfa'!A$3:A$200), "", ROW('Temp Hisfa'!A$3:A$200)-MIN(ROW('Temp Hisfa'!A$3:A$200))+1), ROW(134:332))),"")</f>
        <v>0</v>
      </c>
      <c r="B136" s="4">
        <f t="array" ref="B136">IFERROR(INDEX('Temp Hisfa'!B$3:B$200, SMALL(IF(ISERROR('Temp Hisfa'!B$3:B$200), "", ROW('Temp Hisfa'!B$3:B$200)-MIN(ROW('Temp Hisfa'!B$3:B$200))+1), ROW(134:332))),"")</f>
        <v>0</v>
      </c>
      <c r="C136" s="3">
        <f t="array" ref="C136">IFERROR(INDEX('Temp Hisfa'!C$3:C$200, SMALL(IF(ISERROR('Temp Hisfa'!C$3:C$200), "", ROW('Temp Hisfa'!C$3:C$200)-MIN(ROW('Temp Hisfa'!C$3:C$200))+1), ROW(134:332))),"")</f>
        <v>0</v>
      </c>
      <c r="D136" s="3">
        <f t="array" ref="D136">IFERROR(INDEX('Temp Hisfa'!D$3:D$200, SMALL(IF(ISERROR('Temp Hisfa'!D$3:D$200), "", ROW('Temp Hisfa'!D$3:D$200)-MIN(ROW('Temp Hisfa'!D$3:D$200))+1), ROW(134:332))),"")</f>
        <v>0</v>
      </c>
      <c r="E136" s="29">
        <f t="array" ref="E136">IFERROR(INDEX('Temp Hisfa'!E$3:E$200, SMALL(IF(ISERROR('Temp Hisfa'!E$3:E$200), "", ROW('Temp Hisfa'!E$3:E$200)-MIN(ROW('Temp Hisfa'!E$3:E$200))+1), ROW(134:333))),"")</f>
        <v>0</v>
      </c>
      <c r="F136" s="22" t="str">
        <f t="array" ref="F136">IFERROR(INDEX('Temp Hisfa'!F$3:F$200, SMALL(IF(ISERROR('Temp Hisfa'!F$3:F$200), "", ROW('Temp Hisfa'!F$3:F$200)-MIN(ROW('Temp Hisfa'!F$3:F$200))+1), ROW(134:333))),"")</f>
        <v/>
      </c>
      <c r="G136" s="30">
        <f t="array" ref="G136">IFERROR(INDEX('Temp Hisfa'!G$3:G$200, SMALL(IF(ISERROR('Temp Hisfa'!G$3:G$200), "", ROW('Temp Hisfa'!G$3:G$200)-MIN(ROW('Temp Hisfa'!G$3:G$200))+1), ROW(134:333))),"")</f>
        <v>0</v>
      </c>
      <c r="H136" s="22" t="str">
        <f t="array" ref="H136">IFERROR(INDEX('Temp Hisfa'!H$3:H$200, SMALL(IF(ISERROR('Temp Hisfa'!H$3:H$200), "", ROW('Temp Hisfa'!H$3:H$200)-MIN(ROW('Temp Hisfa'!H$3:H$200))+1), ROW(134:333))),"")</f>
        <v/>
      </c>
      <c r="I136" s="22">
        <f t="array" ref="I136">IFERROR(INDEX('Temp Hisfa'!I$3:I$200, SMALL(IF(ISERROR('Temp Hisfa'!I$3:I$200), "", ROW('Temp Hisfa'!I$3:I$200)-MIN(ROW('Temp Hisfa'!I$3:I$200))+1), ROW(134:333))),"")</f>
        <v>0</v>
      </c>
      <c r="J136" s="22">
        <f t="array" ref="J136">IFERROR(INDEX('Temp Hisfa'!J$3:J$200, SMALL(IF(ISERROR('Temp Hisfa'!J$3:J$200), "", ROW('Temp Hisfa'!J$3:J$200)-MIN(ROW('Temp Hisfa'!J$3:J$200))+1), ROW(134:333))),"")</f>
        <v>0</v>
      </c>
      <c r="K136" s="30">
        <f t="array" ref="K136">IFERROR(INDEX('Temp Hisfa'!K$3:K$200, SMALL(IF(ISERROR('Temp Hisfa'!K$3:K$200), "", ROW('Temp Hisfa'!K$3:K$200)-MIN(ROW('Temp Hisfa'!K$3:K$200))+1), ROW(134:333))),"")</f>
        <v>0</v>
      </c>
      <c r="L136" s="22">
        <f t="array" ref="L136">IFERROR(INDEX('Temp Hisfa'!L$3:L$200, SMALL(IF(ISERROR('Temp Hisfa'!L$3:L$200), "", ROW('Temp Hisfa'!L$3:L$200)-MIN(ROW('Temp Hisfa'!L$3:L$200))+1), ROW(134:333))),"")</f>
        <v>0</v>
      </c>
      <c r="M136" s="22">
        <f t="array" ref="M136">IFERROR(INDEX('Temp Hisfa'!M$3:M$200, SMALL(IF(ISERROR('Temp Hisfa'!M$3:M$200), "", ROW('Temp Hisfa'!M$3:M$200)-MIN(ROW('Temp Hisfa'!M$3:M$200))+1), ROW(134:333))),"")</f>
        <v>0</v>
      </c>
      <c r="N136" s="22">
        <f t="array" ref="N136">IFERROR(INDEX('Temp Hisfa'!N$3:N$200, SMALL(IF(ISERROR('Temp Hisfa'!N$3:N$200), "", ROW('Temp Hisfa'!N$3:N$200)-MIN(ROW('Temp Hisfa'!N$3:N$200))+1), ROW(134:333))),"")</f>
        <v>1900</v>
      </c>
      <c r="O136" s="22" t="str">
        <f t="array" ref="O136">IFERROR(INDEX('Temp Hisfa'!O$3:O$200, SMALL(IF(ISERROR('Temp Hisfa'!O$3:O$200), "", ROW('Temp Hisfa'!O$3:O$200)-MIN(ROW('Temp Hisfa'!O$3:O$200))+1), ROW(134:333))),"")</f>
        <v>enero</v>
      </c>
      <c r="P136" s="22">
        <f t="array" ref="P136">IFERROR(INDEX('Temp Hisfa'!P$3:P$200, SMALL(IF(ISERROR('Temp Hisfa'!P$3:P$200), "", ROW('Temp Hisfa'!P$3:P$200)-MIN(ROW('Temp Hisfa'!P$3:P$200))+1), ROW(134:333))),"")</f>
        <v>0</v>
      </c>
      <c r="Q136" s="22">
        <f t="array" ref="Q136">IFERROR(INDEX('Temp Hisfa'!Q$3:Q$200, SMALL(IF(ISERROR('Temp Hisfa'!Q$3:Q$200), "", ROW('Temp Hisfa'!Q$3:Q$200)-MIN(ROW('Temp Hisfa'!Q$3:Q$200))+1), ROW(134:333))),"")</f>
        <v>0</v>
      </c>
      <c r="R136" s="22">
        <f t="array" ref="R136">IFERROR(INDEX('Temp Hisfa'!R$3:R$200, SMALL(IF(ISERROR('Temp Hisfa'!R$3:R$200), "", ROW('Temp Hisfa'!R$3:R$200)-MIN(ROW('Temp Hisfa'!R$3:R$200))+1), ROW(134:333))),"")</f>
        <v>0</v>
      </c>
      <c r="S136" s="22">
        <f t="array" ref="S136">IFERROR(INDEX('Temp Hisfa'!S$3:S$200, SMALL(IF(ISERROR('Temp Hisfa'!S$3:S$200), "", ROW('Temp Hisfa'!S$3:S$200)-MIN(ROW('Temp Hisfa'!S$3:S$200))+1), ROW(134:333))),"")</f>
        <v>0</v>
      </c>
      <c r="T136" s="22">
        <f t="array" ref="T136">IFERROR(INDEX('Temp Hisfa'!T$3:T$200, SMALL(IF(ISERROR('Temp Hisfa'!T$3:T$200), "", ROW('Temp Hisfa'!T$3:T$200)-MIN(ROW('Temp Hisfa'!T$3:T$200))+1), ROW(134:333))),"")</f>
        <v>0</v>
      </c>
      <c r="U136" s="22">
        <f t="array" ref="U136">IFERROR(INDEX('Temp Hisfa'!U$3:U$200, SMALL(IF(ISERROR('Temp Hisfa'!U$3:U$200), "", ROW('Temp Hisfa'!U$3:U$200)-MIN(ROW('Temp Hisfa'!U$3:U$200))+1), ROW(134:333))),"")</f>
        <v>0</v>
      </c>
      <c r="V136" s="22">
        <f t="array" ref="V136">IFERROR(INDEX('Temp Hisfa'!V$3:V$200, SMALL(IF(ISERROR('Temp Hisfa'!V$3:V$200), "", ROW('Temp Hisfa'!V$3:V$200)-MIN(ROW('Temp Hisfa'!V$3:V$200))+1), ROW(134:333))),"")</f>
        <v>0</v>
      </c>
      <c r="W136" s="22">
        <f t="array" ref="W136">IFERROR(INDEX('Temp Hisfa'!W$3:W$200, SMALL(IF(ISERROR('Temp Hisfa'!W$3:W$200), "", ROW('Temp Hisfa'!W$3:W$200)-MIN(ROW('Temp Hisfa'!W$3:W$200))+1), ROW(134:333))),"")</f>
        <v>0</v>
      </c>
      <c r="X136" s="22">
        <f t="array" ref="X136">IFERROR(INDEX('Temp Hisfa'!X$3:X$200, SMALL(IF(ISERROR('Temp Hisfa'!X$3:X$200), "", ROW('Temp Hisfa'!X$3:X$200)-MIN(ROW('Temp Hisfa'!X$3:X$200))+1), ROW(134:333))),"")</f>
        <v>0</v>
      </c>
      <c r="Y136" s="22">
        <f t="array" ref="Y136">IFERROR(INDEX('Temp Hisfa'!Y$3:Y$200, SMALL(IF(ISERROR('Temp Hisfa'!Y$3:Y$200), "", ROW('Temp Hisfa'!Y$3:Y$200)-MIN(ROW('Temp Hisfa'!Y$3:Y$200))+1), ROW(134:333))),"")</f>
        <v>0</v>
      </c>
      <c r="Z136" s="22">
        <f t="array" ref="Z136">IFERROR(INDEX('Temp Hisfa'!Z$3:Z$200, SMALL(IF(ISERROR('Temp Hisfa'!Z$3:Z$200), "", ROW('Temp Hisfa'!Z$3:Z$200)-MIN(ROW('Temp Hisfa'!Z$3:Z$200))+1), ROW(134:333))),"")</f>
        <v>0</v>
      </c>
      <c r="AA136" s="22">
        <f t="array" ref="AA136">IFERROR(INDEX('Temp Hisfa'!AA$3:AA$200, SMALL(IF(ISERROR('Temp Hisfa'!AA$3:AA$200), "", ROW('Temp Hisfa'!AA$3:AA$200)-MIN(ROW('Temp Hisfa'!AA$3:AA$200))+1), ROW(134:333))),"")</f>
        <v>0</v>
      </c>
      <c r="AB136" s="22">
        <f t="array" ref="AB136">IFERROR(INDEX('Temp Hisfa'!AB$3:AB$200, SMALL(IF(ISERROR('Temp Hisfa'!AB$3:AB$200), "", ROW('Temp Hisfa'!AB$3:AB$200)-MIN(ROW('Temp Hisfa'!AB$3:AB$200))+1), ROW(134:333))),"")</f>
        <v>0</v>
      </c>
    </row>
    <row r="137" spans="1:28" x14ac:dyDescent="0.3">
      <c r="A137" s="4">
        <f t="array" ref="A137">IFERROR(INDEX('Temp Hisfa'!A$3:A$200, SMALL(IF(ISERROR('Temp Hisfa'!A$3:A$200), "", ROW('Temp Hisfa'!A$3:A$200)-MIN(ROW('Temp Hisfa'!A$3:A$200))+1), ROW(135:333))),"")</f>
        <v>0</v>
      </c>
      <c r="B137" s="4">
        <f t="array" ref="B137">IFERROR(INDEX('Temp Hisfa'!B$3:B$200, SMALL(IF(ISERROR('Temp Hisfa'!B$3:B$200), "", ROW('Temp Hisfa'!B$3:B$200)-MIN(ROW('Temp Hisfa'!B$3:B$200))+1), ROW(135:333))),"")</f>
        <v>0</v>
      </c>
      <c r="C137" s="3">
        <f t="array" ref="C137">IFERROR(INDEX('Temp Hisfa'!C$3:C$200, SMALL(IF(ISERROR('Temp Hisfa'!C$3:C$200), "", ROW('Temp Hisfa'!C$3:C$200)-MIN(ROW('Temp Hisfa'!C$3:C$200))+1), ROW(135:333))),"")</f>
        <v>0</v>
      </c>
      <c r="D137" s="3">
        <f t="array" ref="D137">IFERROR(INDEX('Temp Hisfa'!D$3:D$200, SMALL(IF(ISERROR('Temp Hisfa'!D$3:D$200), "", ROW('Temp Hisfa'!D$3:D$200)-MIN(ROW('Temp Hisfa'!D$3:D$200))+1), ROW(135:333))),"")</f>
        <v>0</v>
      </c>
      <c r="E137" s="29">
        <f t="array" ref="E137">IFERROR(INDEX('Temp Hisfa'!E$3:E$200, SMALL(IF(ISERROR('Temp Hisfa'!E$3:E$200), "", ROW('Temp Hisfa'!E$3:E$200)-MIN(ROW('Temp Hisfa'!E$3:E$200))+1), ROW(135:334))),"")</f>
        <v>0</v>
      </c>
      <c r="F137" s="22" t="str">
        <f t="array" ref="F137">IFERROR(INDEX('Temp Hisfa'!F$3:F$200, SMALL(IF(ISERROR('Temp Hisfa'!F$3:F$200), "", ROW('Temp Hisfa'!F$3:F$200)-MIN(ROW('Temp Hisfa'!F$3:F$200))+1), ROW(135:334))),"")</f>
        <v/>
      </c>
      <c r="G137" s="30">
        <f t="array" ref="G137">IFERROR(INDEX('Temp Hisfa'!G$3:G$200, SMALL(IF(ISERROR('Temp Hisfa'!G$3:G$200), "", ROW('Temp Hisfa'!G$3:G$200)-MIN(ROW('Temp Hisfa'!G$3:G$200))+1), ROW(135:334))),"")</f>
        <v>0</v>
      </c>
      <c r="H137" s="22" t="str">
        <f t="array" ref="H137">IFERROR(INDEX('Temp Hisfa'!H$3:H$200, SMALL(IF(ISERROR('Temp Hisfa'!H$3:H$200), "", ROW('Temp Hisfa'!H$3:H$200)-MIN(ROW('Temp Hisfa'!H$3:H$200))+1), ROW(135:334))),"")</f>
        <v/>
      </c>
      <c r="I137" s="22">
        <f t="array" ref="I137">IFERROR(INDEX('Temp Hisfa'!I$3:I$200, SMALL(IF(ISERROR('Temp Hisfa'!I$3:I$200), "", ROW('Temp Hisfa'!I$3:I$200)-MIN(ROW('Temp Hisfa'!I$3:I$200))+1), ROW(135:334))),"")</f>
        <v>0</v>
      </c>
      <c r="J137" s="22">
        <f t="array" ref="J137">IFERROR(INDEX('Temp Hisfa'!J$3:J$200, SMALL(IF(ISERROR('Temp Hisfa'!J$3:J$200), "", ROW('Temp Hisfa'!J$3:J$200)-MIN(ROW('Temp Hisfa'!J$3:J$200))+1), ROW(135:334))),"")</f>
        <v>0</v>
      </c>
      <c r="K137" s="30">
        <f t="array" ref="K137">IFERROR(INDEX('Temp Hisfa'!K$3:K$200, SMALL(IF(ISERROR('Temp Hisfa'!K$3:K$200), "", ROW('Temp Hisfa'!K$3:K$200)-MIN(ROW('Temp Hisfa'!K$3:K$200))+1), ROW(135:334))),"")</f>
        <v>0</v>
      </c>
      <c r="L137" s="22">
        <f t="array" ref="L137">IFERROR(INDEX('Temp Hisfa'!L$3:L$200, SMALL(IF(ISERROR('Temp Hisfa'!L$3:L$200), "", ROW('Temp Hisfa'!L$3:L$200)-MIN(ROW('Temp Hisfa'!L$3:L$200))+1), ROW(135:334))),"")</f>
        <v>0</v>
      </c>
      <c r="M137" s="22">
        <f t="array" ref="M137">IFERROR(INDEX('Temp Hisfa'!M$3:M$200, SMALL(IF(ISERROR('Temp Hisfa'!M$3:M$200), "", ROW('Temp Hisfa'!M$3:M$200)-MIN(ROW('Temp Hisfa'!M$3:M$200))+1), ROW(135:334))),"")</f>
        <v>0</v>
      </c>
      <c r="N137" s="22">
        <f t="array" ref="N137">IFERROR(INDEX('Temp Hisfa'!N$3:N$200, SMALL(IF(ISERROR('Temp Hisfa'!N$3:N$200), "", ROW('Temp Hisfa'!N$3:N$200)-MIN(ROW('Temp Hisfa'!N$3:N$200))+1), ROW(135:334))),"")</f>
        <v>1900</v>
      </c>
      <c r="O137" s="22" t="str">
        <f t="array" ref="O137">IFERROR(INDEX('Temp Hisfa'!O$3:O$200, SMALL(IF(ISERROR('Temp Hisfa'!O$3:O$200), "", ROW('Temp Hisfa'!O$3:O$200)-MIN(ROW('Temp Hisfa'!O$3:O$200))+1), ROW(135:334))),"")</f>
        <v>enero</v>
      </c>
      <c r="P137" s="22">
        <f t="array" ref="P137">IFERROR(INDEX('Temp Hisfa'!P$3:P$200, SMALL(IF(ISERROR('Temp Hisfa'!P$3:P$200), "", ROW('Temp Hisfa'!P$3:P$200)-MIN(ROW('Temp Hisfa'!P$3:P$200))+1), ROW(135:334))),"")</f>
        <v>0</v>
      </c>
      <c r="Q137" s="22">
        <f t="array" ref="Q137">IFERROR(INDEX('Temp Hisfa'!Q$3:Q$200, SMALL(IF(ISERROR('Temp Hisfa'!Q$3:Q$200), "", ROW('Temp Hisfa'!Q$3:Q$200)-MIN(ROW('Temp Hisfa'!Q$3:Q$200))+1), ROW(135:334))),"")</f>
        <v>0</v>
      </c>
      <c r="R137" s="22">
        <f t="array" ref="R137">IFERROR(INDEX('Temp Hisfa'!R$3:R$200, SMALL(IF(ISERROR('Temp Hisfa'!R$3:R$200), "", ROW('Temp Hisfa'!R$3:R$200)-MIN(ROW('Temp Hisfa'!R$3:R$200))+1), ROW(135:334))),"")</f>
        <v>0</v>
      </c>
      <c r="S137" s="22">
        <f t="array" ref="S137">IFERROR(INDEX('Temp Hisfa'!S$3:S$200, SMALL(IF(ISERROR('Temp Hisfa'!S$3:S$200), "", ROW('Temp Hisfa'!S$3:S$200)-MIN(ROW('Temp Hisfa'!S$3:S$200))+1), ROW(135:334))),"")</f>
        <v>0</v>
      </c>
      <c r="T137" s="22">
        <f t="array" ref="T137">IFERROR(INDEX('Temp Hisfa'!T$3:T$200, SMALL(IF(ISERROR('Temp Hisfa'!T$3:T$200), "", ROW('Temp Hisfa'!T$3:T$200)-MIN(ROW('Temp Hisfa'!T$3:T$200))+1), ROW(135:334))),"")</f>
        <v>0</v>
      </c>
      <c r="U137" s="22">
        <f t="array" ref="U137">IFERROR(INDEX('Temp Hisfa'!U$3:U$200, SMALL(IF(ISERROR('Temp Hisfa'!U$3:U$200), "", ROW('Temp Hisfa'!U$3:U$200)-MIN(ROW('Temp Hisfa'!U$3:U$200))+1), ROW(135:334))),"")</f>
        <v>0</v>
      </c>
      <c r="V137" s="22">
        <f t="array" ref="V137">IFERROR(INDEX('Temp Hisfa'!V$3:V$200, SMALL(IF(ISERROR('Temp Hisfa'!V$3:V$200), "", ROW('Temp Hisfa'!V$3:V$200)-MIN(ROW('Temp Hisfa'!V$3:V$200))+1), ROW(135:334))),"")</f>
        <v>0</v>
      </c>
      <c r="W137" s="22">
        <f t="array" ref="W137">IFERROR(INDEX('Temp Hisfa'!W$3:W$200, SMALL(IF(ISERROR('Temp Hisfa'!W$3:W$200), "", ROW('Temp Hisfa'!W$3:W$200)-MIN(ROW('Temp Hisfa'!W$3:W$200))+1), ROW(135:334))),"")</f>
        <v>0</v>
      </c>
      <c r="X137" s="22">
        <f t="array" ref="X137">IFERROR(INDEX('Temp Hisfa'!X$3:X$200, SMALL(IF(ISERROR('Temp Hisfa'!X$3:X$200), "", ROW('Temp Hisfa'!X$3:X$200)-MIN(ROW('Temp Hisfa'!X$3:X$200))+1), ROW(135:334))),"")</f>
        <v>0</v>
      </c>
      <c r="Y137" s="22">
        <f t="array" ref="Y137">IFERROR(INDEX('Temp Hisfa'!Y$3:Y$200, SMALL(IF(ISERROR('Temp Hisfa'!Y$3:Y$200), "", ROW('Temp Hisfa'!Y$3:Y$200)-MIN(ROW('Temp Hisfa'!Y$3:Y$200))+1), ROW(135:334))),"")</f>
        <v>0</v>
      </c>
      <c r="Z137" s="22">
        <f t="array" ref="Z137">IFERROR(INDEX('Temp Hisfa'!Z$3:Z$200, SMALL(IF(ISERROR('Temp Hisfa'!Z$3:Z$200), "", ROW('Temp Hisfa'!Z$3:Z$200)-MIN(ROW('Temp Hisfa'!Z$3:Z$200))+1), ROW(135:334))),"")</f>
        <v>0</v>
      </c>
      <c r="AA137" s="22">
        <f t="array" ref="AA137">IFERROR(INDEX('Temp Hisfa'!AA$3:AA$200, SMALL(IF(ISERROR('Temp Hisfa'!AA$3:AA$200), "", ROW('Temp Hisfa'!AA$3:AA$200)-MIN(ROW('Temp Hisfa'!AA$3:AA$200))+1), ROW(135:334))),"")</f>
        <v>0</v>
      </c>
      <c r="AB137" s="22">
        <f t="array" ref="AB137">IFERROR(INDEX('Temp Hisfa'!AB$3:AB$200, SMALL(IF(ISERROR('Temp Hisfa'!AB$3:AB$200), "", ROW('Temp Hisfa'!AB$3:AB$200)-MIN(ROW('Temp Hisfa'!AB$3:AB$200))+1), ROW(135:334))),"")</f>
        <v>0</v>
      </c>
    </row>
    <row r="138" spans="1:28" x14ac:dyDescent="0.3">
      <c r="A138" s="4">
        <f t="array" ref="A138">IFERROR(INDEX('Temp Hisfa'!A$3:A$200, SMALL(IF(ISERROR('Temp Hisfa'!A$3:A$200), "", ROW('Temp Hisfa'!A$3:A$200)-MIN(ROW('Temp Hisfa'!A$3:A$200))+1), ROW(136:334))),"")</f>
        <v>0</v>
      </c>
      <c r="B138" s="4">
        <f t="array" ref="B138">IFERROR(INDEX('Temp Hisfa'!B$3:B$200, SMALL(IF(ISERROR('Temp Hisfa'!B$3:B$200), "", ROW('Temp Hisfa'!B$3:B$200)-MIN(ROW('Temp Hisfa'!B$3:B$200))+1), ROW(136:334))),"")</f>
        <v>0</v>
      </c>
      <c r="C138" s="3">
        <f t="array" ref="C138">IFERROR(INDEX('Temp Hisfa'!C$3:C$200, SMALL(IF(ISERROR('Temp Hisfa'!C$3:C$200), "", ROW('Temp Hisfa'!C$3:C$200)-MIN(ROW('Temp Hisfa'!C$3:C$200))+1), ROW(136:334))),"")</f>
        <v>0</v>
      </c>
      <c r="D138" s="3">
        <f t="array" ref="D138">IFERROR(INDEX('Temp Hisfa'!D$3:D$200, SMALL(IF(ISERROR('Temp Hisfa'!D$3:D$200), "", ROW('Temp Hisfa'!D$3:D$200)-MIN(ROW('Temp Hisfa'!D$3:D$200))+1), ROW(136:334))),"")</f>
        <v>0</v>
      </c>
      <c r="E138" s="29">
        <f t="array" ref="E138">IFERROR(INDEX('Temp Hisfa'!E$3:E$200, SMALL(IF(ISERROR('Temp Hisfa'!E$3:E$200), "", ROW('Temp Hisfa'!E$3:E$200)-MIN(ROW('Temp Hisfa'!E$3:E$200))+1), ROW(136:335))),"")</f>
        <v>0</v>
      </c>
      <c r="F138" s="22" t="str">
        <f t="array" ref="F138">IFERROR(INDEX('Temp Hisfa'!F$3:F$200, SMALL(IF(ISERROR('Temp Hisfa'!F$3:F$200), "", ROW('Temp Hisfa'!F$3:F$200)-MIN(ROW('Temp Hisfa'!F$3:F$200))+1), ROW(136:335))),"")</f>
        <v/>
      </c>
      <c r="G138" s="30">
        <f t="array" ref="G138">IFERROR(INDEX('Temp Hisfa'!G$3:G$200, SMALL(IF(ISERROR('Temp Hisfa'!G$3:G$200), "", ROW('Temp Hisfa'!G$3:G$200)-MIN(ROW('Temp Hisfa'!G$3:G$200))+1), ROW(136:335))),"")</f>
        <v>0</v>
      </c>
      <c r="H138" s="22" t="str">
        <f t="array" ref="H138">IFERROR(INDEX('Temp Hisfa'!H$3:H$200, SMALL(IF(ISERROR('Temp Hisfa'!H$3:H$200), "", ROW('Temp Hisfa'!H$3:H$200)-MIN(ROW('Temp Hisfa'!H$3:H$200))+1), ROW(136:335))),"")</f>
        <v/>
      </c>
      <c r="I138" s="22">
        <f t="array" ref="I138">IFERROR(INDEX('Temp Hisfa'!I$3:I$200, SMALL(IF(ISERROR('Temp Hisfa'!I$3:I$200), "", ROW('Temp Hisfa'!I$3:I$200)-MIN(ROW('Temp Hisfa'!I$3:I$200))+1), ROW(136:335))),"")</f>
        <v>0</v>
      </c>
      <c r="J138" s="22">
        <f t="array" ref="J138">IFERROR(INDEX('Temp Hisfa'!J$3:J$200, SMALL(IF(ISERROR('Temp Hisfa'!J$3:J$200), "", ROW('Temp Hisfa'!J$3:J$200)-MIN(ROW('Temp Hisfa'!J$3:J$200))+1), ROW(136:335))),"")</f>
        <v>0</v>
      </c>
      <c r="K138" s="30">
        <f t="array" ref="K138">IFERROR(INDEX('Temp Hisfa'!K$3:K$200, SMALL(IF(ISERROR('Temp Hisfa'!K$3:K$200), "", ROW('Temp Hisfa'!K$3:K$200)-MIN(ROW('Temp Hisfa'!K$3:K$200))+1), ROW(136:335))),"")</f>
        <v>0</v>
      </c>
      <c r="L138" s="22">
        <f t="array" ref="L138">IFERROR(INDEX('Temp Hisfa'!L$3:L$200, SMALL(IF(ISERROR('Temp Hisfa'!L$3:L$200), "", ROW('Temp Hisfa'!L$3:L$200)-MIN(ROW('Temp Hisfa'!L$3:L$200))+1), ROW(136:335))),"")</f>
        <v>0</v>
      </c>
      <c r="M138" s="22">
        <f t="array" ref="M138">IFERROR(INDEX('Temp Hisfa'!M$3:M$200, SMALL(IF(ISERROR('Temp Hisfa'!M$3:M$200), "", ROW('Temp Hisfa'!M$3:M$200)-MIN(ROW('Temp Hisfa'!M$3:M$200))+1), ROW(136:335))),"")</f>
        <v>0</v>
      </c>
      <c r="N138" s="22">
        <f t="array" ref="N138">IFERROR(INDEX('Temp Hisfa'!N$3:N$200, SMALL(IF(ISERROR('Temp Hisfa'!N$3:N$200), "", ROW('Temp Hisfa'!N$3:N$200)-MIN(ROW('Temp Hisfa'!N$3:N$200))+1), ROW(136:335))),"")</f>
        <v>1900</v>
      </c>
      <c r="O138" s="22" t="str">
        <f t="array" ref="O138">IFERROR(INDEX('Temp Hisfa'!O$3:O$200, SMALL(IF(ISERROR('Temp Hisfa'!O$3:O$200), "", ROW('Temp Hisfa'!O$3:O$200)-MIN(ROW('Temp Hisfa'!O$3:O$200))+1), ROW(136:335))),"")</f>
        <v>enero</v>
      </c>
      <c r="P138" s="22">
        <f t="array" ref="P138">IFERROR(INDEX('Temp Hisfa'!P$3:P$200, SMALL(IF(ISERROR('Temp Hisfa'!P$3:P$200), "", ROW('Temp Hisfa'!P$3:P$200)-MIN(ROW('Temp Hisfa'!P$3:P$200))+1), ROW(136:335))),"")</f>
        <v>0</v>
      </c>
      <c r="Q138" s="22">
        <f t="array" ref="Q138">IFERROR(INDEX('Temp Hisfa'!Q$3:Q$200, SMALL(IF(ISERROR('Temp Hisfa'!Q$3:Q$200), "", ROW('Temp Hisfa'!Q$3:Q$200)-MIN(ROW('Temp Hisfa'!Q$3:Q$200))+1), ROW(136:335))),"")</f>
        <v>0</v>
      </c>
      <c r="R138" s="22">
        <f t="array" ref="R138">IFERROR(INDEX('Temp Hisfa'!R$3:R$200, SMALL(IF(ISERROR('Temp Hisfa'!R$3:R$200), "", ROW('Temp Hisfa'!R$3:R$200)-MIN(ROW('Temp Hisfa'!R$3:R$200))+1), ROW(136:335))),"")</f>
        <v>0</v>
      </c>
      <c r="S138" s="22">
        <f t="array" ref="S138">IFERROR(INDEX('Temp Hisfa'!S$3:S$200, SMALL(IF(ISERROR('Temp Hisfa'!S$3:S$200), "", ROW('Temp Hisfa'!S$3:S$200)-MIN(ROW('Temp Hisfa'!S$3:S$200))+1), ROW(136:335))),"")</f>
        <v>0</v>
      </c>
      <c r="T138" s="22">
        <f t="array" ref="T138">IFERROR(INDEX('Temp Hisfa'!T$3:T$200, SMALL(IF(ISERROR('Temp Hisfa'!T$3:T$200), "", ROW('Temp Hisfa'!T$3:T$200)-MIN(ROW('Temp Hisfa'!T$3:T$200))+1), ROW(136:335))),"")</f>
        <v>0</v>
      </c>
      <c r="U138" s="22">
        <f t="array" ref="U138">IFERROR(INDEX('Temp Hisfa'!U$3:U$200, SMALL(IF(ISERROR('Temp Hisfa'!U$3:U$200), "", ROW('Temp Hisfa'!U$3:U$200)-MIN(ROW('Temp Hisfa'!U$3:U$200))+1), ROW(136:335))),"")</f>
        <v>0</v>
      </c>
      <c r="V138" s="22">
        <f t="array" ref="V138">IFERROR(INDEX('Temp Hisfa'!V$3:V$200, SMALL(IF(ISERROR('Temp Hisfa'!V$3:V$200), "", ROW('Temp Hisfa'!V$3:V$200)-MIN(ROW('Temp Hisfa'!V$3:V$200))+1), ROW(136:335))),"")</f>
        <v>0</v>
      </c>
      <c r="W138" s="22">
        <f t="array" ref="W138">IFERROR(INDEX('Temp Hisfa'!W$3:W$200, SMALL(IF(ISERROR('Temp Hisfa'!W$3:W$200), "", ROW('Temp Hisfa'!W$3:W$200)-MIN(ROW('Temp Hisfa'!W$3:W$200))+1), ROW(136:335))),"")</f>
        <v>0</v>
      </c>
      <c r="X138" s="22">
        <f t="array" ref="X138">IFERROR(INDEX('Temp Hisfa'!X$3:X$200, SMALL(IF(ISERROR('Temp Hisfa'!X$3:X$200), "", ROW('Temp Hisfa'!X$3:X$200)-MIN(ROW('Temp Hisfa'!X$3:X$200))+1), ROW(136:335))),"")</f>
        <v>0</v>
      </c>
      <c r="Y138" s="22">
        <f t="array" ref="Y138">IFERROR(INDEX('Temp Hisfa'!Y$3:Y$200, SMALL(IF(ISERROR('Temp Hisfa'!Y$3:Y$200), "", ROW('Temp Hisfa'!Y$3:Y$200)-MIN(ROW('Temp Hisfa'!Y$3:Y$200))+1), ROW(136:335))),"")</f>
        <v>0</v>
      </c>
      <c r="Z138" s="22">
        <f t="array" ref="Z138">IFERROR(INDEX('Temp Hisfa'!Z$3:Z$200, SMALL(IF(ISERROR('Temp Hisfa'!Z$3:Z$200), "", ROW('Temp Hisfa'!Z$3:Z$200)-MIN(ROW('Temp Hisfa'!Z$3:Z$200))+1), ROW(136:335))),"")</f>
        <v>0</v>
      </c>
      <c r="AA138" s="22">
        <f t="array" ref="AA138">IFERROR(INDEX('Temp Hisfa'!AA$3:AA$200, SMALL(IF(ISERROR('Temp Hisfa'!AA$3:AA$200), "", ROW('Temp Hisfa'!AA$3:AA$200)-MIN(ROW('Temp Hisfa'!AA$3:AA$200))+1), ROW(136:335))),"")</f>
        <v>0</v>
      </c>
      <c r="AB138" s="22">
        <f t="array" ref="AB138">IFERROR(INDEX('Temp Hisfa'!AB$3:AB$200, SMALL(IF(ISERROR('Temp Hisfa'!AB$3:AB$200), "", ROW('Temp Hisfa'!AB$3:AB$200)-MIN(ROW('Temp Hisfa'!AB$3:AB$200))+1), ROW(136:335))),"")</f>
        <v>0</v>
      </c>
    </row>
    <row r="139" spans="1:28" x14ac:dyDescent="0.3">
      <c r="A139" s="4">
        <f t="array" ref="A139">IFERROR(INDEX('Temp Hisfa'!A$3:A$200, SMALL(IF(ISERROR('Temp Hisfa'!A$3:A$200), "", ROW('Temp Hisfa'!A$3:A$200)-MIN(ROW('Temp Hisfa'!A$3:A$200))+1), ROW(137:335))),"")</f>
        <v>0</v>
      </c>
      <c r="B139" s="4">
        <f t="array" ref="B139">IFERROR(INDEX('Temp Hisfa'!B$3:B$200, SMALL(IF(ISERROR('Temp Hisfa'!B$3:B$200), "", ROW('Temp Hisfa'!B$3:B$200)-MIN(ROW('Temp Hisfa'!B$3:B$200))+1), ROW(137:335))),"")</f>
        <v>0</v>
      </c>
      <c r="C139" s="3">
        <f t="array" ref="C139">IFERROR(INDEX('Temp Hisfa'!C$3:C$200, SMALL(IF(ISERROR('Temp Hisfa'!C$3:C$200), "", ROW('Temp Hisfa'!C$3:C$200)-MIN(ROW('Temp Hisfa'!C$3:C$200))+1), ROW(137:335))),"")</f>
        <v>0</v>
      </c>
      <c r="D139" s="3">
        <f t="array" ref="D139">IFERROR(INDEX('Temp Hisfa'!D$3:D$200, SMALL(IF(ISERROR('Temp Hisfa'!D$3:D$200), "", ROW('Temp Hisfa'!D$3:D$200)-MIN(ROW('Temp Hisfa'!D$3:D$200))+1), ROW(137:335))),"")</f>
        <v>0</v>
      </c>
      <c r="E139" s="29">
        <f t="array" ref="E139">IFERROR(INDEX('Temp Hisfa'!E$3:E$200, SMALL(IF(ISERROR('Temp Hisfa'!E$3:E$200), "", ROW('Temp Hisfa'!E$3:E$200)-MIN(ROW('Temp Hisfa'!E$3:E$200))+1), ROW(137:336))),"")</f>
        <v>0</v>
      </c>
      <c r="F139" s="22" t="str">
        <f t="array" ref="F139">IFERROR(INDEX('Temp Hisfa'!F$3:F$200, SMALL(IF(ISERROR('Temp Hisfa'!F$3:F$200), "", ROW('Temp Hisfa'!F$3:F$200)-MIN(ROW('Temp Hisfa'!F$3:F$200))+1), ROW(137:336))),"")</f>
        <v/>
      </c>
      <c r="G139" s="30">
        <f t="array" ref="G139">IFERROR(INDEX('Temp Hisfa'!G$3:G$200, SMALL(IF(ISERROR('Temp Hisfa'!G$3:G$200), "", ROW('Temp Hisfa'!G$3:G$200)-MIN(ROW('Temp Hisfa'!G$3:G$200))+1), ROW(137:336))),"")</f>
        <v>0</v>
      </c>
      <c r="H139" s="22" t="str">
        <f t="array" ref="H139">IFERROR(INDEX('Temp Hisfa'!H$3:H$200, SMALL(IF(ISERROR('Temp Hisfa'!H$3:H$200), "", ROW('Temp Hisfa'!H$3:H$200)-MIN(ROW('Temp Hisfa'!H$3:H$200))+1), ROW(137:336))),"")</f>
        <v/>
      </c>
      <c r="I139" s="22">
        <f t="array" ref="I139">IFERROR(INDEX('Temp Hisfa'!I$3:I$200, SMALL(IF(ISERROR('Temp Hisfa'!I$3:I$200), "", ROW('Temp Hisfa'!I$3:I$200)-MIN(ROW('Temp Hisfa'!I$3:I$200))+1), ROW(137:336))),"")</f>
        <v>0</v>
      </c>
      <c r="J139" s="22">
        <f t="array" ref="J139">IFERROR(INDEX('Temp Hisfa'!J$3:J$200, SMALL(IF(ISERROR('Temp Hisfa'!J$3:J$200), "", ROW('Temp Hisfa'!J$3:J$200)-MIN(ROW('Temp Hisfa'!J$3:J$200))+1), ROW(137:336))),"")</f>
        <v>0</v>
      </c>
      <c r="K139" s="30">
        <f t="array" ref="K139">IFERROR(INDEX('Temp Hisfa'!K$3:K$200, SMALL(IF(ISERROR('Temp Hisfa'!K$3:K$200), "", ROW('Temp Hisfa'!K$3:K$200)-MIN(ROW('Temp Hisfa'!K$3:K$200))+1), ROW(137:336))),"")</f>
        <v>0</v>
      </c>
      <c r="L139" s="22">
        <f t="array" ref="L139">IFERROR(INDEX('Temp Hisfa'!L$3:L$200, SMALL(IF(ISERROR('Temp Hisfa'!L$3:L$200), "", ROW('Temp Hisfa'!L$3:L$200)-MIN(ROW('Temp Hisfa'!L$3:L$200))+1), ROW(137:336))),"")</f>
        <v>0</v>
      </c>
      <c r="M139" s="22">
        <f t="array" ref="M139">IFERROR(INDEX('Temp Hisfa'!M$3:M$200, SMALL(IF(ISERROR('Temp Hisfa'!M$3:M$200), "", ROW('Temp Hisfa'!M$3:M$200)-MIN(ROW('Temp Hisfa'!M$3:M$200))+1), ROW(137:336))),"")</f>
        <v>0</v>
      </c>
      <c r="N139" s="22">
        <f t="array" ref="N139">IFERROR(INDEX('Temp Hisfa'!N$3:N$200, SMALL(IF(ISERROR('Temp Hisfa'!N$3:N$200), "", ROW('Temp Hisfa'!N$3:N$200)-MIN(ROW('Temp Hisfa'!N$3:N$200))+1), ROW(137:336))),"")</f>
        <v>1900</v>
      </c>
      <c r="O139" s="22" t="str">
        <f t="array" ref="O139">IFERROR(INDEX('Temp Hisfa'!O$3:O$200, SMALL(IF(ISERROR('Temp Hisfa'!O$3:O$200), "", ROW('Temp Hisfa'!O$3:O$200)-MIN(ROW('Temp Hisfa'!O$3:O$200))+1), ROW(137:336))),"")</f>
        <v>enero</v>
      </c>
      <c r="P139" s="22">
        <f t="array" ref="P139">IFERROR(INDEX('Temp Hisfa'!P$3:P$200, SMALL(IF(ISERROR('Temp Hisfa'!P$3:P$200), "", ROW('Temp Hisfa'!P$3:P$200)-MIN(ROW('Temp Hisfa'!P$3:P$200))+1), ROW(137:336))),"")</f>
        <v>0</v>
      </c>
      <c r="Q139" s="22">
        <f t="array" ref="Q139">IFERROR(INDEX('Temp Hisfa'!Q$3:Q$200, SMALL(IF(ISERROR('Temp Hisfa'!Q$3:Q$200), "", ROW('Temp Hisfa'!Q$3:Q$200)-MIN(ROW('Temp Hisfa'!Q$3:Q$200))+1), ROW(137:336))),"")</f>
        <v>0</v>
      </c>
      <c r="R139" s="22">
        <f t="array" ref="R139">IFERROR(INDEX('Temp Hisfa'!R$3:R$200, SMALL(IF(ISERROR('Temp Hisfa'!R$3:R$200), "", ROW('Temp Hisfa'!R$3:R$200)-MIN(ROW('Temp Hisfa'!R$3:R$200))+1), ROW(137:336))),"")</f>
        <v>0</v>
      </c>
      <c r="S139" s="22">
        <f t="array" ref="S139">IFERROR(INDEX('Temp Hisfa'!S$3:S$200, SMALL(IF(ISERROR('Temp Hisfa'!S$3:S$200), "", ROW('Temp Hisfa'!S$3:S$200)-MIN(ROW('Temp Hisfa'!S$3:S$200))+1), ROW(137:336))),"")</f>
        <v>0</v>
      </c>
      <c r="T139" s="22">
        <f t="array" ref="T139">IFERROR(INDEX('Temp Hisfa'!T$3:T$200, SMALL(IF(ISERROR('Temp Hisfa'!T$3:T$200), "", ROW('Temp Hisfa'!T$3:T$200)-MIN(ROW('Temp Hisfa'!T$3:T$200))+1), ROW(137:336))),"")</f>
        <v>0</v>
      </c>
      <c r="U139" s="22">
        <f t="array" ref="U139">IFERROR(INDEX('Temp Hisfa'!U$3:U$200, SMALL(IF(ISERROR('Temp Hisfa'!U$3:U$200), "", ROW('Temp Hisfa'!U$3:U$200)-MIN(ROW('Temp Hisfa'!U$3:U$200))+1), ROW(137:336))),"")</f>
        <v>0</v>
      </c>
      <c r="V139" s="22">
        <f t="array" ref="V139">IFERROR(INDEX('Temp Hisfa'!V$3:V$200, SMALL(IF(ISERROR('Temp Hisfa'!V$3:V$200), "", ROW('Temp Hisfa'!V$3:V$200)-MIN(ROW('Temp Hisfa'!V$3:V$200))+1), ROW(137:336))),"")</f>
        <v>0</v>
      </c>
      <c r="W139" s="22">
        <f t="array" ref="W139">IFERROR(INDEX('Temp Hisfa'!W$3:W$200, SMALL(IF(ISERROR('Temp Hisfa'!W$3:W$200), "", ROW('Temp Hisfa'!W$3:W$200)-MIN(ROW('Temp Hisfa'!W$3:W$200))+1), ROW(137:336))),"")</f>
        <v>0</v>
      </c>
      <c r="X139" s="22">
        <f t="array" ref="X139">IFERROR(INDEX('Temp Hisfa'!X$3:X$200, SMALL(IF(ISERROR('Temp Hisfa'!X$3:X$200), "", ROW('Temp Hisfa'!X$3:X$200)-MIN(ROW('Temp Hisfa'!X$3:X$200))+1), ROW(137:336))),"")</f>
        <v>0</v>
      </c>
      <c r="Y139" s="22">
        <f t="array" ref="Y139">IFERROR(INDEX('Temp Hisfa'!Y$3:Y$200, SMALL(IF(ISERROR('Temp Hisfa'!Y$3:Y$200), "", ROW('Temp Hisfa'!Y$3:Y$200)-MIN(ROW('Temp Hisfa'!Y$3:Y$200))+1), ROW(137:336))),"")</f>
        <v>0</v>
      </c>
      <c r="Z139" s="22">
        <f t="array" ref="Z139">IFERROR(INDEX('Temp Hisfa'!Z$3:Z$200, SMALL(IF(ISERROR('Temp Hisfa'!Z$3:Z$200), "", ROW('Temp Hisfa'!Z$3:Z$200)-MIN(ROW('Temp Hisfa'!Z$3:Z$200))+1), ROW(137:336))),"")</f>
        <v>0</v>
      </c>
      <c r="AA139" s="22">
        <f t="array" ref="AA139">IFERROR(INDEX('Temp Hisfa'!AA$3:AA$200, SMALL(IF(ISERROR('Temp Hisfa'!AA$3:AA$200), "", ROW('Temp Hisfa'!AA$3:AA$200)-MIN(ROW('Temp Hisfa'!AA$3:AA$200))+1), ROW(137:336))),"")</f>
        <v>0</v>
      </c>
      <c r="AB139" s="22">
        <f t="array" ref="AB139">IFERROR(INDEX('Temp Hisfa'!AB$3:AB$200, SMALL(IF(ISERROR('Temp Hisfa'!AB$3:AB$200), "", ROW('Temp Hisfa'!AB$3:AB$200)-MIN(ROW('Temp Hisfa'!AB$3:AB$200))+1), ROW(137:336))),"")</f>
        <v>0</v>
      </c>
    </row>
    <row r="140" spans="1:28" x14ac:dyDescent="0.3">
      <c r="A140" s="4">
        <f t="array" ref="A140">IFERROR(INDEX('Temp Hisfa'!A$3:A$200, SMALL(IF(ISERROR('Temp Hisfa'!A$3:A$200), "", ROW('Temp Hisfa'!A$3:A$200)-MIN(ROW('Temp Hisfa'!A$3:A$200))+1), ROW(138:336))),"")</f>
        <v>0</v>
      </c>
      <c r="B140" s="4">
        <f t="array" ref="B140">IFERROR(INDEX('Temp Hisfa'!B$3:B$200, SMALL(IF(ISERROR('Temp Hisfa'!B$3:B$200), "", ROW('Temp Hisfa'!B$3:B$200)-MIN(ROW('Temp Hisfa'!B$3:B$200))+1), ROW(138:336))),"")</f>
        <v>0</v>
      </c>
      <c r="C140" s="3">
        <f t="array" ref="C140">IFERROR(INDEX('Temp Hisfa'!C$3:C$200, SMALL(IF(ISERROR('Temp Hisfa'!C$3:C$200), "", ROW('Temp Hisfa'!C$3:C$200)-MIN(ROW('Temp Hisfa'!C$3:C$200))+1), ROW(138:336))),"")</f>
        <v>0</v>
      </c>
      <c r="D140" s="3">
        <f t="array" ref="D140">IFERROR(INDEX('Temp Hisfa'!D$3:D$200, SMALL(IF(ISERROR('Temp Hisfa'!D$3:D$200), "", ROW('Temp Hisfa'!D$3:D$200)-MIN(ROW('Temp Hisfa'!D$3:D$200))+1), ROW(138:336))),"")</f>
        <v>0</v>
      </c>
      <c r="E140" s="29">
        <f t="array" ref="E140">IFERROR(INDEX('Temp Hisfa'!E$3:E$200, SMALL(IF(ISERROR('Temp Hisfa'!E$3:E$200), "", ROW('Temp Hisfa'!E$3:E$200)-MIN(ROW('Temp Hisfa'!E$3:E$200))+1), ROW(138:337))),"")</f>
        <v>0</v>
      </c>
      <c r="F140" s="22" t="str">
        <f t="array" ref="F140">IFERROR(INDEX('Temp Hisfa'!F$3:F$200, SMALL(IF(ISERROR('Temp Hisfa'!F$3:F$200), "", ROW('Temp Hisfa'!F$3:F$200)-MIN(ROW('Temp Hisfa'!F$3:F$200))+1), ROW(138:337))),"")</f>
        <v/>
      </c>
      <c r="G140" s="30">
        <f t="array" ref="G140">IFERROR(INDEX('Temp Hisfa'!G$3:G$200, SMALL(IF(ISERROR('Temp Hisfa'!G$3:G$200), "", ROW('Temp Hisfa'!G$3:G$200)-MIN(ROW('Temp Hisfa'!G$3:G$200))+1), ROW(138:337))),"")</f>
        <v>0</v>
      </c>
      <c r="H140" s="22" t="str">
        <f t="array" ref="H140">IFERROR(INDEX('Temp Hisfa'!H$3:H$200, SMALL(IF(ISERROR('Temp Hisfa'!H$3:H$200), "", ROW('Temp Hisfa'!H$3:H$200)-MIN(ROW('Temp Hisfa'!H$3:H$200))+1), ROW(138:337))),"")</f>
        <v/>
      </c>
      <c r="I140" s="22">
        <f t="array" ref="I140">IFERROR(INDEX('Temp Hisfa'!I$3:I$200, SMALL(IF(ISERROR('Temp Hisfa'!I$3:I$200), "", ROW('Temp Hisfa'!I$3:I$200)-MIN(ROW('Temp Hisfa'!I$3:I$200))+1), ROW(138:337))),"")</f>
        <v>0</v>
      </c>
      <c r="J140" s="22">
        <f t="array" ref="J140">IFERROR(INDEX('Temp Hisfa'!J$3:J$200, SMALL(IF(ISERROR('Temp Hisfa'!J$3:J$200), "", ROW('Temp Hisfa'!J$3:J$200)-MIN(ROW('Temp Hisfa'!J$3:J$200))+1), ROW(138:337))),"")</f>
        <v>0</v>
      </c>
      <c r="K140" s="30">
        <f t="array" ref="K140">IFERROR(INDEX('Temp Hisfa'!K$3:K$200, SMALL(IF(ISERROR('Temp Hisfa'!K$3:K$200), "", ROW('Temp Hisfa'!K$3:K$200)-MIN(ROW('Temp Hisfa'!K$3:K$200))+1), ROW(138:337))),"")</f>
        <v>0</v>
      </c>
      <c r="L140" s="22">
        <f t="array" ref="L140">IFERROR(INDEX('Temp Hisfa'!L$3:L$200, SMALL(IF(ISERROR('Temp Hisfa'!L$3:L$200), "", ROW('Temp Hisfa'!L$3:L$200)-MIN(ROW('Temp Hisfa'!L$3:L$200))+1), ROW(138:337))),"")</f>
        <v>0</v>
      </c>
      <c r="M140" s="22">
        <f t="array" ref="M140">IFERROR(INDEX('Temp Hisfa'!M$3:M$200, SMALL(IF(ISERROR('Temp Hisfa'!M$3:M$200), "", ROW('Temp Hisfa'!M$3:M$200)-MIN(ROW('Temp Hisfa'!M$3:M$200))+1), ROW(138:337))),"")</f>
        <v>0</v>
      </c>
      <c r="N140" s="22">
        <f t="array" ref="N140">IFERROR(INDEX('Temp Hisfa'!N$3:N$200, SMALL(IF(ISERROR('Temp Hisfa'!N$3:N$200), "", ROW('Temp Hisfa'!N$3:N$200)-MIN(ROW('Temp Hisfa'!N$3:N$200))+1), ROW(138:337))),"")</f>
        <v>1900</v>
      </c>
      <c r="O140" s="22" t="str">
        <f t="array" ref="O140">IFERROR(INDEX('Temp Hisfa'!O$3:O$200, SMALL(IF(ISERROR('Temp Hisfa'!O$3:O$200), "", ROW('Temp Hisfa'!O$3:O$200)-MIN(ROW('Temp Hisfa'!O$3:O$200))+1), ROW(138:337))),"")</f>
        <v>enero</v>
      </c>
      <c r="P140" s="22">
        <f t="array" ref="P140">IFERROR(INDEX('Temp Hisfa'!P$3:P$200, SMALL(IF(ISERROR('Temp Hisfa'!P$3:P$200), "", ROW('Temp Hisfa'!P$3:P$200)-MIN(ROW('Temp Hisfa'!P$3:P$200))+1), ROW(138:337))),"")</f>
        <v>0</v>
      </c>
      <c r="Q140" s="22">
        <f t="array" ref="Q140">IFERROR(INDEX('Temp Hisfa'!Q$3:Q$200, SMALL(IF(ISERROR('Temp Hisfa'!Q$3:Q$200), "", ROW('Temp Hisfa'!Q$3:Q$200)-MIN(ROW('Temp Hisfa'!Q$3:Q$200))+1), ROW(138:337))),"")</f>
        <v>0</v>
      </c>
      <c r="R140" s="22">
        <f t="array" ref="R140">IFERROR(INDEX('Temp Hisfa'!R$3:R$200, SMALL(IF(ISERROR('Temp Hisfa'!R$3:R$200), "", ROW('Temp Hisfa'!R$3:R$200)-MIN(ROW('Temp Hisfa'!R$3:R$200))+1), ROW(138:337))),"")</f>
        <v>0</v>
      </c>
      <c r="S140" s="22">
        <f t="array" ref="S140">IFERROR(INDEX('Temp Hisfa'!S$3:S$200, SMALL(IF(ISERROR('Temp Hisfa'!S$3:S$200), "", ROW('Temp Hisfa'!S$3:S$200)-MIN(ROW('Temp Hisfa'!S$3:S$200))+1), ROW(138:337))),"")</f>
        <v>0</v>
      </c>
      <c r="T140" s="22">
        <f t="array" ref="T140">IFERROR(INDEX('Temp Hisfa'!T$3:T$200, SMALL(IF(ISERROR('Temp Hisfa'!T$3:T$200), "", ROW('Temp Hisfa'!T$3:T$200)-MIN(ROW('Temp Hisfa'!T$3:T$200))+1), ROW(138:337))),"")</f>
        <v>0</v>
      </c>
      <c r="U140" s="22">
        <f t="array" ref="U140">IFERROR(INDEX('Temp Hisfa'!U$3:U$200, SMALL(IF(ISERROR('Temp Hisfa'!U$3:U$200), "", ROW('Temp Hisfa'!U$3:U$200)-MIN(ROW('Temp Hisfa'!U$3:U$200))+1), ROW(138:337))),"")</f>
        <v>0</v>
      </c>
      <c r="V140" s="22">
        <f t="array" ref="V140">IFERROR(INDEX('Temp Hisfa'!V$3:V$200, SMALL(IF(ISERROR('Temp Hisfa'!V$3:V$200), "", ROW('Temp Hisfa'!V$3:V$200)-MIN(ROW('Temp Hisfa'!V$3:V$200))+1), ROW(138:337))),"")</f>
        <v>0</v>
      </c>
      <c r="W140" s="22">
        <f t="array" ref="W140">IFERROR(INDEX('Temp Hisfa'!W$3:W$200, SMALL(IF(ISERROR('Temp Hisfa'!W$3:W$200), "", ROW('Temp Hisfa'!W$3:W$200)-MIN(ROW('Temp Hisfa'!W$3:W$200))+1), ROW(138:337))),"")</f>
        <v>0</v>
      </c>
      <c r="X140" s="22">
        <f t="array" ref="X140">IFERROR(INDEX('Temp Hisfa'!X$3:X$200, SMALL(IF(ISERROR('Temp Hisfa'!X$3:X$200), "", ROW('Temp Hisfa'!X$3:X$200)-MIN(ROW('Temp Hisfa'!X$3:X$200))+1), ROW(138:337))),"")</f>
        <v>0</v>
      </c>
      <c r="Y140" s="22">
        <f t="array" ref="Y140">IFERROR(INDEX('Temp Hisfa'!Y$3:Y$200, SMALL(IF(ISERROR('Temp Hisfa'!Y$3:Y$200), "", ROW('Temp Hisfa'!Y$3:Y$200)-MIN(ROW('Temp Hisfa'!Y$3:Y$200))+1), ROW(138:337))),"")</f>
        <v>0</v>
      </c>
      <c r="Z140" s="22">
        <f t="array" ref="Z140">IFERROR(INDEX('Temp Hisfa'!Z$3:Z$200, SMALL(IF(ISERROR('Temp Hisfa'!Z$3:Z$200), "", ROW('Temp Hisfa'!Z$3:Z$200)-MIN(ROW('Temp Hisfa'!Z$3:Z$200))+1), ROW(138:337))),"")</f>
        <v>0</v>
      </c>
      <c r="AA140" s="22">
        <f t="array" ref="AA140">IFERROR(INDEX('Temp Hisfa'!AA$3:AA$200, SMALL(IF(ISERROR('Temp Hisfa'!AA$3:AA$200), "", ROW('Temp Hisfa'!AA$3:AA$200)-MIN(ROW('Temp Hisfa'!AA$3:AA$200))+1), ROW(138:337))),"")</f>
        <v>0</v>
      </c>
      <c r="AB140" s="22">
        <f t="array" ref="AB140">IFERROR(INDEX('Temp Hisfa'!AB$3:AB$200, SMALL(IF(ISERROR('Temp Hisfa'!AB$3:AB$200), "", ROW('Temp Hisfa'!AB$3:AB$200)-MIN(ROW('Temp Hisfa'!AB$3:AB$200))+1), ROW(138:337))),"")</f>
        <v>0</v>
      </c>
    </row>
    <row r="141" spans="1:28" x14ac:dyDescent="0.3">
      <c r="A141" s="4">
        <f t="array" ref="A141">IFERROR(INDEX('Temp Hisfa'!A$3:A$200, SMALL(IF(ISERROR('Temp Hisfa'!A$3:A$200), "", ROW('Temp Hisfa'!A$3:A$200)-MIN(ROW('Temp Hisfa'!A$3:A$200))+1), ROW(139:337))),"")</f>
        <v>0</v>
      </c>
      <c r="B141" s="4">
        <f t="array" ref="B141">IFERROR(INDEX('Temp Hisfa'!B$3:B$200, SMALL(IF(ISERROR('Temp Hisfa'!B$3:B$200), "", ROW('Temp Hisfa'!B$3:B$200)-MIN(ROW('Temp Hisfa'!B$3:B$200))+1), ROW(139:337))),"")</f>
        <v>0</v>
      </c>
      <c r="C141" s="3">
        <f t="array" ref="C141">IFERROR(INDEX('Temp Hisfa'!C$3:C$200, SMALL(IF(ISERROR('Temp Hisfa'!C$3:C$200), "", ROW('Temp Hisfa'!C$3:C$200)-MIN(ROW('Temp Hisfa'!C$3:C$200))+1), ROW(139:337))),"")</f>
        <v>0</v>
      </c>
      <c r="D141" s="3">
        <f t="array" ref="D141">IFERROR(INDEX('Temp Hisfa'!D$3:D$200, SMALL(IF(ISERROR('Temp Hisfa'!D$3:D$200), "", ROW('Temp Hisfa'!D$3:D$200)-MIN(ROW('Temp Hisfa'!D$3:D$200))+1), ROW(139:337))),"")</f>
        <v>0</v>
      </c>
      <c r="E141" s="29">
        <f t="array" ref="E141">IFERROR(INDEX('Temp Hisfa'!E$3:E$200, SMALL(IF(ISERROR('Temp Hisfa'!E$3:E$200), "", ROW('Temp Hisfa'!E$3:E$200)-MIN(ROW('Temp Hisfa'!E$3:E$200))+1), ROW(139:338))),"")</f>
        <v>0</v>
      </c>
      <c r="F141" s="22" t="str">
        <f t="array" ref="F141">IFERROR(INDEX('Temp Hisfa'!F$3:F$200, SMALL(IF(ISERROR('Temp Hisfa'!F$3:F$200), "", ROW('Temp Hisfa'!F$3:F$200)-MIN(ROW('Temp Hisfa'!F$3:F$200))+1), ROW(139:338))),"")</f>
        <v/>
      </c>
      <c r="G141" s="30">
        <f t="array" ref="G141">IFERROR(INDEX('Temp Hisfa'!G$3:G$200, SMALL(IF(ISERROR('Temp Hisfa'!G$3:G$200), "", ROW('Temp Hisfa'!G$3:G$200)-MIN(ROW('Temp Hisfa'!G$3:G$200))+1), ROW(139:338))),"")</f>
        <v>0</v>
      </c>
      <c r="H141" s="22" t="str">
        <f t="array" ref="H141">IFERROR(INDEX('Temp Hisfa'!H$3:H$200, SMALL(IF(ISERROR('Temp Hisfa'!H$3:H$200), "", ROW('Temp Hisfa'!H$3:H$200)-MIN(ROW('Temp Hisfa'!H$3:H$200))+1), ROW(139:338))),"")</f>
        <v/>
      </c>
      <c r="I141" s="22">
        <f t="array" ref="I141">IFERROR(INDEX('Temp Hisfa'!I$3:I$200, SMALL(IF(ISERROR('Temp Hisfa'!I$3:I$200), "", ROW('Temp Hisfa'!I$3:I$200)-MIN(ROW('Temp Hisfa'!I$3:I$200))+1), ROW(139:338))),"")</f>
        <v>0</v>
      </c>
      <c r="J141" s="22">
        <f t="array" ref="J141">IFERROR(INDEX('Temp Hisfa'!J$3:J$200, SMALL(IF(ISERROR('Temp Hisfa'!J$3:J$200), "", ROW('Temp Hisfa'!J$3:J$200)-MIN(ROW('Temp Hisfa'!J$3:J$200))+1), ROW(139:338))),"")</f>
        <v>0</v>
      </c>
      <c r="K141" s="30">
        <f t="array" ref="K141">IFERROR(INDEX('Temp Hisfa'!K$3:K$200, SMALL(IF(ISERROR('Temp Hisfa'!K$3:K$200), "", ROW('Temp Hisfa'!K$3:K$200)-MIN(ROW('Temp Hisfa'!K$3:K$200))+1), ROW(139:338))),"")</f>
        <v>0</v>
      </c>
      <c r="L141" s="22">
        <f t="array" ref="L141">IFERROR(INDEX('Temp Hisfa'!L$3:L$200, SMALL(IF(ISERROR('Temp Hisfa'!L$3:L$200), "", ROW('Temp Hisfa'!L$3:L$200)-MIN(ROW('Temp Hisfa'!L$3:L$200))+1), ROW(139:338))),"")</f>
        <v>0</v>
      </c>
      <c r="M141" s="22">
        <f t="array" ref="M141">IFERROR(INDEX('Temp Hisfa'!M$3:M$200, SMALL(IF(ISERROR('Temp Hisfa'!M$3:M$200), "", ROW('Temp Hisfa'!M$3:M$200)-MIN(ROW('Temp Hisfa'!M$3:M$200))+1), ROW(139:338))),"")</f>
        <v>0</v>
      </c>
      <c r="N141" s="22">
        <f t="array" ref="N141">IFERROR(INDEX('Temp Hisfa'!N$3:N$200, SMALL(IF(ISERROR('Temp Hisfa'!N$3:N$200), "", ROW('Temp Hisfa'!N$3:N$200)-MIN(ROW('Temp Hisfa'!N$3:N$200))+1), ROW(139:338))),"")</f>
        <v>1900</v>
      </c>
      <c r="O141" s="22" t="str">
        <f t="array" ref="O141">IFERROR(INDEX('Temp Hisfa'!O$3:O$200, SMALL(IF(ISERROR('Temp Hisfa'!O$3:O$200), "", ROW('Temp Hisfa'!O$3:O$200)-MIN(ROW('Temp Hisfa'!O$3:O$200))+1), ROW(139:338))),"")</f>
        <v>enero</v>
      </c>
      <c r="P141" s="22">
        <f t="array" ref="P141">IFERROR(INDEX('Temp Hisfa'!P$3:P$200, SMALL(IF(ISERROR('Temp Hisfa'!P$3:P$200), "", ROW('Temp Hisfa'!P$3:P$200)-MIN(ROW('Temp Hisfa'!P$3:P$200))+1), ROW(139:338))),"")</f>
        <v>0</v>
      </c>
      <c r="Q141" s="22">
        <f t="array" ref="Q141">IFERROR(INDEX('Temp Hisfa'!Q$3:Q$200, SMALL(IF(ISERROR('Temp Hisfa'!Q$3:Q$200), "", ROW('Temp Hisfa'!Q$3:Q$200)-MIN(ROW('Temp Hisfa'!Q$3:Q$200))+1), ROW(139:338))),"")</f>
        <v>0</v>
      </c>
      <c r="R141" s="22">
        <f t="array" ref="R141">IFERROR(INDEX('Temp Hisfa'!R$3:R$200, SMALL(IF(ISERROR('Temp Hisfa'!R$3:R$200), "", ROW('Temp Hisfa'!R$3:R$200)-MIN(ROW('Temp Hisfa'!R$3:R$200))+1), ROW(139:338))),"")</f>
        <v>0</v>
      </c>
      <c r="S141" s="22">
        <f t="array" ref="S141">IFERROR(INDEX('Temp Hisfa'!S$3:S$200, SMALL(IF(ISERROR('Temp Hisfa'!S$3:S$200), "", ROW('Temp Hisfa'!S$3:S$200)-MIN(ROW('Temp Hisfa'!S$3:S$200))+1), ROW(139:338))),"")</f>
        <v>0</v>
      </c>
      <c r="T141" s="22">
        <f t="array" ref="T141">IFERROR(INDEX('Temp Hisfa'!T$3:T$200, SMALL(IF(ISERROR('Temp Hisfa'!T$3:T$200), "", ROW('Temp Hisfa'!T$3:T$200)-MIN(ROW('Temp Hisfa'!T$3:T$200))+1), ROW(139:338))),"")</f>
        <v>0</v>
      </c>
      <c r="U141" s="22">
        <f t="array" ref="U141">IFERROR(INDEX('Temp Hisfa'!U$3:U$200, SMALL(IF(ISERROR('Temp Hisfa'!U$3:U$200), "", ROW('Temp Hisfa'!U$3:U$200)-MIN(ROW('Temp Hisfa'!U$3:U$200))+1), ROW(139:338))),"")</f>
        <v>0</v>
      </c>
      <c r="V141" s="22">
        <f t="array" ref="V141">IFERROR(INDEX('Temp Hisfa'!V$3:V$200, SMALL(IF(ISERROR('Temp Hisfa'!V$3:V$200), "", ROW('Temp Hisfa'!V$3:V$200)-MIN(ROW('Temp Hisfa'!V$3:V$200))+1), ROW(139:338))),"")</f>
        <v>0</v>
      </c>
      <c r="W141" s="22">
        <f t="array" ref="W141">IFERROR(INDEX('Temp Hisfa'!W$3:W$200, SMALL(IF(ISERROR('Temp Hisfa'!W$3:W$200), "", ROW('Temp Hisfa'!W$3:W$200)-MIN(ROW('Temp Hisfa'!W$3:W$200))+1), ROW(139:338))),"")</f>
        <v>0</v>
      </c>
      <c r="X141" s="22">
        <f t="array" ref="X141">IFERROR(INDEX('Temp Hisfa'!X$3:X$200, SMALL(IF(ISERROR('Temp Hisfa'!X$3:X$200), "", ROW('Temp Hisfa'!X$3:X$200)-MIN(ROW('Temp Hisfa'!X$3:X$200))+1), ROW(139:338))),"")</f>
        <v>0</v>
      </c>
      <c r="Y141" s="22">
        <f t="array" ref="Y141">IFERROR(INDEX('Temp Hisfa'!Y$3:Y$200, SMALL(IF(ISERROR('Temp Hisfa'!Y$3:Y$200), "", ROW('Temp Hisfa'!Y$3:Y$200)-MIN(ROW('Temp Hisfa'!Y$3:Y$200))+1), ROW(139:338))),"")</f>
        <v>0</v>
      </c>
      <c r="Z141" s="22">
        <f t="array" ref="Z141">IFERROR(INDEX('Temp Hisfa'!Z$3:Z$200, SMALL(IF(ISERROR('Temp Hisfa'!Z$3:Z$200), "", ROW('Temp Hisfa'!Z$3:Z$200)-MIN(ROW('Temp Hisfa'!Z$3:Z$200))+1), ROW(139:338))),"")</f>
        <v>0</v>
      </c>
      <c r="AA141" s="22">
        <f t="array" ref="AA141">IFERROR(INDEX('Temp Hisfa'!AA$3:AA$200, SMALL(IF(ISERROR('Temp Hisfa'!AA$3:AA$200), "", ROW('Temp Hisfa'!AA$3:AA$200)-MIN(ROW('Temp Hisfa'!AA$3:AA$200))+1), ROW(139:338))),"")</f>
        <v>0</v>
      </c>
      <c r="AB141" s="22">
        <f t="array" ref="AB141">IFERROR(INDEX('Temp Hisfa'!AB$3:AB$200, SMALL(IF(ISERROR('Temp Hisfa'!AB$3:AB$200), "", ROW('Temp Hisfa'!AB$3:AB$200)-MIN(ROW('Temp Hisfa'!AB$3:AB$200))+1), ROW(139:338))),"")</f>
        <v>0</v>
      </c>
    </row>
    <row r="142" spans="1:28" x14ac:dyDescent="0.3">
      <c r="A142" s="4">
        <f t="array" ref="A142">IFERROR(INDEX('Temp Hisfa'!A$3:A$200, SMALL(IF(ISERROR('Temp Hisfa'!A$3:A$200), "", ROW('Temp Hisfa'!A$3:A$200)-MIN(ROW('Temp Hisfa'!A$3:A$200))+1), ROW(140:338))),"")</f>
        <v>0</v>
      </c>
      <c r="B142" s="4">
        <f t="array" ref="B142">IFERROR(INDEX('Temp Hisfa'!B$3:B$200, SMALL(IF(ISERROR('Temp Hisfa'!B$3:B$200), "", ROW('Temp Hisfa'!B$3:B$200)-MIN(ROW('Temp Hisfa'!B$3:B$200))+1), ROW(140:338))),"")</f>
        <v>0</v>
      </c>
      <c r="C142" s="3">
        <f t="array" ref="C142">IFERROR(INDEX('Temp Hisfa'!C$3:C$200, SMALL(IF(ISERROR('Temp Hisfa'!C$3:C$200), "", ROW('Temp Hisfa'!C$3:C$200)-MIN(ROW('Temp Hisfa'!C$3:C$200))+1), ROW(140:338))),"")</f>
        <v>0</v>
      </c>
      <c r="D142" s="3">
        <f t="array" ref="D142">IFERROR(INDEX('Temp Hisfa'!D$3:D$200, SMALL(IF(ISERROR('Temp Hisfa'!D$3:D$200), "", ROW('Temp Hisfa'!D$3:D$200)-MIN(ROW('Temp Hisfa'!D$3:D$200))+1), ROW(140:338))),"")</f>
        <v>0</v>
      </c>
      <c r="E142" s="29">
        <f t="array" ref="E142">IFERROR(INDEX('Temp Hisfa'!E$3:E$200, SMALL(IF(ISERROR('Temp Hisfa'!E$3:E$200), "", ROW('Temp Hisfa'!E$3:E$200)-MIN(ROW('Temp Hisfa'!E$3:E$200))+1), ROW(140:339))),"")</f>
        <v>0</v>
      </c>
      <c r="F142" s="22" t="str">
        <f t="array" ref="F142">IFERROR(INDEX('Temp Hisfa'!F$3:F$200, SMALL(IF(ISERROR('Temp Hisfa'!F$3:F$200), "", ROW('Temp Hisfa'!F$3:F$200)-MIN(ROW('Temp Hisfa'!F$3:F$200))+1), ROW(140:339))),"")</f>
        <v/>
      </c>
      <c r="G142" s="30">
        <f t="array" ref="G142">IFERROR(INDEX('Temp Hisfa'!G$3:G$200, SMALL(IF(ISERROR('Temp Hisfa'!G$3:G$200), "", ROW('Temp Hisfa'!G$3:G$200)-MIN(ROW('Temp Hisfa'!G$3:G$200))+1), ROW(140:339))),"")</f>
        <v>0</v>
      </c>
      <c r="H142" s="22" t="str">
        <f t="array" ref="H142">IFERROR(INDEX('Temp Hisfa'!H$3:H$200, SMALL(IF(ISERROR('Temp Hisfa'!H$3:H$200), "", ROW('Temp Hisfa'!H$3:H$200)-MIN(ROW('Temp Hisfa'!H$3:H$200))+1), ROW(140:339))),"")</f>
        <v/>
      </c>
      <c r="I142" s="22">
        <f t="array" ref="I142">IFERROR(INDEX('Temp Hisfa'!I$3:I$200, SMALL(IF(ISERROR('Temp Hisfa'!I$3:I$200), "", ROW('Temp Hisfa'!I$3:I$200)-MIN(ROW('Temp Hisfa'!I$3:I$200))+1), ROW(140:339))),"")</f>
        <v>0</v>
      </c>
      <c r="J142" s="22">
        <f t="array" ref="J142">IFERROR(INDEX('Temp Hisfa'!J$3:J$200, SMALL(IF(ISERROR('Temp Hisfa'!J$3:J$200), "", ROW('Temp Hisfa'!J$3:J$200)-MIN(ROW('Temp Hisfa'!J$3:J$200))+1), ROW(140:339))),"")</f>
        <v>0</v>
      </c>
      <c r="K142" s="30">
        <f t="array" ref="K142">IFERROR(INDEX('Temp Hisfa'!K$3:K$200, SMALL(IF(ISERROR('Temp Hisfa'!K$3:K$200), "", ROW('Temp Hisfa'!K$3:K$200)-MIN(ROW('Temp Hisfa'!K$3:K$200))+1), ROW(140:339))),"")</f>
        <v>0</v>
      </c>
      <c r="L142" s="22">
        <f t="array" ref="L142">IFERROR(INDEX('Temp Hisfa'!L$3:L$200, SMALL(IF(ISERROR('Temp Hisfa'!L$3:L$200), "", ROW('Temp Hisfa'!L$3:L$200)-MIN(ROW('Temp Hisfa'!L$3:L$200))+1), ROW(140:339))),"")</f>
        <v>0</v>
      </c>
      <c r="M142" s="22">
        <f t="array" ref="M142">IFERROR(INDEX('Temp Hisfa'!M$3:M$200, SMALL(IF(ISERROR('Temp Hisfa'!M$3:M$200), "", ROW('Temp Hisfa'!M$3:M$200)-MIN(ROW('Temp Hisfa'!M$3:M$200))+1), ROW(140:339))),"")</f>
        <v>0</v>
      </c>
      <c r="N142" s="22">
        <f t="array" ref="N142">IFERROR(INDEX('Temp Hisfa'!N$3:N$200, SMALL(IF(ISERROR('Temp Hisfa'!N$3:N$200), "", ROW('Temp Hisfa'!N$3:N$200)-MIN(ROW('Temp Hisfa'!N$3:N$200))+1), ROW(140:339))),"")</f>
        <v>1900</v>
      </c>
      <c r="O142" s="22" t="str">
        <f t="array" ref="O142">IFERROR(INDEX('Temp Hisfa'!O$3:O$200, SMALL(IF(ISERROR('Temp Hisfa'!O$3:O$200), "", ROW('Temp Hisfa'!O$3:O$200)-MIN(ROW('Temp Hisfa'!O$3:O$200))+1), ROW(140:339))),"")</f>
        <v>enero</v>
      </c>
      <c r="P142" s="22">
        <f t="array" ref="P142">IFERROR(INDEX('Temp Hisfa'!P$3:P$200, SMALL(IF(ISERROR('Temp Hisfa'!P$3:P$200), "", ROW('Temp Hisfa'!P$3:P$200)-MIN(ROW('Temp Hisfa'!P$3:P$200))+1), ROW(140:339))),"")</f>
        <v>0</v>
      </c>
      <c r="Q142" s="22">
        <f t="array" ref="Q142">IFERROR(INDEX('Temp Hisfa'!Q$3:Q$200, SMALL(IF(ISERROR('Temp Hisfa'!Q$3:Q$200), "", ROW('Temp Hisfa'!Q$3:Q$200)-MIN(ROW('Temp Hisfa'!Q$3:Q$200))+1), ROW(140:339))),"")</f>
        <v>0</v>
      </c>
      <c r="R142" s="22">
        <f t="array" ref="R142">IFERROR(INDEX('Temp Hisfa'!R$3:R$200, SMALL(IF(ISERROR('Temp Hisfa'!R$3:R$200), "", ROW('Temp Hisfa'!R$3:R$200)-MIN(ROW('Temp Hisfa'!R$3:R$200))+1), ROW(140:339))),"")</f>
        <v>0</v>
      </c>
      <c r="S142" s="22">
        <f t="array" ref="S142">IFERROR(INDEX('Temp Hisfa'!S$3:S$200, SMALL(IF(ISERROR('Temp Hisfa'!S$3:S$200), "", ROW('Temp Hisfa'!S$3:S$200)-MIN(ROW('Temp Hisfa'!S$3:S$200))+1), ROW(140:339))),"")</f>
        <v>0</v>
      </c>
      <c r="T142" s="22">
        <f t="array" ref="T142">IFERROR(INDEX('Temp Hisfa'!T$3:T$200, SMALL(IF(ISERROR('Temp Hisfa'!T$3:T$200), "", ROW('Temp Hisfa'!T$3:T$200)-MIN(ROW('Temp Hisfa'!T$3:T$200))+1), ROW(140:339))),"")</f>
        <v>0</v>
      </c>
      <c r="U142" s="22">
        <f t="array" ref="U142">IFERROR(INDEX('Temp Hisfa'!U$3:U$200, SMALL(IF(ISERROR('Temp Hisfa'!U$3:U$200), "", ROW('Temp Hisfa'!U$3:U$200)-MIN(ROW('Temp Hisfa'!U$3:U$200))+1), ROW(140:339))),"")</f>
        <v>0</v>
      </c>
      <c r="V142" s="22">
        <f t="array" ref="V142">IFERROR(INDEX('Temp Hisfa'!V$3:V$200, SMALL(IF(ISERROR('Temp Hisfa'!V$3:V$200), "", ROW('Temp Hisfa'!V$3:V$200)-MIN(ROW('Temp Hisfa'!V$3:V$200))+1), ROW(140:339))),"")</f>
        <v>0</v>
      </c>
      <c r="W142" s="22">
        <f t="array" ref="W142">IFERROR(INDEX('Temp Hisfa'!W$3:W$200, SMALL(IF(ISERROR('Temp Hisfa'!W$3:W$200), "", ROW('Temp Hisfa'!W$3:W$200)-MIN(ROW('Temp Hisfa'!W$3:W$200))+1), ROW(140:339))),"")</f>
        <v>0</v>
      </c>
      <c r="X142" s="22">
        <f t="array" ref="X142">IFERROR(INDEX('Temp Hisfa'!X$3:X$200, SMALL(IF(ISERROR('Temp Hisfa'!X$3:X$200), "", ROW('Temp Hisfa'!X$3:X$200)-MIN(ROW('Temp Hisfa'!X$3:X$200))+1), ROW(140:339))),"")</f>
        <v>0</v>
      </c>
      <c r="Y142" s="22">
        <f t="array" ref="Y142">IFERROR(INDEX('Temp Hisfa'!Y$3:Y$200, SMALL(IF(ISERROR('Temp Hisfa'!Y$3:Y$200), "", ROW('Temp Hisfa'!Y$3:Y$200)-MIN(ROW('Temp Hisfa'!Y$3:Y$200))+1), ROW(140:339))),"")</f>
        <v>0</v>
      </c>
      <c r="Z142" s="22">
        <f t="array" ref="Z142">IFERROR(INDEX('Temp Hisfa'!Z$3:Z$200, SMALL(IF(ISERROR('Temp Hisfa'!Z$3:Z$200), "", ROW('Temp Hisfa'!Z$3:Z$200)-MIN(ROW('Temp Hisfa'!Z$3:Z$200))+1), ROW(140:339))),"")</f>
        <v>0</v>
      </c>
      <c r="AA142" s="22">
        <f t="array" ref="AA142">IFERROR(INDEX('Temp Hisfa'!AA$3:AA$200, SMALL(IF(ISERROR('Temp Hisfa'!AA$3:AA$200), "", ROW('Temp Hisfa'!AA$3:AA$200)-MIN(ROW('Temp Hisfa'!AA$3:AA$200))+1), ROW(140:339))),"")</f>
        <v>0</v>
      </c>
      <c r="AB142" s="22">
        <f t="array" ref="AB142">IFERROR(INDEX('Temp Hisfa'!AB$3:AB$200, SMALL(IF(ISERROR('Temp Hisfa'!AB$3:AB$200), "", ROW('Temp Hisfa'!AB$3:AB$200)-MIN(ROW('Temp Hisfa'!AB$3:AB$200))+1), ROW(140:339))),"")</f>
        <v>0</v>
      </c>
    </row>
    <row r="143" spans="1:28" x14ac:dyDescent="0.3">
      <c r="A143" s="4">
        <f t="array" ref="A143">IFERROR(INDEX('Temp Hisfa'!A$3:A$200, SMALL(IF(ISERROR('Temp Hisfa'!A$3:A$200), "", ROW('Temp Hisfa'!A$3:A$200)-MIN(ROW('Temp Hisfa'!A$3:A$200))+1), ROW(141:339))),"")</f>
        <v>0</v>
      </c>
      <c r="B143" s="4">
        <f t="array" ref="B143">IFERROR(INDEX('Temp Hisfa'!B$3:B$200, SMALL(IF(ISERROR('Temp Hisfa'!B$3:B$200), "", ROW('Temp Hisfa'!B$3:B$200)-MIN(ROW('Temp Hisfa'!B$3:B$200))+1), ROW(141:339))),"")</f>
        <v>0</v>
      </c>
      <c r="C143" s="3">
        <f t="array" ref="C143">IFERROR(INDEX('Temp Hisfa'!C$3:C$200, SMALL(IF(ISERROR('Temp Hisfa'!C$3:C$200), "", ROW('Temp Hisfa'!C$3:C$200)-MIN(ROW('Temp Hisfa'!C$3:C$200))+1), ROW(141:339))),"")</f>
        <v>0</v>
      </c>
      <c r="D143" s="3">
        <f t="array" ref="D143">IFERROR(INDEX('Temp Hisfa'!D$3:D$200, SMALL(IF(ISERROR('Temp Hisfa'!D$3:D$200), "", ROW('Temp Hisfa'!D$3:D$200)-MIN(ROW('Temp Hisfa'!D$3:D$200))+1), ROW(141:339))),"")</f>
        <v>0</v>
      </c>
      <c r="E143" s="29">
        <f t="array" ref="E143">IFERROR(INDEX('Temp Hisfa'!E$3:E$200, SMALL(IF(ISERROR('Temp Hisfa'!E$3:E$200), "", ROW('Temp Hisfa'!E$3:E$200)-MIN(ROW('Temp Hisfa'!E$3:E$200))+1), ROW(141:340))),"")</f>
        <v>0</v>
      </c>
      <c r="F143" s="22" t="str">
        <f t="array" ref="F143">IFERROR(INDEX('Temp Hisfa'!F$3:F$200, SMALL(IF(ISERROR('Temp Hisfa'!F$3:F$200), "", ROW('Temp Hisfa'!F$3:F$200)-MIN(ROW('Temp Hisfa'!F$3:F$200))+1), ROW(141:340))),"")</f>
        <v/>
      </c>
      <c r="G143" s="30">
        <f t="array" ref="G143">IFERROR(INDEX('Temp Hisfa'!G$3:G$200, SMALL(IF(ISERROR('Temp Hisfa'!G$3:G$200), "", ROW('Temp Hisfa'!G$3:G$200)-MIN(ROW('Temp Hisfa'!G$3:G$200))+1), ROW(141:340))),"")</f>
        <v>0</v>
      </c>
      <c r="H143" s="22" t="str">
        <f t="array" ref="H143">IFERROR(INDEX('Temp Hisfa'!H$3:H$200, SMALL(IF(ISERROR('Temp Hisfa'!H$3:H$200), "", ROW('Temp Hisfa'!H$3:H$200)-MIN(ROW('Temp Hisfa'!H$3:H$200))+1), ROW(141:340))),"")</f>
        <v/>
      </c>
      <c r="I143" s="22">
        <f t="array" ref="I143">IFERROR(INDEX('Temp Hisfa'!I$3:I$200, SMALL(IF(ISERROR('Temp Hisfa'!I$3:I$200), "", ROW('Temp Hisfa'!I$3:I$200)-MIN(ROW('Temp Hisfa'!I$3:I$200))+1), ROW(141:340))),"")</f>
        <v>0</v>
      </c>
      <c r="J143" s="22">
        <f t="array" ref="J143">IFERROR(INDEX('Temp Hisfa'!J$3:J$200, SMALL(IF(ISERROR('Temp Hisfa'!J$3:J$200), "", ROW('Temp Hisfa'!J$3:J$200)-MIN(ROW('Temp Hisfa'!J$3:J$200))+1), ROW(141:340))),"")</f>
        <v>0</v>
      </c>
      <c r="K143" s="30">
        <f t="array" ref="K143">IFERROR(INDEX('Temp Hisfa'!K$3:K$200, SMALL(IF(ISERROR('Temp Hisfa'!K$3:K$200), "", ROW('Temp Hisfa'!K$3:K$200)-MIN(ROW('Temp Hisfa'!K$3:K$200))+1), ROW(141:340))),"")</f>
        <v>0</v>
      </c>
      <c r="L143" s="22">
        <f t="array" ref="L143">IFERROR(INDEX('Temp Hisfa'!L$3:L$200, SMALL(IF(ISERROR('Temp Hisfa'!L$3:L$200), "", ROW('Temp Hisfa'!L$3:L$200)-MIN(ROW('Temp Hisfa'!L$3:L$200))+1), ROW(141:340))),"")</f>
        <v>0</v>
      </c>
      <c r="M143" s="22">
        <f t="array" ref="M143">IFERROR(INDEX('Temp Hisfa'!M$3:M$200, SMALL(IF(ISERROR('Temp Hisfa'!M$3:M$200), "", ROW('Temp Hisfa'!M$3:M$200)-MIN(ROW('Temp Hisfa'!M$3:M$200))+1), ROW(141:340))),"")</f>
        <v>0</v>
      </c>
      <c r="N143" s="22">
        <f t="array" ref="N143">IFERROR(INDEX('Temp Hisfa'!N$3:N$200, SMALL(IF(ISERROR('Temp Hisfa'!N$3:N$200), "", ROW('Temp Hisfa'!N$3:N$200)-MIN(ROW('Temp Hisfa'!N$3:N$200))+1), ROW(141:340))),"")</f>
        <v>1900</v>
      </c>
      <c r="O143" s="22" t="str">
        <f t="array" ref="O143">IFERROR(INDEX('Temp Hisfa'!O$3:O$200, SMALL(IF(ISERROR('Temp Hisfa'!O$3:O$200), "", ROW('Temp Hisfa'!O$3:O$200)-MIN(ROW('Temp Hisfa'!O$3:O$200))+1), ROW(141:340))),"")</f>
        <v>enero</v>
      </c>
      <c r="P143" s="22">
        <f t="array" ref="P143">IFERROR(INDEX('Temp Hisfa'!P$3:P$200, SMALL(IF(ISERROR('Temp Hisfa'!P$3:P$200), "", ROW('Temp Hisfa'!P$3:P$200)-MIN(ROW('Temp Hisfa'!P$3:P$200))+1), ROW(141:340))),"")</f>
        <v>0</v>
      </c>
      <c r="Q143" s="22">
        <f t="array" ref="Q143">IFERROR(INDEX('Temp Hisfa'!Q$3:Q$200, SMALL(IF(ISERROR('Temp Hisfa'!Q$3:Q$200), "", ROW('Temp Hisfa'!Q$3:Q$200)-MIN(ROW('Temp Hisfa'!Q$3:Q$200))+1), ROW(141:340))),"")</f>
        <v>0</v>
      </c>
      <c r="R143" s="22">
        <f t="array" ref="R143">IFERROR(INDEX('Temp Hisfa'!R$3:R$200, SMALL(IF(ISERROR('Temp Hisfa'!R$3:R$200), "", ROW('Temp Hisfa'!R$3:R$200)-MIN(ROW('Temp Hisfa'!R$3:R$200))+1), ROW(141:340))),"")</f>
        <v>0</v>
      </c>
      <c r="S143" s="22">
        <f t="array" ref="S143">IFERROR(INDEX('Temp Hisfa'!S$3:S$200, SMALL(IF(ISERROR('Temp Hisfa'!S$3:S$200), "", ROW('Temp Hisfa'!S$3:S$200)-MIN(ROW('Temp Hisfa'!S$3:S$200))+1), ROW(141:340))),"")</f>
        <v>0</v>
      </c>
      <c r="T143" s="22">
        <f t="array" ref="T143">IFERROR(INDEX('Temp Hisfa'!T$3:T$200, SMALL(IF(ISERROR('Temp Hisfa'!T$3:T$200), "", ROW('Temp Hisfa'!T$3:T$200)-MIN(ROW('Temp Hisfa'!T$3:T$200))+1), ROW(141:340))),"")</f>
        <v>0</v>
      </c>
      <c r="U143" s="22">
        <f t="array" ref="U143">IFERROR(INDEX('Temp Hisfa'!U$3:U$200, SMALL(IF(ISERROR('Temp Hisfa'!U$3:U$200), "", ROW('Temp Hisfa'!U$3:U$200)-MIN(ROW('Temp Hisfa'!U$3:U$200))+1), ROW(141:340))),"")</f>
        <v>0</v>
      </c>
      <c r="V143" s="22">
        <f t="array" ref="V143">IFERROR(INDEX('Temp Hisfa'!V$3:V$200, SMALL(IF(ISERROR('Temp Hisfa'!V$3:V$200), "", ROW('Temp Hisfa'!V$3:V$200)-MIN(ROW('Temp Hisfa'!V$3:V$200))+1), ROW(141:340))),"")</f>
        <v>0</v>
      </c>
      <c r="W143" s="22">
        <f t="array" ref="W143">IFERROR(INDEX('Temp Hisfa'!W$3:W$200, SMALL(IF(ISERROR('Temp Hisfa'!W$3:W$200), "", ROW('Temp Hisfa'!W$3:W$200)-MIN(ROW('Temp Hisfa'!W$3:W$200))+1), ROW(141:340))),"")</f>
        <v>0</v>
      </c>
      <c r="X143" s="22">
        <f t="array" ref="X143">IFERROR(INDEX('Temp Hisfa'!X$3:X$200, SMALL(IF(ISERROR('Temp Hisfa'!X$3:X$200), "", ROW('Temp Hisfa'!X$3:X$200)-MIN(ROW('Temp Hisfa'!X$3:X$200))+1), ROW(141:340))),"")</f>
        <v>0</v>
      </c>
      <c r="Y143" s="22">
        <f t="array" ref="Y143">IFERROR(INDEX('Temp Hisfa'!Y$3:Y$200, SMALL(IF(ISERROR('Temp Hisfa'!Y$3:Y$200), "", ROW('Temp Hisfa'!Y$3:Y$200)-MIN(ROW('Temp Hisfa'!Y$3:Y$200))+1), ROW(141:340))),"")</f>
        <v>0</v>
      </c>
      <c r="Z143" s="22">
        <f t="array" ref="Z143">IFERROR(INDEX('Temp Hisfa'!Z$3:Z$200, SMALL(IF(ISERROR('Temp Hisfa'!Z$3:Z$200), "", ROW('Temp Hisfa'!Z$3:Z$200)-MIN(ROW('Temp Hisfa'!Z$3:Z$200))+1), ROW(141:340))),"")</f>
        <v>0</v>
      </c>
      <c r="AA143" s="22">
        <f t="array" ref="AA143">IFERROR(INDEX('Temp Hisfa'!AA$3:AA$200, SMALL(IF(ISERROR('Temp Hisfa'!AA$3:AA$200), "", ROW('Temp Hisfa'!AA$3:AA$200)-MIN(ROW('Temp Hisfa'!AA$3:AA$200))+1), ROW(141:340))),"")</f>
        <v>0</v>
      </c>
      <c r="AB143" s="22">
        <f t="array" ref="AB143">IFERROR(INDEX('Temp Hisfa'!AB$3:AB$200, SMALL(IF(ISERROR('Temp Hisfa'!AB$3:AB$200), "", ROW('Temp Hisfa'!AB$3:AB$200)-MIN(ROW('Temp Hisfa'!AB$3:AB$200))+1), ROW(141:340))),"")</f>
        <v>0</v>
      </c>
    </row>
    <row r="144" spans="1:28" x14ac:dyDescent="0.3">
      <c r="A144" s="4">
        <f t="array" ref="A144">IFERROR(INDEX('Temp Hisfa'!A$3:A$200, SMALL(IF(ISERROR('Temp Hisfa'!A$3:A$200), "", ROW('Temp Hisfa'!A$3:A$200)-MIN(ROW('Temp Hisfa'!A$3:A$200))+1), ROW(142:340))),"")</f>
        <v>0</v>
      </c>
      <c r="B144" s="4">
        <f t="array" ref="B144">IFERROR(INDEX('Temp Hisfa'!B$3:B$200, SMALL(IF(ISERROR('Temp Hisfa'!B$3:B$200), "", ROW('Temp Hisfa'!B$3:B$200)-MIN(ROW('Temp Hisfa'!B$3:B$200))+1), ROW(142:340))),"")</f>
        <v>0</v>
      </c>
      <c r="C144" s="3">
        <f t="array" ref="C144">IFERROR(INDEX('Temp Hisfa'!C$3:C$200, SMALL(IF(ISERROR('Temp Hisfa'!C$3:C$200), "", ROW('Temp Hisfa'!C$3:C$200)-MIN(ROW('Temp Hisfa'!C$3:C$200))+1), ROW(142:340))),"")</f>
        <v>0</v>
      </c>
      <c r="D144" s="3">
        <f t="array" ref="D144">IFERROR(INDEX('Temp Hisfa'!D$3:D$200, SMALL(IF(ISERROR('Temp Hisfa'!D$3:D$200), "", ROW('Temp Hisfa'!D$3:D$200)-MIN(ROW('Temp Hisfa'!D$3:D$200))+1), ROW(142:340))),"")</f>
        <v>0</v>
      </c>
      <c r="E144" s="29">
        <f t="array" ref="E144">IFERROR(INDEX('Temp Hisfa'!E$3:E$200, SMALL(IF(ISERROR('Temp Hisfa'!E$3:E$200), "", ROW('Temp Hisfa'!E$3:E$200)-MIN(ROW('Temp Hisfa'!E$3:E$200))+1), ROW(142:341))),"")</f>
        <v>0</v>
      </c>
      <c r="F144" s="22" t="str">
        <f t="array" ref="F144">IFERROR(INDEX('Temp Hisfa'!F$3:F$200, SMALL(IF(ISERROR('Temp Hisfa'!F$3:F$200), "", ROW('Temp Hisfa'!F$3:F$200)-MIN(ROW('Temp Hisfa'!F$3:F$200))+1), ROW(142:341))),"")</f>
        <v/>
      </c>
      <c r="G144" s="30">
        <f t="array" ref="G144">IFERROR(INDEX('Temp Hisfa'!G$3:G$200, SMALL(IF(ISERROR('Temp Hisfa'!G$3:G$200), "", ROW('Temp Hisfa'!G$3:G$200)-MIN(ROW('Temp Hisfa'!G$3:G$200))+1), ROW(142:341))),"")</f>
        <v>0</v>
      </c>
      <c r="H144" s="22" t="str">
        <f t="array" ref="H144">IFERROR(INDEX('Temp Hisfa'!H$3:H$200, SMALL(IF(ISERROR('Temp Hisfa'!H$3:H$200), "", ROW('Temp Hisfa'!H$3:H$200)-MIN(ROW('Temp Hisfa'!H$3:H$200))+1), ROW(142:341))),"")</f>
        <v/>
      </c>
      <c r="I144" s="22">
        <f t="array" ref="I144">IFERROR(INDEX('Temp Hisfa'!I$3:I$200, SMALL(IF(ISERROR('Temp Hisfa'!I$3:I$200), "", ROW('Temp Hisfa'!I$3:I$200)-MIN(ROW('Temp Hisfa'!I$3:I$200))+1), ROW(142:341))),"")</f>
        <v>0</v>
      </c>
      <c r="J144" s="22">
        <f t="array" ref="J144">IFERROR(INDEX('Temp Hisfa'!J$3:J$200, SMALL(IF(ISERROR('Temp Hisfa'!J$3:J$200), "", ROW('Temp Hisfa'!J$3:J$200)-MIN(ROW('Temp Hisfa'!J$3:J$200))+1), ROW(142:341))),"")</f>
        <v>0</v>
      </c>
      <c r="K144" s="30">
        <f t="array" ref="K144">IFERROR(INDEX('Temp Hisfa'!K$3:K$200, SMALL(IF(ISERROR('Temp Hisfa'!K$3:K$200), "", ROW('Temp Hisfa'!K$3:K$200)-MIN(ROW('Temp Hisfa'!K$3:K$200))+1), ROW(142:341))),"")</f>
        <v>0</v>
      </c>
      <c r="L144" s="22">
        <f t="array" ref="L144">IFERROR(INDEX('Temp Hisfa'!L$3:L$200, SMALL(IF(ISERROR('Temp Hisfa'!L$3:L$200), "", ROW('Temp Hisfa'!L$3:L$200)-MIN(ROW('Temp Hisfa'!L$3:L$200))+1), ROW(142:341))),"")</f>
        <v>0</v>
      </c>
      <c r="M144" s="22">
        <f t="array" ref="M144">IFERROR(INDEX('Temp Hisfa'!M$3:M$200, SMALL(IF(ISERROR('Temp Hisfa'!M$3:M$200), "", ROW('Temp Hisfa'!M$3:M$200)-MIN(ROW('Temp Hisfa'!M$3:M$200))+1), ROW(142:341))),"")</f>
        <v>0</v>
      </c>
      <c r="N144" s="22">
        <f t="array" ref="N144">IFERROR(INDEX('Temp Hisfa'!N$3:N$200, SMALL(IF(ISERROR('Temp Hisfa'!N$3:N$200), "", ROW('Temp Hisfa'!N$3:N$200)-MIN(ROW('Temp Hisfa'!N$3:N$200))+1), ROW(142:341))),"")</f>
        <v>1900</v>
      </c>
      <c r="O144" s="22" t="str">
        <f t="array" ref="O144">IFERROR(INDEX('Temp Hisfa'!O$3:O$200, SMALL(IF(ISERROR('Temp Hisfa'!O$3:O$200), "", ROW('Temp Hisfa'!O$3:O$200)-MIN(ROW('Temp Hisfa'!O$3:O$200))+1), ROW(142:341))),"")</f>
        <v>enero</v>
      </c>
      <c r="P144" s="22">
        <f t="array" ref="P144">IFERROR(INDEX('Temp Hisfa'!P$3:P$200, SMALL(IF(ISERROR('Temp Hisfa'!P$3:P$200), "", ROW('Temp Hisfa'!P$3:P$200)-MIN(ROW('Temp Hisfa'!P$3:P$200))+1), ROW(142:341))),"")</f>
        <v>0</v>
      </c>
      <c r="Q144" s="22">
        <f t="array" ref="Q144">IFERROR(INDEX('Temp Hisfa'!Q$3:Q$200, SMALL(IF(ISERROR('Temp Hisfa'!Q$3:Q$200), "", ROW('Temp Hisfa'!Q$3:Q$200)-MIN(ROW('Temp Hisfa'!Q$3:Q$200))+1), ROW(142:341))),"")</f>
        <v>0</v>
      </c>
      <c r="R144" s="22">
        <f t="array" ref="R144">IFERROR(INDEX('Temp Hisfa'!R$3:R$200, SMALL(IF(ISERROR('Temp Hisfa'!R$3:R$200), "", ROW('Temp Hisfa'!R$3:R$200)-MIN(ROW('Temp Hisfa'!R$3:R$200))+1), ROW(142:341))),"")</f>
        <v>0</v>
      </c>
      <c r="S144" s="22">
        <f t="array" ref="S144">IFERROR(INDEX('Temp Hisfa'!S$3:S$200, SMALL(IF(ISERROR('Temp Hisfa'!S$3:S$200), "", ROW('Temp Hisfa'!S$3:S$200)-MIN(ROW('Temp Hisfa'!S$3:S$200))+1), ROW(142:341))),"")</f>
        <v>0</v>
      </c>
      <c r="T144" s="22">
        <f t="array" ref="T144">IFERROR(INDEX('Temp Hisfa'!T$3:T$200, SMALL(IF(ISERROR('Temp Hisfa'!T$3:T$200), "", ROW('Temp Hisfa'!T$3:T$200)-MIN(ROW('Temp Hisfa'!T$3:T$200))+1), ROW(142:341))),"")</f>
        <v>0</v>
      </c>
      <c r="U144" s="22">
        <f t="array" ref="U144">IFERROR(INDEX('Temp Hisfa'!U$3:U$200, SMALL(IF(ISERROR('Temp Hisfa'!U$3:U$200), "", ROW('Temp Hisfa'!U$3:U$200)-MIN(ROW('Temp Hisfa'!U$3:U$200))+1), ROW(142:341))),"")</f>
        <v>0</v>
      </c>
      <c r="V144" s="22">
        <f t="array" ref="V144">IFERROR(INDEX('Temp Hisfa'!V$3:V$200, SMALL(IF(ISERROR('Temp Hisfa'!V$3:V$200), "", ROW('Temp Hisfa'!V$3:V$200)-MIN(ROW('Temp Hisfa'!V$3:V$200))+1), ROW(142:341))),"")</f>
        <v>0</v>
      </c>
      <c r="W144" s="22">
        <f t="array" ref="W144">IFERROR(INDEX('Temp Hisfa'!W$3:W$200, SMALL(IF(ISERROR('Temp Hisfa'!W$3:W$200), "", ROW('Temp Hisfa'!W$3:W$200)-MIN(ROW('Temp Hisfa'!W$3:W$200))+1), ROW(142:341))),"")</f>
        <v>0</v>
      </c>
      <c r="X144" s="22">
        <f t="array" ref="X144">IFERROR(INDEX('Temp Hisfa'!X$3:X$200, SMALL(IF(ISERROR('Temp Hisfa'!X$3:X$200), "", ROW('Temp Hisfa'!X$3:X$200)-MIN(ROW('Temp Hisfa'!X$3:X$200))+1), ROW(142:341))),"")</f>
        <v>0</v>
      </c>
      <c r="Y144" s="22">
        <f t="array" ref="Y144">IFERROR(INDEX('Temp Hisfa'!Y$3:Y$200, SMALL(IF(ISERROR('Temp Hisfa'!Y$3:Y$200), "", ROW('Temp Hisfa'!Y$3:Y$200)-MIN(ROW('Temp Hisfa'!Y$3:Y$200))+1), ROW(142:341))),"")</f>
        <v>0</v>
      </c>
      <c r="Z144" s="22">
        <f t="array" ref="Z144">IFERROR(INDEX('Temp Hisfa'!Z$3:Z$200, SMALL(IF(ISERROR('Temp Hisfa'!Z$3:Z$200), "", ROW('Temp Hisfa'!Z$3:Z$200)-MIN(ROW('Temp Hisfa'!Z$3:Z$200))+1), ROW(142:341))),"")</f>
        <v>0</v>
      </c>
      <c r="AA144" s="22">
        <f t="array" ref="AA144">IFERROR(INDEX('Temp Hisfa'!AA$3:AA$200, SMALL(IF(ISERROR('Temp Hisfa'!AA$3:AA$200), "", ROW('Temp Hisfa'!AA$3:AA$200)-MIN(ROW('Temp Hisfa'!AA$3:AA$200))+1), ROW(142:341))),"")</f>
        <v>0</v>
      </c>
      <c r="AB144" s="22">
        <f t="array" ref="AB144">IFERROR(INDEX('Temp Hisfa'!AB$3:AB$200, SMALL(IF(ISERROR('Temp Hisfa'!AB$3:AB$200), "", ROW('Temp Hisfa'!AB$3:AB$200)-MIN(ROW('Temp Hisfa'!AB$3:AB$200))+1), ROW(142:341))),"")</f>
        <v>0</v>
      </c>
    </row>
    <row r="145" spans="1:28" x14ac:dyDescent="0.3">
      <c r="A145" s="4">
        <f t="array" ref="A145">IFERROR(INDEX('Temp Hisfa'!A$3:A$200, SMALL(IF(ISERROR('Temp Hisfa'!A$3:A$200), "", ROW('Temp Hisfa'!A$3:A$200)-MIN(ROW('Temp Hisfa'!A$3:A$200))+1), ROW(143:341))),"")</f>
        <v>0</v>
      </c>
      <c r="B145" s="4">
        <f t="array" ref="B145">IFERROR(INDEX('Temp Hisfa'!B$3:B$200, SMALL(IF(ISERROR('Temp Hisfa'!B$3:B$200), "", ROW('Temp Hisfa'!B$3:B$200)-MIN(ROW('Temp Hisfa'!B$3:B$200))+1), ROW(143:341))),"")</f>
        <v>0</v>
      </c>
      <c r="C145" s="3">
        <f t="array" ref="C145">IFERROR(INDEX('Temp Hisfa'!C$3:C$200, SMALL(IF(ISERROR('Temp Hisfa'!C$3:C$200), "", ROW('Temp Hisfa'!C$3:C$200)-MIN(ROW('Temp Hisfa'!C$3:C$200))+1), ROW(143:341))),"")</f>
        <v>0</v>
      </c>
      <c r="D145" s="3">
        <f t="array" ref="D145">IFERROR(INDEX('Temp Hisfa'!D$3:D$200, SMALL(IF(ISERROR('Temp Hisfa'!D$3:D$200), "", ROW('Temp Hisfa'!D$3:D$200)-MIN(ROW('Temp Hisfa'!D$3:D$200))+1), ROW(143:341))),"")</f>
        <v>0</v>
      </c>
      <c r="E145" s="29">
        <f t="array" ref="E145">IFERROR(INDEX('Temp Hisfa'!E$3:E$200, SMALL(IF(ISERROR('Temp Hisfa'!E$3:E$200), "", ROW('Temp Hisfa'!E$3:E$200)-MIN(ROW('Temp Hisfa'!E$3:E$200))+1), ROW(143:342))),"")</f>
        <v>0</v>
      </c>
      <c r="F145" s="22" t="str">
        <f t="array" ref="F145">IFERROR(INDEX('Temp Hisfa'!F$3:F$200, SMALL(IF(ISERROR('Temp Hisfa'!F$3:F$200), "", ROW('Temp Hisfa'!F$3:F$200)-MIN(ROW('Temp Hisfa'!F$3:F$200))+1), ROW(143:342))),"")</f>
        <v/>
      </c>
      <c r="G145" s="30">
        <f t="array" ref="G145">IFERROR(INDEX('Temp Hisfa'!G$3:G$200, SMALL(IF(ISERROR('Temp Hisfa'!G$3:G$200), "", ROW('Temp Hisfa'!G$3:G$200)-MIN(ROW('Temp Hisfa'!G$3:G$200))+1), ROW(143:342))),"")</f>
        <v>0</v>
      </c>
      <c r="H145" s="22" t="str">
        <f t="array" ref="H145">IFERROR(INDEX('Temp Hisfa'!H$3:H$200, SMALL(IF(ISERROR('Temp Hisfa'!H$3:H$200), "", ROW('Temp Hisfa'!H$3:H$200)-MIN(ROW('Temp Hisfa'!H$3:H$200))+1), ROW(143:342))),"")</f>
        <v/>
      </c>
      <c r="I145" s="22">
        <f t="array" ref="I145">IFERROR(INDEX('Temp Hisfa'!I$3:I$200, SMALL(IF(ISERROR('Temp Hisfa'!I$3:I$200), "", ROW('Temp Hisfa'!I$3:I$200)-MIN(ROW('Temp Hisfa'!I$3:I$200))+1), ROW(143:342))),"")</f>
        <v>0</v>
      </c>
      <c r="J145" s="22">
        <f t="array" ref="J145">IFERROR(INDEX('Temp Hisfa'!J$3:J$200, SMALL(IF(ISERROR('Temp Hisfa'!J$3:J$200), "", ROW('Temp Hisfa'!J$3:J$200)-MIN(ROW('Temp Hisfa'!J$3:J$200))+1), ROW(143:342))),"")</f>
        <v>0</v>
      </c>
      <c r="K145" s="30">
        <f t="array" ref="K145">IFERROR(INDEX('Temp Hisfa'!K$3:K$200, SMALL(IF(ISERROR('Temp Hisfa'!K$3:K$200), "", ROW('Temp Hisfa'!K$3:K$200)-MIN(ROW('Temp Hisfa'!K$3:K$200))+1), ROW(143:342))),"")</f>
        <v>0</v>
      </c>
      <c r="L145" s="22">
        <f t="array" ref="L145">IFERROR(INDEX('Temp Hisfa'!L$3:L$200, SMALL(IF(ISERROR('Temp Hisfa'!L$3:L$200), "", ROW('Temp Hisfa'!L$3:L$200)-MIN(ROW('Temp Hisfa'!L$3:L$200))+1), ROW(143:342))),"")</f>
        <v>0</v>
      </c>
      <c r="M145" s="22">
        <f t="array" ref="M145">IFERROR(INDEX('Temp Hisfa'!M$3:M$200, SMALL(IF(ISERROR('Temp Hisfa'!M$3:M$200), "", ROW('Temp Hisfa'!M$3:M$200)-MIN(ROW('Temp Hisfa'!M$3:M$200))+1), ROW(143:342))),"")</f>
        <v>0</v>
      </c>
      <c r="N145" s="22">
        <f t="array" ref="N145">IFERROR(INDEX('Temp Hisfa'!N$3:N$200, SMALL(IF(ISERROR('Temp Hisfa'!N$3:N$200), "", ROW('Temp Hisfa'!N$3:N$200)-MIN(ROW('Temp Hisfa'!N$3:N$200))+1), ROW(143:342))),"")</f>
        <v>1900</v>
      </c>
      <c r="O145" s="22" t="str">
        <f t="array" ref="O145">IFERROR(INDEX('Temp Hisfa'!O$3:O$200, SMALL(IF(ISERROR('Temp Hisfa'!O$3:O$200), "", ROW('Temp Hisfa'!O$3:O$200)-MIN(ROW('Temp Hisfa'!O$3:O$200))+1), ROW(143:342))),"")</f>
        <v>enero</v>
      </c>
      <c r="P145" s="22">
        <f t="array" ref="P145">IFERROR(INDEX('Temp Hisfa'!P$3:P$200, SMALL(IF(ISERROR('Temp Hisfa'!P$3:P$200), "", ROW('Temp Hisfa'!P$3:P$200)-MIN(ROW('Temp Hisfa'!P$3:P$200))+1), ROW(143:342))),"")</f>
        <v>0</v>
      </c>
      <c r="Q145" s="22">
        <f t="array" ref="Q145">IFERROR(INDEX('Temp Hisfa'!Q$3:Q$200, SMALL(IF(ISERROR('Temp Hisfa'!Q$3:Q$200), "", ROW('Temp Hisfa'!Q$3:Q$200)-MIN(ROW('Temp Hisfa'!Q$3:Q$200))+1), ROW(143:342))),"")</f>
        <v>0</v>
      </c>
      <c r="R145" s="22">
        <f t="array" ref="R145">IFERROR(INDEX('Temp Hisfa'!R$3:R$200, SMALL(IF(ISERROR('Temp Hisfa'!R$3:R$200), "", ROW('Temp Hisfa'!R$3:R$200)-MIN(ROW('Temp Hisfa'!R$3:R$200))+1), ROW(143:342))),"")</f>
        <v>0</v>
      </c>
      <c r="S145" s="22">
        <f t="array" ref="S145">IFERROR(INDEX('Temp Hisfa'!S$3:S$200, SMALL(IF(ISERROR('Temp Hisfa'!S$3:S$200), "", ROW('Temp Hisfa'!S$3:S$200)-MIN(ROW('Temp Hisfa'!S$3:S$200))+1), ROW(143:342))),"")</f>
        <v>0</v>
      </c>
      <c r="T145" s="22">
        <f t="array" ref="T145">IFERROR(INDEX('Temp Hisfa'!T$3:T$200, SMALL(IF(ISERROR('Temp Hisfa'!T$3:T$200), "", ROW('Temp Hisfa'!T$3:T$200)-MIN(ROW('Temp Hisfa'!T$3:T$200))+1), ROW(143:342))),"")</f>
        <v>0</v>
      </c>
      <c r="U145" s="22">
        <f t="array" ref="U145">IFERROR(INDEX('Temp Hisfa'!U$3:U$200, SMALL(IF(ISERROR('Temp Hisfa'!U$3:U$200), "", ROW('Temp Hisfa'!U$3:U$200)-MIN(ROW('Temp Hisfa'!U$3:U$200))+1), ROW(143:342))),"")</f>
        <v>0</v>
      </c>
      <c r="V145" s="22">
        <f t="array" ref="V145">IFERROR(INDEX('Temp Hisfa'!V$3:V$200, SMALL(IF(ISERROR('Temp Hisfa'!V$3:V$200), "", ROW('Temp Hisfa'!V$3:V$200)-MIN(ROW('Temp Hisfa'!V$3:V$200))+1), ROW(143:342))),"")</f>
        <v>0</v>
      </c>
      <c r="W145" s="22">
        <f t="array" ref="W145">IFERROR(INDEX('Temp Hisfa'!W$3:W$200, SMALL(IF(ISERROR('Temp Hisfa'!W$3:W$200), "", ROW('Temp Hisfa'!W$3:W$200)-MIN(ROW('Temp Hisfa'!W$3:W$200))+1), ROW(143:342))),"")</f>
        <v>0</v>
      </c>
      <c r="X145" s="22">
        <f t="array" ref="X145">IFERROR(INDEX('Temp Hisfa'!X$3:X$200, SMALL(IF(ISERROR('Temp Hisfa'!X$3:X$200), "", ROW('Temp Hisfa'!X$3:X$200)-MIN(ROW('Temp Hisfa'!X$3:X$200))+1), ROW(143:342))),"")</f>
        <v>0</v>
      </c>
      <c r="Y145" s="22">
        <f t="array" ref="Y145">IFERROR(INDEX('Temp Hisfa'!Y$3:Y$200, SMALL(IF(ISERROR('Temp Hisfa'!Y$3:Y$200), "", ROW('Temp Hisfa'!Y$3:Y$200)-MIN(ROW('Temp Hisfa'!Y$3:Y$200))+1), ROW(143:342))),"")</f>
        <v>0</v>
      </c>
      <c r="Z145" s="22">
        <f t="array" ref="Z145">IFERROR(INDEX('Temp Hisfa'!Z$3:Z$200, SMALL(IF(ISERROR('Temp Hisfa'!Z$3:Z$200), "", ROW('Temp Hisfa'!Z$3:Z$200)-MIN(ROW('Temp Hisfa'!Z$3:Z$200))+1), ROW(143:342))),"")</f>
        <v>0</v>
      </c>
      <c r="AA145" s="22">
        <f t="array" ref="AA145">IFERROR(INDEX('Temp Hisfa'!AA$3:AA$200, SMALL(IF(ISERROR('Temp Hisfa'!AA$3:AA$200), "", ROW('Temp Hisfa'!AA$3:AA$200)-MIN(ROW('Temp Hisfa'!AA$3:AA$200))+1), ROW(143:342))),"")</f>
        <v>0</v>
      </c>
      <c r="AB145" s="22">
        <f t="array" ref="AB145">IFERROR(INDEX('Temp Hisfa'!AB$3:AB$200, SMALL(IF(ISERROR('Temp Hisfa'!AB$3:AB$200), "", ROW('Temp Hisfa'!AB$3:AB$200)-MIN(ROW('Temp Hisfa'!AB$3:AB$200))+1), ROW(143:342))),"")</f>
        <v>0</v>
      </c>
    </row>
    <row r="146" spans="1:28" x14ac:dyDescent="0.3">
      <c r="A146" s="4">
        <f t="array" ref="A146">IFERROR(INDEX('Temp Hisfa'!A$3:A$200, SMALL(IF(ISERROR('Temp Hisfa'!A$3:A$200), "", ROW('Temp Hisfa'!A$3:A$200)-MIN(ROW('Temp Hisfa'!A$3:A$200))+1), ROW(144:342))),"")</f>
        <v>0</v>
      </c>
      <c r="B146" s="4">
        <f t="array" ref="B146">IFERROR(INDEX('Temp Hisfa'!B$3:B$200, SMALL(IF(ISERROR('Temp Hisfa'!B$3:B$200), "", ROW('Temp Hisfa'!B$3:B$200)-MIN(ROW('Temp Hisfa'!B$3:B$200))+1), ROW(144:342))),"")</f>
        <v>0</v>
      </c>
      <c r="C146" s="3">
        <f t="array" ref="C146">IFERROR(INDEX('Temp Hisfa'!C$3:C$200, SMALL(IF(ISERROR('Temp Hisfa'!C$3:C$200), "", ROW('Temp Hisfa'!C$3:C$200)-MIN(ROW('Temp Hisfa'!C$3:C$200))+1), ROW(144:342))),"")</f>
        <v>0</v>
      </c>
      <c r="D146" s="3">
        <f t="array" ref="D146">IFERROR(INDEX('Temp Hisfa'!D$3:D$200, SMALL(IF(ISERROR('Temp Hisfa'!D$3:D$200), "", ROW('Temp Hisfa'!D$3:D$200)-MIN(ROW('Temp Hisfa'!D$3:D$200))+1), ROW(144:342))),"")</f>
        <v>0</v>
      </c>
      <c r="E146" s="29">
        <f t="array" ref="E146">IFERROR(INDEX('Temp Hisfa'!E$3:E$200, SMALL(IF(ISERROR('Temp Hisfa'!E$3:E$200), "", ROW('Temp Hisfa'!E$3:E$200)-MIN(ROW('Temp Hisfa'!E$3:E$200))+1), ROW(144:343))),"")</f>
        <v>0</v>
      </c>
      <c r="F146" s="22" t="str">
        <f t="array" ref="F146">IFERROR(INDEX('Temp Hisfa'!F$3:F$200, SMALL(IF(ISERROR('Temp Hisfa'!F$3:F$200), "", ROW('Temp Hisfa'!F$3:F$200)-MIN(ROW('Temp Hisfa'!F$3:F$200))+1), ROW(144:343))),"")</f>
        <v/>
      </c>
      <c r="G146" s="30">
        <f t="array" ref="G146">IFERROR(INDEX('Temp Hisfa'!G$3:G$200, SMALL(IF(ISERROR('Temp Hisfa'!G$3:G$200), "", ROW('Temp Hisfa'!G$3:G$200)-MIN(ROW('Temp Hisfa'!G$3:G$200))+1), ROW(144:343))),"")</f>
        <v>0</v>
      </c>
      <c r="H146" s="22" t="str">
        <f t="array" ref="H146">IFERROR(INDEX('Temp Hisfa'!H$3:H$200, SMALL(IF(ISERROR('Temp Hisfa'!H$3:H$200), "", ROW('Temp Hisfa'!H$3:H$200)-MIN(ROW('Temp Hisfa'!H$3:H$200))+1), ROW(144:343))),"")</f>
        <v/>
      </c>
      <c r="I146" s="22">
        <f t="array" ref="I146">IFERROR(INDEX('Temp Hisfa'!I$3:I$200, SMALL(IF(ISERROR('Temp Hisfa'!I$3:I$200), "", ROW('Temp Hisfa'!I$3:I$200)-MIN(ROW('Temp Hisfa'!I$3:I$200))+1), ROW(144:343))),"")</f>
        <v>0</v>
      </c>
      <c r="J146" s="22">
        <f t="array" ref="J146">IFERROR(INDEX('Temp Hisfa'!J$3:J$200, SMALL(IF(ISERROR('Temp Hisfa'!J$3:J$200), "", ROW('Temp Hisfa'!J$3:J$200)-MIN(ROW('Temp Hisfa'!J$3:J$200))+1), ROW(144:343))),"")</f>
        <v>0</v>
      </c>
      <c r="K146" s="30">
        <f t="array" ref="K146">IFERROR(INDEX('Temp Hisfa'!K$3:K$200, SMALL(IF(ISERROR('Temp Hisfa'!K$3:K$200), "", ROW('Temp Hisfa'!K$3:K$200)-MIN(ROW('Temp Hisfa'!K$3:K$200))+1), ROW(144:343))),"")</f>
        <v>0</v>
      </c>
      <c r="L146" s="22">
        <f t="array" ref="L146">IFERROR(INDEX('Temp Hisfa'!L$3:L$200, SMALL(IF(ISERROR('Temp Hisfa'!L$3:L$200), "", ROW('Temp Hisfa'!L$3:L$200)-MIN(ROW('Temp Hisfa'!L$3:L$200))+1), ROW(144:343))),"")</f>
        <v>0</v>
      </c>
      <c r="M146" s="22">
        <f t="array" ref="M146">IFERROR(INDEX('Temp Hisfa'!M$3:M$200, SMALL(IF(ISERROR('Temp Hisfa'!M$3:M$200), "", ROW('Temp Hisfa'!M$3:M$200)-MIN(ROW('Temp Hisfa'!M$3:M$200))+1), ROW(144:343))),"")</f>
        <v>0</v>
      </c>
      <c r="N146" s="22">
        <f t="array" ref="N146">IFERROR(INDEX('Temp Hisfa'!N$3:N$200, SMALL(IF(ISERROR('Temp Hisfa'!N$3:N$200), "", ROW('Temp Hisfa'!N$3:N$200)-MIN(ROW('Temp Hisfa'!N$3:N$200))+1), ROW(144:343))),"")</f>
        <v>1900</v>
      </c>
      <c r="O146" s="22" t="str">
        <f t="array" ref="O146">IFERROR(INDEX('Temp Hisfa'!O$3:O$200, SMALL(IF(ISERROR('Temp Hisfa'!O$3:O$200), "", ROW('Temp Hisfa'!O$3:O$200)-MIN(ROW('Temp Hisfa'!O$3:O$200))+1), ROW(144:343))),"")</f>
        <v>enero</v>
      </c>
      <c r="P146" s="22">
        <f t="array" ref="P146">IFERROR(INDEX('Temp Hisfa'!P$3:P$200, SMALL(IF(ISERROR('Temp Hisfa'!P$3:P$200), "", ROW('Temp Hisfa'!P$3:P$200)-MIN(ROW('Temp Hisfa'!P$3:P$200))+1), ROW(144:343))),"")</f>
        <v>0</v>
      </c>
      <c r="Q146" s="22">
        <f t="array" ref="Q146">IFERROR(INDEX('Temp Hisfa'!Q$3:Q$200, SMALL(IF(ISERROR('Temp Hisfa'!Q$3:Q$200), "", ROW('Temp Hisfa'!Q$3:Q$200)-MIN(ROW('Temp Hisfa'!Q$3:Q$200))+1), ROW(144:343))),"")</f>
        <v>0</v>
      </c>
      <c r="R146" s="22">
        <f t="array" ref="R146">IFERROR(INDEX('Temp Hisfa'!R$3:R$200, SMALL(IF(ISERROR('Temp Hisfa'!R$3:R$200), "", ROW('Temp Hisfa'!R$3:R$200)-MIN(ROW('Temp Hisfa'!R$3:R$200))+1), ROW(144:343))),"")</f>
        <v>0</v>
      </c>
      <c r="S146" s="22">
        <f t="array" ref="S146">IFERROR(INDEX('Temp Hisfa'!S$3:S$200, SMALL(IF(ISERROR('Temp Hisfa'!S$3:S$200), "", ROW('Temp Hisfa'!S$3:S$200)-MIN(ROW('Temp Hisfa'!S$3:S$200))+1), ROW(144:343))),"")</f>
        <v>0</v>
      </c>
      <c r="T146" s="22">
        <f t="array" ref="T146">IFERROR(INDEX('Temp Hisfa'!T$3:T$200, SMALL(IF(ISERROR('Temp Hisfa'!T$3:T$200), "", ROW('Temp Hisfa'!T$3:T$200)-MIN(ROW('Temp Hisfa'!T$3:T$200))+1), ROW(144:343))),"")</f>
        <v>0</v>
      </c>
      <c r="U146" s="22">
        <f t="array" ref="U146">IFERROR(INDEX('Temp Hisfa'!U$3:U$200, SMALL(IF(ISERROR('Temp Hisfa'!U$3:U$200), "", ROW('Temp Hisfa'!U$3:U$200)-MIN(ROW('Temp Hisfa'!U$3:U$200))+1), ROW(144:343))),"")</f>
        <v>0</v>
      </c>
      <c r="V146" s="22">
        <f t="array" ref="V146">IFERROR(INDEX('Temp Hisfa'!V$3:V$200, SMALL(IF(ISERROR('Temp Hisfa'!V$3:V$200), "", ROW('Temp Hisfa'!V$3:V$200)-MIN(ROW('Temp Hisfa'!V$3:V$200))+1), ROW(144:343))),"")</f>
        <v>0</v>
      </c>
      <c r="W146" s="22">
        <f t="array" ref="W146">IFERROR(INDEX('Temp Hisfa'!W$3:W$200, SMALL(IF(ISERROR('Temp Hisfa'!W$3:W$200), "", ROW('Temp Hisfa'!W$3:W$200)-MIN(ROW('Temp Hisfa'!W$3:W$200))+1), ROW(144:343))),"")</f>
        <v>0</v>
      </c>
      <c r="X146" s="22">
        <f t="array" ref="X146">IFERROR(INDEX('Temp Hisfa'!X$3:X$200, SMALL(IF(ISERROR('Temp Hisfa'!X$3:X$200), "", ROW('Temp Hisfa'!X$3:X$200)-MIN(ROW('Temp Hisfa'!X$3:X$200))+1), ROW(144:343))),"")</f>
        <v>0</v>
      </c>
      <c r="Y146" s="22">
        <f t="array" ref="Y146">IFERROR(INDEX('Temp Hisfa'!Y$3:Y$200, SMALL(IF(ISERROR('Temp Hisfa'!Y$3:Y$200), "", ROW('Temp Hisfa'!Y$3:Y$200)-MIN(ROW('Temp Hisfa'!Y$3:Y$200))+1), ROW(144:343))),"")</f>
        <v>0</v>
      </c>
      <c r="Z146" s="22">
        <f t="array" ref="Z146">IFERROR(INDEX('Temp Hisfa'!Z$3:Z$200, SMALL(IF(ISERROR('Temp Hisfa'!Z$3:Z$200), "", ROW('Temp Hisfa'!Z$3:Z$200)-MIN(ROW('Temp Hisfa'!Z$3:Z$200))+1), ROW(144:343))),"")</f>
        <v>0</v>
      </c>
      <c r="AA146" s="22">
        <f t="array" ref="AA146">IFERROR(INDEX('Temp Hisfa'!AA$3:AA$200, SMALL(IF(ISERROR('Temp Hisfa'!AA$3:AA$200), "", ROW('Temp Hisfa'!AA$3:AA$200)-MIN(ROW('Temp Hisfa'!AA$3:AA$200))+1), ROW(144:343))),"")</f>
        <v>0</v>
      </c>
      <c r="AB146" s="22">
        <f t="array" ref="AB146">IFERROR(INDEX('Temp Hisfa'!AB$3:AB$200, SMALL(IF(ISERROR('Temp Hisfa'!AB$3:AB$200), "", ROW('Temp Hisfa'!AB$3:AB$200)-MIN(ROW('Temp Hisfa'!AB$3:AB$200))+1), ROW(144:343))),"")</f>
        <v>0</v>
      </c>
    </row>
    <row r="147" spans="1:28" x14ac:dyDescent="0.3">
      <c r="A147" s="4">
        <f t="array" ref="A147">IFERROR(INDEX('Temp Hisfa'!A$3:A$200, SMALL(IF(ISERROR('Temp Hisfa'!A$3:A$200), "", ROW('Temp Hisfa'!A$3:A$200)-MIN(ROW('Temp Hisfa'!A$3:A$200))+1), ROW(145:343))),"")</f>
        <v>0</v>
      </c>
      <c r="B147" s="4">
        <f t="array" ref="B147">IFERROR(INDEX('Temp Hisfa'!B$3:B$200, SMALL(IF(ISERROR('Temp Hisfa'!B$3:B$200), "", ROW('Temp Hisfa'!B$3:B$200)-MIN(ROW('Temp Hisfa'!B$3:B$200))+1), ROW(145:343))),"")</f>
        <v>0</v>
      </c>
      <c r="C147" s="3">
        <f t="array" ref="C147">IFERROR(INDEX('Temp Hisfa'!C$3:C$200, SMALL(IF(ISERROR('Temp Hisfa'!C$3:C$200), "", ROW('Temp Hisfa'!C$3:C$200)-MIN(ROW('Temp Hisfa'!C$3:C$200))+1), ROW(145:343))),"")</f>
        <v>0</v>
      </c>
      <c r="D147" s="3">
        <f t="array" ref="D147">IFERROR(INDEX('Temp Hisfa'!D$3:D$200, SMALL(IF(ISERROR('Temp Hisfa'!D$3:D$200), "", ROW('Temp Hisfa'!D$3:D$200)-MIN(ROW('Temp Hisfa'!D$3:D$200))+1), ROW(145:343))),"")</f>
        <v>0</v>
      </c>
      <c r="E147" s="29">
        <f t="array" ref="E147">IFERROR(INDEX('Temp Hisfa'!E$3:E$200, SMALL(IF(ISERROR('Temp Hisfa'!E$3:E$200), "", ROW('Temp Hisfa'!E$3:E$200)-MIN(ROW('Temp Hisfa'!E$3:E$200))+1), ROW(145:344))),"")</f>
        <v>0</v>
      </c>
      <c r="F147" s="22" t="str">
        <f t="array" ref="F147">IFERROR(INDEX('Temp Hisfa'!F$3:F$200, SMALL(IF(ISERROR('Temp Hisfa'!F$3:F$200), "", ROW('Temp Hisfa'!F$3:F$200)-MIN(ROW('Temp Hisfa'!F$3:F$200))+1), ROW(145:344))),"")</f>
        <v/>
      </c>
      <c r="G147" s="30">
        <f t="array" ref="G147">IFERROR(INDEX('Temp Hisfa'!G$3:G$200, SMALL(IF(ISERROR('Temp Hisfa'!G$3:G$200), "", ROW('Temp Hisfa'!G$3:G$200)-MIN(ROW('Temp Hisfa'!G$3:G$200))+1), ROW(145:344))),"")</f>
        <v>0</v>
      </c>
      <c r="H147" s="22" t="str">
        <f t="array" ref="H147">IFERROR(INDEX('Temp Hisfa'!H$3:H$200, SMALL(IF(ISERROR('Temp Hisfa'!H$3:H$200), "", ROW('Temp Hisfa'!H$3:H$200)-MIN(ROW('Temp Hisfa'!H$3:H$200))+1), ROW(145:344))),"")</f>
        <v/>
      </c>
      <c r="I147" s="22">
        <f t="array" ref="I147">IFERROR(INDEX('Temp Hisfa'!I$3:I$200, SMALL(IF(ISERROR('Temp Hisfa'!I$3:I$200), "", ROW('Temp Hisfa'!I$3:I$200)-MIN(ROW('Temp Hisfa'!I$3:I$200))+1), ROW(145:344))),"")</f>
        <v>0</v>
      </c>
      <c r="J147" s="22">
        <f t="array" ref="J147">IFERROR(INDEX('Temp Hisfa'!J$3:J$200, SMALL(IF(ISERROR('Temp Hisfa'!J$3:J$200), "", ROW('Temp Hisfa'!J$3:J$200)-MIN(ROW('Temp Hisfa'!J$3:J$200))+1), ROW(145:344))),"")</f>
        <v>0</v>
      </c>
      <c r="K147" s="30">
        <f t="array" ref="K147">IFERROR(INDEX('Temp Hisfa'!K$3:K$200, SMALL(IF(ISERROR('Temp Hisfa'!K$3:K$200), "", ROW('Temp Hisfa'!K$3:K$200)-MIN(ROW('Temp Hisfa'!K$3:K$200))+1), ROW(145:344))),"")</f>
        <v>0</v>
      </c>
      <c r="L147" s="22">
        <f t="array" ref="L147">IFERROR(INDEX('Temp Hisfa'!L$3:L$200, SMALL(IF(ISERROR('Temp Hisfa'!L$3:L$200), "", ROW('Temp Hisfa'!L$3:L$200)-MIN(ROW('Temp Hisfa'!L$3:L$200))+1), ROW(145:344))),"")</f>
        <v>0</v>
      </c>
      <c r="M147" s="22">
        <f t="array" ref="M147">IFERROR(INDEX('Temp Hisfa'!M$3:M$200, SMALL(IF(ISERROR('Temp Hisfa'!M$3:M$200), "", ROW('Temp Hisfa'!M$3:M$200)-MIN(ROW('Temp Hisfa'!M$3:M$200))+1), ROW(145:344))),"")</f>
        <v>0</v>
      </c>
      <c r="N147" s="22">
        <f t="array" ref="N147">IFERROR(INDEX('Temp Hisfa'!N$3:N$200, SMALL(IF(ISERROR('Temp Hisfa'!N$3:N$200), "", ROW('Temp Hisfa'!N$3:N$200)-MIN(ROW('Temp Hisfa'!N$3:N$200))+1), ROW(145:344))),"")</f>
        <v>1900</v>
      </c>
      <c r="O147" s="22" t="str">
        <f t="array" ref="O147">IFERROR(INDEX('Temp Hisfa'!O$3:O$200, SMALL(IF(ISERROR('Temp Hisfa'!O$3:O$200), "", ROW('Temp Hisfa'!O$3:O$200)-MIN(ROW('Temp Hisfa'!O$3:O$200))+1), ROW(145:344))),"")</f>
        <v>enero</v>
      </c>
      <c r="P147" s="22">
        <f t="array" ref="P147">IFERROR(INDEX('Temp Hisfa'!P$3:P$200, SMALL(IF(ISERROR('Temp Hisfa'!P$3:P$200), "", ROW('Temp Hisfa'!P$3:P$200)-MIN(ROW('Temp Hisfa'!P$3:P$200))+1), ROW(145:344))),"")</f>
        <v>0</v>
      </c>
      <c r="Q147" s="22">
        <f t="array" ref="Q147">IFERROR(INDEX('Temp Hisfa'!Q$3:Q$200, SMALL(IF(ISERROR('Temp Hisfa'!Q$3:Q$200), "", ROW('Temp Hisfa'!Q$3:Q$200)-MIN(ROW('Temp Hisfa'!Q$3:Q$200))+1), ROW(145:344))),"")</f>
        <v>0</v>
      </c>
      <c r="R147" s="22">
        <f t="array" ref="R147">IFERROR(INDEX('Temp Hisfa'!R$3:R$200, SMALL(IF(ISERROR('Temp Hisfa'!R$3:R$200), "", ROW('Temp Hisfa'!R$3:R$200)-MIN(ROW('Temp Hisfa'!R$3:R$200))+1), ROW(145:344))),"")</f>
        <v>0</v>
      </c>
      <c r="S147" s="22">
        <f t="array" ref="S147">IFERROR(INDEX('Temp Hisfa'!S$3:S$200, SMALL(IF(ISERROR('Temp Hisfa'!S$3:S$200), "", ROW('Temp Hisfa'!S$3:S$200)-MIN(ROW('Temp Hisfa'!S$3:S$200))+1), ROW(145:344))),"")</f>
        <v>0</v>
      </c>
      <c r="T147" s="22">
        <f t="array" ref="T147">IFERROR(INDEX('Temp Hisfa'!T$3:T$200, SMALL(IF(ISERROR('Temp Hisfa'!T$3:T$200), "", ROW('Temp Hisfa'!T$3:T$200)-MIN(ROW('Temp Hisfa'!T$3:T$200))+1), ROW(145:344))),"")</f>
        <v>0</v>
      </c>
      <c r="U147" s="22">
        <f t="array" ref="U147">IFERROR(INDEX('Temp Hisfa'!U$3:U$200, SMALL(IF(ISERROR('Temp Hisfa'!U$3:U$200), "", ROW('Temp Hisfa'!U$3:U$200)-MIN(ROW('Temp Hisfa'!U$3:U$200))+1), ROW(145:344))),"")</f>
        <v>0</v>
      </c>
      <c r="V147" s="22">
        <f t="array" ref="V147">IFERROR(INDEX('Temp Hisfa'!V$3:V$200, SMALL(IF(ISERROR('Temp Hisfa'!V$3:V$200), "", ROW('Temp Hisfa'!V$3:V$200)-MIN(ROW('Temp Hisfa'!V$3:V$200))+1), ROW(145:344))),"")</f>
        <v>0</v>
      </c>
      <c r="W147" s="22">
        <f t="array" ref="W147">IFERROR(INDEX('Temp Hisfa'!W$3:W$200, SMALL(IF(ISERROR('Temp Hisfa'!W$3:W$200), "", ROW('Temp Hisfa'!W$3:W$200)-MIN(ROW('Temp Hisfa'!W$3:W$200))+1), ROW(145:344))),"")</f>
        <v>0</v>
      </c>
      <c r="X147" s="22">
        <f t="array" ref="X147">IFERROR(INDEX('Temp Hisfa'!X$3:X$200, SMALL(IF(ISERROR('Temp Hisfa'!X$3:X$200), "", ROW('Temp Hisfa'!X$3:X$200)-MIN(ROW('Temp Hisfa'!X$3:X$200))+1), ROW(145:344))),"")</f>
        <v>0</v>
      </c>
      <c r="Y147" s="22">
        <f t="array" ref="Y147">IFERROR(INDEX('Temp Hisfa'!Y$3:Y$200, SMALL(IF(ISERROR('Temp Hisfa'!Y$3:Y$200), "", ROW('Temp Hisfa'!Y$3:Y$200)-MIN(ROW('Temp Hisfa'!Y$3:Y$200))+1), ROW(145:344))),"")</f>
        <v>0</v>
      </c>
      <c r="Z147" s="22">
        <f t="array" ref="Z147">IFERROR(INDEX('Temp Hisfa'!Z$3:Z$200, SMALL(IF(ISERROR('Temp Hisfa'!Z$3:Z$200), "", ROW('Temp Hisfa'!Z$3:Z$200)-MIN(ROW('Temp Hisfa'!Z$3:Z$200))+1), ROW(145:344))),"")</f>
        <v>0</v>
      </c>
      <c r="AA147" s="22">
        <f t="array" ref="AA147">IFERROR(INDEX('Temp Hisfa'!AA$3:AA$200, SMALL(IF(ISERROR('Temp Hisfa'!AA$3:AA$200), "", ROW('Temp Hisfa'!AA$3:AA$200)-MIN(ROW('Temp Hisfa'!AA$3:AA$200))+1), ROW(145:344))),"")</f>
        <v>0</v>
      </c>
      <c r="AB147" s="22">
        <f t="array" ref="AB147">IFERROR(INDEX('Temp Hisfa'!AB$3:AB$200, SMALL(IF(ISERROR('Temp Hisfa'!AB$3:AB$200), "", ROW('Temp Hisfa'!AB$3:AB$200)-MIN(ROW('Temp Hisfa'!AB$3:AB$200))+1), ROW(145:344))),"")</f>
        <v>0</v>
      </c>
    </row>
    <row r="148" spans="1:28" x14ac:dyDescent="0.3">
      <c r="A148" s="4">
        <f t="array" ref="A148">IFERROR(INDEX('Temp Hisfa'!A$3:A$200, SMALL(IF(ISERROR('Temp Hisfa'!A$3:A$200), "", ROW('Temp Hisfa'!A$3:A$200)-MIN(ROW('Temp Hisfa'!A$3:A$200))+1), ROW(146:344))),"")</f>
        <v>0</v>
      </c>
      <c r="B148" s="4">
        <f t="array" ref="B148">IFERROR(INDEX('Temp Hisfa'!B$3:B$200, SMALL(IF(ISERROR('Temp Hisfa'!B$3:B$200), "", ROW('Temp Hisfa'!B$3:B$200)-MIN(ROW('Temp Hisfa'!B$3:B$200))+1), ROW(146:344))),"")</f>
        <v>0</v>
      </c>
      <c r="C148" s="3">
        <f t="array" ref="C148">IFERROR(INDEX('Temp Hisfa'!C$3:C$200, SMALL(IF(ISERROR('Temp Hisfa'!C$3:C$200), "", ROW('Temp Hisfa'!C$3:C$200)-MIN(ROW('Temp Hisfa'!C$3:C$200))+1), ROW(146:344))),"")</f>
        <v>0</v>
      </c>
      <c r="D148" s="3">
        <f t="array" ref="D148">IFERROR(INDEX('Temp Hisfa'!D$3:D$200, SMALL(IF(ISERROR('Temp Hisfa'!D$3:D$200), "", ROW('Temp Hisfa'!D$3:D$200)-MIN(ROW('Temp Hisfa'!D$3:D$200))+1), ROW(146:344))),"")</f>
        <v>0</v>
      </c>
      <c r="E148" s="29">
        <f t="array" ref="E148">IFERROR(INDEX('Temp Hisfa'!E$3:E$200, SMALL(IF(ISERROR('Temp Hisfa'!E$3:E$200), "", ROW('Temp Hisfa'!E$3:E$200)-MIN(ROW('Temp Hisfa'!E$3:E$200))+1), ROW(146:345))),"")</f>
        <v>0</v>
      </c>
      <c r="F148" s="22" t="str">
        <f t="array" ref="F148">IFERROR(INDEX('Temp Hisfa'!F$3:F$200, SMALL(IF(ISERROR('Temp Hisfa'!F$3:F$200), "", ROW('Temp Hisfa'!F$3:F$200)-MIN(ROW('Temp Hisfa'!F$3:F$200))+1), ROW(146:345))),"")</f>
        <v/>
      </c>
      <c r="G148" s="30">
        <f t="array" ref="G148">IFERROR(INDEX('Temp Hisfa'!G$3:G$200, SMALL(IF(ISERROR('Temp Hisfa'!G$3:G$200), "", ROW('Temp Hisfa'!G$3:G$200)-MIN(ROW('Temp Hisfa'!G$3:G$200))+1), ROW(146:345))),"")</f>
        <v>0</v>
      </c>
      <c r="H148" s="22" t="str">
        <f t="array" ref="H148">IFERROR(INDEX('Temp Hisfa'!H$3:H$200, SMALL(IF(ISERROR('Temp Hisfa'!H$3:H$200), "", ROW('Temp Hisfa'!H$3:H$200)-MIN(ROW('Temp Hisfa'!H$3:H$200))+1), ROW(146:345))),"")</f>
        <v/>
      </c>
      <c r="I148" s="22">
        <f t="array" ref="I148">IFERROR(INDEX('Temp Hisfa'!I$3:I$200, SMALL(IF(ISERROR('Temp Hisfa'!I$3:I$200), "", ROW('Temp Hisfa'!I$3:I$200)-MIN(ROW('Temp Hisfa'!I$3:I$200))+1), ROW(146:345))),"")</f>
        <v>0</v>
      </c>
      <c r="J148" s="22">
        <f t="array" ref="J148">IFERROR(INDEX('Temp Hisfa'!J$3:J$200, SMALL(IF(ISERROR('Temp Hisfa'!J$3:J$200), "", ROW('Temp Hisfa'!J$3:J$200)-MIN(ROW('Temp Hisfa'!J$3:J$200))+1), ROW(146:345))),"")</f>
        <v>0</v>
      </c>
      <c r="K148" s="30">
        <f t="array" ref="K148">IFERROR(INDEX('Temp Hisfa'!K$3:K$200, SMALL(IF(ISERROR('Temp Hisfa'!K$3:K$200), "", ROW('Temp Hisfa'!K$3:K$200)-MIN(ROW('Temp Hisfa'!K$3:K$200))+1), ROW(146:345))),"")</f>
        <v>0</v>
      </c>
      <c r="L148" s="22">
        <f t="array" ref="L148">IFERROR(INDEX('Temp Hisfa'!L$3:L$200, SMALL(IF(ISERROR('Temp Hisfa'!L$3:L$200), "", ROW('Temp Hisfa'!L$3:L$200)-MIN(ROW('Temp Hisfa'!L$3:L$200))+1), ROW(146:345))),"")</f>
        <v>0</v>
      </c>
      <c r="M148" s="22">
        <f t="array" ref="M148">IFERROR(INDEX('Temp Hisfa'!M$3:M$200, SMALL(IF(ISERROR('Temp Hisfa'!M$3:M$200), "", ROW('Temp Hisfa'!M$3:M$200)-MIN(ROW('Temp Hisfa'!M$3:M$200))+1), ROW(146:345))),"")</f>
        <v>0</v>
      </c>
      <c r="N148" s="22">
        <f t="array" ref="N148">IFERROR(INDEX('Temp Hisfa'!N$3:N$200, SMALL(IF(ISERROR('Temp Hisfa'!N$3:N$200), "", ROW('Temp Hisfa'!N$3:N$200)-MIN(ROW('Temp Hisfa'!N$3:N$200))+1), ROW(146:345))),"")</f>
        <v>1900</v>
      </c>
      <c r="O148" s="22" t="str">
        <f t="array" ref="O148">IFERROR(INDEX('Temp Hisfa'!O$3:O$200, SMALL(IF(ISERROR('Temp Hisfa'!O$3:O$200), "", ROW('Temp Hisfa'!O$3:O$200)-MIN(ROW('Temp Hisfa'!O$3:O$200))+1), ROW(146:345))),"")</f>
        <v>enero</v>
      </c>
      <c r="P148" s="22">
        <f t="array" ref="P148">IFERROR(INDEX('Temp Hisfa'!P$3:P$200, SMALL(IF(ISERROR('Temp Hisfa'!P$3:P$200), "", ROW('Temp Hisfa'!P$3:P$200)-MIN(ROW('Temp Hisfa'!P$3:P$200))+1), ROW(146:345))),"")</f>
        <v>0</v>
      </c>
      <c r="Q148" s="22">
        <f t="array" ref="Q148">IFERROR(INDEX('Temp Hisfa'!Q$3:Q$200, SMALL(IF(ISERROR('Temp Hisfa'!Q$3:Q$200), "", ROW('Temp Hisfa'!Q$3:Q$200)-MIN(ROW('Temp Hisfa'!Q$3:Q$200))+1), ROW(146:345))),"")</f>
        <v>0</v>
      </c>
      <c r="R148" s="22">
        <f t="array" ref="R148">IFERROR(INDEX('Temp Hisfa'!R$3:R$200, SMALL(IF(ISERROR('Temp Hisfa'!R$3:R$200), "", ROW('Temp Hisfa'!R$3:R$200)-MIN(ROW('Temp Hisfa'!R$3:R$200))+1), ROW(146:345))),"")</f>
        <v>0</v>
      </c>
      <c r="S148" s="22">
        <f t="array" ref="S148">IFERROR(INDEX('Temp Hisfa'!S$3:S$200, SMALL(IF(ISERROR('Temp Hisfa'!S$3:S$200), "", ROW('Temp Hisfa'!S$3:S$200)-MIN(ROW('Temp Hisfa'!S$3:S$200))+1), ROW(146:345))),"")</f>
        <v>0</v>
      </c>
      <c r="T148" s="22">
        <f t="array" ref="T148">IFERROR(INDEX('Temp Hisfa'!T$3:T$200, SMALL(IF(ISERROR('Temp Hisfa'!T$3:T$200), "", ROW('Temp Hisfa'!T$3:T$200)-MIN(ROW('Temp Hisfa'!T$3:T$200))+1), ROW(146:345))),"")</f>
        <v>0</v>
      </c>
      <c r="U148" s="22">
        <f t="array" ref="U148">IFERROR(INDEX('Temp Hisfa'!U$3:U$200, SMALL(IF(ISERROR('Temp Hisfa'!U$3:U$200), "", ROW('Temp Hisfa'!U$3:U$200)-MIN(ROW('Temp Hisfa'!U$3:U$200))+1), ROW(146:345))),"")</f>
        <v>0</v>
      </c>
      <c r="V148" s="22">
        <f t="array" ref="V148">IFERROR(INDEX('Temp Hisfa'!V$3:V$200, SMALL(IF(ISERROR('Temp Hisfa'!V$3:V$200), "", ROW('Temp Hisfa'!V$3:V$200)-MIN(ROW('Temp Hisfa'!V$3:V$200))+1), ROW(146:345))),"")</f>
        <v>0</v>
      </c>
      <c r="W148" s="22">
        <f t="array" ref="W148">IFERROR(INDEX('Temp Hisfa'!W$3:W$200, SMALL(IF(ISERROR('Temp Hisfa'!W$3:W$200), "", ROW('Temp Hisfa'!W$3:W$200)-MIN(ROW('Temp Hisfa'!W$3:W$200))+1), ROW(146:345))),"")</f>
        <v>0</v>
      </c>
      <c r="X148" s="22">
        <f t="array" ref="X148">IFERROR(INDEX('Temp Hisfa'!X$3:X$200, SMALL(IF(ISERROR('Temp Hisfa'!X$3:X$200), "", ROW('Temp Hisfa'!X$3:X$200)-MIN(ROW('Temp Hisfa'!X$3:X$200))+1), ROW(146:345))),"")</f>
        <v>0</v>
      </c>
      <c r="Y148" s="22">
        <f t="array" ref="Y148">IFERROR(INDEX('Temp Hisfa'!Y$3:Y$200, SMALL(IF(ISERROR('Temp Hisfa'!Y$3:Y$200), "", ROW('Temp Hisfa'!Y$3:Y$200)-MIN(ROW('Temp Hisfa'!Y$3:Y$200))+1), ROW(146:345))),"")</f>
        <v>0</v>
      </c>
      <c r="Z148" s="22">
        <f t="array" ref="Z148">IFERROR(INDEX('Temp Hisfa'!Z$3:Z$200, SMALL(IF(ISERROR('Temp Hisfa'!Z$3:Z$200), "", ROW('Temp Hisfa'!Z$3:Z$200)-MIN(ROW('Temp Hisfa'!Z$3:Z$200))+1), ROW(146:345))),"")</f>
        <v>0</v>
      </c>
      <c r="AA148" s="22">
        <f t="array" ref="AA148">IFERROR(INDEX('Temp Hisfa'!AA$3:AA$200, SMALL(IF(ISERROR('Temp Hisfa'!AA$3:AA$200), "", ROW('Temp Hisfa'!AA$3:AA$200)-MIN(ROW('Temp Hisfa'!AA$3:AA$200))+1), ROW(146:345))),"")</f>
        <v>0</v>
      </c>
      <c r="AB148" s="22">
        <f t="array" ref="AB148">IFERROR(INDEX('Temp Hisfa'!AB$3:AB$200, SMALL(IF(ISERROR('Temp Hisfa'!AB$3:AB$200), "", ROW('Temp Hisfa'!AB$3:AB$200)-MIN(ROW('Temp Hisfa'!AB$3:AB$200))+1), ROW(146:345))),"")</f>
        <v>0</v>
      </c>
    </row>
    <row r="149" spans="1:28" x14ac:dyDescent="0.3">
      <c r="A149" s="4">
        <f t="array" ref="A149">IFERROR(INDEX('Temp Hisfa'!A$3:A$200, SMALL(IF(ISERROR('Temp Hisfa'!A$3:A$200), "", ROW('Temp Hisfa'!A$3:A$200)-MIN(ROW('Temp Hisfa'!A$3:A$200))+1), ROW(147:345))),"")</f>
        <v>0</v>
      </c>
      <c r="B149" s="4">
        <f t="array" ref="B149">IFERROR(INDEX('Temp Hisfa'!B$3:B$200, SMALL(IF(ISERROR('Temp Hisfa'!B$3:B$200), "", ROW('Temp Hisfa'!B$3:B$200)-MIN(ROW('Temp Hisfa'!B$3:B$200))+1), ROW(147:345))),"")</f>
        <v>0</v>
      </c>
      <c r="C149" s="3">
        <f t="array" ref="C149">IFERROR(INDEX('Temp Hisfa'!C$3:C$200, SMALL(IF(ISERROR('Temp Hisfa'!C$3:C$200), "", ROW('Temp Hisfa'!C$3:C$200)-MIN(ROW('Temp Hisfa'!C$3:C$200))+1), ROW(147:345))),"")</f>
        <v>0</v>
      </c>
      <c r="D149" s="3">
        <f t="array" ref="D149">IFERROR(INDEX('Temp Hisfa'!D$3:D$200, SMALL(IF(ISERROR('Temp Hisfa'!D$3:D$200), "", ROW('Temp Hisfa'!D$3:D$200)-MIN(ROW('Temp Hisfa'!D$3:D$200))+1), ROW(147:345))),"")</f>
        <v>0</v>
      </c>
      <c r="E149" s="29">
        <f t="array" ref="E149">IFERROR(INDEX('Temp Hisfa'!E$3:E$200, SMALL(IF(ISERROR('Temp Hisfa'!E$3:E$200), "", ROW('Temp Hisfa'!E$3:E$200)-MIN(ROW('Temp Hisfa'!E$3:E$200))+1), ROW(147:346))),"")</f>
        <v>0</v>
      </c>
      <c r="F149" s="22" t="str">
        <f t="array" ref="F149">IFERROR(INDEX('Temp Hisfa'!F$3:F$200, SMALL(IF(ISERROR('Temp Hisfa'!F$3:F$200), "", ROW('Temp Hisfa'!F$3:F$200)-MIN(ROW('Temp Hisfa'!F$3:F$200))+1), ROW(147:346))),"")</f>
        <v/>
      </c>
      <c r="G149" s="30">
        <f t="array" ref="G149">IFERROR(INDEX('Temp Hisfa'!G$3:G$200, SMALL(IF(ISERROR('Temp Hisfa'!G$3:G$200), "", ROW('Temp Hisfa'!G$3:G$200)-MIN(ROW('Temp Hisfa'!G$3:G$200))+1), ROW(147:346))),"")</f>
        <v>0</v>
      </c>
      <c r="H149" s="22" t="str">
        <f t="array" ref="H149">IFERROR(INDEX('Temp Hisfa'!H$3:H$200, SMALL(IF(ISERROR('Temp Hisfa'!H$3:H$200), "", ROW('Temp Hisfa'!H$3:H$200)-MIN(ROW('Temp Hisfa'!H$3:H$200))+1), ROW(147:346))),"")</f>
        <v/>
      </c>
      <c r="I149" s="22">
        <f t="array" ref="I149">IFERROR(INDEX('Temp Hisfa'!I$3:I$200, SMALL(IF(ISERROR('Temp Hisfa'!I$3:I$200), "", ROW('Temp Hisfa'!I$3:I$200)-MIN(ROW('Temp Hisfa'!I$3:I$200))+1), ROW(147:346))),"")</f>
        <v>0</v>
      </c>
      <c r="J149" s="22">
        <f t="array" ref="J149">IFERROR(INDEX('Temp Hisfa'!J$3:J$200, SMALL(IF(ISERROR('Temp Hisfa'!J$3:J$200), "", ROW('Temp Hisfa'!J$3:J$200)-MIN(ROW('Temp Hisfa'!J$3:J$200))+1), ROW(147:346))),"")</f>
        <v>0</v>
      </c>
      <c r="K149" s="30">
        <f t="array" ref="K149">IFERROR(INDEX('Temp Hisfa'!K$3:K$200, SMALL(IF(ISERROR('Temp Hisfa'!K$3:K$200), "", ROW('Temp Hisfa'!K$3:K$200)-MIN(ROW('Temp Hisfa'!K$3:K$200))+1), ROW(147:346))),"")</f>
        <v>0</v>
      </c>
      <c r="L149" s="22">
        <f t="array" ref="L149">IFERROR(INDEX('Temp Hisfa'!L$3:L$200, SMALL(IF(ISERROR('Temp Hisfa'!L$3:L$200), "", ROW('Temp Hisfa'!L$3:L$200)-MIN(ROW('Temp Hisfa'!L$3:L$200))+1), ROW(147:346))),"")</f>
        <v>0</v>
      </c>
      <c r="M149" s="22">
        <f t="array" ref="M149">IFERROR(INDEX('Temp Hisfa'!M$3:M$200, SMALL(IF(ISERROR('Temp Hisfa'!M$3:M$200), "", ROW('Temp Hisfa'!M$3:M$200)-MIN(ROW('Temp Hisfa'!M$3:M$200))+1), ROW(147:346))),"")</f>
        <v>0</v>
      </c>
      <c r="N149" s="22">
        <f t="array" ref="N149">IFERROR(INDEX('Temp Hisfa'!N$3:N$200, SMALL(IF(ISERROR('Temp Hisfa'!N$3:N$200), "", ROW('Temp Hisfa'!N$3:N$200)-MIN(ROW('Temp Hisfa'!N$3:N$200))+1), ROW(147:346))),"")</f>
        <v>1900</v>
      </c>
      <c r="O149" s="22" t="str">
        <f t="array" ref="O149">IFERROR(INDEX('Temp Hisfa'!O$3:O$200, SMALL(IF(ISERROR('Temp Hisfa'!O$3:O$200), "", ROW('Temp Hisfa'!O$3:O$200)-MIN(ROW('Temp Hisfa'!O$3:O$200))+1), ROW(147:346))),"")</f>
        <v>enero</v>
      </c>
      <c r="P149" s="22">
        <f t="array" ref="P149">IFERROR(INDEX('Temp Hisfa'!P$3:P$200, SMALL(IF(ISERROR('Temp Hisfa'!P$3:P$200), "", ROW('Temp Hisfa'!P$3:P$200)-MIN(ROW('Temp Hisfa'!P$3:P$200))+1), ROW(147:346))),"")</f>
        <v>0</v>
      </c>
      <c r="Q149" s="22">
        <f t="array" ref="Q149">IFERROR(INDEX('Temp Hisfa'!Q$3:Q$200, SMALL(IF(ISERROR('Temp Hisfa'!Q$3:Q$200), "", ROW('Temp Hisfa'!Q$3:Q$200)-MIN(ROW('Temp Hisfa'!Q$3:Q$200))+1), ROW(147:346))),"")</f>
        <v>0</v>
      </c>
      <c r="R149" s="22">
        <f t="array" ref="R149">IFERROR(INDEX('Temp Hisfa'!R$3:R$200, SMALL(IF(ISERROR('Temp Hisfa'!R$3:R$200), "", ROW('Temp Hisfa'!R$3:R$200)-MIN(ROW('Temp Hisfa'!R$3:R$200))+1), ROW(147:346))),"")</f>
        <v>0</v>
      </c>
      <c r="S149" s="22">
        <f t="array" ref="S149">IFERROR(INDEX('Temp Hisfa'!S$3:S$200, SMALL(IF(ISERROR('Temp Hisfa'!S$3:S$200), "", ROW('Temp Hisfa'!S$3:S$200)-MIN(ROW('Temp Hisfa'!S$3:S$200))+1), ROW(147:346))),"")</f>
        <v>0</v>
      </c>
      <c r="T149" s="22">
        <f t="array" ref="T149">IFERROR(INDEX('Temp Hisfa'!T$3:T$200, SMALL(IF(ISERROR('Temp Hisfa'!T$3:T$200), "", ROW('Temp Hisfa'!T$3:T$200)-MIN(ROW('Temp Hisfa'!T$3:T$200))+1), ROW(147:346))),"")</f>
        <v>0</v>
      </c>
      <c r="U149" s="22">
        <f t="array" ref="U149">IFERROR(INDEX('Temp Hisfa'!U$3:U$200, SMALL(IF(ISERROR('Temp Hisfa'!U$3:U$200), "", ROW('Temp Hisfa'!U$3:U$200)-MIN(ROW('Temp Hisfa'!U$3:U$200))+1), ROW(147:346))),"")</f>
        <v>0</v>
      </c>
      <c r="V149" s="22">
        <f t="array" ref="V149">IFERROR(INDEX('Temp Hisfa'!V$3:V$200, SMALL(IF(ISERROR('Temp Hisfa'!V$3:V$200), "", ROW('Temp Hisfa'!V$3:V$200)-MIN(ROW('Temp Hisfa'!V$3:V$200))+1), ROW(147:346))),"")</f>
        <v>0</v>
      </c>
      <c r="W149" s="22">
        <f t="array" ref="W149">IFERROR(INDEX('Temp Hisfa'!W$3:W$200, SMALL(IF(ISERROR('Temp Hisfa'!W$3:W$200), "", ROW('Temp Hisfa'!W$3:W$200)-MIN(ROW('Temp Hisfa'!W$3:W$200))+1), ROW(147:346))),"")</f>
        <v>0</v>
      </c>
      <c r="X149" s="22">
        <f t="array" ref="X149">IFERROR(INDEX('Temp Hisfa'!X$3:X$200, SMALL(IF(ISERROR('Temp Hisfa'!X$3:X$200), "", ROW('Temp Hisfa'!X$3:X$200)-MIN(ROW('Temp Hisfa'!X$3:X$200))+1), ROW(147:346))),"")</f>
        <v>0</v>
      </c>
      <c r="Y149" s="22">
        <f t="array" ref="Y149">IFERROR(INDEX('Temp Hisfa'!Y$3:Y$200, SMALL(IF(ISERROR('Temp Hisfa'!Y$3:Y$200), "", ROW('Temp Hisfa'!Y$3:Y$200)-MIN(ROW('Temp Hisfa'!Y$3:Y$200))+1), ROW(147:346))),"")</f>
        <v>0</v>
      </c>
      <c r="Z149" s="22">
        <f t="array" ref="Z149">IFERROR(INDEX('Temp Hisfa'!Z$3:Z$200, SMALL(IF(ISERROR('Temp Hisfa'!Z$3:Z$200), "", ROW('Temp Hisfa'!Z$3:Z$200)-MIN(ROW('Temp Hisfa'!Z$3:Z$200))+1), ROW(147:346))),"")</f>
        <v>0</v>
      </c>
      <c r="AA149" s="22">
        <f t="array" ref="AA149">IFERROR(INDEX('Temp Hisfa'!AA$3:AA$200, SMALL(IF(ISERROR('Temp Hisfa'!AA$3:AA$200), "", ROW('Temp Hisfa'!AA$3:AA$200)-MIN(ROW('Temp Hisfa'!AA$3:AA$200))+1), ROW(147:346))),"")</f>
        <v>0</v>
      </c>
      <c r="AB149" s="22">
        <f t="array" ref="AB149">IFERROR(INDEX('Temp Hisfa'!AB$3:AB$200, SMALL(IF(ISERROR('Temp Hisfa'!AB$3:AB$200), "", ROW('Temp Hisfa'!AB$3:AB$200)-MIN(ROW('Temp Hisfa'!AB$3:AB$200))+1), ROW(147:346))),"")</f>
        <v>0</v>
      </c>
    </row>
    <row r="150" spans="1:28" hidden="1" x14ac:dyDescent="0.3">
      <c r="A150" s="4">
        <f t="array" ref="A150">IFERROR(INDEX('Temp Hisfa'!A$3:A$200, SMALL(IF(ISERROR('Temp Hisfa'!A$3:A$200), "", ROW('Temp Hisfa'!A$3:A$200)-MIN(ROW('Temp Hisfa'!A$3:A$200))+1), ROW(148:346))),"")</f>
        <v>0</v>
      </c>
      <c r="B150" s="4">
        <f t="array" ref="B150">IFERROR(INDEX('Temp Hisfa'!B$3:B$200, SMALL(IF(ISERROR('Temp Hisfa'!B$3:B$200), "", ROW('Temp Hisfa'!B$3:B$200)-MIN(ROW('Temp Hisfa'!B$3:B$200))+1), ROW(148:346))),"")</f>
        <v>0</v>
      </c>
      <c r="C150" s="3">
        <f t="array" ref="C150">IFERROR(INDEX('Temp Hisfa'!C$3:C$200, SMALL(IF(ISERROR('Temp Hisfa'!C$3:C$200), "", ROW('Temp Hisfa'!C$3:C$200)-MIN(ROW('Temp Hisfa'!C$3:C$200))+1), ROW(148:346))),"")</f>
        <v>0</v>
      </c>
      <c r="D150" s="3">
        <f t="array" ref="D150">IFERROR(INDEX('Temp Hisfa'!D$3:D$200, SMALL(IF(ISERROR('Temp Hisfa'!D$3:D$200), "", ROW('Temp Hisfa'!D$3:D$200)-MIN(ROW('Temp Hisfa'!D$3:D$200))+1), ROW(148:346))),"")</f>
        <v>0</v>
      </c>
      <c r="E150" s="29">
        <f t="array" ref="E150">IFERROR(INDEX('Temp Hisfa'!E$3:E$200, SMALL(IF(ISERROR('Temp Hisfa'!E$3:E$200), "", ROW('Temp Hisfa'!E$3:E$200)-MIN(ROW('Temp Hisfa'!E$3:E$200))+1), ROW(148:347))),"")</f>
        <v>0</v>
      </c>
      <c r="F150" s="22" t="str">
        <f t="array" ref="F150">IFERROR(INDEX('Temp Hisfa'!F$3:F$200, SMALL(IF(ISERROR('Temp Hisfa'!F$3:F$200), "", ROW('Temp Hisfa'!F$3:F$200)-MIN(ROW('Temp Hisfa'!F$3:F$200))+1), ROW(148:347))),"")</f>
        <v/>
      </c>
      <c r="G150" s="30">
        <f t="array" ref="G150">IFERROR(INDEX('Temp Hisfa'!G$3:G$200, SMALL(IF(ISERROR('Temp Hisfa'!G$3:G$200), "", ROW('Temp Hisfa'!G$3:G$200)-MIN(ROW('Temp Hisfa'!G$3:G$200))+1), ROW(148:347))),"")</f>
        <v>0</v>
      </c>
      <c r="H150" s="22" t="str">
        <f t="array" ref="H150">IFERROR(INDEX('Temp Hisfa'!H$3:H$200, SMALL(IF(ISERROR('Temp Hisfa'!H$3:H$200), "", ROW('Temp Hisfa'!H$3:H$200)-MIN(ROW('Temp Hisfa'!H$3:H$200))+1), ROW(148:347))),"")</f>
        <v/>
      </c>
      <c r="I150" s="22">
        <f t="array" ref="I150">IFERROR(INDEX('Temp Hisfa'!I$3:I$200, SMALL(IF(ISERROR('Temp Hisfa'!I$3:I$200), "", ROW('Temp Hisfa'!I$3:I$200)-MIN(ROW('Temp Hisfa'!I$3:I$200))+1), ROW(148:347))),"")</f>
        <v>0</v>
      </c>
      <c r="J150" s="22">
        <f t="array" ref="J150">IFERROR(INDEX('Temp Hisfa'!J$3:J$200, SMALL(IF(ISERROR('Temp Hisfa'!J$3:J$200), "", ROW('Temp Hisfa'!J$3:J$200)-MIN(ROW('Temp Hisfa'!J$3:J$200))+1), ROW(148:347))),"")</f>
        <v>0</v>
      </c>
      <c r="K150" s="30">
        <f t="array" ref="K150">IFERROR(INDEX('Temp Hisfa'!K$3:K$200, SMALL(IF(ISERROR('Temp Hisfa'!K$3:K$200), "", ROW('Temp Hisfa'!K$3:K$200)-MIN(ROW('Temp Hisfa'!K$3:K$200))+1), ROW(148:347))),"")</f>
        <v>0</v>
      </c>
      <c r="L150" s="22">
        <f t="array" ref="L150">IFERROR(INDEX('Temp Hisfa'!L$3:L$200, SMALL(IF(ISERROR('Temp Hisfa'!L$3:L$200), "", ROW('Temp Hisfa'!L$3:L$200)-MIN(ROW('Temp Hisfa'!L$3:L$200))+1), ROW(148:347))),"")</f>
        <v>0</v>
      </c>
      <c r="M150" s="22">
        <f t="array" ref="M150">IFERROR(INDEX('Temp Hisfa'!M$3:M$200, SMALL(IF(ISERROR('Temp Hisfa'!M$3:M$200), "", ROW('Temp Hisfa'!M$3:M$200)-MIN(ROW('Temp Hisfa'!M$3:M$200))+1), ROW(148:347))),"")</f>
        <v>0</v>
      </c>
      <c r="N150" s="22">
        <f t="array" ref="N150">IFERROR(INDEX('Temp Hisfa'!N$3:N$200, SMALL(IF(ISERROR('Temp Hisfa'!N$3:N$200), "", ROW('Temp Hisfa'!N$3:N$200)-MIN(ROW('Temp Hisfa'!N$3:N$200))+1), ROW(148:347))),"")</f>
        <v>1900</v>
      </c>
      <c r="O150" s="22" t="str">
        <f t="array" ref="O150">IFERROR(INDEX('Temp Hisfa'!O$3:O$200, SMALL(IF(ISERROR('Temp Hisfa'!O$3:O$200), "", ROW('Temp Hisfa'!O$3:O$200)-MIN(ROW('Temp Hisfa'!O$3:O$200))+1), ROW(148:347))),"")</f>
        <v>enero</v>
      </c>
      <c r="P150" s="22">
        <f t="array" ref="P150">IFERROR(INDEX('Temp Hisfa'!P$3:P$200, SMALL(IF(ISERROR('Temp Hisfa'!P$3:P$200), "", ROW('Temp Hisfa'!P$3:P$200)-MIN(ROW('Temp Hisfa'!P$3:P$200))+1), ROW(148:347))),"")</f>
        <v>0</v>
      </c>
      <c r="Q150" s="22">
        <f t="array" ref="Q150">IFERROR(INDEX('Temp Hisfa'!Q$3:Q$200, SMALL(IF(ISERROR('Temp Hisfa'!Q$3:Q$200), "", ROW('Temp Hisfa'!Q$3:Q$200)-MIN(ROW('Temp Hisfa'!Q$3:Q$200))+1), ROW(148:347))),"")</f>
        <v>0</v>
      </c>
      <c r="R150" s="22">
        <f t="array" ref="R150">IFERROR(INDEX('Temp Hisfa'!R$3:R$200, SMALL(IF(ISERROR('Temp Hisfa'!R$3:R$200), "", ROW('Temp Hisfa'!R$3:R$200)-MIN(ROW('Temp Hisfa'!R$3:R$200))+1), ROW(148:347))),"")</f>
        <v>0</v>
      </c>
      <c r="S150" s="22">
        <f t="array" ref="S150">IFERROR(INDEX('Temp Hisfa'!S$3:S$200, SMALL(IF(ISERROR('Temp Hisfa'!S$3:S$200), "", ROW('Temp Hisfa'!S$3:S$200)-MIN(ROW('Temp Hisfa'!S$3:S$200))+1), ROW(148:347))),"")</f>
        <v>0</v>
      </c>
      <c r="T150" s="22">
        <f t="array" ref="T150">IFERROR(INDEX('Temp Hisfa'!T$3:T$200, SMALL(IF(ISERROR('Temp Hisfa'!T$3:T$200), "", ROW('Temp Hisfa'!T$3:T$200)-MIN(ROW('Temp Hisfa'!T$3:T$200))+1), ROW(148:347))),"")</f>
        <v>0</v>
      </c>
      <c r="U150" s="22">
        <f t="array" ref="U150">IFERROR(INDEX('Temp Hisfa'!U$3:U$200, SMALL(IF(ISERROR('Temp Hisfa'!U$3:U$200), "", ROW('Temp Hisfa'!U$3:U$200)-MIN(ROW('Temp Hisfa'!U$3:U$200))+1), ROW(148:347))),"")</f>
        <v>0</v>
      </c>
      <c r="V150" s="22">
        <f t="array" ref="V150">IFERROR(INDEX('Temp Hisfa'!V$3:V$200, SMALL(IF(ISERROR('Temp Hisfa'!V$3:V$200), "", ROW('Temp Hisfa'!V$3:V$200)-MIN(ROW('Temp Hisfa'!V$3:V$200))+1), ROW(148:347))),"")</f>
        <v>0</v>
      </c>
      <c r="W150" s="22">
        <f t="array" ref="W150">IFERROR(INDEX('Temp Hisfa'!W$3:W$200, SMALL(IF(ISERROR('Temp Hisfa'!W$3:W$200), "", ROW('Temp Hisfa'!W$3:W$200)-MIN(ROW('Temp Hisfa'!W$3:W$200))+1), ROW(148:347))),"")</f>
        <v>0</v>
      </c>
      <c r="X150" s="22">
        <f t="array" ref="X150">IFERROR(INDEX('Temp Hisfa'!X$3:X$200, SMALL(IF(ISERROR('Temp Hisfa'!X$3:X$200), "", ROW('Temp Hisfa'!X$3:X$200)-MIN(ROW('Temp Hisfa'!X$3:X$200))+1), ROW(148:347))),"")</f>
        <v>0</v>
      </c>
      <c r="Y150" s="22">
        <f t="array" ref="Y150">IFERROR(INDEX('Temp Hisfa'!Y$3:Y$200, SMALL(IF(ISERROR('Temp Hisfa'!Y$3:Y$200), "", ROW('Temp Hisfa'!Y$3:Y$200)-MIN(ROW('Temp Hisfa'!Y$3:Y$200))+1), ROW(148:347))),"")</f>
        <v>0</v>
      </c>
      <c r="Z150" s="22">
        <f t="array" ref="Z150">IFERROR(INDEX('Temp Hisfa'!Z$3:Z$200, SMALL(IF(ISERROR('Temp Hisfa'!Z$3:Z$200), "", ROW('Temp Hisfa'!Z$3:Z$200)-MIN(ROW('Temp Hisfa'!Z$3:Z$200))+1), ROW(148:347))),"")</f>
        <v>0</v>
      </c>
      <c r="AA150" s="22">
        <f t="array" ref="AA150">IFERROR(INDEX('Temp Hisfa'!AA$3:AA$200, SMALL(IF(ISERROR('Temp Hisfa'!AA$3:AA$200), "", ROW('Temp Hisfa'!AA$3:AA$200)-MIN(ROW('Temp Hisfa'!AA$3:AA$200))+1), ROW(148:347))),"")</f>
        <v>0</v>
      </c>
      <c r="AB150" s="22">
        <f t="array" ref="AB150">IFERROR(INDEX('Temp Hisfa'!AB$3:AB$200, SMALL(IF(ISERROR('Temp Hisfa'!AB$3:AB$200), "", ROW('Temp Hisfa'!AB$3:AB$200)-MIN(ROW('Temp Hisfa'!AB$3:AB$200))+1), ROW(148:347))),"")</f>
        <v>0</v>
      </c>
    </row>
    <row r="151" spans="1:28" hidden="1" x14ac:dyDescent="0.3">
      <c r="A151" s="4">
        <f t="array" ref="A151">IFERROR(INDEX('Temp Hisfa'!A$3:A$200, SMALL(IF(ISERROR('Temp Hisfa'!A$3:A$200), "", ROW('Temp Hisfa'!A$3:A$200)-MIN(ROW('Temp Hisfa'!A$3:A$200))+1), ROW(149:347))),"")</f>
        <v>0</v>
      </c>
      <c r="B151" s="4">
        <f t="array" ref="B151">IFERROR(INDEX('Temp Hisfa'!B$3:B$200, SMALL(IF(ISERROR('Temp Hisfa'!B$3:B$200), "", ROW('Temp Hisfa'!B$3:B$200)-MIN(ROW('Temp Hisfa'!B$3:B$200))+1), ROW(149:347))),"")</f>
        <v>0</v>
      </c>
      <c r="C151" s="3">
        <f t="array" ref="C151">IFERROR(INDEX('Temp Hisfa'!C$3:C$200, SMALL(IF(ISERROR('Temp Hisfa'!C$3:C$200), "", ROW('Temp Hisfa'!C$3:C$200)-MIN(ROW('Temp Hisfa'!C$3:C$200))+1), ROW(149:347))),"")</f>
        <v>0</v>
      </c>
      <c r="D151" s="3">
        <f t="array" ref="D151">IFERROR(INDEX('Temp Hisfa'!D$3:D$200, SMALL(IF(ISERROR('Temp Hisfa'!D$3:D$200), "", ROW('Temp Hisfa'!D$3:D$200)-MIN(ROW('Temp Hisfa'!D$3:D$200))+1), ROW(149:347))),"")</f>
        <v>0</v>
      </c>
      <c r="E151" s="29">
        <f t="array" ref="E151">IFERROR(INDEX('Temp Hisfa'!E$3:E$200, SMALL(IF(ISERROR('Temp Hisfa'!E$3:E$200), "", ROW('Temp Hisfa'!E$3:E$200)-MIN(ROW('Temp Hisfa'!E$3:E$200))+1), ROW(149:348))),"")</f>
        <v>0</v>
      </c>
      <c r="F151" s="22" t="str">
        <f t="array" ref="F151">IFERROR(INDEX('Temp Hisfa'!F$3:F$200, SMALL(IF(ISERROR('Temp Hisfa'!F$3:F$200), "", ROW('Temp Hisfa'!F$3:F$200)-MIN(ROW('Temp Hisfa'!F$3:F$200))+1), ROW(149:348))),"")</f>
        <v/>
      </c>
      <c r="G151" s="30">
        <f t="array" ref="G151">IFERROR(INDEX('Temp Hisfa'!G$3:G$200, SMALL(IF(ISERROR('Temp Hisfa'!G$3:G$200), "", ROW('Temp Hisfa'!G$3:G$200)-MIN(ROW('Temp Hisfa'!G$3:G$200))+1), ROW(149:348))),"")</f>
        <v>0</v>
      </c>
      <c r="H151" s="22" t="str">
        <f t="array" ref="H151">IFERROR(INDEX('Temp Hisfa'!H$3:H$200, SMALL(IF(ISERROR('Temp Hisfa'!H$3:H$200), "", ROW('Temp Hisfa'!H$3:H$200)-MIN(ROW('Temp Hisfa'!H$3:H$200))+1), ROW(149:348))),"")</f>
        <v/>
      </c>
      <c r="I151" s="22">
        <f t="array" ref="I151">IFERROR(INDEX('Temp Hisfa'!I$3:I$200, SMALL(IF(ISERROR('Temp Hisfa'!I$3:I$200), "", ROW('Temp Hisfa'!I$3:I$200)-MIN(ROW('Temp Hisfa'!I$3:I$200))+1), ROW(149:348))),"")</f>
        <v>0</v>
      </c>
      <c r="J151" s="22">
        <f t="array" ref="J151">IFERROR(INDEX('Temp Hisfa'!J$3:J$200, SMALL(IF(ISERROR('Temp Hisfa'!J$3:J$200), "", ROW('Temp Hisfa'!J$3:J$200)-MIN(ROW('Temp Hisfa'!J$3:J$200))+1), ROW(149:348))),"")</f>
        <v>0</v>
      </c>
      <c r="K151" s="30">
        <f t="array" ref="K151">IFERROR(INDEX('Temp Hisfa'!K$3:K$200, SMALL(IF(ISERROR('Temp Hisfa'!K$3:K$200), "", ROW('Temp Hisfa'!K$3:K$200)-MIN(ROW('Temp Hisfa'!K$3:K$200))+1), ROW(149:348))),"")</f>
        <v>0</v>
      </c>
      <c r="L151" s="22">
        <f t="array" ref="L151">IFERROR(INDEX('Temp Hisfa'!L$3:L$200, SMALL(IF(ISERROR('Temp Hisfa'!L$3:L$200), "", ROW('Temp Hisfa'!L$3:L$200)-MIN(ROW('Temp Hisfa'!L$3:L$200))+1), ROW(149:348))),"")</f>
        <v>0</v>
      </c>
      <c r="M151" s="22">
        <f t="array" ref="M151">IFERROR(INDEX('Temp Hisfa'!M$3:M$200, SMALL(IF(ISERROR('Temp Hisfa'!M$3:M$200), "", ROW('Temp Hisfa'!M$3:M$200)-MIN(ROW('Temp Hisfa'!M$3:M$200))+1), ROW(149:348))),"")</f>
        <v>0</v>
      </c>
      <c r="N151" s="22">
        <f t="array" ref="N151">IFERROR(INDEX('Temp Hisfa'!N$3:N$200, SMALL(IF(ISERROR('Temp Hisfa'!N$3:N$200), "", ROW('Temp Hisfa'!N$3:N$200)-MIN(ROW('Temp Hisfa'!N$3:N$200))+1), ROW(149:348))),"")</f>
        <v>1900</v>
      </c>
      <c r="O151" s="22" t="str">
        <f t="array" ref="O151">IFERROR(INDEX('Temp Hisfa'!O$3:O$200, SMALL(IF(ISERROR('Temp Hisfa'!O$3:O$200), "", ROW('Temp Hisfa'!O$3:O$200)-MIN(ROW('Temp Hisfa'!O$3:O$200))+1), ROW(149:348))),"")</f>
        <v>enero</v>
      </c>
      <c r="P151" s="22">
        <f t="array" ref="P151">IFERROR(INDEX('Temp Hisfa'!P$3:P$200, SMALL(IF(ISERROR('Temp Hisfa'!P$3:P$200), "", ROW('Temp Hisfa'!P$3:P$200)-MIN(ROW('Temp Hisfa'!P$3:P$200))+1), ROW(149:348))),"")</f>
        <v>0</v>
      </c>
      <c r="Q151" s="22">
        <f t="array" ref="Q151">IFERROR(INDEX('Temp Hisfa'!Q$3:Q$200, SMALL(IF(ISERROR('Temp Hisfa'!Q$3:Q$200), "", ROW('Temp Hisfa'!Q$3:Q$200)-MIN(ROW('Temp Hisfa'!Q$3:Q$200))+1), ROW(149:348))),"")</f>
        <v>0</v>
      </c>
      <c r="R151" s="22">
        <f t="array" ref="R151">IFERROR(INDEX('Temp Hisfa'!R$3:R$200, SMALL(IF(ISERROR('Temp Hisfa'!R$3:R$200), "", ROW('Temp Hisfa'!R$3:R$200)-MIN(ROW('Temp Hisfa'!R$3:R$200))+1), ROW(149:348))),"")</f>
        <v>0</v>
      </c>
      <c r="S151" s="22">
        <f t="array" ref="S151">IFERROR(INDEX('Temp Hisfa'!S$3:S$200, SMALL(IF(ISERROR('Temp Hisfa'!S$3:S$200), "", ROW('Temp Hisfa'!S$3:S$200)-MIN(ROW('Temp Hisfa'!S$3:S$200))+1), ROW(149:348))),"")</f>
        <v>0</v>
      </c>
      <c r="T151" s="22">
        <f t="array" ref="T151">IFERROR(INDEX('Temp Hisfa'!T$3:T$200, SMALL(IF(ISERROR('Temp Hisfa'!T$3:T$200), "", ROW('Temp Hisfa'!T$3:T$200)-MIN(ROW('Temp Hisfa'!T$3:T$200))+1), ROW(149:348))),"")</f>
        <v>0</v>
      </c>
      <c r="U151" s="22">
        <f t="array" ref="U151">IFERROR(INDEX('Temp Hisfa'!U$3:U$200, SMALL(IF(ISERROR('Temp Hisfa'!U$3:U$200), "", ROW('Temp Hisfa'!U$3:U$200)-MIN(ROW('Temp Hisfa'!U$3:U$200))+1), ROW(149:348))),"")</f>
        <v>0</v>
      </c>
      <c r="V151" s="22">
        <f t="array" ref="V151">IFERROR(INDEX('Temp Hisfa'!V$3:V$200, SMALL(IF(ISERROR('Temp Hisfa'!V$3:V$200), "", ROW('Temp Hisfa'!V$3:V$200)-MIN(ROW('Temp Hisfa'!V$3:V$200))+1), ROW(149:348))),"")</f>
        <v>0</v>
      </c>
      <c r="W151" s="22">
        <f t="array" ref="W151">IFERROR(INDEX('Temp Hisfa'!W$3:W$200, SMALL(IF(ISERROR('Temp Hisfa'!W$3:W$200), "", ROW('Temp Hisfa'!W$3:W$200)-MIN(ROW('Temp Hisfa'!W$3:W$200))+1), ROW(149:348))),"")</f>
        <v>0</v>
      </c>
      <c r="X151" s="22">
        <f t="array" ref="X151">IFERROR(INDEX('Temp Hisfa'!X$3:X$200, SMALL(IF(ISERROR('Temp Hisfa'!X$3:X$200), "", ROW('Temp Hisfa'!X$3:X$200)-MIN(ROW('Temp Hisfa'!X$3:X$200))+1), ROW(149:348))),"")</f>
        <v>0</v>
      </c>
      <c r="Y151" s="22">
        <f t="array" ref="Y151">IFERROR(INDEX('Temp Hisfa'!Y$3:Y$200, SMALL(IF(ISERROR('Temp Hisfa'!Y$3:Y$200), "", ROW('Temp Hisfa'!Y$3:Y$200)-MIN(ROW('Temp Hisfa'!Y$3:Y$200))+1), ROW(149:348))),"")</f>
        <v>0</v>
      </c>
      <c r="Z151" s="22">
        <f t="array" ref="Z151">IFERROR(INDEX('Temp Hisfa'!Z$3:Z$200, SMALL(IF(ISERROR('Temp Hisfa'!Z$3:Z$200), "", ROW('Temp Hisfa'!Z$3:Z$200)-MIN(ROW('Temp Hisfa'!Z$3:Z$200))+1), ROW(149:348))),"")</f>
        <v>0</v>
      </c>
      <c r="AA151" s="22">
        <f t="array" ref="AA151">IFERROR(INDEX('Temp Hisfa'!AA$3:AA$200, SMALL(IF(ISERROR('Temp Hisfa'!AA$3:AA$200), "", ROW('Temp Hisfa'!AA$3:AA$200)-MIN(ROW('Temp Hisfa'!AA$3:AA$200))+1), ROW(149:348))),"")</f>
        <v>0</v>
      </c>
      <c r="AB151" s="22">
        <f t="array" ref="AB151">IFERROR(INDEX('Temp Hisfa'!AB$3:AB$200, SMALL(IF(ISERROR('Temp Hisfa'!AB$3:AB$200), "", ROW('Temp Hisfa'!AB$3:AB$200)-MIN(ROW('Temp Hisfa'!AB$3:AB$200))+1), ROW(149:348))),"")</f>
        <v>0</v>
      </c>
    </row>
    <row r="152" spans="1:28" hidden="1" x14ac:dyDescent="0.3">
      <c r="A152" s="4">
        <f t="array" ref="A152">IFERROR(INDEX('Temp Hisfa'!A$3:A$200, SMALL(IF(ISERROR('Temp Hisfa'!A$3:A$200), "", ROW('Temp Hisfa'!A$3:A$200)-MIN(ROW('Temp Hisfa'!A$3:A$200))+1), ROW(150:348))),"")</f>
        <v>0</v>
      </c>
      <c r="B152" s="4">
        <f t="array" ref="B152">IFERROR(INDEX('Temp Hisfa'!B$3:B$200, SMALL(IF(ISERROR('Temp Hisfa'!B$3:B$200), "", ROW('Temp Hisfa'!B$3:B$200)-MIN(ROW('Temp Hisfa'!B$3:B$200))+1), ROW(150:348))),"")</f>
        <v>0</v>
      </c>
      <c r="C152" s="3">
        <f t="array" ref="C152">IFERROR(INDEX('Temp Hisfa'!C$3:C$200, SMALL(IF(ISERROR('Temp Hisfa'!C$3:C$200), "", ROW('Temp Hisfa'!C$3:C$200)-MIN(ROW('Temp Hisfa'!C$3:C$200))+1), ROW(150:348))),"")</f>
        <v>0</v>
      </c>
      <c r="D152" s="3">
        <f t="array" ref="D152">IFERROR(INDEX('Temp Hisfa'!D$3:D$200, SMALL(IF(ISERROR('Temp Hisfa'!D$3:D$200), "", ROW('Temp Hisfa'!D$3:D$200)-MIN(ROW('Temp Hisfa'!D$3:D$200))+1), ROW(150:348))),"")</f>
        <v>0</v>
      </c>
      <c r="E152" s="29">
        <f t="array" ref="E152">IFERROR(INDEX('Temp Hisfa'!E$3:E$200, SMALL(IF(ISERROR('Temp Hisfa'!E$3:E$200), "", ROW('Temp Hisfa'!E$3:E$200)-MIN(ROW('Temp Hisfa'!E$3:E$200))+1), ROW(150:349))),"")</f>
        <v>0</v>
      </c>
      <c r="F152" s="22" t="str">
        <f t="array" ref="F152">IFERROR(INDEX('Temp Hisfa'!F$3:F$200, SMALL(IF(ISERROR('Temp Hisfa'!F$3:F$200), "", ROW('Temp Hisfa'!F$3:F$200)-MIN(ROW('Temp Hisfa'!F$3:F$200))+1), ROW(150:349))),"")</f>
        <v/>
      </c>
      <c r="G152" s="30">
        <f t="array" ref="G152">IFERROR(INDEX('Temp Hisfa'!G$3:G$200, SMALL(IF(ISERROR('Temp Hisfa'!G$3:G$200), "", ROW('Temp Hisfa'!G$3:G$200)-MIN(ROW('Temp Hisfa'!G$3:G$200))+1), ROW(150:349))),"")</f>
        <v>0</v>
      </c>
      <c r="H152" s="22" t="str">
        <f t="array" ref="H152">IFERROR(INDEX('Temp Hisfa'!H$3:H$200, SMALL(IF(ISERROR('Temp Hisfa'!H$3:H$200), "", ROW('Temp Hisfa'!H$3:H$200)-MIN(ROW('Temp Hisfa'!H$3:H$200))+1), ROW(150:349))),"")</f>
        <v/>
      </c>
      <c r="I152" s="22">
        <f t="array" ref="I152">IFERROR(INDEX('Temp Hisfa'!I$3:I$200, SMALL(IF(ISERROR('Temp Hisfa'!I$3:I$200), "", ROW('Temp Hisfa'!I$3:I$200)-MIN(ROW('Temp Hisfa'!I$3:I$200))+1), ROW(150:349))),"")</f>
        <v>0</v>
      </c>
      <c r="J152" s="22">
        <f t="array" ref="J152">IFERROR(INDEX('Temp Hisfa'!J$3:J$200, SMALL(IF(ISERROR('Temp Hisfa'!J$3:J$200), "", ROW('Temp Hisfa'!J$3:J$200)-MIN(ROW('Temp Hisfa'!J$3:J$200))+1), ROW(150:349))),"")</f>
        <v>0</v>
      </c>
      <c r="K152" s="30">
        <f t="array" ref="K152">IFERROR(INDEX('Temp Hisfa'!K$3:K$200, SMALL(IF(ISERROR('Temp Hisfa'!K$3:K$200), "", ROW('Temp Hisfa'!K$3:K$200)-MIN(ROW('Temp Hisfa'!K$3:K$200))+1), ROW(150:349))),"")</f>
        <v>0</v>
      </c>
      <c r="L152" s="22">
        <f t="array" ref="L152">IFERROR(INDEX('Temp Hisfa'!L$3:L$200, SMALL(IF(ISERROR('Temp Hisfa'!L$3:L$200), "", ROW('Temp Hisfa'!L$3:L$200)-MIN(ROW('Temp Hisfa'!L$3:L$200))+1), ROW(150:349))),"")</f>
        <v>0</v>
      </c>
      <c r="M152" s="22">
        <f t="array" ref="M152">IFERROR(INDEX('Temp Hisfa'!M$3:M$200, SMALL(IF(ISERROR('Temp Hisfa'!M$3:M$200), "", ROW('Temp Hisfa'!M$3:M$200)-MIN(ROW('Temp Hisfa'!M$3:M$200))+1), ROW(150:349))),"")</f>
        <v>0</v>
      </c>
      <c r="N152" s="22">
        <f t="array" ref="N152">IFERROR(INDEX('Temp Hisfa'!N$3:N$200, SMALL(IF(ISERROR('Temp Hisfa'!N$3:N$200), "", ROW('Temp Hisfa'!N$3:N$200)-MIN(ROW('Temp Hisfa'!N$3:N$200))+1), ROW(150:349))),"")</f>
        <v>1900</v>
      </c>
      <c r="O152" s="22" t="str">
        <f t="array" ref="O152">IFERROR(INDEX('Temp Hisfa'!O$3:O$200, SMALL(IF(ISERROR('Temp Hisfa'!O$3:O$200), "", ROW('Temp Hisfa'!O$3:O$200)-MIN(ROW('Temp Hisfa'!O$3:O$200))+1), ROW(150:349))),"")</f>
        <v>enero</v>
      </c>
      <c r="P152" s="22">
        <f t="array" ref="P152">IFERROR(INDEX('Temp Hisfa'!P$3:P$200, SMALL(IF(ISERROR('Temp Hisfa'!P$3:P$200), "", ROW('Temp Hisfa'!P$3:P$200)-MIN(ROW('Temp Hisfa'!P$3:P$200))+1), ROW(150:349))),"")</f>
        <v>0</v>
      </c>
      <c r="Q152" s="22">
        <f t="array" ref="Q152">IFERROR(INDEX('Temp Hisfa'!Q$3:Q$200, SMALL(IF(ISERROR('Temp Hisfa'!Q$3:Q$200), "", ROW('Temp Hisfa'!Q$3:Q$200)-MIN(ROW('Temp Hisfa'!Q$3:Q$200))+1), ROW(150:349))),"")</f>
        <v>0</v>
      </c>
      <c r="R152" s="22">
        <f t="array" ref="R152">IFERROR(INDEX('Temp Hisfa'!R$3:R$200, SMALL(IF(ISERROR('Temp Hisfa'!R$3:R$200), "", ROW('Temp Hisfa'!R$3:R$200)-MIN(ROW('Temp Hisfa'!R$3:R$200))+1), ROW(150:349))),"")</f>
        <v>0</v>
      </c>
      <c r="S152" s="22">
        <f t="array" ref="S152">IFERROR(INDEX('Temp Hisfa'!S$3:S$200, SMALL(IF(ISERROR('Temp Hisfa'!S$3:S$200), "", ROW('Temp Hisfa'!S$3:S$200)-MIN(ROW('Temp Hisfa'!S$3:S$200))+1), ROW(150:349))),"")</f>
        <v>0</v>
      </c>
      <c r="T152" s="22">
        <f t="array" ref="T152">IFERROR(INDEX('Temp Hisfa'!T$3:T$200, SMALL(IF(ISERROR('Temp Hisfa'!T$3:T$200), "", ROW('Temp Hisfa'!T$3:T$200)-MIN(ROW('Temp Hisfa'!T$3:T$200))+1), ROW(150:349))),"")</f>
        <v>0</v>
      </c>
      <c r="U152" s="22">
        <f t="array" ref="U152">IFERROR(INDEX('Temp Hisfa'!U$3:U$200, SMALL(IF(ISERROR('Temp Hisfa'!U$3:U$200), "", ROW('Temp Hisfa'!U$3:U$200)-MIN(ROW('Temp Hisfa'!U$3:U$200))+1), ROW(150:349))),"")</f>
        <v>0</v>
      </c>
      <c r="V152" s="22">
        <f t="array" ref="V152">IFERROR(INDEX('Temp Hisfa'!V$3:V$200, SMALL(IF(ISERROR('Temp Hisfa'!V$3:V$200), "", ROW('Temp Hisfa'!V$3:V$200)-MIN(ROW('Temp Hisfa'!V$3:V$200))+1), ROW(150:349))),"")</f>
        <v>0</v>
      </c>
      <c r="W152" s="22">
        <f t="array" ref="W152">IFERROR(INDEX('Temp Hisfa'!W$3:W$200, SMALL(IF(ISERROR('Temp Hisfa'!W$3:W$200), "", ROW('Temp Hisfa'!W$3:W$200)-MIN(ROW('Temp Hisfa'!W$3:W$200))+1), ROW(150:349))),"")</f>
        <v>0</v>
      </c>
      <c r="X152" s="22">
        <f t="array" ref="X152">IFERROR(INDEX('Temp Hisfa'!X$3:X$200, SMALL(IF(ISERROR('Temp Hisfa'!X$3:X$200), "", ROW('Temp Hisfa'!X$3:X$200)-MIN(ROW('Temp Hisfa'!X$3:X$200))+1), ROW(150:349))),"")</f>
        <v>0</v>
      </c>
      <c r="Y152" s="22">
        <f t="array" ref="Y152">IFERROR(INDEX('Temp Hisfa'!Y$3:Y$200, SMALL(IF(ISERROR('Temp Hisfa'!Y$3:Y$200), "", ROW('Temp Hisfa'!Y$3:Y$200)-MIN(ROW('Temp Hisfa'!Y$3:Y$200))+1), ROW(150:349))),"")</f>
        <v>0</v>
      </c>
      <c r="Z152" s="22">
        <f t="array" ref="Z152">IFERROR(INDEX('Temp Hisfa'!Z$3:Z$200, SMALL(IF(ISERROR('Temp Hisfa'!Z$3:Z$200), "", ROW('Temp Hisfa'!Z$3:Z$200)-MIN(ROW('Temp Hisfa'!Z$3:Z$200))+1), ROW(150:349))),"")</f>
        <v>0</v>
      </c>
      <c r="AA152" s="22">
        <f t="array" ref="AA152">IFERROR(INDEX('Temp Hisfa'!AA$3:AA$200, SMALL(IF(ISERROR('Temp Hisfa'!AA$3:AA$200), "", ROW('Temp Hisfa'!AA$3:AA$200)-MIN(ROW('Temp Hisfa'!AA$3:AA$200))+1), ROW(150:349))),"")</f>
        <v>0</v>
      </c>
      <c r="AB152" s="22">
        <f t="array" ref="AB152">IFERROR(INDEX('Temp Hisfa'!AB$3:AB$200, SMALL(IF(ISERROR('Temp Hisfa'!AB$3:AB$200), "", ROW('Temp Hisfa'!AB$3:AB$200)-MIN(ROW('Temp Hisfa'!AB$3:AB$200))+1), ROW(150:349))),"")</f>
        <v>0</v>
      </c>
    </row>
    <row r="153" spans="1:28" hidden="1" x14ac:dyDescent="0.3">
      <c r="A153" s="4">
        <f t="array" ref="A153">IFERROR(INDEX('Temp Hisfa'!A$3:A$200, SMALL(IF(ISERROR('Temp Hisfa'!A$3:A$200), "", ROW('Temp Hisfa'!A$3:A$200)-MIN(ROW('Temp Hisfa'!A$3:A$200))+1), ROW(151:349))),"")</f>
        <v>0</v>
      </c>
      <c r="B153" s="4">
        <f t="array" ref="B153">IFERROR(INDEX('Temp Hisfa'!B$3:B$200, SMALL(IF(ISERROR('Temp Hisfa'!B$3:B$200), "", ROW('Temp Hisfa'!B$3:B$200)-MIN(ROW('Temp Hisfa'!B$3:B$200))+1), ROW(151:349))),"")</f>
        <v>0</v>
      </c>
      <c r="C153" s="3">
        <f t="array" ref="C153">IFERROR(INDEX('Temp Hisfa'!C$3:C$200, SMALL(IF(ISERROR('Temp Hisfa'!C$3:C$200), "", ROW('Temp Hisfa'!C$3:C$200)-MIN(ROW('Temp Hisfa'!C$3:C$200))+1), ROW(151:349))),"")</f>
        <v>0</v>
      </c>
      <c r="D153" s="3">
        <f t="array" ref="D153">IFERROR(INDEX('Temp Hisfa'!D$3:D$200, SMALL(IF(ISERROR('Temp Hisfa'!D$3:D$200), "", ROW('Temp Hisfa'!D$3:D$200)-MIN(ROW('Temp Hisfa'!D$3:D$200))+1), ROW(151:349))),"")</f>
        <v>0</v>
      </c>
      <c r="E153" s="29">
        <f t="array" ref="E153">IFERROR(INDEX('Temp Hisfa'!E$3:E$200, SMALL(IF(ISERROR('Temp Hisfa'!E$3:E$200), "", ROW('Temp Hisfa'!E$3:E$200)-MIN(ROW('Temp Hisfa'!E$3:E$200))+1), ROW(151:350))),"")</f>
        <v>0</v>
      </c>
      <c r="F153" s="22" t="str">
        <f t="array" ref="F153">IFERROR(INDEX('Temp Hisfa'!F$3:F$200, SMALL(IF(ISERROR('Temp Hisfa'!F$3:F$200), "", ROW('Temp Hisfa'!F$3:F$200)-MIN(ROW('Temp Hisfa'!F$3:F$200))+1), ROW(151:350))),"")</f>
        <v/>
      </c>
      <c r="G153" s="30">
        <f t="array" ref="G153">IFERROR(INDEX('Temp Hisfa'!G$3:G$200, SMALL(IF(ISERROR('Temp Hisfa'!G$3:G$200), "", ROW('Temp Hisfa'!G$3:G$200)-MIN(ROW('Temp Hisfa'!G$3:G$200))+1), ROW(151:350))),"")</f>
        <v>0</v>
      </c>
      <c r="H153" s="22" t="str">
        <f t="array" ref="H153">IFERROR(INDEX('Temp Hisfa'!H$3:H$200, SMALL(IF(ISERROR('Temp Hisfa'!H$3:H$200), "", ROW('Temp Hisfa'!H$3:H$200)-MIN(ROW('Temp Hisfa'!H$3:H$200))+1), ROW(151:350))),"")</f>
        <v/>
      </c>
      <c r="I153" s="22">
        <f t="array" ref="I153">IFERROR(INDEX('Temp Hisfa'!I$3:I$200, SMALL(IF(ISERROR('Temp Hisfa'!I$3:I$200), "", ROW('Temp Hisfa'!I$3:I$200)-MIN(ROW('Temp Hisfa'!I$3:I$200))+1), ROW(151:350))),"")</f>
        <v>0</v>
      </c>
      <c r="J153" s="22">
        <f t="array" ref="J153">IFERROR(INDEX('Temp Hisfa'!J$3:J$200, SMALL(IF(ISERROR('Temp Hisfa'!J$3:J$200), "", ROW('Temp Hisfa'!J$3:J$200)-MIN(ROW('Temp Hisfa'!J$3:J$200))+1), ROW(151:350))),"")</f>
        <v>0</v>
      </c>
      <c r="K153" s="30">
        <f t="array" ref="K153">IFERROR(INDEX('Temp Hisfa'!K$3:K$200, SMALL(IF(ISERROR('Temp Hisfa'!K$3:K$200), "", ROW('Temp Hisfa'!K$3:K$200)-MIN(ROW('Temp Hisfa'!K$3:K$200))+1), ROW(151:350))),"")</f>
        <v>0</v>
      </c>
      <c r="L153" s="22">
        <f t="array" ref="L153">IFERROR(INDEX('Temp Hisfa'!L$3:L$200, SMALL(IF(ISERROR('Temp Hisfa'!L$3:L$200), "", ROW('Temp Hisfa'!L$3:L$200)-MIN(ROW('Temp Hisfa'!L$3:L$200))+1), ROW(151:350))),"")</f>
        <v>0</v>
      </c>
      <c r="M153" s="22">
        <f t="array" ref="M153">IFERROR(INDEX('Temp Hisfa'!M$3:M$200, SMALL(IF(ISERROR('Temp Hisfa'!M$3:M$200), "", ROW('Temp Hisfa'!M$3:M$200)-MIN(ROW('Temp Hisfa'!M$3:M$200))+1), ROW(151:350))),"")</f>
        <v>0</v>
      </c>
      <c r="N153" s="22">
        <f t="array" ref="N153">IFERROR(INDEX('Temp Hisfa'!N$3:N$200, SMALL(IF(ISERROR('Temp Hisfa'!N$3:N$200), "", ROW('Temp Hisfa'!N$3:N$200)-MIN(ROW('Temp Hisfa'!N$3:N$200))+1), ROW(151:350))),"")</f>
        <v>1900</v>
      </c>
      <c r="O153" s="22" t="str">
        <f t="array" ref="O153">IFERROR(INDEX('Temp Hisfa'!O$3:O$200, SMALL(IF(ISERROR('Temp Hisfa'!O$3:O$200), "", ROW('Temp Hisfa'!O$3:O$200)-MIN(ROW('Temp Hisfa'!O$3:O$200))+1), ROW(151:350))),"")</f>
        <v>enero</v>
      </c>
      <c r="P153" s="22">
        <f t="array" ref="P153">IFERROR(INDEX('Temp Hisfa'!P$3:P$200, SMALL(IF(ISERROR('Temp Hisfa'!P$3:P$200), "", ROW('Temp Hisfa'!P$3:P$200)-MIN(ROW('Temp Hisfa'!P$3:P$200))+1), ROW(151:350))),"")</f>
        <v>0</v>
      </c>
      <c r="Q153" s="22">
        <f t="array" ref="Q153">IFERROR(INDEX('Temp Hisfa'!Q$3:Q$200, SMALL(IF(ISERROR('Temp Hisfa'!Q$3:Q$200), "", ROW('Temp Hisfa'!Q$3:Q$200)-MIN(ROW('Temp Hisfa'!Q$3:Q$200))+1), ROW(151:350))),"")</f>
        <v>0</v>
      </c>
      <c r="R153" s="22">
        <f t="array" ref="R153">IFERROR(INDEX('Temp Hisfa'!R$3:R$200, SMALL(IF(ISERROR('Temp Hisfa'!R$3:R$200), "", ROW('Temp Hisfa'!R$3:R$200)-MIN(ROW('Temp Hisfa'!R$3:R$200))+1), ROW(151:350))),"")</f>
        <v>0</v>
      </c>
      <c r="S153" s="22">
        <f t="array" ref="S153">IFERROR(INDEX('Temp Hisfa'!S$3:S$200, SMALL(IF(ISERROR('Temp Hisfa'!S$3:S$200), "", ROW('Temp Hisfa'!S$3:S$200)-MIN(ROW('Temp Hisfa'!S$3:S$200))+1), ROW(151:350))),"")</f>
        <v>0</v>
      </c>
      <c r="T153" s="22">
        <f t="array" ref="T153">IFERROR(INDEX('Temp Hisfa'!T$3:T$200, SMALL(IF(ISERROR('Temp Hisfa'!T$3:T$200), "", ROW('Temp Hisfa'!T$3:T$200)-MIN(ROW('Temp Hisfa'!T$3:T$200))+1), ROW(151:350))),"")</f>
        <v>0</v>
      </c>
      <c r="U153" s="22">
        <f t="array" ref="U153">IFERROR(INDEX('Temp Hisfa'!U$3:U$200, SMALL(IF(ISERROR('Temp Hisfa'!U$3:U$200), "", ROW('Temp Hisfa'!U$3:U$200)-MIN(ROW('Temp Hisfa'!U$3:U$200))+1), ROW(151:350))),"")</f>
        <v>0</v>
      </c>
      <c r="V153" s="22">
        <f t="array" ref="V153">IFERROR(INDEX('Temp Hisfa'!V$3:V$200, SMALL(IF(ISERROR('Temp Hisfa'!V$3:V$200), "", ROW('Temp Hisfa'!V$3:V$200)-MIN(ROW('Temp Hisfa'!V$3:V$200))+1), ROW(151:350))),"")</f>
        <v>0</v>
      </c>
      <c r="W153" s="22">
        <f t="array" ref="W153">IFERROR(INDEX('Temp Hisfa'!W$3:W$200, SMALL(IF(ISERROR('Temp Hisfa'!W$3:W$200), "", ROW('Temp Hisfa'!W$3:W$200)-MIN(ROW('Temp Hisfa'!W$3:W$200))+1), ROW(151:350))),"")</f>
        <v>0</v>
      </c>
      <c r="X153" s="22">
        <f t="array" ref="X153">IFERROR(INDEX('Temp Hisfa'!X$3:X$200, SMALL(IF(ISERROR('Temp Hisfa'!X$3:X$200), "", ROW('Temp Hisfa'!X$3:X$200)-MIN(ROW('Temp Hisfa'!X$3:X$200))+1), ROW(151:350))),"")</f>
        <v>0</v>
      </c>
      <c r="Y153" s="22">
        <f t="array" ref="Y153">IFERROR(INDEX('Temp Hisfa'!Y$3:Y$200, SMALL(IF(ISERROR('Temp Hisfa'!Y$3:Y$200), "", ROW('Temp Hisfa'!Y$3:Y$200)-MIN(ROW('Temp Hisfa'!Y$3:Y$200))+1), ROW(151:350))),"")</f>
        <v>0</v>
      </c>
      <c r="Z153" s="22">
        <f t="array" ref="Z153">IFERROR(INDEX('Temp Hisfa'!Z$3:Z$200, SMALL(IF(ISERROR('Temp Hisfa'!Z$3:Z$200), "", ROW('Temp Hisfa'!Z$3:Z$200)-MIN(ROW('Temp Hisfa'!Z$3:Z$200))+1), ROW(151:350))),"")</f>
        <v>0</v>
      </c>
      <c r="AA153" s="22">
        <f t="array" ref="AA153">IFERROR(INDEX('Temp Hisfa'!AA$3:AA$200, SMALL(IF(ISERROR('Temp Hisfa'!AA$3:AA$200), "", ROW('Temp Hisfa'!AA$3:AA$200)-MIN(ROW('Temp Hisfa'!AA$3:AA$200))+1), ROW(151:350))),"")</f>
        <v>0</v>
      </c>
      <c r="AB153" s="22">
        <f t="array" ref="AB153">IFERROR(INDEX('Temp Hisfa'!AB$3:AB$200, SMALL(IF(ISERROR('Temp Hisfa'!AB$3:AB$200), "", ROW('Temp Hisfa'!AB$3:AB$200)-MIN(ROW('Temp Hisfa'!AB$3:AB$200))+1), ROW(151:350))),"")</f>
        <v>0</v>
      </c>
    </row>
    <row r="154" spans="1:28" hidden="1" x14ac:dyDescent="0.3">
      <c r="A154" s="4">
        <f t="array" ref="A154">IFERROR(INDEX('Temp Hisfa'!A$3:A$200, SMALL(IF(ISERROR('Temp Hisfa'!A$3:A$200), "", ROW('Temp Hisfa'!A$3:A$200)-MIN(ROW('Temp Hisfa'!A$3:A$200))+1), ROW(152:350))),"")</f>
        <v>0</v>
      </c>
      <c r="B154" s="4">
        <f t="array" ref="B154">IFERROR(INDEX('Temp Hisfa'!B$3:B$200, SMALL(IF(ISERROR('Temp Hisfa'!B$3:B$200), "", ROW('Temp Hisfa'!B$3:B$200)-MIN(ROW('Temp Hisfa'!B$3:B$200))+1), ROW(152:350))),"")</f>
        <v>0</v>
      </c>
      <c r="C154" s="3">
        <f t="array" ref="C154">IFERROR(INDEX('Temp Hisfa'!C$3:C$200, SMALL(IF(ISERROR('Temp Hisfa'!C$3:C$200), "", ROW('Temp Hisfa'!C$3:C$200)-MIN(ROW('Temp Hisfa'!C$3:C$200))+1), ROW(152:350))),"")</f>
        <v>0</v>
      </c>
      <c r="D154" s="3">
        <f t="array" ref="D154">IFERROR(INDEX('Temp Hisfa'!D$3:D$200, SMALL(IF(ISERROR('Temp Hisfa'!D$3:D$200), "", ROW('Temp Hisfa'!D$3:D$200)-MIN(ROW('Temp Hisfa'!D$3:D$200))+1), ROW(152:350))),"")</f>
        <v>0</v>
      </c>
      <c r="E154" s="29">
        <f t="array" ref="E154">IFERROR(INDEX('Temp Hisfa'!E$3:E$200, SMALL(IF(ISERROR('Temp Hisfa'!E$3:E$200), "", ROW('Temp Hisfa'!E$3:E$200)-MIN(ROW('Temp Hisfa'!E$3:E$200))+1), ROW(152:351))),"")</f>
        <v>0</v>
      </c>
      <c r="F154" s="22" t="str">
        <f t="array" ref="F154">IFERROR(INDEX('Temp Hisfa'!F$3:F$200, SMALL(IF(ISERROR('Temp Hisfa'!F$3:F$200), "", ROW('Temp Hisfa'!F$3:F$200)-MIN(ROW('Temp Hisfa'!F$3:F$200))+1), ROW(152:351))),"")</f>
        <v/>
      </c>
      <c r="G154" s="30">
        <f t="array" ref="G154">IFERROR(INDEX('Temp Hisfa'!G$3:G$200, SMALL(IF(ISERROR('Temp Hisfa'!G$3:G$200), "", ROW('Temp Hisfa'!G$3:G$200)-MIN(ROW('Temp Hisfa'!G$3:G$200))+1), ROW(152:351))),"")</f>
        <v>0</v>
      </c>
      <c r="H154" s="22" t="str">
        <f t="array" ref="H154">IFERROR(INDEX('Temp Hisfa'!H$3:H$200, SMALL(IF(ISERROR('Temp Hisfa'!H$3:H$200), "", ROW('Temp Hisfa'!H$3:H$200)-MIN(ROW('Temp Hisfa'!H$3:H$200))+1), ROW(152:351))),"")</f>
        <v/>
      </c>
      <c r="I154" s="22">
        <f t="array" ref="I154">IFERROR(INDEX('Temp Hisfa'!I$3:I$200, SMALL(IF(ISERROR('Temp Hisfa'!I$3:I$200), "", ROW('Temp Hisfa'!I$3:I$200)-MIN(ROW('Temp Hisfa'!I$3:I$200))+1), ROW(152:351))),"")</f>
        <v>0</v>
      </c>
      <c r="J154" s="22">
        <f t="array" ref="J154">IFERROR(INDEX('Temp Hisfa'!J$3:J$200, SMALL(IF(ISERROR('Temp Hisfa'!J$3:J$200), "", ROW('Temp Hisfa'!J$3:J$200)-MIN(ROW('Temp Hisfa'!J$3:J$200))+1), ROW(152:351))),"")</f>
        <v>0</v>
      </c>
      <c r="K154" s="30">
        <f t="array" ref="K154">IFERROR(INDEX('Temp Hisfa'!K$3:K$200, SMALL(IF(ISERROR('Temp Hisfa'!K$3:K$200), "", ROW('Temp Hisfa'!K$3:K$200)-MIN(ROW('Temp Hisfa'!K$3:K$200))+1), ROW(152:351))),"")</f>
        <v>0</v>
      </c>
      <c r="L154" s="22">
        <f t="array" ref="L154">IFERROR(INDEX('Temp Hisfa'!L$3:L$200, SMALL(IF(ISERROR('Temp Hisfa'!L$3:L$200), "", ROW('Temp Hisfa'!L$3:L$200)-MIN(ROW('Temp Hisfa'!L$3:L$200))+1), ROW(152:351))),"")</f>
        <v>0</v>
      </c>
      <c r="M154" s="22">
        <f t="array" ref="M154">IFERROR(INDEX('Temp Hisfa'!M$3:M$200, SMALL(IF(ISERROR('Temp Hisfa'!M$3:M$200), "", ROW('Temp Hisfa'!M$3:M$200)-MIN(ROW('Temp Hisfa'!M$3:M$200))+1), ROW(152:351))),"")</f>
        <v>0</v>
      </c>
      <c r="N154" s="22">
        <f t="array" ref="N154">IFERROR(INDEX('Temp Hisfa'!N$3:N$200, SMALL(IF(ISERROR('Temp Hisfa'!N$3:N$200), "", ROW('Temp Hisfa'!N$3:N$200)-MIN(ROW('Temp Hisfa'!N$3:N$200))+1), ROW(152:351))),"")</f>
        <v>1900</v>
      </c>
      <c r="O154" s="22" t="str">
        <f t="array" ref="O154">IFERROR(INDEX('Temp Hisfa'!O$3:O$200, SMALL(IF(ISERROR('Temp Hisfa'!O$3:O$200), "", ROW('Temp Hisfa'!O$3:O$200)-MIN(ROW('Temp Hisfa'!O$3:O$200))+1), ROW(152:351))),"")</f>
        <v>enero</v>
      </c>
      <c r="P154" s="22">
        <f t="array" ref="P154">IFERROR(INDEX('Temp Hisfa'!P$3:P$200, SMALL(IF(ISERROR('Temp Hisfa'!P$3:P$200), "", ROW('Temp Hisfa'!P$3:P$200)-MIN(ROW('Temp Hisfa'!P$3:P$200))+1), ROW(152:351))),"")</f>
        <v>0</v>
      </c>
      <c r="Q154" s="22">
        <f t="array" ref="Q154">IFERROR(INDEX('Temp Hisfa'!Q$3:Q$200, SMALL(IF(ISERROR('Temp Hisfa'!Q$3:Q$200), "", ROW('Temp Hisfa'!Q$3:Q$200)-MIN(ROW('Temp Hisfa'!Q$3:Q$200))+1), ROW(152:351))),"")</f>
        <v>0</v>
      </c>
      <c r="R154" s="22">
        <f t="array" ref="R154">IFERROR(INDEX('Temp Hisfa'!R$3:R$200, SMALL(IF(ISERROR('Temp Hisfa'!R$3:R$200), "", ROW('Temp Hisfa'!R$3:R$200)-MIN(ROW('Temp Hisfa'!R$3:R$200))+1), ROW(152:351))),"")</f>
        <v>0</v>
      </c>
      <c r="S154" s="22">
        <f t="array" ref="S154">IFERROR(INDEX('Temp Hisfa'!S$3:S$200, SMALL(IF(ISERROR('Temp Hisfa'!S$3:S$200), "", ROW('Temp Hisfa'!S$3:S$200)-MIN(ROW('Temp Hisfa'!S$3:S$200))+1), ROW(152:351))),"")</f>
        <v>0</v>
      </c>
      <c r="T154" s="22">
        <f t="array" ref="T154">IFERROR(INDEX('Temp Hisfa'!T$3:T$200, SMALL(IF(ISERROR('Temp Hisfa'!T$3:T$200), "", ROW('Temp Hisfa'!T$3:T$200)-MIN(ROW('Temp Hisfa'!T$3:T$200))+1), ROW(152:351))),"")</f>
        <v>0</v>
      </c>
      <c r="U154" s="22">
        <f t="array" ref="U154">IFERROR(INDEX('Temp Hisfa'!U$3:U$200, SMALL(IF(ISERROR('Temp Hisfa'!U$3:U$200), "", ROW('Temp Hisfa'!U$3:U$200)-MIN(ROW('Temp Hisfa'!U$3:U$200))+1), ROW(152:351))),"")</f>
        <v>0</v>
      </c>
      <c r="V154" s="22">
        <f t="array" ref="V154">IFERROR(INDEX('Temp Hisfa'!V$3:V$200, SMALL(IF(ISERROR('Temp Hisfa'!V$3:V$200), "", ROW('Temp Hisfa'!V$3:V$200)-MIN(ROW('Temp Hisfa'!V$3:V$200))+1), ROW(152:351))),"")</f>
        <v>0</v>
      </c>
      <c r="W154" s="22">
        <f t="array" ref="W154">IFERROR(INDEX('Temp Hisfa'!W$3:W$200, SMALL(IF(ISERROR('Temp Hisfa'!W$3:W$200), "", ROW('Temp Hisfa'!W$3:W$200)-MIN(ROW('Temp Hisfa'!W$3:W$200))+1), ROW(152:351))),"")</f>
        <v>0</v>
      </c>
      <c r="X154" s="22">
        <f t="array" ref="X154">IFERROR(INDEX('Temp Hisfa'!X$3:X$200, SMALL(IF(ISERROR('Temp Hisfa'!X$3:X$200), "", ROW('Temp Hisfa'!X$3:X$200)-MIN(ROW('Temp Hisfa'!X$3:X$200))+1), ROW(152:351))),"")</f>
        <v>0</v>
      </c>
      <c r="Y154" s="22">
        <f t="array" ref="Y154">IFERROR(INDEX('Temp Hisfa'!Y$3:Y$200, SMALL(IF(ISERROR('Temp Hisfa'!Y$3:Y$200), "", ROW('Temp Hisfa'!Y$3:Y$200)-MIN(ROW('Temp Hisfa'!Y$3:Y$200))+1), ROW(152:351))),"")</f>
        <v>0</v>
      </c>
      <c r="Z154" s="22">
        <f t="array" ref="Z154">IFERROR(INDEX('Temp Hisfa'!Z$3:Z$200, SMALL(IF(ISERROR('Temp Hisfa'!Z$3:Z$200), "", ROW('Temp Hisfa'!Z$3:Z$200)-MIN(ROW('Temp Hisfa'!Z$3:Z$200))+1), ROW(152:351))),"")</f>
        <v>0</v>
      </c>
      <c r="AA154" s="22">
        <f t="array" ref="AA154">IFERROR(INDEX('Temp Hisfa'!AA$3:AA$200, SMALL(IF(ISERROR('Temp Hisfa'!AA$3:AA$200), "", ROW('Temp Hisfa'!AA$3:AA$200)-MIN(ROW('Temp Hisfa'!AA$3:AA$200))+1), ROW(152:351))),"")</f>
        <v>0</v>
      </c>
      <c r="AB154" s="22">
        <f t="array" ref="AB154">IFERROR(INDEX('Temp Hisfa'!AB$3:AB$200, SMALL(IF(ISERROR('Temp Hisfa'!AB$3:AB$200), "", ROW('Temp Hisfa'!AB$3:AB$200)-MIN(ROW('Temp Hisfa'!AB$3:AB$200))+1), ROW(152:351))),"")</f>
        <v>0</v>
      </c>
    </row>
    <row r="155" spans="1:28" hidden="1" x14ac:dyDescent="0.3">
      <c r="A155" s="4">
        <f t="array" ref="A155">IFERROR(INDEX('Temp Hisfa'!A$3:A$200, SMALL(IF(ISERROR('Temp Hisfa'!A$3:A$200), "", ROW('Temp Hisfa'!A$3:A$200)-MIN(ROW('Temp Hisfa'!A$3:A$200))+1), ROW(153:351))),"")</f>
        <v>0</v>
      </c>
      <c r="B155" s="4">
        <f t="array" ref="B155">IFERROR(INDEX('Temp Hisfa'!B$3:B$200, SMALL(IF(ISERROR('Temp Hisfa'!B$3:B$200), "", ROW('Temp Hisfa'!B$3:B$200)-MIN(ROW('Temp Hisfa'!B$3:B$200))+1), ROW(153:351))),"")</f>
        <v>0</v>
      </c>
      <c r="C155" s="3">
        <f t="array" ref="C155">IFERROR(INDEX('Temp Hisfa'!C$3:C$200, SMALL(IF(ISERROR('Temp Hisfa'!C$3:C$200), "", ROW('Temp Hisfa'!C$3:C$200)-MIN(ROW('Temp Hisfa'!C$3:C$200))+1), ROW(153:351))),"")</f>
        <v>0</v>
      </c>
      <c r="D155" s="3">
        <f t="array" ref="D155">IFERROR(INDEX('Temp Hisfa'!D$3:D$200, SMALL(IF(ISERROR('Temp Hisfa'!D$3:D$200), "", ROW('Temp Hisfa'!D$3:D$200)-MIN(ROW('Temp Hisfa'!D$3:D$200))+1), ROW(153:351))),"")</f>
        <v>0</v>
      </c>
      <c r="E155" s="29">
        <f t="array" ref="E155">IFERROR(INDEX('Temp Hisfa'!E$3:E$200, SMALL(IF(ISERROR('Temp Hisfa'!E$3:E$200), "", ROW('Temp Hisfa'!E$3:E$200)-MIN(ROW('Temp Hisfa'!E$3:E$200))+1), ROW(153:352))),"")</f>
        <v>0</v>
      </c>
      <c r="F155" s="22" t="str">
        <f t="array" ref="F155">IFERROR(INDEX('Temp Hisfa'!F$3:F$200, SMALL(IF(ISERROR('Temp Hisfa'!F$3:F$200), "", ROW('Temp Hisfa'!F$3:F$200)-MIN(ROW('Temp Hisfa'!F$3:F$200))+1), ROW(153:352))),"")</f>
        <v/>
      </c>
      <c r="G155" s="30">
        <f t="array" ref="G155">IFERROR(INDEX('Temp Hisfa'!G$3:G$200, SMALL(IF(ISERROR('Temp Hisfa'!G$3:G$200), "", ROW('Temp Hisfa'!G$3:G$200)-MIN(ROW('Temp Hisfa'!G$3:G$200))+1), ROW(153:352))),"")</f>
        <v>0</v>
      </c>
      <c r="H155" s="22" t="str">
        <f t="array" ref="H155">IFERROR(INDEX('Temp Hisfa'!H$3:H$200, SMALL(IF(ISERROR('Temp Hisfa'!H$3:H$200), "", ROW('Temp Hisfa'!H$3:H$200)-MIN(ROW('Temp Hisfa'!H$3:H$200))+1), ROW(153:352))),"")</f>
        <v/>
      </c>
      <c r="I155" s="22">
        <f t="array" ref="I155">IFERROR(INDEX('Temp Hisfa'!I$3:I$200, SMALL(IF(ISERROR('Temp Hisfa'!I$3:I$200), "", ROW('Temp Hisfa'!I$3:I$200)-MIN(ROW('Temp Hisfa'!I$3:I$200))+1), ROW(153:352))),"")</f>
        <v>0</v>
      </c>
      <c r="J155" s="22">
        <f t="array" ref="J155">IFERROR(INDEX('Temp Hisfa'!J$3:J$200, SMALL(IF(ISERROR('Temp Hisfa'!J$3:J$200), "", ROW('Temp Hisfa'!J$3:J$200)-MIN(ROW('Temp Hisfa'!J$3:J$200))+1), ROW(153:352))),"")</f>
        <v>0</v>
      </c>
      <c r="K155" s="30">
        <f t="array" ref="K155">IFERROR(INDEX('Temp Hisfa'!K$3:K$200, SMALL(IF(ISERROR('Temp Hisfa'!K$3:K$200), "", ROW('Temp Hisfa'!K$3:K$200)-MIN(ROW('Temp Hisfa'!K$3:K$200))+1), ROW(153:352))),"")</f>
        <v>0</v>
      </c>
      <c r="L155" s="22">
        <f t="array" ref="L155">IFERROR(INDEX('Temp Hisfa'!L$3:L$200, SMALL(IF(ISERROR('Temp Hisfa'!L$3:L$200), "", ROW('Temp Hisfa'!L$3:L$200)-MIN(ROW('Temp Hisfa'!L$3:L$200))+1), ROW(153:352))),"")</f>
        <v>0</v>
      </c>
      <c r="M155" s="22">
        <f t="array" ref="M155">IFERROR(INDEX('Temp Hisfa'!M$3:M$200, SMALL(IF(ISERROR('Temp Hisfa'!M$3:M$200), "", ROW('Temp Hisfa'!M$3:M$200)-MIN(ROW('Temp Hisfa'!M$3:M$200))+1), ROW(153:352))),"")</f>
        <v>0</v>
      </c>
      <c r="N155" s="22">
        <f t="array" ref="N155">IFERROR(INDEX('Temp Hisfa'!N$3:N$200, SMALL(IF(ISERROR('Temp Hisfa'!N$3:N$200), "", ROW('Temp Hisfa'!N$3:N$200)-MIN(ROW('Temp Hisfa'!N$3:N$200))+1), ROW(153:352))),"")</f>
        <v>1900</v>
      </c>
      <c r="O155" s="22" t="str">
        <f t="array" ref="O155">IFERROR(INDEX('Temp Hisfa'!O$3:O$200, SMALL(IF(ISERROR('Temp Hisfa'!O$3:O$200), "", ROW('Temp Hisfa'!O$3:O$200)-MIN(ROW('Temp Hisfa'!O$3:O$200))+1), ROW(153:352))),"")</f>
        <v>enero</v>
      </c>
      <c r="P155" s="22">
        <f t="array" ref="P155">IFERROR(INDEX('Temp Hisfa'!P$3:P$200, SMALL(IF(ISERROR('Temp Hisfa'!P$3:P$200), "", ROW('Temp Hisfa'!P$3:P$200)-MIN(ROW('Temp Hisfa'!P$3:P$200))+1), ROW(153:352))),"")</f>
        <v>0</v>
      </c>
      <c r="Q155" s="22">
        <f t="array" ref="Q155">IFERROR(INDEX('Temp Hisfa'!Q$3:Q$200, SMALL(IF(ISERROR('Temp Hisfa'!Q$3:Q$200), "", ROW('Temp Hisfa'!Q$3:Q$200)-MIN(ROW('Temp Hisfa'!Q$3:Q$200))+1), ROW(153:352))),"")</f>
        <v>0</v>
      </c>
      <c r="R155" s="22">
        <f t="array" ref="R155">IFERROR(INDEX('Temp Hisfa'!R$3:R$200, SMALL(IF(ISERROR('Temp Hisfa'!R$3:R$200), "", ROW('Temp Hisfa'!R$3:R$200)-MIN(ROW('Temp Hisfa'!R$3:R$200))+1), ROW(153:352))),"")</f>
        <v>0</v>
      </c>
      <c r="S155" s="22">
        <f t="array" ref="S155">IFERROR(INDEX('Temp Hisfa'!S$3:S$200, SMALL(IF(ISERROR('Temp Hisfa'!S$3:S$200), "", ROW('Temp Hisfa'!S$3:S$200)-MIN(ROW('Temp Hisfa'!S$3:S$200))+1), ROW(153:352))),"")</f>
        <v>0</v>
      </c>
      <c r="T155" s="22">
        <f t="array" ref="T155">IFERROR(INDEX('Temp Hisfa'!T$3:T$200, SMALL(IF(ISERROR('Temp Hisfa'!T$3:T$200), "", ROW('Temp Hisfa'!T$3:T$200)-MIN(ROW('Temp Hisfa'!T$3:T$200))+1), ROW(153:352))),"")</f>
        <v>0</v>
      </c>
      <c r="U155" s="22">
        <f t="array" ref="U155">IFERROR(INDEX('Temp Hisfa'!U$3:U$200, SMALL(IF(ISERROR('Temp Hisfa'!U$3:U$200), "", ROW('Temp Hisfa'!U$3:U$200)-MIN(ROW('Temp Hisfa'!U$3:U$200))+1), ROW(153:352))),"")</f>
        <v>0</v>
      </c>
      <c r="V155" s="22">
        <f t="array" ref="V155">IFERROR(INDEX('Temp Hisfa'!V$3:V$200, SMALL(IF(ISERROR('Temp Hisfa'!V$3:V$200), "", ROW('Temp Hisfa'!V$3:V$200)-MIN(ROW('Temp Hisfa'!V$3:V$200))+1), ROW(153:352))),"")</f>
        <v>0</v>
      </c>
      <c r="W155" s="22">
        <f t="array" ref="W155">IFERROR(INDEX('Temp Hisfa'!W$3:W$200, SMALL(IF(ISERROR('Temp Hisfa'!W$3:W$200), "", ROW('Temp Hisfa'!W$3:W$200)-MIN(ROW('Temp Hisfa'!W$3:W$200))+1), ROW(153:352))),"")</f>
        <v>0</v>
      </c>
      <c r="X155" s="22">
        <f t="array" ref="X155">IFERROR(INDEX('Temp Hisfa'!X$3:X$200, SMALL(IF(ISERROR('Temp Hisfa'!X$3:X$200), "", ROW('Temp Hisfa'!X$3:X$200)-MIN(ROW('Temp Hisfa'!X$3:X$200))+1), ROW(153:352))),"")</f>
        <v>0</v>
      </c>
      <c r="Y155" s="22">
        <f t="array" ref="Y155">IFERROR(INDEX('Temp Hisfa'!Y$3:Y$200, SMALL(IF(ISERROR('Temp Hisfa'!Y$3:Y$200), "", ROW('Temp Hisfa'!Y$3:Y$200)-MIN(ROW('Temp Hisfa'!Y$3:Y$200))+1), ROW(153:352))),"")</f>
        <v>0</v>
      </c>
      <c r="Z155" s="22">
        <f t="array" ref="Z155">IFERROR(INDEX('Temp Hisfa'!Z$3:Z$200, SMALL(IF(ISERROR('Temp Hisfa'!Z$3:Z$200), "", ROW('Temp Hisfa'!Z$3:Z$200)-MIN(ROW('Temp Hisfa'!Z$3:Z$200))+1), ROW(153:352))),"")</f>
        <v>0</v>
      </c>
      <c r="AA155" s="22">
        <f t="array" ref="AA155">IFERROR(INDEX('Temp Hisfa'!AA$3:AA$200, SMALL(IF(ISERROR('Temp Hisfa'!AA$3:AA$200), "", ROW('Temp Hisfa'!AA$3:AA$200)-MIN(ROW('Temp Hisfa'!AA$3:AA$200))+1), ROW(153:352))),"")</f>
        <v>0</v>
      </c>
      <c r="AB155" s="22">
        <f t="array" ref="AB155">IFERROR(INDEX('Temp Hisfa'!AB$3:AB$200, SMALL(IF(ISERROR('Temp Hisfa'!AB$3:AB$200), "", ROW('Temp Hisfa'!AB$3:AB$200)-MIN(ROW('Temp Hisfa'!AB$3:AB$200))+1), ROW(153:352))),"")</f>
        <v>0</v>
      </c>
    </row>
    <row r="156" spans="1:28" hidden="1" x14ac:dyDescent="0.3">
      <c r="A156" s="4">
        <f t="array" ref="A156">IFERROR(INDEX('Temp Hisfa'!A$3:A$200, SMALL(IF(ISERROR('Temp Hisfa'!A$3:A$200), "", ROW('Temp Hisfa'!A$3:A$200)-MIN(ROW('Temp Hisfa'!A$3:A$200))+1), ROW(154:352))),"")</f>
        <v>0</v>
      </c>
      <c r="B156" s="4">
        <f t="array" ref="B156">IFERROR(INDEX('Temp Hisfa'!B$3:B$200, SMALL(IF(ISERROR('Temp Hisfa'!B$3:B$200), "", ROW('Temp Hisfa'!B$3:B$200)-MIN(ROW('Temp Hisfa'!B$3:B$200))+1), ROW(154:352))),"")</f>
        <v>0</v>
      </c>
      <c r="C156" s="3">
        <f t="array" ref="C156">IFERROR(INDEX('Temp Hisfa'!C$3:C$200, SMALL(IF(ISERROR('Temp Hisfa'!C$3:C$200), "", ROW('Temp Hisfa'!C$3:C$200)-MIN(ROW('Temp Hisfa'!C$3:C$200))+1), ROW(154:352))),"")</f>
        <v>0</v>
      </c>
      <c r="D156" s="3">
        <f t="array" ref="D156">IFERROR(INDEX('Temp Hisfa'!D$3:D$200, SMALL(IF(ISERROR('Temp Hisfa'!D$3:D$200), "", ROW('Temp Hisfa'!D$3:D$200)-MIN(ROW('Temp Hisfa'!D$3:D$200))+1), ROW(154:352))),"")</f>
        <v>0</v>
      </c>
      <c r="E156" s="29">
        <f t="array" ref="E156">IFERROR(INDEX('Temp Hisfa'!E$3:E$200, SMALL(IF(ISERROR('Temp Hisfa'!E$3:E$200), "", ROW('Temp Hisfa'!E$3:E$200)-MIN(ROW('Temp Hisfa'!E$3:E$200))+1), ROW(154:353))),"")</f>
        <v>0</v>
      </c>
      <c r="F156" s="22" t="str">
        <f t="array" ref="F156">IFERROR(INDEX('Temp Hisfa'!F$3:F$200, SMALL(IF(ISERROR('Temp Hisfa'!F$3:F$200), "", ROW('Temp Hisfa'!F$3:F$200)-MIN(ROW('Temp Hisfa'!F$3:F$200))+1), ROW(154:353))),"")</f>
        <v/>
      </c>
      <c r="G156" s="30">
        <f t="array" ref="G156">IFERROR(INDEX('Temp Hisfa'!G$3:G$200, SMALL(IF(ISERROR('Temp Hisfa'!G$3:G$200), "", ROW('Temp Hisfa'!G$3:G$200)-MIN(ROW('Temp Hisfa'!G$3:G$200))+1), ROW(154:353))),"")</f>
        <v>0</v>
      </c>
      <c r="H156" s="22" t="str">
        <f t="array" ref="H156">IFERROR(INDEX('Temp Hisfa'!H$3:H$200, SMALL(IF(ISERROR('Temp Hisfa'!H$3:H$200), "", ROW('Temp Hisfa'!H$3:H$200)-MIN(ROW('Temp Hisfa'!H$3:H$200))+1), ROW(154:353))),"")</f>
        <v/>
      </c>
      <c r="I156" s="22">
        <f t="array" ref="I156">IFERROR(INDEX('Temp Hisfa'!I$3:I$200, SMALL(IF(ISERROR('Temp Hisfa'!I$3:I$200), "", ROW('Temp Hisfa'!I$3:I$200)-MIN(ROW('Temp Hisfa'!I$3:I$200))+1), ROW(154:353))),"")</f>
        <v>0</v>
      </c>
      <c r="J156" s="22">
        <f t="array" ref="J156">IFERROR(INDEX('Temp Hisfa'!J$3:J$200, SMALL(IF(ISERROR('Temp Hisfa'!J$3:J$200), "", ROW('Temp Hisfa'!J$3:J$200)-MIN(ROW('Temp Hisfa'!J$3:J$200))+1), ROW(154:353))),"")</f>
        <v>0</v>
      </c>
      <c r="K156" s="30">
        <f t="array" ref="K156">IFERROR(INDEX('Temp Hisfa'!K$3:K$200, SMALL(IF(ISERROR('Temp Hisfa'!K$3:K$200), "", ROW('Temp Hisfa'!K$3:K$200)-MIN(ROW('Temp Hisfa'!K$3:K$200))+1), ROW(154:353))),"")</f>
        <v>0</v>
      </c>
      <c r="L156" s="22">
        <f t="array" ref="L156">IFERROR(INDEX('Temp Hisfa'!L$3:L$200, SMALL(IF(ISERROR('Temp Hisfa'!L$3:L$200), "", ROW('Temp Hisfa'!L$3:L$200)-MIN(ROW('Temp Hisfa'!L$3:L$200))+1), ROW(154:353))),"")</f>
        <v>0</v>
      </c>
      <c r="M156" s="22">
        <f t="array" ref="M156">IFERROR(INDEX('Temp Hisfa'!M$3:M$200, SMALL(IF(ISERROR('Temp Hisfa'!M$3:M$200), "", ROW('Temp Hisfa'!M$3:M$200)-MIN(ROW('Temp Hisfa'!M$3:M$200))+1), ROW(154:353))),"")</f>
        <v>0</v>
      </c>
      <c r="N156" s="22">
        <f t="array" ref="N156">IFERROR(INDEX('Temp Hisfa'!N$3:N$200, SMALL(IF(ISERROR('Temp Hisfa'!N$3:N$200), "", ROW('Temp Hisfa'!N$3:N$200)-MIN(ROW('Temp Hisfa'!N$3:N$200))+1), ROW(154:353))),"")</f>
        <v>1900</v>
      </c>
      <c r="O156" s="22" t="str">
        <f t="array" ref="O156">IFERROR(INDEX('Temp Hisfa'!O$3:O$200, SMALL(IF(ISERROR('Temp Hisfa'!O$3:O$200), "", ROW('Temp Hisfa'!O$3:O$200)-MIN(ROW('Temp Hisfa'!O$3:O$200))+1), ROW(154:353))),"")</f>
        <v>enero</v>
      </c>
      <c r="P156" s="22">
        <f t="array" ref="P156">IFERROR(INDEX('Temp Hisfa'!P$3:P$200, SMALL(IF(ISERROR('Temp Hisfa'!P$3:P$200), "", ROW('Temp Hisfa'!P$3:P$200)-MIN(ROW('Temp Hisfa'!P$3:P$200))+1), ROW(154:353))),"")</f>
        <v>0</v>
      </c>
      <c r="Q156" s="22">
        <f t="array" ref="Q156">IFERROR(INDEX('Temp Hisfa'!Q$3:Q$200, SMALL(IF(ISERROR('Temp Hisfa'!Q$3:Q$200), "", ROW('Temp Hisfa'!Q$3:Q$200)-MIN(ROW('Temp Hisfa'!Q$3:Q$200))+1), ROW(154:353))),"")</f>
        <v>0</v>
      </c>
      <c r="R156" s="22">
        <f t="array" ref="R156">IFERROR(INDEX('Temp Hisfa'!R$3:R$200, SMALL(IF(ISERROR('Temp Hisfa'!R$3:R$200), "", ROW('Temp Hisfa'!R$3:R$200)-MIN(ROW('Temp Hisfa'!R$3:R$200))+1), ROW(154:353))),"")</f>
        <v>0</v>
      </c>
      <c r="S156" s="22">
        <f t="array" ref="S156">IFERROR(INDEX('Temp Hisfa'!S$3:S$200, SMALL(IF(ISERROR('Temp Hisfa'!S$3:S$200), "", ROW('Temp Hisfa'!S$3:S$200)-MIN(ROW('Temp Hisfa'!S$3:S$200))+1), ROW(154:353))),"")</f>
        <v>0</v>
      </c>
      <c r="T156" s="22">
        <f t="array" ref="T156">IFERROR(INDEX('Temp Hisfa'!T$3:T$200, SMALL(IF(ISERROR('Temp Hisfa'!T$3:T$200), "", ROW('Temp Hisfa'!T$3:T$200)-MIN(ROW('Temp Hisfa'!T$3:T$200))+1), ROW(154:353))),"")</f>
        <v>0</v>
      </c>
      <c r="U156" s="22">
        <f t="array" ref="U156">IFERROR(INDEX('Temp Hisfa'!U$3:U$200, SMALL(IF(ISERROR('Temp Hisfa'!U$3:U$200), "", ROW('Temp Hisfa'!U$3:U$200)-MIN(ROW('Temp Hisfa'!U$3:U$200))+1), ROW(154:353))),"")</f>
        <v>0</v>
      </c>
      <c r="V156" s="22">
        <f t="array" ref="V156">IFERROR(INDEX('Temp Hisfa'!V$3:V$200, SMALL(IF(ISERROR('Temp Hisfa'!V$3:V$200), "", ROW('Temp Hisfa'!V$3:V$200)-MIN(ROW('Temp Hisfa'!V$3:V$200))+1), ROW(154:353))),"")</f>
        <v>0</v>
      </c>
      <c r="W156" s="22">
        <f t="array" ref="W156">IFERROR(INDEX('Temp Hisfa'!W$3:W$200, SMALL(IF(ISERROR('Temp Hisfa'!W$3:W$200), "", ROW('Temp Hisfa'!W$3:W$200)-MIN(ROW('Temp Hisfa'!W$3:W$200))+1), ROW(154:353))),"")</f>
        <v>0</v>
      </c>
      <c r="X156" s="22">
        <f t="array" ref="X156">IFERROR(INDEX('Temp Hisfa'!X$3:X$200, SMALL(IF(ISERROR('Temp Hisfa'!X$3:X$200), "", ROW('Temp Hisfa'!X$3:X$200)-MIN(ROW('Temp Hisfa'!X$3:X$200))+1), ROW(154:353))),"")</f>
        <v>0</v>
      </c>
      <c r="Y156" s="22">
        <f t="array" ref="Y156">IFERROR(INDEX('Temp Hisfa'!Y$3:Y$200, SMALL(IF(ISERROR('Temp Hisfa'!Y$3:Y$200), "", ROW('Temp Hisfa'!Y$3:Y$200)-MIN(ROW('Temp Hisfa'!Y$3:Y$200))+1), ROW(154:353))),"")</f>
        <v>0</v>
      </c>
      <c r="Z156" s="22">
        <f t="array" ref="Z156">IFERROR(INDEX('Temp Hisfa'!Z$3:Z$200, SMALL(IF(ISERROR('Temp Hisfa'!Z$3:Z$200), "", ROW('Temp Hisfa'!Z$3:Z$200)-MIN(ROW('Temp Hisfa'!Z$3:Z$200))+1), ROW(154:353))),"")</f>
        <v>0</v>
      </c>
      <c r="AA156" s="22">
        <f t="array" ref="AA156">IFERROR(INDEX('Temp Hisfa'!AA$3:AA$200, SMALL(IF(ISERROR('Temp Hisfa'!AA$3:AA$200), "", ROW('Temp Hisfa'!AA$3:AA$200)-MIN(ROW('Temp Hisfa'!AA$3:AA$200))+1), ROW(154:353))),"")</f>
        <v>0</v>
      </c>
      <c r="AB156" s="22">
        <f t="array" ref="AB156">IFERROR(INDEX('Temp Hisfa'!AB$3:AB$200, SMALL(IF(ISERROR('Temp Hisfa'!AB$3:AB$200), "", ROW('Temp Hisfa'!AB$3:AB$200)-MIN(ROW('Temp Hisfa'!AB$3:AB$200))+1), ROW(154:353))),"")</f>
        <v>0</v>
      </c>
    </row>
    <row r="157" spans="1:28" hidden="1" x14ac:dyDescent="0.3">
      <c r="A157" s="4">
        <f t="array" ref="A157">IFERROR(INDEX('Temp Hisfa'!A$3:A$200, SMALL(IF(ISERROR('Temp Hisfa'!A$3:A$200), "", ROW('Temp Hisfa'!A$3:A$200)-MIN(ROW('Temp Hisfa'!A$3:A$200))+1), ROW(155:353))),"")</f>
        <v>0</v>
      </c>
      <c r="B157" s="4">
        <f t="array" ref="B157">IFERROR(INDEX('Temp Hisfa'!B$3:B$200, SMALL(IF(ISERROR('Temp Hisfa'!B$3:B$200), "", ROW('Temp Hisfa'!B$3:B$200)-MIN(ROW('Temp Hisfa'!B$3:B$200))+1), ROW(155:353))),"")</f>
        <v>0</v>
      </c>
      <c r="C157" s="3">
        <f t="array" ref="C157">IFERROR(INDEX('Temp Hisfa'!C$3:C$200, SMALL(IF(ISERROR('Temp Hisfa'!C$3:C$200), "", ROW('Temp Hisfa'!C$3:C$200)-MIN(ROW('Temp Hisfa'!C$3:C$200))+1), ROW(155:353))),"")</f>
        <v>0</v>
      </c>
      <c r="D157" s="3">
        <f t="array" ref="D157">IFERROR(INDEX('Temp Hisfa'!D$3:D$200, SMALL(IF(ISERROR('Temp Hisfa'!D$3:D$200), "", ROW('Temp Hisfa'!D$3:D$200)-MIN(ROW('Temp Hisfa'!D$3:D$200))+1), ROW(155:353))),"")</f>
        <v>0</v>
      </c>
      <c r="E157" s="29">
        <f t="array" ref="E157">IFERROR(INDEX('Temp Hisfa'!E$3:E$200, SMALL(IF(ISERROR('Temp Hisfa'!E$3:E$200), "", ROW('Temp Hisfa'!E$3:E$200)-MIN(ROW('Temp Hisfa'!E$3:E$200))+1), ROW(155:354))),"")</f>
        <v>0</v>
      </c>
      <c r="F157" s="22" t="str">
        <f t="array" ref="F157">IFERROR(INDEX('Temp Hisfa'!F$3:F$200, SMALL(IF(ISERROR('Temp Hisfa'!F$3:F$200), "", ROW('Temp Hisfa'!F$3:F$200)-MIN(ROW('Temp Hisfa'!F$3:F$200))+1), ROW(155:354))),"")</f>
        <v/>
      </c>
      <c r="G157" s="30">
        <f t="array" ref="G157">IFERROR(INDEX('Temp Hisfa'!G$3:G$200, SMALL(IF(ISERROR('Temp Hisfa'!G$3:G$200), "", ROW('Temp Hisfa'!G$3:G$200)-MIN(ROW('Temp Hisfa'!G$3:G$200))+1), ROW(155:354))),"")</f>
        <v>0</v>
      </c>
      <c r="H157" s="22" t="str">
        <f t="array" ref="H157">IFERROR(INDEX('Temp Hisfa'!H$3:H$200, SMALL(IF(ISERROR('Temp Hisfa'!H$3:H$200), "", ROW('Temp Hisfa'!H$3:H$200)-MIN(ROW('Temp Hisfa'!H$3:H$200))+1), ROW(155:354))),"")</f>
        <v/>
      </c>
      <c r="I157" s="22">
        <f t="array" ref="I157">IFERROR(INDEX('Temp Hisfa'!I$3:I$200, SMALL(IF(ISERROR('Temp Hisfa'!I$3:I$200), "", ROW('Temp Hisfa'!I$3:I$200)-MIN(ROW('Temp Hisfa'!I$3:I$200))+1), ROW(155:354))),"")</f>
        <v>0</v>
      </c>
      <c r="J157" s="22">
        <f t="array" ref="J157">IFERROR(INDEX('Temp Hisfa'!J$3:J$200, SMALL(IF(ISERROR('Temp Hisfa'!J$3:J$200), "", ROW('Temp Hisfa'!J$3:J$200)-MIN(ROW('Temp Hisfa'!J$3:J$200))+1), ROW(155:354))),"")</f>
        <v>0</v>
      </c>
      <c r="K157" s="30">
        <f t="array" ref="K157">IFERROR(INDEX('Temp Hisfa'!K$3:K$200, SMALL(IF(ISERROR('Temp Hisfa'!K$3:K$200), "", ROW('Temp Hisfa'!K$3:K$200)-MIN(ROW('Temp Hisfa'!K$3:K$200))+1), ROW(155:354))),"")</f>
        <v>0</v>
      </c>
      <c r="L157" s="22">
        <f t="array" ref="L157">IFERROR(INDEX('Temp Hisfa'!L$3:L$200, SMALL(IF(ISERROR('Temp Hisfa'!L$3:L$200), "", ROW('Temp Hisfa'!L$3:L$200)-MIN(ROW('Temp Hisfa'!L$3:L$200))+1), ROW(155:354))),"")</f>
        <v>0</v>
      </c>
      <c r="M157" s="22">
        <f t="array" ref="M157">IFERROR(INDEX('Temp Hisfa'!M$3:M$200, SMALL(IF(ISERROR('Temp Hisfa'!M$3:M$200), "", ROW('Temp Hisfa'!M$3:M$200)-MIN(ROW('Temp Hisfa'!M$3:M$200))+1), ROW(155:354))),"")</f>
        <v>0</v>
      </c>
      <c r="N157" s="22">
        <f t="array" ref="N157">IFERROR(INDEX('Temp Hisfa'!N$3:N$200, SMALL(IF(ISERROR('Temp Hisfa'!N$3:N$200), "", ROW('Temp Hisfa'!N$3:N$200)-MIN(ROW('Temp Hisfa'!N$3:N$200))+1), ROW(155:354))),"")</f>
        <v>1900</v>
      </c>
      <c r="O157" s="22" t="str">
        <f t="array" ref="O157">IFERROR(INDEX('Temp Hisfa'!O$3:O$200, SMALL(IF(ISERROR('Temp Hisfa'!O$3:O$200), "", ROW('Temp Hisfa'!O$3:O$200)-MIN(ROW('Temp Hisfa'!O$3:O$200))+1), ROW(155:354))),"")</f>
        <v>enero</v>
      </c>
      <c r="P157" s="22">
        <f t="array" ref="P157">IFERROR(INDEX('Temp Hisfa'!P$3:P$200, SMALL(IF(ISERROR('Temp Hisfa'!P$3:P$200), "", ROW('Temp Hisfa'!P$3:P$200)-MIN(ROW('Temp Hisfa'!P$3:P$200))+1), ROW(155:354))),"")</f>
        <v>0</v>
      </c>
      <c r="Q157" s="22">
        <f t="array" ref="Q157">IFERROR(INDEX('Temp Hisfa'!Q$3:Q$200, SMALL(IF(ISERROR('Temp Hisfa'!Q$3:Q$200), "", ROW('Temp Hisfa'!Q$3:Q$200)-MIN(ROW('Temp Hisfa'!Q$3:Q$200))+1), ROW(155:354))),"")</f>
        <v>0</v>
      </c>
      <c r="R157" s="22">
        <f t="array" ref="R157">IFERROR(INDEX('Temp Hisfa'!R$3:R$200, SMALL(IF(ISERROR('Temp Hisfa'!R$3:R$200), "", ROW('Temp Hisfa'!R$3:R$200)-MIN(ROW('Temp Hisfa'!R$3:R$200))+1), ROW(155:354))),"")</f>
        <v>0</v>
      </c>
      <c r="S157" s="22">
        <f t="array" ref="S157">IFERROR(INDEX('Temp Hisfa'!S$3:S$200, SMALL(IF(ISERROR('Temp Hisfa'!S$3:S$200), "", ROW('Temp Hisfa'!S$3:S$200)-MIN(ROW('Temp Hisfa'!S$3:S$200))+1), ROW(155:354))),"")</f>
        <v>0</v>
      </c>
      <c r="T157" s="22">
        <f t="array" ref="T157">IFERROR(INDEX('Temp Hisfa'!T$3:T$200, SMALL(IF(ISERROR('Temp Hisfa'!T$3:T$200), "", ROW('Temp Hisfa'!T$3:T$200)-MIN(ROW('Temp Hisfa'!T$3:T$200))+1), ROW(155:354))),"")</f>
        <v>0</v>
      </c>
      <c r="U157" s="22">
        <f t="array" ref="U157">IFERROR(INDEX('Temp Hisfa'!U$3:U$200, SMALL(IF(ISERROR('Temp Hisfa'!U$3:U$200), "", ROW('Temp Hisfa'!U$3:U$200)-MIN(ROW('Temp Hisfa'!U$3:U$200))+1), ROW(155:354))),"")</f>
        <v>0</v>
      </c>
      <c r="V157" s="22">
        <f t="array" ref="V157">IFERROR(INDEX('Temp Hisfa'!V$3:V$200, SMALL(IF(ISERROR('Temp Hisfa'!V$3:V$200), "", ROW('Temp Hisfa'!V$3:V$200)-MIN(ROW('Temp Hisfa'!V$3:V$200))+1), ROW(155:354))),"")</f>
        <v>0</v>
      </c>
      <c r="W157" s="22">
        <f t="array" ref="W157">IFERROR(INDEX('Temp Hisfa'!W$3:W$200, SMALL(IF(ISERROR('Temp Hisfa'!W$3:W$200), "", ROW('Temp Hisfa'!W$3:W$200)-MIN(ROW('Temp Hisfa'!W$3:W$200))+1), ROW(155:354))),"")</f>
        <v>0</v>
      </c>
      <c r="X157" s="22">
        <f t="array" ref="X157">IFERROR(INDEX('Temp Hisfa'!X$3:X$200, SMALL(IF(ISERROR('Temp Hisfa'!X$3:X$200), "", ROW('Temp Hisfa'!X$3:X$200)-MIN(ROW('Temp Hisfa'!X$3:X$200))+1), ROW(155:354))),"")</f>
        <v>0</v>
      </c>
      <c r="Y157" s="22">
        <f t="array" ref="Y157">IFERROR(INDEX('Temp Hisfa'!Y$3:Y$200, SMALL(IF(ISERROR('Temp Hisfa'!Y$3:Y$200), "", ROW('Temp Hisfa'!Y$3:Y$200)-MIN(ROW('Temp Hisfa'!Y$3:Y$200))+1), ROW(155:354))),"")</f>
        <v>0</v>
      </c>
      <c r="Z157" s="22">
        <f t="array" ref="Z157">IFERROR(INDEX('Temp Hisfa'!Z$3:Z$200, SMALL(IF(ISERROR('Temp Hisfa'!Z$3:Z$200), "", ROW('Temp Hisfa'!Z$3:Z$200)-MIN(ROW('Temp Hisfa'!Z$3:Z$200))+1), ROW(155:354))),"")</f>
        <v>0</v>
      </c>
      <c r="AA157" s="22">
        <f t="array" ref="AA157">IFERROR(INDEX('Temp Hisfa'!AA$3:AA$200, SMALL(IF(ISERROR('Temp Hisfa'!AA$3:AA$200), "", ROW('Temp Hisfa'!AA$3:AA$200)-MIN(ROW('Temp Hisfa'!AA$3:AA$200))+1), ROW(155:354))),"")</f>
        <v>0</v>
      </c>
      <c r="AB157" s="22">
        <f t="array" ref="AB157">IFERROR(INDEX('Temp Hisfa'!AB$3:AB$200, SMALL(IF(ISERROR('Temp Hisfa'!AB$3:AB$200), "", ROW('Temp Hisfa'!AB$3:AB$200)-MIN(ROW('Temp Hisfa'!AB$3:AB$200))+1), ROW(155:354))),"")</f>
        <v>0</v>
      </c>
    </row>
    <row r="158" spans="1:28" hidden="1" x14ac:dyDescent="0.3">
      <c r="A158" s="4">
        <f t="array" ref="A158">IFERROR(INDEX('Temp Hisfa'!A$3:A$200, SMALL(IF(ISERROR('Temp Hisfa'!A$3:A$200), "", ROW('Temp Hisfa'!A$3:A$200)-MIN(ROW('Temp Hisfa'!A$3:A$200))+1), ROW(156:354))),"")</f>
        <v>0</v>
      </c>
      <c r="B158" s="4">
        <f t="array" ref="B158">IFERROR(INDEX('Temp Hisfa'!B$3:B$200, SMALL(IF(ISERROR('Temp Hisfa'!B$3:B$200), "", ROW('Temp Hisfa'!B$3:B$200)-MIN(ROW('Temp Hisfa'!B$3:B$200))+1), ROW(156:354))),"")</f>
        <v>0</v>
      </c>
      <c r="C158" s="3">
        <f t="array" ref="C158">IFERROR(INDEX('Temp Hisfa'!C$3:C$200, SMALL(IF(ISERROR('Temp Hisfa'!C$3:C$200), "", ROW('Temp Hisfa'!C$3:C$200)-MIN(ROW('Temp Hisfa'!C$3:C$200))+1), ROW(156:354))),"")</f>
        <v>0</v>
      </c>
      <c r="D158" s="3">
        <f t="array" ref="D158">IFERROR(INDEX('Temp Hisfa'!D$3:D$200, SMALL(IF(ISERROR('Temp Hisfa'!D$3:D$200), "", ROW('Temp Hisfa'!D$3:D$200)-MIN(ROW('Temp Hisfa'!D$3:D$200))+1), ROW(156:354))),"")</f>
        <v>0</v>
      </c>
      <c r="E158" s="29">
        <f t="array" ref="E158">IFERROR(INDEX('Temp Hisfa'!E$3:E$200, SMALL(IF(ISERROR('Temp Hisfa'!E$3:E$200), "", ROW('Temp Hisfa'!E$3:E$200)-MIN(ROW('Temp Hisfa'!E$3:E$200))+1), ROW(156:355))),"")</f>
        <v>0</v>
      </c>
      <c r="F158" s="22" t="str">
        <f t="array" ref="F158">IFERROR(INDEX('Temp Hisfa'!F$3:F$200, SMALL(IF(ISERROR('Temp Hisfa'!F$3:F$200), "", ROW('Temp Hisfa'!F$3:F$200)-MIN(ROW('Temp Hisfa'!F$3:F$200))+1), ROW(156:355))),"")</f>
        <v/>
      </c>
      <c r="G158" s="30">
        <f t="array" ref="G158">IFERROR(INDEX('Temp Hisfa'!G$3:G$200, SMALL(IF(ISERROR('Temp Hisfa'!G$3:G$200), "", ROW('Temp Hisfa'!G$3:G$200)-MIN(ROW('Temp Hisfa'!G$3:G$200))+1), ROW(156:355))),"")</f>
        <v>0</v>
      </c>
      <c r="H158" s="22" t="str">
        <f t="array" ref="H158">IFERROR(INDEX('Temp Hisfa'!H$3:H$200, SMALL(IF(ISERROR('Temp Hisfa'!H$3:H$200), "", ROW('Temp Hisfa'!H$3:H$200)-MIN(ROW('Temp Hisfa'!H$3:H$200))+1), ROW(156:355))),"")</f>
        <v/>
      </c>
      <c r="I158" s="22">
        <f t="array" ref="I158">IFERROR(INDEX('Temp Hisfa'!I$3:I$200, SMALL(IF(ISERROR('Temp Hisfa'!I$3:I$200), "", ROW('Temp Hisfa'!I$3:I$200)-MIN(ROW('Temp Hisfa'!I$3:I$200))+1), ROW(156:355))),"")</f>
        <v>0</v>
      </c>
      <c r="J158" s="22">
        <f t="array" ref="J158">IFERROR(INDEX('Temp Hisfa'!J$3:J$200, SMALL(IF(ISERROR('Temp Hisfa'!J$3:J$200), "", ROW('Temp Hisfa'!J$3:J$200)-MIN(ROW('Temp Hisfa'!J$3:J$200))+1), ROW(156:355))),"")</f>
        <v>0</v>
      </c>
      <c r="K158" s="30">
        <f t="array" ref="K158">IFERROR(INDEX('Temp Hisfa'!K$3:K$200, SMALL(IF(ISERROR('Temp Hisfa'!K$3:K$200), "", ROW('Temp Hisfa'!K$3:K$200)-MIN(ROW('Temp Hisfa'!K$3:K$200))+1), ROW(156:355))),"")</f>
        <v>0</v>
      </c>
      <c r="L158" s="22">
        <f t="array" ref="L158">IFERROR(INDEX('Temp Hisfa'!L$3:L$200, SMALL(IF(ISERROR('Temp Hisfa'!L$3:L$200), "", ROW('Temp Hisfa'!L$3:L$200)-MIN(ROW('Temp Hisfa'!L$3:L$200))+1), ROW(156:355))),"")</f>
        <v>0</v>
      </c>
      <c r="M158" s="22">
        <f t="array" ref="M158">IFERROR(INDEX('Temp Hisfa'!M$3:M$200, SMALL(IF(ISERROR('Temp Hisfa'!M$3:M$200), "", ROW('Temp Hisfa'!M$3:M$200)-MIN(ROW('Temp Hisfa'!M$3:M$200))+1), ROW(156:355))),"")</f>
        <v>0</v>
      </c>
      <c r="N158" s="22">
        <f t="array" ref="N158">IFERROR(INDEX('Temp Hisfa'!N$3:N$200, SMALL(IF(ISERROR('Temp Hisfa'!N$3:N$200), "", ROW('Temp Hisfa'!N$3:N$200)-MIN(ROW('Temp Hisfa'!N$3:N$200))+1), ROW(156:355))),"")</f>
        <v>1900</v>
      </c>
      <c r="O158" s="22" t="str">
        <f t="array" ref="O158">IFERROR(INDEX('Temp Hisfa'!O$3:O$200, SMALL(IF(ISERROR('Temp Hisfa'!O$3:O$200), "", ROW('Temp Hisfa'!O$3:O$200)-MIN(ROW('Temp Hisfa'!O$3:O$200))+1), ROW(156:355))),"")</f>
        <v>enero</v>
      </c>
      <c r="P158" s="22">
        <f t="array" ref="P158">IFERROR(INDEX('Temp Hisfa'!P$3:P$200, SMALL(IF(ISERROR('Temp Hisfa'!P$3:P$200), "", ROW('Temp Hisfa'!P$3:P$200)-MIN(ROW('Temp Hisfa'!P$3:P$200))+1), ROW(156:355))),"")</f>
        <v>0</v>
      </c>
      <c r="Q158" s="22">
        <f t="array" ref="Q158">IFERROR(INDEX('Temp Hisfa'!Q$3:Q$200, SMALL(IF(ISERROR('Temp Hisfa'!Q$3:Q$200), "", ROW('Temp Hisfa'!Q$3:Q$200)-MIN(ROW('Temp Hisfa'!Q$3:Q$200))+1), ROW(156:355))),"")</f>
        <v>0</v>
      </c>
      <c r="R158" s="22">
        <f t="array" ref="R158">IFERROR(INDEX('Temp Hisfa'!R$3:R$200, SMALL(IF(ISERROR('Temp Hisfa'!R$3:R$200), "", ROW('Temp Hisfa'!R$3:R$200)-MIN(ROW('Temp Hisfa'!R$3:R$200))+1), ROW(156:355))),"")</f>
        <v>0</v>
      </c>
      <c r="S158" s="22">
        <f t="array" ref="S158">IFERROR(INDEX('Temp Hisfa'!S$3:S$200, SMALL(IF(ISERROR('Temp Hisfa'!S$3:S$200), "", ROW('Temp Hisfa'!S$3:S$200)-MIN(ROW('Temp Hisfa'!S$3:S$200))+1), ROW(156:355))),"")</f>
        <v>0</v>
      </c>
      <c r="T158" s="22">
        <f t="array" ref="T158">IFERROR(INDEX('Temp Hisfa'!T$3:T$200, SMALL(IF(ISERROR('Temp Hisfa'!T$3:T$200), "", ROW('Temp Hisfa'!T$3:T$200)-MIN(ROW('Temp Hisfa'!T$3:T$200))+1), ROW(156:355))),"")</f>
        <v>0</v>
      </c>
      <c r="U158" s="22">
        <f t="array" ref="U158">IFERROR(INDEX('Temp Hisfa'!U$3:U$200, SMALL(IF(ISERROR('Temp Hisfa'!U$3:U$200), "", ROW('Temp Hisfa'!U$3:U$200)-MIN(ROW('Temp Hisfa'!U$3:U$200))+1), ROW(156:355))),"")</f>
        <v>0</v>
      </c>
      <c r="V158" s="22">
        <f t="array" ref="V158">IFERROR(INDEX('Temp Hisfa'!V$3:V$200, SMALL(IF(ISERROR('Temp Hisfa'!V$3:V$200), "", ROW('Temp Hisfa'!V$3:V$200)-MIN(ROW('Temp Hisfa'!V$3:V$200))+1), ROW(156:355))),"")</f>
        <v>0</v>
      </c>
      <c r="W158" s="22">
        <f t="array" ref="W158">IFERROR(INDEX('Temp Hisfa'!W$3:W$200, SMALL(IF(ISERROR('Temp Hisfa'!W$3:W$200), "", ROW('Temp Hisfa'!W$3:W$200)-MIN(ROW('Temp Hisfa'!W$3:W$200))+1), ROW(156:355))),"")</f>
        <v>0</v>
      </c>
      <c r="X158" s="22">
        <f t="array" ref="X158">IFERROR(INDEX('Temp Hisfa'!X$3:X$200, SMALL(IF(ISERROR('Temp Hisfa'!X$3:X$200), "", ROW('Temp Hisfa'!X$3:X$200)-MIN(ROW('Temp Hisfa'!X$3:X$200))+1), ROW(156:355))),"")</f>
        <v>0</v>
      </c>
      <c r="Y158" s="22">
        <f t="array" ref="Y158">IFERROR(INDEX('Temp Hisfa'!Y$3:Y$200, SMALL(IF(ISERROR('Temp Hisfa'!Y$3:Y$200), "", ROW('Temp Hisfa'!Y$3:Y$200)-MIN(ROW('Temp Hisfa'!Y$3:Y$200))+1), ROW(156:355))),"")</f>
        <v>0</v>
      </c>
      <c r="Z158" s="22">
        <f t="array" ref="Z158">IFERROR(INDEX('Temp Hisfa'!Z$3:Z$200, SMALL(IF(ISERROR('Temp Hisfa'!Z$3:Z$200), "", ROW('Temp Hisfa'!Z$3:Z$200)-MIN(ROW('Temp Hisfa'!Z$3:Z$200))+1), ROW(156:355))),"")</f>
        <v>0</v>
      </c>
      <c r="AA158" s="22">
        <f t="array" ref="AA158">IFERROR(INDEX('Temp Hisfa'!AA$3:AA$200, SMALL(IF(ISERROR('Temp Hisfa'!AA$3:AA$200), "", ROW('Temp Hisfa'!AA$3:AA$200)-MIN(ROW('Temp Hisfa'!AA$3:AA$200))+1), ROW(156:355))),"")</f>
        <v>0</v>
      </c>
      <c r="AB158" s="22">
        <f t="array" ref="AB158">IFERROR(INDEX('Temp Hisfa'!AB$3:AB$200, SMALL(IF(ISERROR('Temp Hisfa'!AB$3:AB$200), "", ROW('Temp Hisfa'!AB$3:AB$200)-MIN(ROW('Temp Hisfa'!AB$3:AB$200))+1), ROW(156:355))),"")</f>
        <v>0</v>
      </c>
    </row>
    <row r="159" spans="1:28" hidden="1" x14ac:dyDescent="0.3">
      <c r="A159" s="4">
        <f t="array" ref="A159">IFERROR(INDEX('Temp Hisfa'!A$3:A$200, SMALL(IF(ISERROR('Temp Hisfa'!A$3:A$200), "", ROW('Temp Hisfa'!A$3:A$200)-MIN(ROW('Temp Hisfa'!A$3:A$200))+1), ROW(157:355))),"")</f>
        <v>0</v>
      </c>
      <c r="B159" s="4">
        <f t="array" ref="B159">IFERROR(INDEX('Temp Hisfa'!B$3:B$200, SMALL(IF(ISERROR('Temp Hisfa'!B$3:B$200), "", ROW('Temp Hisfa'!B$3:B$200)-MIN(ROW('Temp Hisfa'!B$3:B$200))+1), ROW(157:355))),"")</f>
        <v>0</v>
      </c>
      <c r="C159" s="3">
        <f t="array" ref="C159">IFERROR(INDEX('Temp Hisfa'!C$3:C$200, SMALL(IF(ISERROR('Temp Hisfa'!C$3:C$200), "", ROW('Temp Hisfa'!C$3:C$200)-MIN(ROW('Temp Hisfa'!C$3:C$200))+1), ROW(157:355))),"")</f>
        <v>0</v>
      </c>
      <c r="D159" s="3">
        <f t="array" ref="D159">IFERROR(INDEX('Temp Hisfa'!D$3:D$200, SMALL(IF(ISERROR('Temp Hisfa'!D$3:D$200), "", ROW('Temp Hisfa'!D$3:D$200)-MIN(ROW('Temp Hisfa'!D$3:D$200))+1), ROW(157:355))),"")</f>
        <v>0</v>
      </c>
      <c r="E159" s="29">
        <f t="array" ref="E159">IFERROR(INDEX('Temp Hisfa'!E$3:E$200, SMALL(IF(ISERROR('Temp Hisfa'!E$3:E$200), "", ROW('Temp Hisfa'!E$3:E$200)-MIN(ROW('Temp Hisfa'!E$3:E$200))+1), ROW(157:356))),"")</f>
        <v>0</v>
      </c>
      <c r="F159" s="22" t="str">
        <f t="array" ref="F159">IFERROR(INDEX('Temp Hisfa'!F$3:F$200, SMALL(IF(ISERROR('Temp Hisfa'!F$3:F$200), "", ROW('Temp Hisfa'!F$3:F$200)-MIN(ROW('Temp Hisfa'!F$3:F$200))+1), ROW(157:356))),"")</f>
        <v/>
      </c>
      <c r="G159" s="30">
        <f t="array" ref="G159">IFERROR(INDEX('Temp Hisfa'!G$3:G$200, SMALL(IF(ISERROR('Temp Hisfa'!G$3:G$200), "", ROW('Temp Hisfa'!G$3:G$200)-MIN(ROW('Temp Hisfa'!G$3:G$200))+1), ROW(157:356))),"")</f>
        <v>0</v>
      </c>
      <c r="H159" s="22" t="str">
        <f t="array" ref="H159">IFERROR(INDEX('Temp Hisfa'!H$3:H$200, SMALL(IF(ISERROR('Temp Hisfa'!H$3:H$200), "", ROW('Temp Hisfa'!H$3:H$200)-MIN(ROW('Temp Hisfa'!H$3:H$200))+1), ROW(157:356))),"")</f>
        <v/>
      </c>
      <c r="I159" s="22">
        <f t="array" ref="I159">IFERROR(INDEX('Temp Hisfa'!I$3:I$200, SMALL(IF(ISERROR('Temp Hisfa'!I$3:I$200), "", ROW('Temp Hisfa'!I$3:I$200)-MIN(ROW('Temp Hisfa'!I$3:I$200))+1), ROW(157:356))),"")</f>
        <v>0</v>
      </c>
      <c r="J159" s="22">
        <f t="array" ref="J159">IFERROR(INDEX('Temp Hisfa'!J$3:J$200, SMALL(IF(ISERROR('Temp Hisfa'!J$3:J$200), "", ROW('Temp Hisfa'!J$3:J$200)-MIN(ROW('Temp Hisfa'!J$3:J$200))+1), ROW(157:356))),"")</f>
        <v>0</v>
      </c>
      <c r="K159" s="30">
        <f t="array" ref="K159">IFERROR(INDEX('Temp Hisfa'!K$3:K$200, SMALL(IF(ISERROR('Temp Hisfa'!K$3:K$200), "", ROW('Temp Hisfa'!K$3:K$200)-MIN(ROW('Temp Hisfa'!K$3:K$200))+1), ROW(157:356))),"")</f>
        <v>0</v>
      </c>
      <c r="L159" s="22">
        <f t="array" ref="L159">IFERROR(INDEX('Temp Hisfa'!L$3:L$200, SMALL(IF(ISERROR('Temp Hisfa'!L$3:L$200), "", ROW('Temp Hisfa'!L$3:L$200)-MIN(ROW('Temp Hisfa'!L$3:L$200))+1), ROW(157:356))),"")</f>
        <v>0</v>
      </c>
      <c r="M159" s="22">
        <f t="array" ref="M159">IFERROR(INDEX('Temp Hisfa'!M$3:M$200, SMALL(IF(ISERROR('Temp Hisfa'!M$3:M$200), "", ROW('Temp Hisfa'!M$3:M$200)-MIN(ROW('Temp Hisfa'!M$3:M$200))+1), ROW(157:356))),"")</f>
        <v>0</v>
      </c>
      <c r="N159" s="22">
        <f t="array" ref="N159">IFERROR(INDEX('Temp Hisfa'!N$3:N$200, SMALL(IF(ISERROR('Temp Hisfa'!N$3:N$200), "", ROW('Temp Hisfa'!N$3:N$200)-MIN(ROW('Temp Hisfa'!N$3:N$200))+1), ROW(157:356))),"")</f>
        <v>1900</v>
      </c>
      <c r="O159" s="22" t="str">
        <f t="array" ref="O159">IFERROR(INDEX('Temp Hisfa'!O$3:O$200, SMALL(IF(ISERROR('Temp Hisfa'!O$3:O$200), "", ROW('Temp Hisfa'!O$3:O$200)-MIN(ROW('Temp Hisfa'!O$3:O$200))+1), ROW(157:356))),"")</f>
        <v>enero</v>
      </c>
      <c r="P159" s="22">
        <f t="array" ref="P159">IFERROR(INDEX('Temp Hisfa'!P$3:P$200, SMALL(IF(ISERROR('Temp Hisfa'!P$3:P$200), "", ROW('Temp Hisfa'!P$3:P$200)-MIN(ROW('Temp Hisfa'!P$3:P$200))+1), ROW(157:356))),"")</f>
        <v>0</v>
      </c>
      <c r="Q159" s="22">
        <f t="array" ref="Q159">IFERROR(INDEX('Temp Hisfa'!Q$3:Q$200, SMALL(IF(ISERROR('Temp Hisfa'!Q$3:Q$200), "", ROW('Temp Hisfa'!Q$3:Q$200)-MIN(ROW('Temp Hisfa'!Q$3:Q$200))+1), ROW(157:356))),"")</f>
        <v>0</v>
      </c>
      <c r="R159" s="22">
        <f t="array" ref="R159">IFERROR(INDEX('Temp Hisfa'!R$3:R$200, SMALL(IF(ISERROR('Temp Hisfa'!R$3:R$200), "", ROW('Temp Hisfa'!R$3:R$200)-MIN(ROW('Temp Hisfa'!R$3:R$200))+1), ROW(157:356))),"")</f>
        <v>0</v>
      </c>
      <c r="S159" s="22">
        <f t="array" ref="S159">IFERROR(INDEX('Temp Hisfa'!S$3:S$200, SMALL(IF(ISERROR('Temp Hisfa'!S$3:S$200), "", ROW('Temp Hisfa'!S$3:S$200)-MIN(ROW('Temp Hisfa'!S$3:S$200))+1), ROW(157:356))),"")</f>
        <v>0</v>
      </c>
      <c r="T159" s="22">
        <f t="array" ref="T159">IFERROR(INDEX('Temp Hisfa'!T$3:T$200, SMALL(IF(ISERROR('Temp Hisfa'!T$3:T$200), "", ROW('Temp Hisfa'!T$3:T$200)-MIN(ROW('Temp Hisfa'!T$3:T$200))+1), ROW(157:356))),"")</f>
        <v>0</v>
      </c>
      <c r="U159" s="22">
        <f t="array" ref="U159">IFERROR(INDEX('Temp Hisfa'!U$3:U$200, SMALL(IF(ISERROR('Temp Hisfa'!U$3:U$200), "", ROW('Temp Hisfa'!U$3:U$200)-MIN(ROW('Temp Hisfa'!U$3:U$200))+1), ROW(157:356))),"")</f>
        <v>0</v>
      </c>
      <c r="V159" s="22">
        <f t="array" ref="V159">IFERROR(INDEX('Temp Hisfa'!V$3:V$200, SMALL(IF(ISERROR('Temp Hisfa'!V$3:V$200), "", ROW('Temp Hisfa'!V$3:V$200)-MIN(ROW('Temp Hisfa'!V$3:V$200))+1), ROW(157:356))),"")</f>
        <v>0</v>
      </c>
      <c r="W159" s="22">
        <f t="array" ref="W159">IFERROR(INDEX('Temp Hisfa'!W$3:W$200, SMALL(IF(ISERROR('Temp Hisfa'!W$3:W$200), "", ROW('Temp Hisfa'!W$3:W$200)-MIN(ROW('Temp Hisfa'!W$3:W$200))+1), ROW(157:356))),"")</f>
        <v>0</v>
      </c>
      <c r="X159" s="22">
        <f t="array" ref="X159">IFERROR(INDEX('Temp Hisfa'!X$3:X$200, SMALL(IF(ISERROR('Temp Hisfa'!X$3:X$200), "", ROW('Temp Hisfa'!X$3:X$200)-MIN(ROW('Temp Hisfa'!X$3:X$200))+1), ROW(157:356))),"")</f>
        <v>0</v>
      </c>
      <c r="Y159" s="22">
        <f t="array" ref="Y159">IFERROR(INDEX('Temp Hisfa'!Y$3:Y$200, SMALL(IF(ISERROR('Temp Hisfa'!Y$3:Y$200), "", ROW('Temp Hisfa'!Y$3:Y$200)-MIN(ROW('Temp Hisfa'!Y$3:Y$200))+1), ROW(157:356))),"")</f>
        <v>0</v>
      </c>
      <c r="Z159" s="22">
        <f t="array" ref="Z159">IFERROR(INDEX('Temp Hisfa'!Z$3:Z$200, SMALL(IF(ISERROR('Temp Hisfa'!Z$3:Z$200), "", ROW('Temp Hisfa'!Z$3:Z$200)-MIN(ROW('Temp Hisfa'!Z$3:Z$200))+1), ROW(157:356))),"")</f>
        <v>0</v>
      </c>
      <c r="AA159" s="22">
        <f t="array" ref="AA159">IFERROR(INDEX('Temp Hisfa'!AA$3:AA$200, SMALL(IF(ISERROR('Temp Hisfa'!AA$3:AA$200), "", ROW('Temp Hisfa'!AA$3:AA$200)-MIN(ROW('Temp Hisfa'!AA$3:AA$200))+1), ROW(157:356))),"")</f>
        <v>0</v>
      </c>
      <c r="AB159" s="22">
        <f t="array" ref="AB159">IFERROR(INDEX('Temp Hisfa'!AB$3:AB$200, SMALL(IF(ISERROR('Temp Hisfa'!AB$3:AB$200), "", ROW('Temp Hisfa'!AB$3:AB$200)-MIN(ROW('Temp Hisfa'!AB$3:AB$200))+1), ROW(157:356))),"")</f>
        <v>0</v>
      </c>
    </row>
    <row r="160" spans="1:28" hidden="1" x14ac:dyDescent="0.3">
      <c r="A160" s="4">
        <f t="array" ref="A160">IFERROR(INDEX('Temp Hisfa'!A$3:A$200, SMALL(IF(ISERROR('Temp Hisfa'!A$3:A$200), "", ROW('Temp Hisfa'!A$3:A$200)-MIN(ROW('Temp Hisfa'!A$3:A$200))+1), ROW(158:356))),"")</f>
        <v>0</v>
      </c>
      <c r="B160" s="4">
        <f t="array" ref="B160">IFERROR(INDEX('Temp Hisfa'!B$3:B$200, SMALL(IF(ISERROR('Temp Hisfa'!B$3:B$200), "", ROW('Temp Hisfa'!B$3:B$200)-MIN(ROW('Temp Hisfa'!B$3:B$200))+1), ROW(158:356))),"")</f>
        <v>0</v>
      </c>
      <c r="C160" s="3">
        <f t="array" ref="C160">IFERROR(INDEX('Temp Hisfa'!C$3:C$200, SMALL(IF(ISERROR('Temp Hisfa'!C$3:C$200), "", ROW('Temp Hisfa'!C$3:C$200)-MIN(ROW('Temp Hisfa'!C$3:C$200))+1), ROW(158:356))),"")</f>
        <v>0</v>
      </c>
      <c r="D160" s="3">
        <f t="array" ref="D160">IFERROR(INDEX('Temp Hisfa'!D$3:D$200, SMALL(IF(ISERROR('Temp Hisfa'!D$3:D$200), "", ROW('Temp Hisfa'!D$3:D$200)-MIN(ROW('Temp Hisfa'!D$3:D$200))+1), ROW(158:356))),"")</f>
        <v>0</v>
      </c>
      <c r="E160" s="29">
        <f t="array" ref="E160">IFERROR(INDEX('Temp Hisfa'!E$3:E$200, SMALL(IF(ISERROR('Temp Hisfa'!E$3:E$200), "", ROW('Temp Hisfa'!E$3:E$200)-MIN(ROW('Temp Hisfa'!E$3:E$200))+1), ROW(158:357))),"")</f>
        <v>0</v>
      </c>
      <c r="F160" s="22" t="str">
        <f t="array" ref="F160">IFERROR(INDEX('Temp Hisfa'!F$3:F$200, SMALL(IF(ISERROR('Temp Hisfa'!F$3:F$200), "", ROW('Temp Hisfa'!F$3:F$200)-MIN(ROW('Temp Hisfa'!F$3:F$200))+1), ROW(158:357))),"")</f>
        <v/>
      </c>
      <c r="G160" s="30">
        <f t="array" ref="G160">IFERROR(INDEX('Temp Hisfa'!G$3:G$200, SMALL(IF(ISERROR('Temp Hisfa'!G$3:G$200), "", ROW('Temp Hisfa'!G$3:G$200)-MIN(ROW('Temp Hisfa'!G$3:G$200))+1), ROW(158:357))),"")</f>
        <v>0</v>
      </c>
      <c r="H160" s="22" t="str">
        <f t="array" ref="H160">IFERROR(INDEX('Temp Hisfa'!H$3:H$200, SMALL(IF(ISERROR('Temp Hisfa'!H$3:H$200), "", ROW('Temp Hisfa'!H$3:H$200)-MIN(ROW('Temp Hisfa'!H$3:H$200))+1), ROW(158:357))),"")</f>
        <v/>
      </c>
      <c r="I160" s="22">
        <f t="array" ref="I160">IFERROR(INDEX('Temp Hisfa'!I$3:I$200, SMALL(IF(ISERROR('Temp Hisfa'!I$3:I$200), "", ROW('Temp Hisfa'!I$3:I$200)-MIN(ROW('Temp Hisfa'!I$3:I$200))+1), ROW(158:357))),"")</f>
        <v>0</v>
      </c>
      <c r="J160" s="22">
        <f t="array" ref="J160">IFERROR(INDEX('Temp Hisfa'!J$3:J$200, SMALL(IF(ISERROR('Temp Hisfa'!J$3:J$200), "", ROW('Temp Hisfa'!J$3:J$200)-MIN(ROW('Temp Hisfa'!J$3:J$200))+1), ROW(158:357))),"")</f>
        <v>0</v>
      </c>
      <c r="K160" s="30">
        <f t="array" ref="K160">IFERROR(INDEX('Temp Hisfa'!K$3:K$200, SMALL(IF(ISERROR('Temp Hisfa'!K$3:K$200), "", ROW('Temp Hisfa'!K$3:K$200)-MIN(ROW('Temp Hisfa'!K$3:K$200))+1), ROW(158:357))),"")</f>
        <v>0</v>
      </c>
      <c r="L160" s="22">
        <f t="array" ref="L160">IFERROR(INDEX('Temp Hisfa'!L$3:L$200, SMALL(IF(ISERROR('Temp Hisfa'!L$3:L$200), "", ROW('Temp Hisfa'!L$3:L$200)-MIN(ROW('Temp Hisfa'!L$3:L$200))+1), ROW(158:357))),"")</f>
        <v>0</v>
      </c>
      <c r="M160" s="22">
        <f t="array" ref="M160">IFERROR(INDEX('Temp Hisfa'!M$3:M$200, SMALL(IF(ISERROR('Temp Hisfa'!M$3:M$200), "", ROW('Temp Hisfa'!M$3:M$200)-MIN(ROW('Temp Hisfa'!M$3:M$200))+1), ROW(158:357))),"")</f>
        <v>0</v>
      </c>
      <c r="N160" s="22">
        <f t="array" ref="N160">IFERROR(INDEX('Temp Hisfa'!N$3:N$200, SMALL(IF(ISERROR('Temp Hisfa'!N$3:N$200), "", ROW('Temp Hisfa'!N$3:N$200)-MIN(ROW('Temp Hisfa'!N$3:N$200))+1), ROW(158:357))),"")</f>
        <v>1900</v>
      </c>
      <c r="O160" s="22" t="str">
        <f t="array" ref="O160">IFERROR(INDEX('Temp Hisfa'!O$3:O$200, SMALL(IF(ISERROR('Temp Hisfa'!O$3:O$200), "", ROW('Temp Hisfa'!O$3:O$200)-MIN(ROW('Temp Hisfa'!O$3:O$200))+1), ROW(158:357))),"")</f>
        <v>enero</v>
      </c>
      <c r="P160" s="22">
        <f t="array" ref="P160">IFERROR(INDEX('Temp Hisfa'!P$3:P$200, SMALL(IF(ISERROR('Temp Hisfa'!P$3:P$200), "", ROW('Temp Hisfa'!P$3:P$200)-MIN(ROW('Temp Hisfa'!P$3:P$200))+1), ROW(158:357))),"")</f>
        <v>0</v>
      </c>
      <c r="Q160" s="22">
        <f t="array" ref="Q160">IFERROR(INDEX('Temp Hisfa'!Q$3:Q$200, SMALL(IF(ISERROR('Temp Hisfa'!Q$3:Q$200), "", ROW('Temp Hisfa'!Q$3:Q$200)-MIN(ROW('Temp Hisfa'!Q$3:Q$200))+1), ROW(158:357))),"")</f>
        <v>0</v>
      </c>
      <c r="R160" s="22">
        <f t="array" ref="R160">IFERROR(INDEX('Temp Hisfa'!R$3:R$200, SMALL(IF(ISERROR('Temp Hisfa'!R$3:R$200), "", ROW('Temp Hisfa'!R$3:R$200)-MIN(ROW('Temp Hisfa'!R$3:R$200))+1), ROW(158:357))),"")</f>
        <v>0</v>
      </c>
      <c r="S160" s="22">
        <f t="array" ref="S160">IFERROR(INDEX('Temp Hisfa'!S$3:S$200, SMALL(IF(ISERROR('Temp Hisfa'!S$3:S$200), "", ROW('Temp Hisfa'!S$3:S$200)-MIN(ROW('Temp Hisfa'!S$3:S$200))+1), ROW(158:357))),"")</f>
        <v>0</v>
      </c>
      <c r="T160" s="22">
        <f t="array" ref="T160">IFERROR(INDEX('Temp Hisfa'!T$3:T$200, SMALL(IF(ISERROR('Temp Hisfa'!T$3:T$200), "", ROW('Temp Hisfa'!T$3:T$200)-MIN(ROW('Temp Hisfa'!T$3:T$200))+1), ROW(158:357))),"")</f>
        <v>0</v>
      </c>
      <c r="U160" s="22">
        <f t="array" ref="U160">IFERROR(INDEX('Temp Hisfa'!U$3:U$200, SMALL(IF(ISERROR('Temp Hisfa'!U$3:U$200), "", ROW('Temp Hisfa'!U$3:U$200)-MIN(ROW('Temp Hisfa'!U$3:U$200))+1), ROW(158:357))),"")</f>
        <v>0</v>
      </c>
      <c r="V160" s="22">
        <f t="array" ref="V160">IFERROR(INDEX('Temp Hisfa'!V$3:V$200, SMALL(IF(ISERROR('Temp Hisfa'!V$3:V$200), "", ROW('Temp Hisfa'!V$3:V$200)-MIN(ROW('Temp Hisfa'!V$3:V$200))+1), ROW(158:357))),"")</f>
        <v>0</v>
      </c>
      <c r="W160" s="22">
        <f t="array" ref="W160">IFERROR(INDEX('Temp Hisfa'!W$3:W$200, SMALL(IF(ISERROR('Temp Hisfa'!W$3:W$200), "", ROW('Temp Hisfa'!W$3:W$200)-MIN(ROW('Temp Hisfa'!W$3:W$200))+1), ROW(158:357))),"")</f>
        <v>0</v>
      </c>
      <c r="X160" s="22">
        <f t="array" ref="X160">IFERROR(INDEX('Temp Hisfa'!X$3:X$200, SMALL(IF(ISERROR('Temp Hisfa'!X$3:X$200), "", ROW('Temp Hisfa'!X$3:X$200)-MIN(ROW('Temp Hisfa'!X$3:X$200))+1), ROW(158:357))),"")</f>
        <v>0</v>
      </c>
      <c r="Y160" s="22">
        <f t="array" ref="Y160">IFERROR(INDEX('Temp Hisfa'!Y$3:Y$200, SMALL(IF(ISERROR('Temp Hisfa'!Y$3:Y$200), "", ROW('Temp Hisfa'!Y$3:Y$200)-MIN(ROW('Temp Hisfa'!Y$3:Y$200))+1), ROW(158:357))),"")</f>
        <v>0</v>
      </c>
      <c r="Z160" s="22">
        <f t="array" ref="Z160">IFERROR(INDEX('Temp Hisfa'!Z$3:Z$200, SMALL(IF(ISERROR('Temp Hisfa'!Z$3:Z$200), "", ROW('Temp Hisfa'!Z$3:Z$200)-MIN(ROW('Temp Hisfa'!Z$3:Z$200))+1), ROW(158:357))),"")</f>
        <v>0</v>
      </c>
      <c r="AA160" s="22">
        <f t="array" ref="AA160">IFERROR(INDEX('Temp Hisfa'!AA$3:AA$200, SMALL(IF(ISERROR('Temp Hisfa'!AA$3:AA$200), "", ROW('Temp Hisfa'!AA$3:AA$200)-MIN(ROW('Temp Hisfa'!AA$3:AA$200))+1), ROW(158:357))),"")</f>
        <v>0</v>
      </c>
      <c r="AB160" s="22">
        <f t="array" ref="AB160">IFERROR(INDEX('Temp Hisfa'!AB$3:AB$200, SMALL(IF(ISERROR('Temp Hisfa'!AB$3:AB$200), "", ROW('Temp Hisfa'!AB$3:AB$200)-MIN(ROW('Temp Hisfa'!AB$3:AB$200))+1), ROW(158:357))),"")</f>
        <v>0</v>
      </c>
    </row>
    <row r="161" spans="1:28" hidden="1" x14ac:dyDescent="0.3">
      <c r="A161" s="4">
        <f t="array" ref="A161">IFERROR(INDEX('Temp Hisfa'!A$3:A$200, SMALL(IF(ISERROR('Temp Hisfa'!A$3:A$200), "", ROW('Temp Hisfa'!A$3:A$200)-MIN(ROW('Temp Hisfa'!A$3:A$200))+1), ROW(159:357))),"")</f>
        <v>0</v>
      </c>
      <c r="B161" s="4">
        <f t="array" ref="B161">IFERROR(INDEX('Temp Hisfa'!B$3:B$200, SMALL(IF(ISERROR('Temp Hisfa'!B$3:B$200), "", ROW('Temp Hisfa'!B$3:B$200)-MIN(ROW('Temp Hisfa'!B$3:B$200))+1), ROW(159:357))),"")</f>
        <v>0</v>
      </c>
      <c r="C161" s="3">
        <f t="array" ref="C161">IFERROR(INDEX('Temp Hisfa'!C$3:C$200, SMALL(IF(ISERROR('Temp Hisfa'!C$3:C$200), "", ROW('Temp Hisfa'!C$3:C$200)-MIN(ROW('Temp Hisfa'!C$3:C$200))+1), ROW(159:357))),"")</f>
        <v>0</v>
      </c>
      <c r="D161" s="3">
        <f t="array" ref="D161">IFERROR(INDEX('Temp Hisfa'!D$3:D$200, SMALL(IF(ISERROR('Temp Hisfa'!D$3:D$200), "", ROW('Temp Hisfa'!D$3:D$200)-MIN(ROW('Temp Hisfa'!D$3:D$200))+1), ROW(159:357))),"")</f>
        <v>0</v>
      </c>
      <c r="E161" s="29">
        <f t="array" ref="E161">IFERROR(INDEX('Temp Hisfa'!E$3:E$200, SMALL(IF(ISERROR('Temp Hisfa'!E$3:E$200), "", ROW('Temp Hisfa'!E$3:E$200)-MIN(ROW('Temp Hisfa'!E$3:E$200))+1), ROW(159:358))),"")</f>
        <v>0</v>
      </c>
      <c r="F161" s="22" t="str">
        <f t="array" ref="F161">IFERROR(INDEX('Temp Hisfa'!F$3:F$200, SMALL(IF(ISERROR('Temp Hisfa'!F$3:F$200), "", ROW('Temp Hisfa'!F$3:F$200)-MIN(ROW('Temp Hisfa'!F$3:F$200))+1), ROW(159:358))),"")</f>
        <v/>
      </c>
      <c r="G161" s="30">
        <f t="array" ref="G161">IFERROR(INDEX('Temp Hisfa'!G$3:G$200, SMALL(IF(ISERROR('Temp Hisfa'!G$3:G$200), "", ROW('Temp Hisfa'!G$3:G$200)-MIN(ROW('Temp Hisfa'!G$3:G$200))+1), ROW(159:358))),"")</f>
        <v>0</v>
      </c>
      <c r="H161" s="22" t="str">
        <f t="array" ref="H161">IFERROR(INDEX('Temp Hisfa'!H$3:H$200, SMALL(IF(ISERROR('Temp Hisfa'!H$3:H$200), "", ROW('Temp Hisfa'!H$3:H$200)-MIN(ROW('Temp Hisfa'!H$3:H$200))+1), ROW(159:358))),"")</f>
        <v/>
      </c>
      <c r="I161" s="22">
        <f t="array" ref="I161">IFERROR(INDEX('Temp Hisfa'!I$3:I$200, SMALL(IF(ISERROR('Temp Hisfa'!I$3:I$200), "", ROW('Temp Hisfa'!I$3:I$200)-MIN(ROW('Temp Hisfa'!I$3:I$200))+1), ROW(159:358))),"")</f>
        <v>0</v>
      </c>
      <c r="J161" s="22">
        <f t="array" ref="J161">IFERROR(INDEX('Temp Hisfa'!J$3:J$200, SMALL(IF(ISERROR('Temp Hisfa'!J$3:J$200), "", ROW('Temp Hisfa'!J$3:J$200)-MIN(ROW('Temp Hisfa'!J$3:J$200))+1), ROW(159:358))),"")</f>
        <v>0</v>
      </c>
      <c r="K161" s="30">
        <f t="array" ref="K161">IFERROR(INDEX('Temp Hisfa'!K$3:K$200, SMALL(IF(ISERROR('Temp Hisfa'!K$3:K$200), "", ROW('Temp Hisfa'!K$3:K$200)-MIN(ROW('Temp Hisfa'!K$3:K$200))+1), ROW(159:358))),"")</f>
        <v>0</v>
      </c>
      <c r="L161" s="22">
        <f t="array" ref="L161">IFERROR(INDEX('Temp Hisfa'!L$3:L$200, SMALL(IF(ISERROR('Temp Hisfa'!L$3:L$200), "", ROW('Temp Hisfa'!L$3:L$200)-MIN(ROW('Temp Hisfa'!L$3:L$200))+1), ROW(159:358))),"")</f>
        <v>0</v>
      </c>
      <c r="M161" s="22">
        <f t="array" ref="M161">IFERROR(INDEX('Temp Hisfa'!M$3:M$200, SMALL(IF(ISERROR('Temp Hisfa'!M$3:M$200), "", ROW('Temp Hisfa'!M$3:M$200)-MIN(ROW('Temp Hisfa'!M$3:M$200))+1), ROW(159:358))),"")</f>
        <v>0</v>
      </c>
      <c r="N161" s="22">
        <f t="array" ref="N161">IFERROR(INDEX('Temp Hisfa'!N$3:N$200, SMALL(IF(ISERROR('Temp Hisfa'!N$3:N$200), "", ROW('Temp Hisfa'!N$3:N$200)-MIN(ROW('Temp Hisfa'!N$3:N$200))+1), ROW(159:358))),"")</f>
        <v>1900</v>
      </c>
      <c r="O161" s="22" t="str">
        <f t="array" ref="O161">IFERROR(INDEX('Temp Hisfa'!O$3:O$200, SMALL(IF(ISERROR('Temp Hisfa'!O$3:O$200), "", ROW('Temp Hisfa'!O$3:O$200)-MIN(ROW('Temp Hisfa'!O$3:O$200))+1), ROW(159:358))),"")</f>
        <v>enero</v>
      </c>
      <c r="P161" s="22">
        <f t="array" ref="P161">IFERROR(INDEX('Temp Hisfa'!P$3:P$200, SMALL(IF(ISERROR('Temp Hisfa'!P$3:P$200), "", ROW('Temp Hisfa'!P$3:P$200)-MIN(ROW('Temp Hisfa'!P$3:P$200))+1), ROW(159:358))),"")</f>
        <v>0</v>
      </c>
      <c r="Q161" s="22">
        <f t="array" ref="Q161">IFERROR(INDEX('Temp Hisfa'!Q$3:Q$200, SMALL(IF(ISERROR('Temp Hisfa'!Q$3:Q$200), "", ROW('Temp Hisfa'!Q$3:Q$200)-MIN(ROW('Temp Hisfa'!Q$3:Q$200))+1), ROW(159:358))),"")</f>
        <v>0</v>
      </c>
      <c r="R161" s="22">
        <f t="array" ref="R161">IFERROR(INDEX('Temp Hisfa'!R$3:R$200, SMALL(IF(ISERROR('Temp Hisfa'!R$3:R$200), "", ROW('Temp Hisfa'!R$3:R$200)-MIN(ROW('Temp Hisfa'!R$3:R$200))+1), ROW(159:358))),"")</f>
        <v>0</v>
      </c>
      <c r="S161" s="22">
        <f t="array" ref="S161">IFERROR(INDEX('Temp Hisfa'!S$3:S$200, SMALL(IF(ISERROR('Temp Hisfa'!S$3:S$200), "", ROW('Temp Hisfa'!S$3:S$200)-MIN(ROW('Temp Hisfa'!S$3:S$200))+1), ROW(159:358))),"")</f>
        <v>0</v>
      </c>
      <c r="T161" s="22">
        <f t="array" ref="T161">IFERROR(INDEX('Temp Hisfa'!T$3:T$200, SMALL(IF(ISERROR('Temp Hisfa'!T$3:T$200), "", ROW('Temp Hisfa'!T$3:T$200)-MIN(ROW('Temp Hisfa'!T$3:T$200))+1), ROW(159:358))),"")</f>
        <v>0</v>
      </c>
      <c r="U161" s="22">
        <f t="array" ref="U161">IFERROR(INDEX('Temp Hisfa'!U$3:U$200, SMALL(IF(ISERROR('Temp Hisfa'!U$3:U$200), "", ROW('Temp Hisfa'!U$3:U$200)-MIN(ROW('Temp Hisfa'!U$3:U$200))+1), ROW(159:358))),"")</f>
        <v>0</v>
      </c>
      <c r="V161" s="22">
        <f t="array" ref="V161">IFERROR(INDEX('Temp Hisfa'!V$3:V$200, SMALL(IF(ISERROR('Temp Hisfa'!V$3:V$200), "", ROW('Temp Hisfa'!V$3:V$200)-MIN(ROW('Temp Hisfa'!V$3:V$200))+1), ROW(159:358))),"")</f>
        <v>0</v>
      </c>
      <c r="W161" s="22">
        <f t="array" ref="W161">IFERROR(INDEX('Temp Hisfa'!W$3:W$200, SMALL(IF(ISERROR('Temp Hisfa'!W$3:W$200), "", ROW('Temp Hisfa'!W$3:W$200)-MIN(ROW('Temp Hisfa'!W$3:W$200))+1), ROW(159:358))),"")</f>
        <v>0</v>
      </c>
      <c r="X161" s="22">
        <f t="array" ref="X161">IFERROR(INDEX('Temp Hisfa'!X$3:X$200, SMALL(IF(ISERROR('Temp Hisfa'!X$3:X$200), "", ROW('Temp Hisfa'!X$3:X$200)-MIN(ROW('Temp Hisfa'!X$3:X$200))+1), ROW(159:358))),"")</f>
        <v>0</v>
      </c>
      <c r="Y161" s="22">
        <f t="array" ref="Y161">IFERROR(INDEX('Temp Hisfa'!Y$3:Y$200, SMALL(IF(ISERROR('Temp Hisfa'!Y$3:Y$200), "", ROW('Temp Hisfa'!Y$3:Y$200)-MIN(ROW('Temp Hisfa'!Y$3:Y$200))+1), ROW(159:358))),"")</f>
        <v>0</v>
      </c>
      <c r="Z161" s="22">
        <f t="array" ref="Z161">IFERROR(INDEX('Temp Hisfa'!Z$3:Z$200, SMALL(IF(ISERROR('Temp Hisfa'!Z$3:Z$200), "", ROW('Temp Hisfa'!Z$3:Z$200)-MIN(ROW('Temp Hisfa'!Z$3:Z$200))+1), ROW(159:358))),"")</f>
        <v>0</v>
      </c>
      <c r="AA161" s="22">
        <f t="array" ref="AA161">IFERROR(INDEX('Temp Hisfa'!AA$3:AA$200, SMALL(IF(ISERROR('Temp Hisfa'!AA$3:AA$200), "", ROW('Temp Hisfa'!AA$3:AA$200)-MIN(ROW('Temp Hisfa'!AA$3:AA$200))+1), ROW(159:358))),"")</f>
        <v>0</v>
      </c>
      <c r="AB161" s="22">
        <f t="array" ref="AB161">IFERROR(INDEX('Temp Hisfa'!AB$3:AB$200, SMALL(IF(ISERROR('Temp Hisfa'!AB$3:AB$200), "", ROW('Temp Hisfa'!AB$3:AB$200)-MIN(ROW('Temp Hisfa'!AB$3:AB$200))+1), ROW(159:358))),"")</f>
        <v>0</v>
      </c>
    </row>
    <row r="162" spans="1:28" hidden="1" x14ac:dyDescent="0.3">
      <c r="A162" s="4">
        <f t="array" ref="A162">IFERROR(INDEX('Temp Hisfa'!A$3:A$200, SMALL(IF(ISERROR('Temp Hisfa'!A$3:A$200), "", ROW('Temp Hisfa'!A$3:A$200)-MIN(ROW('Temp Hisfa'!A$3:A$200))+1), ROW(160:358))),"")</f>
        <v>0</v>
      </c>
      <c r="B162" s="4">
        <f t="array" ref="B162">IFERROR(INDEX('Temp Hisfa'!B$3:B$200, SMALL(IF(ISERROR('Temp Hisfa'!B$3:B$200), "", ROW('Temp Hisfa'!B$3:B$200)-MIN(ROW('Temp Hisfa'!B$3:B$200))+1), ROW(160:358))),"")</f>
        <v>0</v>
      </c>
      <c r="C162" s="3">
        <f t="array" ref="C162">IFERROR(INDEX('Temp Hisfa'!C$3:C$200, SMALL(IF(ISERROR('Temp Hisfa'!C$3:C$200), "", ROW('Temp Hisfa'!C$3:C$200)-MIN(ROW('Temp Hisfa'!C$3:C$200))+1), ROW(160:358))),"")</f>
        <v>0</v>
      </c>
      <c r="D162" s="3">
        <f t="array" ref="D162">IFERROR(INDEX('Temp Hisfa'!D$3:D$200, SMALL(IF(ISERROR('Temp Hisfa'!D$3:D$200), "", ROW('Temp Hisfa'!D$3:D$200)-MIN(ROW('Temp Hisfa'!D$3:D$200))+1), ROW(160:358))),"")</f>
        <v>0</v>
      </c>
      <c r="E162" s="29">
        <f t="array" ref="E162">IFERROR(INDEX('Temp Hisfa'!E$3:E$200, SMALL(IF(ISERROR('Temp Hisfa'!E$3:E$200), "", ROW('Temp Hisfa'!E$3:E$200)-MIN(ROW('Temp Hisfa'!E$3:E$200))+1), ROW(160:359))),"")</f>
        <v>0</v>
      </c>
      <c r="F162" s="22" t="str">
        <f t="array" ref="F162">IFERROR(INDEX('Temp Hisfa'!F$3:F$200, SMALL(IF(ISERROR('Temp Hisfa'!F$3:F$200), "", ROW('Temp Hisfa'!F$3:F$200)-MIN(ROW('Temp Hisfa'!F$3:F$200))+1), ROW(160:359))),"")</f>
        <v/>
      </c>
      <c r="G162" s="30">
        <f t="array" ref="G162">IFERROR(INDEX('Temp Hisfa'!G$3:G$200, SMALL(IF(ISERROR('Temp Hisfa'!G$3:G$200), "", ROW('Temp Hisfa'!G$3:G$200)-MIN(ROW('Temp Hisfa'!G$3:G$200))+1), ROW(160:359))),"")</f>
        <v>0</v>
      </c>
      <c r="H162" s="22" t="str">
        <f t="array" ref="H162">IFERROR(INDEX('Temp Hisfa'!H$3:H$200, SMALL(IF(ISERROR('Temp Hisfa'!H$3:H$200), "", ROW('Temp Hisfa'!H$3:H$200)-MIN(ROW('Temp Hisfa'!H$3:H$200))+1), ROW(160:359))),"")</f>
        <v/>
      </c>
      <c r="I162" s="22">
        <f t="array" ref="I162">IFERROR(INDEX('Temp Hisfa'!I$3:I$200, SMALL(IF(ISERROR('Temp Hisfa'!I$3:I$200), "", ROW('Temp Hisfa'!I$3:I$200)-MIN(ROW('Temp Hisfa'!I$3:I$200))+1), ROW(160:359))),"")</f>
        <v>0</v>
      </c>
      <c r="J162" s="22">
        <f t="array" ref="J162">IFERROR(INDEX('Temp Hisfa'!J$3:J$200, SMALL(IF(ISERROR('Temp Hisfa'!J$3:J$200), "", ROW('Temp Hisfa'!J$3:J$200)-MIN(ROW('Temp Hisfa'!J$3:J$200))+1), ROW(160:359))),"")</f>
        <v>0</v>
      </c>
      <c r="K162" s="30">
        <f t="array" ref="K162">IFERROR(INDEX('Temp Hisfa'!K$3:K$200, SMALL(IF(ISERROR('Temp Hisfa'!K$3:K$200), "", ROW('Temp Hisfa'!K$3:K$200)-MIN(ROW('Temp Hisfa'!K$3:K$200))+1), ROW(160:359))),"")</f>
        <v>0</v>
      </c>
      <c r="L162" s="22">
        <f t="array" ref="L162">IFERROR(INDEX('Temp Hisfa'!L$3:L$200, SMALL(IF(ISERROR('Temp Hisfa'!L$3:L$200), "", ROW('Temp Hisfa'!L$3:L$200)-MIN(ROW('Temp Hisfa'!L$3:L$200))+1), ROW(160:359))),"")</f>
        <v>0</v>
      </c>
      <c r="M162" s="22">
        <f t="array" ref="M162">IFERROR(INDEX('Temp Hisfa'!M$3:M$200, SMALL(IF(ISERROR('Temp Hisfa'!M$3:M$200), "", ROW('Temp Hisfa'!M$3:M$200)-MIN(ROW('Temp Hisfa'!M$3:M$200))+1), ROW(160:359))),"")</f>
        <v>0</v>
      </c>
      <c r="N162" s="22">
        <f t="array" ref="N162">IFERROR(INDEX('Temp Hisfa'!N$3:N$200, SMALL(IF(ISERROR('Temp Hisfa'!N$3:N$200), "", ROW('Temp Hisfa'!N$3:N$200)-MIN(ROW('Temp Hisfa'!N$3:N$200))+1), ROW(160:359))),"")</f>
        <v>1900</v>
      </c>
      <c r="O162" s="22" t="str">
        <f t="array" ref="O162">IFERROR(INDEX('Temp Hisfa'!O$3:O$200, SMALL(IF(ISERROR('Temp Hisfa'!O$3:O$200), "", ROW('Temp Hisfa'!O$3:O$200)-MIN(ROW('Temp Hisfa'!O$3:O$200))+1), ROW(160:359))),"")</f>
        <v>enero</v>
      </c>
      <c r="P162" s="22">
        <f t="array" ref="P162">IFERROR(INDEX('Temp Hisfa'!P$3:P$200, SMALL(IF(ISERROR('Temp Hisfa'!P$3:P$200), "", ROW('Temp Hisfa'!P$3:P$200)-MIN(ROW('Temp Hisfa'!P$3:P$200))+1), ROW(160:359))),"")</f>
        <v>0</v>
      </c>
      <c r="Q162" s="22">
        <f t="array" ref="Q162">IFERROR(INDEX('Temp Hisfa'!Q$3:Q$200, SMALL(IF(ISERROR('Temp Hisfa'!Q$3:Q$200), "", ROW('Temp Hisfa'!Q$3:Q$200)-MIN(ROW('Temp Hisfa'!Q$3:Q$200))+1), ROW(160:359))),"")</f>
        <v>0</v>
      </c>
      <c r="R162" s="22">
        <f t="array" ref="R162">IFERROR(INDEX('Temp Hisfa'!R$3:R$200, SMALL(IF(ISERROR('Temp Hisfa'!R$3:R$200), "", ROW('Temp Hisfa'!R$3:R$200)-MIN(ROW('Temp Hisfa'!R$3:R$200))+1), ROW(160:359))),"")</f>
        <v>0</v>
      </c>
      <c r="S162" s="22">
        <f t="array" ref="S162">IFERROR(INDEX('Temp Hisfa'!S$3:S$200, SMALL(IF(ISERROR('Temp Hisfa'!S$3:S$200), "", ROW('Temp Hisfa'!S$3:S$200)-MIN(ROW('Temp Hisfa'!S$3:S$200))+1), ROW(160:359))),"")</f>
        <v>0</v>
      </c>
      <c r="T162" s="22">
        <f t="array" ref="T162">IFERROR(INDEX('Temp Hisfa'!T$3:T$200, SMALL(IF(ISERROR('Temp Hisfa'!T$3:T$200), "", ROW('Temp Hisfa'!T$3:T$200)-MIN(ROW('Temp Hisfa'!T$3:T$200))+1), ROW(160:359))),"")</f>
        <v>0</v>
      </c>
      <c r="U162" s="22">
        <f t="array" ref="U162">IFERROR(INDEX('Temp Hisfa'!U$3:U$200, SMALL(IF(ISERROR('Temp Hisfa'!U$3:U$200), "", ROW('Temp Hisfa'!U$3:U$200)-MIN(ROW('Temp Hisfa'!U$3:U$200))+1), ROW(160:359))),"")</f>
        <v>0</v>
      </c>
      <c r="V162" s="22">
        <f t="array" ref="V162">IFERROR(INDEX('Temp Hisfa'!V$3:V$200, SMALL(IF(ISERROR('Temp Hisfa'!V$3:V$200), "", ROW('Temp Hisfa'!V$3:V$200)-MIN(ROW('Temp Hisfa'!V$3:V$200))+1), ROW(160:359))),"")</f>
        <v>0</v>
      </c>
      <c r="W162" s="22">
        <f t="array" ref="W162">IFERROR(INDEX('Temp Hisfa'!W$3:W$200, SMALL(IF(ISERROR('Temp Hisfa'!W$3:W$200), "", ROW('Temp Hisfa'!W$3:W$200)-MIN(ROW('Temp Hisfa'!W$3:W$200))+1), ROW(160:359))),"")</f>
        <v>0</v>
      </c>
      <c r="X162" s="22">
        <f t="array" ref="X162">IFERROR(INDEX('Temp Hisfa'!X$3:X$200, SMALL(IF(ISERROR('Temp Hisfa'!X$3:X$200), "", ROW('Temp Hisfa'!X$3:X$200)-MIN(ROW('Temp Hisfa'!X$3:X$200))+1), ROW(160:359))),"")</f>
        <v>0</v>
      </c>
      <c r="Y162" s="22">
        <f t="array" ref="Y162">IFERROR(INDEX('Temp Hisfa'!Y$3:Y$200, SMALL(IF(ISERROR('Temp Hisfa'!Y$3:Y$200), "", ROW('Temp Hisfa'!Y$3:Y$200)-MIN(ROW('Temp Hisfa'!Y$3:Y$200))+1), ROW(160:359))),"")</f>
        <v>0</v>
      </c>
      <c r="Z162" s="22">
        <f t="array" ref="Z162">IFERROR(INDEX('Temp Hisfa'!Z$3:Z$200, SMALL(IF(ISERROR('Temp Hisfa'!Z$3:Z$200), "", ROW('Temp Hisfa'!Z$3:Z$200)-MIN(ROW('Temp Hisfa'!Z$3:Z$200))+1), ROW(160:359))),"")</f>
        <v>0</v>
      </c>
      <c r="AA162" s="22">
        <f t="array" ref="AA162">IFERROR(INDEX('Temp Hisfa'!AA$3:AA$200, SMALL(IF(ISERROR('Temp Hisfa'!AA$3:AA$200), "", ROW('Temp Hisfa'!AA$3:AA$200)-MIN(ROW('Temp Hisfa'!AA$3:AA$200))+1), ROW(160:359))),"")</f>
        <v>0</v>
      </c>
      <c r="AB162" s="22">
        <f t="array" ref="AB162">IFERROR(INDEX('Temp Hisfa'!AB$3:AB$200, SMALL(IF(ISERROR('Temp Hisfa'!AB$3:AB$200), "", ROW('Temp Hisfa'!AB$3:AB$200)-MIN(ROW('Temp Hisfa'!AB$3:AB$200))+1), ROW(160:359))),"")</f>
        <v>0</v>
      </c>
    </row>
    <row r="163" spans="1:28" hidden="1" x14ac:dyDescent="0.3">
      <c r="A163" s="4">
        <f t="array" ref="A163">IFERROR(INDEX('Temp Hisfa'!A$3:A$200, SMALL(IF(ISERROR('Temp Hisfa'!A$3:A$200), "", ROW('Temp Hisfa'!A$3:A$200)-MIN(ROW('Temp Hisfa'!A$3:A$200))+1), ROW(161:359))),"")</f>
        <v>0</v>
      </c>
      <c r="B163" s="4">
        <f t="array" ref="B163">IFERROR(INDEX('Temp Hisfa'!B$3:B$200, SMALL(IF(ISERROR('Temp Hisfa'!B$3:B$200), "", ROW('Temp Hisfa'!B$3:B$200)-MIN(ROW('Temp Hisfa'!B$3:B$200))+1), ROW(161:359))),"")</f>
        <v>0</v>
      </c>
      <c r="C163" s="3">
        <f t="array" ref="C163">IFERROR(INDEX('Temp Hisfa'!C$3:C$200, SMALL(IF(ISERROR('Temp Hisfa'!C$3:C$200), "", ROW('Temp Hisfa'!C$3:C$200)-MIN(ROW('Temp Hisfa'!C$3:C$200))+1), ROW(161:359))),"")</f>
        <v>0</v>
      </c>
      <c r="D163" s="3">
        <f t="array" ref="D163">IFERROR(INDEX('Temp Hisfa'!D$3:D$200, SMALL(IF(ISERROR('Temp Hisfa'!D$3:D$200), "", ROW('Temp Hisfa'!D$3:D$200)-MIN(ROW('Temp Hisfa'!D$3:D$200))+1), ROW(161:359))),"")</f>
        <v>0</v>
      </c>
      <c r="E163" s="29">
        <f t="array" ref="E163">IFERROR(INDEX('Temp Hisfa'!E$3:E$200, SMALL(IF(ISERROR('Temp Hisfa'!E$3:E$200), "", ROW('Temp Hisfa'!E$3:E$200)-MIN(ROW('Temp Hisfa'!E$3:E$200))+1), ROW(161:360))),"")</f>
        <v>0</v>
      </c>
      <c r="F163" s="22" t="str">
        <f t="array" ref="F163">IFERROR(INDEX('Temp Hisfa'!F$3:F$200, SMALL(IF(ISERROR('Temp Hisfa'!F$3:F$200), "", ROW('Temp Hisfa'!F$3:F$200)-MIN(ROW('Temp Hisfa'!F$3:F$200))+1), ROW(161:360))),"")</f>
        <v/>
      </c>
      <c r="G163" s="30">
        <f t="array" ref="G163">IFERROR(INDEX('Temp Hisfa'!G$3:G$200, SMALL(IF(ISERROR('Temp Hisfa'!G$3:G$200), "", ROW('Temp Hisfa'!G$3:G$200)-MIN(ROW('Temp Hisfa'!G$3:G$200))+1), ROW(161:360))),"")</f>
        <v>0</v>
      </c>
      <c r="H163" s="22" t="str">
        <f t="array" ref="H163">IFERROR(INDEX('Temp Hisfa'!H$3:H$200, SMALL(IF(ISERROR('Temp Hisfa'!H$3:H$200), "", ROW('Temp Hisfa'!H$3:H$200)-MIN(ROW('Temp Hisfa'!H$3:H$200))+1), ROW(161:360))),"")</f>
        <v/>
      </c>
      <c r="I163" s="22">
        <f t="array" ref="I163">IFERROR(INDEX('Temp Hisfa'!I$3:I$200, SMALL(IF(ISERROR('Temp Hisfa'!I$3:I$200), "", ROW('Temp Hisfa'!I$3:I$200)-MIN(ROW('Temp Hisfa'!I$3:I$200))+1), ROW(161:360))),"")</f>
        <v>0</v>
      </c>
      <c r="J163" s="22">
        <f t="array" ref="J163">IFERROR(INDEX('Temp Hisfa'!J$3:J$200, SMALL(IF(ISERROR('Temp Hisfa'!J$3:J$200), "", ROW('Temp Hisfa'!J$3:J$200)-MIN(ROW('Temp Hisfa'!J$3:J$200))+1), ROW(161:360))),"")</f>
        <v>0</v>
      </c>
      <c r="K163" s="30">
        <f t="array" ref="K163">IFERROR(INDEX('Temp Hisfa'!K$3:K$200, SMALL(IF(ISERROR('Temp Hisfa'!K$3:K$200), "", ROW('Temp Hisfa'!K$3:K$200)-MIN(ROW('Temp Hisfa'!K$3:K$200))+1), ROW(161:360))),"")</f>
        <v>0</v>
      </c>
      <c r="L163" s="22">
        <f t="array" ref="L163">IFERROR(INDEX('Temp Hisfa'!L$3:L$200, SMALL(IF(ISERROR('Temp Hisfa'!L$3:L$200), "", ROW('Temp Hisfa'!L$3:L$200)-MIN(ROW('Temp Hisfa'!L$3:L$200))+1), ROW(161:360))),"")</f>
        <v>0</v>
      </c>
      <c r="M163" s="22">
        <f t="array" ref="M163">IFERROR(INDEX('Temp Hisfa'!M$3:M$200, SMALL(IF(ISERROR('Temp Hisfa'!M$3:M$200), "", ROW('Temp Hisfa'!M$3:M$200)-MIN(ROW('Temp Hisfa'!M$3:M$200))+1), ROW(161:360))),"")</f>
        <v>0</v>
      </c>
      <c r="N163" s="22">
        <f t="array" ref="N163">IFERROR(INDEX('Temp Hisfa'!N$3:N$200, SMALL(IF(ISERROR('Temp Hisfa'!N$3:N$200), "", ROW('Temp Hisfa'!N$3:N$200)-MIN(ROW('Temp Hisfa'!N$3:N$200))+1), ROW(161:360))),"")</f>
        <v>1900</v>
      </c>
      <c r="O163" s="22" t="str">
        <f t="array" ref="O163">IFERROR(INDEX('Temp Hisfa'!O$3:O$200, SMALL(IF(ISERROR('Temp Hisfa'!O$3:O$200), "", ROW('Temp Hisfa'!O$3:O$200)-MIN(ROW('Temp Hisfa'!O$3:O$200))+1), ROW(161:360))),"")</f>
        <v>enero</v>
      </c>
      <c r="P163" s="22">
        <f t="array" ref="P163">IFERROR(INDEX('Temp Hisfa'!P$3:P$200, SMALL(IF(ISERROR('Temp Hisfa'!P$3:P$200), "", ROW('Temp Hisfa'!P$3:P$200)-MIN(ROW('Temp Hisfa'!P$3:P$200))+1), ROW(161:360))),"")</f>
        <v>0</v>
      </c>
      <c r="Q163" s="22">
        <f t="array" ref="Q163">IFERROR(INDEX('Temp Hisfa'!Q$3:Q$200, SMALL(IF(ISERROR('Temp Hisfa'!Q$3:Q$200), "", ROW('Temp Hisfa'!Q$3:Q$200)-MIN(ROW('Temp Hisfa'!Q$3:Q$200))+1), ROW(161:360))),"")</f>
        <v>0</v>
      </c>
      <c r="R163" s="22">
        <f t="array" ref="R163">IFERROR(INDEX('Temp Hisfa'!R$3:R$200, SMALL(IF(ISERROR('Temp Hisfa'!R$3:R$200), "", ROW('Temp Hisfa'!R$3:R$200)-MIN(ROW('Temp Hisfa'!R$3:R$200))+1), ROW(161:360))),"")</f>
        <v>0</v>
      </c>
      <c r="S163" s="22">
        <f t="array" ref="S163">IFERROR(INDEX('Temp Hisfa'!S$3:S$200, SMALL(IF(ISERROR('Temp Hisfa'!S$3:S$200), "", ROW('Temp Hisfa'!S$3:S$200)-MIN(ROW('Temp Hisfa'!S$3:S$200))+1), ROW(161:360))),"")</f>
        <v>0</v>
      </c>
      <c r="T163" s="22">
        <f t="array" ref="T163">IFERROR(INDEX('Temp Hisfa'!T$3:T$200, SMALL(IF(ISERROR('Temp Hisfa'!T$3:T$200), "", ROW('Temp Hisfa'!T$3:T$200)-MIN(ROW('Temp Hisfa'!T$3:T$200))+1), ROW(161:360))),"")</f>
        <v>0</v>
      </c>
      <c r="U163" s="22">
        <f t="array" ref="U163">IFERROR(INDEX('Temp Hisfa'!U$3:U$200, SMALL(IF(ISERROR('Temp Hisfa'!U$3:U$200), "", ROW('Temp Hisfa'!U$3:U$200)-MIN(ROW('Temp Hisfa'!U$3:U$200))+1), ROW(161:360))),"")</f>
        <v>0</v>
      </c>
      <c r="V163" s="22">
        <f t="array" ref="V163">IFERROR(INDEX('Temp Hisfa'!V$3:V$200, SMALL(IF(ISERROR('Temp Hisfa'!V$3:V$200), "", ROW('Temp Hisfa'!V$3:V$200)-MIN(ROW('Temp Hisfa'!V$3:V$200))+1), ROW(161:360))),"")</f>
        <v>0</v>
      </c>
      <c r="W163" s="22">
        <f t="array" ref="W163">IFERROR(INDEX('Temp Hisfa'!W$3:W$200, SMALL(IF(ISERROR('Temp Hisfa'!W$3:W$200), "", ROW('Temp Hisfa'!W$3:W$200)-MIN(ROW('Temp Hisfa'!W$3:W$200))+1), ROW(161:360))),"")</f>
        <v>0</v>
      </c>
      <c r="X163" s="22">
        <f t="array" ref="X163">IFERROR(INDEX('Temp Hisfa'!X$3:X$200, SMALL(IF(ISERROR('Temp Hisfa'!X$3:X$200), "", ROW('Temp Hisfa'!X$3:X$200)-MIN(ROW('Temp Hisfa'!X$3:X$200))+1), ROW(161:360))),"")</f>
        <v>0</v>
      </c>
      <c r="Y163" s="22">
        <f t="array" ref="Y163">IFERROR(INDEX('Temp Hisfa'!Y$3:Y$200, SMALL(IF(ISERROR('Temp Hisfa'!Y$3:Y$200), "", ROW('Temp Hisfa'!Y$3:Y$200)-MIN(ROW('Temp Hisfa'!Y$3:Y$200))+1), ROW(161:360))),"")</f>
        <v>0</v>
      </c>
      <c r="Z163" s="22">
        <f t="array" ref="Z163">IFERROR(INDEX('Temp Hisfa'!Z$3:Z$200, SMALL(IF(ISERROR('Temp Hisfa'!Z$3:Z$200), "", ROW('Temp Hisfa'!Z$3:Z$200)-MIN(ROW('Temp Hisfa'!Z$3:Z$200))+1), ROW(161:360))),"")</f>
        <v>0</v>
      </c>
      <c r="AA163" s="22">
        <f t="array" ref="AA163">IFERROR(INDEX('Temp Hisfa'!AA$3:AA$200, SMALL(IF(ISERROR('Temp Hisfa'!AA$3:AA$200), "", ROW('Temp Hisfa'!AA$3:AA$200)-MIN(ROW('Temp Hisfa'!AA$3:AA$200))+1), ROW(161:360))),"")</f>
        <v>0</v>
      </c>
      <c r="AB163" s="22">
        <f t="array" ref="AB163">IFERROR(INDEX('Temp Hisfa'!AB$3:AB$200, SMALL(IF(ISERROR('Temp Hisfa'!AB$3:AB$200), "", ROW('Temp Hisfa'!AB$3:AB$200)-MIN(ROW('Temp Hisfa'!AB$3:AB$200))+1), ROW(161:360))),"")</f>
        <v>0</v>
      </c>
    </row>
    <row r="164" spans="1:28" hidden="1" x14ac:dyDescent="0.3">
      <c r="A164" s="4">
        <f t="array" ref="A164">IFERROR(INDEX('Temp Hisfa'!A$3:A$200, SMALL(IF(ISERROR('Temp Hisfa'!A$3:A$200), "", ROW('Temp Hisfa'!A$3:A$200)-MIN(ROW('Temp Hisfa'!A$3:A$200))+1), ROW(162:360))),"")</f>
        <v>0</v>
      </c>
      <c r="B164" s="4">
        <f t="array" ref="B164">IFERROR(INDEX('Temp Hisfa'!B$3:B$200, SMALL(IF(ISERROR('Temp Hisfa'!B$3:B$200), "", ROW('Temp Hisfa'!B$3:B$200)-MIN(ROW('Temp Hisfa'!B$3:B$200))+1), ROW(162:360))),"")</f>
        <v>0</v>
      </c>
      <c r="C164" s="3">
        <f t="array" ref="C164">IFERROR(INDEX('Temp Hisfa'!C$3:C$200, SMALL(IF(ISERROR('Temp Hisfa'!C$3:C$200), "", ROW('Temp Hisfa'!C$3:C$200)-MIN(ROW('Temp Hisfa'!C$3:C$200))+1), ROW(162:360))),"")</f>
        <v>0</v>
      </c>
      <c r="D164" s="3">
        <f t="array" ref="D164">IFERROR(INDEX('Temp Hisfa'!D$3:D$200, SMALL(IF(ISERROR('Temp Hisfa'!D$3:D$200), "", ROW('Temp Hisfa'!D$3:D$200)-MIN(ROW('Temp Hisfa'!D$3:D$200))+1), ROW(162:360))),"")</f>
        <v>0</v>
      </c>
      <c r="E164" s="29">
        <f t="array" ref="E164">IFERROR(INDEX('Temp Hisfa'!E$3:E$200, SMALL(IF(ISERROR('Temp Hisfa'!E$3:E$200), "", ROW('Temp Hisfa'!E$3:E$200)-MIN(ROW('Temp Hisfa'!E$3:E$200))+1), ROW(162:361))),"")</f>
        <v>0</v>
      </c>
      <c r="F164" s="22" t="str">
        <f t="array" ref="F164">IFERROR(INDEX('Temp Hisfa'!F$3:F$200, SMALL(IF(ISERROR('Temp Hisfa'!F$3:F$200), "", ROW('Temp Hisfa'!F$3:F$200)-MIN(ROW('Temp Hisfa'!F$3:F$200))+1), ROW(162:361))),"")</f>
        <v/>
      </c>
      <c r="G164" s="30">
        <f t="array" ref="G164">IFERROR(INDEX('Temp Hisfa'!G$3:G$200, SMALL(IF(ISERROR('Temp Hisfa'!G$3:G$200), "", ROW('Temp Hisfa'!G$3:G$200)-MIN(ROW('Temp Hisfa'!G$3:G$200))+1), ROW(162:361))),"")</f>
        <v>0</v>
      </c>
      <c r="H164" s="22" t="str">
        <f t="array" ref="H164">IFERROR(INDEX('Temp Hisfa'!H$3:H$200, SMALL(IF(ISERROR('Temp Hisfa'!H$3:H$200), "", ROW('Temp Hisfa'!H$3:H$200)-MIN(ROW('Temp Hisfa'!H$3:H$200))+1), ROW(162:361))),"")</f>
        <v/>
      </c>
      <c r="I164" s="22">
        <f t="array" ref="I164">IFERROR(INDEX('Temp Hisfa'!I$3:I$200, SMALL(IF(ISERROR('Temp Hisfa'!I$3:I$200), "", ROW('Temp Hisfa'!I$3:I$200)-MIN(ROW('Temp Hisfa'!I$3:I$200))+1), ROW(162:361))),"")</f>
        <v>0</v>
      </c>
      <c r="J164" s="22">
        <f t="array" ref="J164">IFERROR(INDEX('Temp Hisfa'!J$3:J$200, SMALL(IF(ISERROR('Temp Hisfa'!J$3:J$200), "", ROW('Temp Hisfa'!J$3:J$200)-MIN(ROW('Temp Hisfa'!J$3:J$200))+1), ROW(162:361))),"")</f>
        <v>0</v>
      </c>
      <c r="K164" s="30">
        <f t="array" ref="K164">IFERROR(INDEX('Temp Hisfa'!K$3:K$200, SMALL(IF(ISERROR('Temp Hisfa'!K$3:K$200), "", ROW('Temp Hisfa'!K$3:K$200)-MIN(ROW('Temp Hisfa'!K$3:K$200))+1), ROW(162:361))),"")</f>
        <v>0</v>
      </c>
      <c r="L164" s="22">
        <f t="array" ref="L164">IFERROR(INDEX('Temp Hisfa'!L$3:L$200, SMALL(IF(ISERROR('Temp Hisfa'!L$3:L$200), "", ROW('Temp Hisfa'!L$3:L$200)-MIN(ROW('Temp Hisfa'!L$3:L$200))+1), ROW(162:361))),"")</f>
        <v>0</v>
      </c>
      <c r="M164" s="22">
        <f t="array" ref="M164">IFERROR(INDEX('Temp Hisfa'!M$3:M$200, SMALL(IF(ISERROR('Temp Hisfa'!M$3:M$200), "", ROW('Temp Hisfa'!M$3:M$200)-MIN(ROW('Temp Hisfa'!M$3:M$200))+1), ROW(162:361))),"")</f>
        <v>0</v>
      </c>
      <c r="N164" s="22">
        <f t="array" ref="N164">IFERROR(INDEX('Temp Hisfa'!N$3:N$200, SMALL(IF(ISERROR('Temp Hisfa'!N$3:N$200), "", ROW('Temp Hisfa'!N$3:N$200)-MIN(ROW('Temp Hisfa'!N$3:N$200))+1), ROW(162:361))),"")</f>
        <v>1900</v>
      </c>
      <c r="O164" s="22" t="str">
        <f t="array" ref="O164">IFERROR(INDEX('Temp Hisfa'!O$3:O$200, SMALL(IF(ISERROR('Temp Hisfa'!O$3:O$200), "", ROW('Temp Hisfa'!O$3:O$200)-MIN(ROW('Temp Hisfa'!O$3:O$200))+1), ROW(162:361))),"")</f>
        <v>enero</v>
      </c>
      <c r="P164" s="22">
        <f t="array" ref="P164">IFERROR(INDEX('Temp Hisfa'!P$3:P$200, SMALL(IF(ISERROR('Temp Hisfa'!P$3:P$200), "", ROW('Temp Hisfa'!P$3:P$200)-MIN(ROW('Temp Hisfa'!P$3:P$200))+1), ROW(162:361))),"")</f>
        <v>0</v>
      </c>
      <c r="Q164" s="22">
        <f t="array" ref="Q164">IFERROR(INDEX('Temp Hisfa'!Q$3:Q$200, SMALL(IF(ISERROR('Temp Hisfa'!Q$3:Q$200), "", ROW('Temp Hisfa'!Q$3:Q$200)-MIN(ROW('Temp Hisfa'!Q$3:Q$200))+1), ROW(162:361))),"")</f>
        <v>0</v>
      </c>
      <c r="R164" s="22">
        <f t="array" ref="R164">IFERROR(INDEX('Temp Hisfa'!R$3:R$200, SMALL(IF(ISERROR('Temp Hisfa'!R$3:R$200), "", ROW('Temp Hisfa'!R$3:R$200)-MIN(ROW('Temp Hisfa'!R$3:R$200))+1), ROW(162:361))),"")</f>
        <v>0</v>
      </c>
      <c r="S164" s="22">
        <f t="array" ref="S164">IFERROR(INDEX('Temp Hisfa'!S$3:S$200, SMALL(IF(ISERROR('Temp Hisfa'!S$3:S$200), "", ROW('Temp Hisfa'!S$3:S$200)-MIN(ROW('Temp Hisfa'!S$3:S$200))+1), ROW(162:361))),"")</f>
        <v>0</v>
      </c>
      <c r="T164" s="22">
        <f t="array" ref="T164">IFERROR(INDEX('Temp Hisfa'!T$3:T$200, SMALL(IF(ISERROR('Temp Hisfa'!T$3:T$200), "", ROW('Temp Hisfa'!T$3:T$200)-MIN(ROW('Temp Hisfa'!T$3:T$200))+1), ROW(162:361))),"")</f>
        <v>0</v>
      </c>
      <c r="U164" s="22">
        <f t="array" ref="U164">IFERROR(INDEX('Temp Hisfa'!U$3:U$200, SMALL(IF(ISERROR('Temp Hisfa'!U$3:U$200), "", ROW('Temp Hisfa'!U$3:U$200)-MIN(ROW('Temp Hisfa'!U$3:U$200))+1), ROW(162:361))),"")</f>
        <v>0</v>
      </c>
      <c r="V164" s="22">
        <f t="array" ref="V164">IFERROR(INDEX('Temp Hisfa'!V$3:V$200, SMALL(IF(ISERROR('Temp Hisfa'!V$3:V$200), "", ROW('Temp Hisfa'!V$3:V$200)-MIN(ROW('Temp Hisfa'!V$3:V$200))+1), ROW(162:361))),"")</f>
        <v>0</v>
      </c>
      <c r="W164" s="22">
        <f t="array" ref="W164">IFERROR(INDEX('Temp Hisfa'!W$3:W$200, SMALL(IF(ISERROR('Temp Hisfa'!W$3:W$200), "", ROW('Temp Hisfa'!W$3:W$200)-MIN(ROW('Temp Hisfa'!W$3:W$200))+1), ROW(162:361))),"")</f>
        <v>0</v>
      </c>
      <c r="X164" s="22">
        <f t="array" ref="X164">IFERROR(INDEX('Temp Hisfa'!X$3:X$200, SMALL(IF(ISERROR('Temp Hisfa'!X$3:X$200), "", ROW('Temp Hisfa'!X$3:X$200)-MIN(ROW('Temp Hisfa'!X$3:X$200))+1), ROW(162:361))),"")</f>
        <v>0</v>
      </c>
      <c r="Y164" s="22">
        <f t="array" ref="Y164">IFERROR(INDEX('Temp Hisfa'!Y$3:Y$200, SMALL(IF(ISERROR('Temp Hisfa'!Y$3:Y$200), "", ROW('Temp Hisfa'!Y$3:Y$200)-MIN(ROW('Temp Hisfa'!Y$3:Y$200))+1), ROW(162:361))),"")</f>
        <v>0</v>
      </c>
      <c r="Z164" s="22">
        <f t="array" ref="Z164">IFERROR(INDEX('Temp Hisfa'!Z$3:Z$200, SMALL(IF(ISERROR('Temp Hisfa'!Z$3:Z$200), "", ROW('Temp Hisfa'!Z$3:Z$200)-MIN(ROW('Temp Hisfa'!Z$3:Z$200))+1), ROW(162:361))),"")</f>
        <v>0</v>
      </c>
      <c r="AA164" s="22">
        <f t="array" ref="AA164">IFERROR(INDEX('Temp Hisfa'!AA$3:AA$200, SMALL(IF(ISERROR('Temp Hisfa'!AA$3:AA$200), "", ROW('Temp Hisfa'!AA$3:AA$200)-MIN(ROW('Temp Hisfa'!AA$3:AA$200))+1), ROW(162:361))),"")</f>
        <v>0</v>
      </c>
      <c r="AB164" s="22">
        <f t="array" ref="AB164">IFERROR(INDEX('Temp Hisfa'!AB$3:AB$200, SMALL(IF(ISERROR('Temp Hisfa'!AB$3:AB$200), "", ROW('Temp Hisfa'!AB$3:AB$200)-MIN(ROW('Temp Hisfa'!AB$3:AB$200))+1), ROW(162:361))),"")</f>
        <v>0</v>
      </c>
    </row>
    <row r="165" spans="1:28" hidden="1" x14ac:dyDescent="0.3">
      <c r="A165" s="4">
        <f t="array" ref="A165">IFERROR(INDEX('Temp Hisfa'!A$3:A$200, SMALL(IF(ISERROR('Temp Hisfa'!A$3:A$200), "", ROW('Temp Hisfa'!A$3:A$200)-MIN(ROW('Temp Hisfa'!A$3:A$200))+1), ROW(163:361))),"")</f>
        <v>0</v>
      </c>
      <c r="B165" s="4">
        <f t="array" ref="B165">IFERROR(INDEX('Temp Hisfa'!B$3:B$200, SMALL(IF(ISERROR('Temp Hisfa'!B$3:B$200), "", ROW('Temp Hisfa'!B$3:B$200)-MIN(ROW('Temp Hisfa'!B$3:B$200))+1), ROW(163:361))),"")</f>
        <v>0</v>
      </c>
      <c r="C165" s="3">
        <f t="array" ref="C165">IFERROR(INDEX('Temp Hisfa'!C$3:C$200, SMALL(IF(ISERROR('Temp Hisfa'!C$3:C$200), "", ROW('Temp Hisfa'!C$3:C$200)-MIN(ROW('Temp Hisfa'!C$3:C$200))+1), ROW(163:361))),"")</f>
        <v>0</v>
      </c>
      <c r="D165" s="3">
        <f t="array" ref="D165">IFERROR(INDEX('Temp Hisfa'!D$3:D$200, SMALL(IF(ISERROR('Temp Hisfa'!D$3:D$200), "", ROW('Temp Hisfa'!D$3:D$200)-MIN(ROW('Temp Hisfa'!D$3:D$200))+1), ROW(163:361))),"")</f>
        <v>0</v>
      </c>
      <c r="E165" s="29">
        <f t="array" ref="E165">IFERROR(INDEX('Temp Hisfa'!E$3:E$200, SMALL(IF(ISERROR('Temp Hisfa'!E$3:E$200), "", ROW('Temp Hisfa'!E$3:E$200)-MIN(ROW('Temp Hisfa'!E$3:E$200))+1), ROW(163:362))),"")</f>
        <v>0</v>
      </c>
      <c r="F165" s="22" t="str">
        <f t="array" ref="F165">IFERROR(INDEX('Temp Hisfa'!F$3:F$200, SMALL(IF(ISERROR('Temp Hisfa'!F$3:F$200), "", ROW('Temp Hisfa'!F$3:F$200)-MIN(ROW('Temp Hisfa'!F$3:F$200))+1), ROW(163:362))),"")</f>
        <v/>
      </c>
      <c r="G165" s="30">
        <f t="array" ref="G165">IFERROR(INDEX('Temp Hisfa'!G$3:G$200, SMALL(IF(ISERROR('Temp Hisfa'!G$3:G$200), "", ROW('Temp Hisfa'!G$3:G$200)-MIN(ROW('Temp Hisfa'!G$3:G$200))+1), ROW(163:362))),"")</f>
        <v>0</v>
      </c>
      <c r="H165" s="22" t="str">
        <f t="array" ref="H165">IFERROR(INDEX('Temp Hisfa'!H$3:H$200, SMALL(IF(ISERROR('Temp Hisfa'!H$3:H$200), "", ROW('Temp Hisfa'!H$3:H$200)-MIN(ROW('Temp Hisfa'!H$3:H$200))+1), ROW(163:362))),"")</f>
        <v/>
      </c>
      <c r="I165" s="22">
        <f t="array" ref="I165">IFERROR(INDEX('Temp Hisfa'!I$3:I$200, SMALL(IF(ISERROR('Temp Hisfa'!I$3:I$200), "", ROW('Temp Hisfa'!I$3:I$200)-MIN(ROW('Temp Hisfa'!I$3:I$200))+1), ROW(163:362))),"")</f>
        <v>0</v>
      </c>
      <c r="J165" s="22">
        <f t="array" ref="J165">IFERROR(INDEX('Temp Hisfa'!J$3:J$200, SMALL(IF(ISERROR('Temp Hisfa'!J$3:J$200), "", ROW('Temp Hisfa'!J$3:J$200)-MIN(ROW('Temp Hisfa'!J$3:J$200))+1), ROW(163:362))),"")</f>
        <v>0</v>
      </c>
      <c r="K165" s="30">
        <f t="array" ref="K165">IFERROR(INDEX('Temp Hisfa'!K$3:K$200, SMALL(IF(ISERROR('Temp Hisfa'!K$3:K$200), "", ROW('Temp Hisfa'!K$3:K$200)-MIN(ROW('Temp Hisfa'!K$3:K$200))+1), ROW(163:362))),"")</f>
        <v>0</v>
      </c>
      <c r="L165" s="22">
        <f t="array" ref="L165">IFERROR(INDEX('Temp Hisfa'!L$3:L$200, SMALL(IF(ISERROR('Temp Hisfa'!L$3:L$200), "", ROW('Temp Hisfa'!L$3:L$200)-MIN(ROW('Temp Hisfa'!L$3:L$200))+1), ROW(163:362))),"")</f>
        <v>0</v>
      </c>
      <c r="M165" s="22">
        <f t="array" ref="M165">IFERROR(INDEX('Temp Hisfa'!M$3:M$200, SMALL(IF(ISERROR('Temp Hisfa'!M$3:M$200), "", ROW('Temp Hisfa'!M$3:M$200)-MIN(ROW('Temp Hisfa'!M$3:M$200))+1), ROW(163:362))),"")</f>
        <v>0</v>
      </c>
      <c r="N165" s="22">
        <f t="array" ref="N165">IFERROR(INDEX('Temp Hisfa'!N$3:N$200, SMALL(IF(ISERROR('Temp Hisfa'!N$3:N$200), "", ROW('Temp Hisfa'!N$3:N$200)-MIN(ROW('Temp Hisfa'!N$3:N$200))+1), ROW(163:362))),"")</f>
        <v>1900</v>
      </c>
      <c r="O165" s="22" t="str">
        <f t="array" ref="O165">IFERROR(INDEX('Temp Hisfa'!O$3:O$200, SMALL(IF(ISERROR('Temp Hisfa'!O$3:O$200), "", ROW('Temp Hisfa'!O$3:O$200)-MIN(ROW('Temp Hisfa'!O$3:O$200))+1), ROW(163:362))),"")</f>
        <v>enero</v>
      </c>
      <c r="P165" s="22">
        <f t="array" ref="P165">IFERROR(INDEX('Temp Hisfa'!P$3:P$200, SMALL(IF(ISERROR('Temp Hisfa'!P$3:P$200), "", ROW('Temp Hisfa'!P$3:P$200)-MIN(ROW('Temp Hisfa'!P$3:P$200))+1), ROW(163:362))),"")</f>
        <v>0</v>
      </c>
      <c r="Q165" s="22">
        <f t="array" ref="Q165">IFERROR(INDEX('Temp Hisfa'!Q$3:Q$200, SMALL(IF(ISERROR('Temp Hisfa'!Q$3:Q$200), "", ROW('Temp Hisfa'!Q$3:Q$200)-MIN(ROW('Temp Hisfa'!Q$3:Q$200))+1), ROW(163:362))),"")</f>
        <v>0</v>
      </c>
      <c r="R165" s="22">
        <f t="array" ref="R165">IFERROR(INDEX('Temp Hisfa'!R$3:R$200, SMALL(IF(ISERROR('Temp Hisfa'!R$3:R$200), "", ROW('Temp Hisfa'!R$3:R$200)-MIN(ROW('Temp Hisfa'!R$3:R$200))+1), ROW(163:362))),"")</f>
        <v>0</v>
      </c>
      <c r="S165" s="22">
        <f t="array" ref="S165">IFERROR(INDEX('Temp Hisfa'!S$3:S$200, SMALL(IF(ISERROR('Temp Hisfa'!S$3:S$200), "", ROW('Temp Hisfa'!S$3:S$200)-MIN(ROW('Temp Hisfa'!S$3:S$200))+1), ROW(163:362))),"")</f>
        <v>0</v>
      </c>
      <c r="T165" s="22">
        <f t="array" ref="T165">IFERROR(INDEX('Temp Hisfa'!T$3:T$200, SMALL(IF(ISERROR('Temp Hisfa'!T$3:T$200), "", ROW('Temp Hisfa'!T$3:T$200)-MIN(ROW('Temp Hisfa'!T$3:T$200))+1), ROW(163:362))),"")</f>
        <v>0</v>
      </c>
      <c r="U165" s="22">
        <f t="array" ref="U165">IFERROR(INDEX('Temp Hisfa'!U$3:U$200, SMALL(IF(ISERROR('Temp Hisfa'!U$3:U$200), "", ROW('Temp Hisfa'!U$3:U$200)-MIN(ROW('Temp Hisfa'!U$3:U$200))+1), ROW(163:362))),"")</f>
        <v>0</v>
      </c>
      <c r="V165" s="22">
        <f t="array" ref="V165">IFERROR(INDEX('Temp Hisfa'!V$3:V$200, SMALL(IF(ISERROR('Temp Hisfa'!V$3:V$200), "", ROW('Temp Hisfa'!V$3:V$200)-MIN(ROW('Temp Hisfa'!V$3:V$200))+1), ROW(163:362))),"")</f>
        <v>0</v>
      </c>
      <c r="W165" s="22">
        <f t="array" ref="W165">IFERROR(INDEX('Temp Hisfa'!W$3:W$200, SMALL(IF(ISERROR('Temp Hisfa'!W$3:W$200), "", ROW('Temp Hisfa'!W$3:W$200)-MIN(ROW('Temp Hisfa'!W$3:W$200))+1), ROW(163:362))),"")</f>
        <v>0</v>
      </c>
      <c r="X165" s="22">
        <f t="array" ref="X165">IFERROR(INDEX('Temp Hisfa'!X$3:X$200, SMALL(IF(ISERROR('Temp Hisfa'!X$3:X$200), "", ROW('Temp Hisfa'!X$3:X$200)-MIN(ROW('Temp Hisfa'!X$3:X$200))+1), ROW(163:362))),"")</f>
        <v>0</v>
      </c>
      <c r="Y165" s="22">
        <f t="array" ref="Y165">IFERROR(INDEX('Temp Hisfa'!Y$3:Y$200, SMALL(IF(ISERROR('Temp Hisfa'!Y$3:Y$200), "", ROW('Temp Hisfa'!Y$3:Y$200)-MIN(ROW('Temp Hisfa'!Y$3:Y$200))+1), ROW(163:362))),"")</f>
        <v>0</v>
      </c>
      <c r="Z165" s="22">
        <f t="array" ref="Z165">IFERROR(INDEX('Temp Hisfa'!Z$3:Z$200, SMALL(IF(ISERROR('Temp Hisfa'!Z$3:Z$200), "", ROW('Temp Hisfa'!Z$3:Z$200)-MIN(ROW('Temp Hisfa'!Z$3:Z$200))+1), ROW(163:362))),"")</f>
        <v>0</v>
      </c>
      <c r="AA165" s="22">
        <f t="array" ref="AA165">IFERROR(INDEX('Temp Hisfa'!AA$3:AA$200, SMALL(IF(ISERROR('Temp Hisfa'!AA$3:AA$200), "", ROW('Temp Hisfa'!AA$3:AA$200)-MIN(ROW('Temp Hisfa'!AA$3:AA$200))+1), ROW(163:362))),"")</f>
        <v>0</v>
      </c>
      <c r="AB165" s="22">
        <f t="array" ref="AB165">IFERROR(INDEX('Temp Hisfa'!AB$3:AB$200, SMALL(IF(ISERROR('Temp Hisfa'!AB$3:AB$200), "", ROW('Temp Hisfa'!AB$3:AB$200)-MIN(ROW('Temp Hisfa'!AB$3:AB$200))+1), ROW(163:362))),"")</f>
        <v>0</v>
      </c>
    </row>
    <row r="166" spans="1:28" hidden="1" x14ac:dyDescent="0.3">
      <c r="A166" s="4">
        <f t="array" ref="A166">IFERROR(INDEX('Temp Hisfa'!A$3:A$200, SMALL(IF(ISERROR('Temp Hisfa'!A$3:A$200), "", ROW('Temp Hisfa'!A$3:A$200)-MIN(ROW('Temp Hisfa'!A$3:A$200))+1), ROW(164:362))),"")</f>
        <v>0</v>
      </c>
      <c r="B166" s="4">
        <f t="array" ref="B166">IFERROR(INDEX('Temp Hisfa'!B$3:B$200, SMALL(IF(ISERROR('Temp Hisfa'!B$3:B$200), "", ROW('Temp Hisfa'!B$3:B$200)-MIN(ROW('Temp Hisfa'!B$3:B$200))+1), ROW(164:362))),"")</f>
        <v>0</v>
      </c>
      <c r="C166" s="3">
        <f t="array" ref="C166">IFERROR(INDEX('Temp Hisfa'!C$3:C$200, SMALL(IF(ISERROR('Temp Hisfa'!C$3:C$200), "", ROW('Temp Hisfa'!C$3:C$200)-MIN(ROW('Temp Hisfa'!C$3:C$200))+1), ROW(164:362))),"")</f>
        <v>0</v>
      </c>
      <c r="D166" s="3">
        <f t="array" ref="D166">IFERROR(INDEX('Temp Hisfa'!D$3:D$200, SMALL(IF(ISERROR('Temp Hisfa'!D$3:D$200), "", ROW('Temp Hisfa'!D$3:D$200)-MIN(ROW('Temp Hisfa'!D$3:D$200))+1), ROW(164:362))),"")</f>
        <v>0</v>
      </c>
      <c r="E166" s="29">
        <f t="array" ref="E166">IFERROR(INDEX('Temp Hisfa'!E$3:E$200, SMALL(IF(ISERROR('Temp Hisfa'!E$3:E$200), "", ROW('Temp Hisfa'!E$3:E$200)-MIN(ROW('Temp Hisfa'!E$3:E$200))+1), ROW(164:363))),"")</f>
        <v>0</v>
      </c>
      <c r="F166" s="22" t="str">
        <f t="array" ref="F166">IFERROR(INDEX('Temp Hisfa'!F$3:F$200, SMALL(IF(ISERROR('Temp Hisfa'!F$3:F$200), "", ROW('Temp Hisfa'!F$3:F$200)-MIN(ROW('Temp Hisfa'!F$3:F$200))+1), ROW(164:363))),"")</f>
        <v/>
      </c>
      <c r="G166" s="30">
        <f t="array" ref="G166">IFERROR(INDEX('Temp Hisfa'!G$3:G$200, SMALL(IF(ISERROR('Temp Hisfa'!G$3:G$200), "", ROW('Temp Hisfa'!G$3:G$200)-MIN(ROW('Temp Hisfa'!G$3:G$200))+1), ROW(164:363))),"")</f>
        <v>0</v>
      </c>
      <c r="H166" s="22" t="str">
        <f t="array" ref="H166">IFERROR(INDEX('Temp Hisfa'!H$3:H$200, SMALL(IF(ISERROR('Temp Hisfa'!H$3:H$200), "", ROW('Temp Hisfa'!H$3:H$200)-MIN(ROW('Temp Hisfa'!H$3:H$200))+1), ROW(164:363))),"")</f>
        <v/>
      </c>
      <c r="I166" s="22">
        <f t="array" ref="I166">IFERROR(INDEX('Temp Hisfa'!I$3:I$200, SMALL(IF(ISERROR('Temp Hisfa'!I$3:I$200), "", ROW('Temp Hisfa'!I$3:I$200)-MIN(ROW('Temp Hisfa'!I$3:I$200))+1), ROW(164:363))),"")</f>
        <v>0</v>
      </c>
      <c r="J166" s="22">
        <f t="array" ref="J166">IFERROR(INDEX('Temp Hisfa'!J$3:J$200, SMALL(IF(ISERROR('Temp Hisfa'!J$3:J$200), "", ROW('Temp Hisfa'!J$3:J$200)-MIN(ROW('Temp Hisfa'!J$3:J$200))+1), ROW(164:363))),"")</f>
        <v>0</v>
      </c>
      <c r="K166" s="30">
        <f t="array" ref="K166">IFERROR(INDEX('Temp Hisfa'!K$3:K$200, SMALL(IF(ISERROR('Temp Hisfa'!K$3:K$200), "", ROW('Temp Hisfa'!K$3:K$200)-MIN(ROW('Temp Hisfa'!K$3:K$200))+1), ROW(164:363))),"")</f>
        <v>0</v>
      </c>
      <c r="L166" s="22">
        <f t="array" ref="L166">IFERROR(INDEX('Temp Hisfa'!L$3:L$200, SMALL(IF(ISERROR('Temp Hisfa'!L$3:L$200), "", ROW('Temp Hisfa'!L$3:L$200)-MIN(ROW('Temp Hisfa'!L$3:L$200))+1), ROW(164:363))),"")</f>
        <v>0</v>
      </c>
      <c r="M166" s="22">
        <f t="array" ref="M166">IFERROR(INDEX('Temp Hisfa'!M$3:M$200, SMALL(IF(ISERROR('Temp Hisfa'!M$3:M$200), "", ROW('Temp Hisfa'!M$3:M$200)-MIN(ROW('Temp Hisfa'!M$3:M$200))+1), ROW(164:363))),"")</f>
        <v>0</v>
      </c>
      <c r="N166" s="22">
        <f t="array" ref="N166">IFERROR(INDEX('Temp Hisfa'!N$3:N$200, SMALL(IF(ISERROR('Temp Hisfa'!N$3:N$200), "", ROW('Temp Hisfa'!N$3:N$200)-MIN(ROW('Temp Hisfa'!N$3:N$200))+1), ROW(164:363))),"")</f>
        <v>1900</v>
      </c>
      <c r="O166" s="22" t="str">
        <f t="array" ref="O166">IFERROR(INDEX('Temp Hisfa'!O$3:O$200, SMALL(IF(ISERROR('Temp Hisfa'!O$3:O$200), "", ROW('Temp Hisfa'!O$3:O$200)-MIN(ROW('Temp Hisfa'!O$3:O$200))+1), ROW(164:363))),"")</f>
        <v>enero</v>
      </c>
      <c r="P166" s="22">
        <f t="array" ref="P166">IFERROR(INDEX('Temp Hisfa'!P$3:P$200, SMALL(IF(ISERROR('Temp Hisfa'!P$3:P$200), "", ROW('Temp Hisfa'!P$3:P$200)-MIN(ROW('Temp Hisfa'!P$3:P$200))+1), ROW(164:363))),"")</f>
        <v>0</v>
      </c>
      <c r="Q166" s="22">
        <f t="array" ref="Q166">IFERROR(INDEX('Temp Hisfa'!Q$3:Q$200, SMALL(IF(ISERROR('Temp Hisfa'!Q$3:Q$200), "", ROW('Temp Hisfa'!Q$3:Q$200)-MIN(ROW('Temp Hisfa'!Q$3:Q$200))+1), ROW(164:363))),"")</f>
        <v>0</v>
      </c>
      <c r="R166" s="22">
        <f t="array" ref="R166">IFERROR(INDEX('Temp Hisfa'!R$3:R$200, SMALL(IF(ISERROR('Temp Hisfa'!R$3:R$200), "", ROW('Temp Hisfa'!R$3:R$200)-MIN(ROW('Temp Hisfa'!R$3:R$200))+1), ROW(164:363))),"")</f>
        <v>0</v>
      </c>
      <c r="S166" s="22">
        <f t="array" ref="S166">IFERROR(INDEX('Temp Hisfa'!S$3:S$200, SMALL(IF(ISERROR('Temp Hisfa'!S$3:S$200), "", ROW('Temp Hisfa'!S$3:S$200)-MIN(ROW('Temp Hisfa'!S$3:S$200))+1), ROW(164:363))),"")</f>
        <v>0</v>
      </c>
      <c r="T166" s="22">
        <f t="array" ref="T166">IFERROR(INDEX('Temp Hisfa'!T$3:T$200, SMALL(IF(ISERROR('Temp Hisfa'!T$3:T$200), "", ROW('Temp Hisfa'!T$3:T$200)-MIN(ROW('Temp Hisfa'!T$3:T$200))+1), ROW(164:363))),"")</f>
        <v>0</v>
      </c>
      <c r="U166" s="22">
        <f t="array" ref="U166">IFERROR(INDEX('Temp Hisfa'!U$3:U$200, SMALL(IF(ISERROR('Temp Hisfa'!U$3:U$200), "", ROW('Temp Hisfa'!U$3:U$200)-MIN(ROW('Temp Hisfa'!U$3:U$200))+1), ROW(164:363))),"")</f>
        <v>0</v>
      </c>
      <c r="V166" s="22">
        <f t="array" ref="V166">IFERROR(INDEX('Temp Hisfa'!V$3:V$200, SMALL(IF(ISERROR('Temp Hisfa'!V$3:V$200), "", ROW('Temp Hisfa'!V$3:V$200)-MIN(ROW('Temp Hisfa'!V$3:V$200))+1), ROW(164:363))),"")</f>
        <v>0</v>
      </c>
      <c r="W166" s="22">
        <f t="array" ref="W166">IFERROR(INDEX('Temp Hisfa'!W$3:W$200, SMALL(IF(ISERROR('Temp Hisfa'!W$3:W$200), "", ROW('Temp Hisfa'!W$3:W$200)-MIN(ROW('Temp Hisfa'!W$3:W$200))+1), ROW(164:363))),"")</f>
        <v>0</v>
      </c>
      <c r="X166" s="22">
        <f t="array" ref="X166">IFERROR(INDEX('Temp Hisfa'!X$3:X$200, SMALL(IF(ISERROR('Temp Hisfa'!X$3:X$200), "", ROW('Temp Hisfa'!X$3:X$200)-MIN(ROW('Temp Hisfa'!X$3:X$200))+1), ROW(164:363))),"")</f>
        <v>0</v>
      </c>
      <c r="Y166" s="22">
        <f t="array" ref="Y166">IFERROR(INDEX('Temp Hisfa'!Y$3:Y$200, SMALL(IF(ISERROR('Temp Hisfa'!Y$3:Y$200), "", ROW('Temp Hisfa'!Y$3:Y$200)-MIN(ROW('Temp Hisfa'!Y$3:Y$200))+1), ROW(164:363))),"")</f>
        <v>0</v>
      </c>
      <c r="Z166" s="22">
        <f t="array" ref="Z166">IFERROR(INDEX('Temp Hisfa'!Z$3:Z$200, SMALL(IF(ISERROR('Temp Hisfa'!Z$3:Z$200), "", ROW('Temp Hisfa'!Z$3:Z$200)-MIN(ROW('Temp Hisfa'!Z$3:Z$200))+1), ROW(164:363))),"")</f>
        <v>0</v>
      </c>
      <c r="AA166" s="22">
        <f t="array" ref="AA166">IFERROR(INDEX('Temp Hisfa'!AA$3:AA$200, SMALL(IF(ISERROR('Temp Hisfa'!AA$3:AA$200), "", ROW('Temp Hisfa'!AA$3:AA$200)-MIN(ROW('Temp Hisfa'!AA$3:AA$200))+1), ROW(164:363))),"")</f>
        <v>0</v>
      </c>
      <c r="AB166" s="22">
        <f t="array" ref="AB166">IFERROR(INDEX('Temp Hisfa'!AB$3:AB$200, SMALL(IF(ISERROR('Temp Hisfa'!AB$3:AB$200), "", ROW('Temp Hisfa'!AB$3:AB$200)-MIN(ROW('Temp Hisfa'!AB$3:AB$200))+1), ROW(164:363))),"")</f>
        <v>0</v>
      </c>
    </row>
    <row r="167" spans="1:28" hidden="1" x14ac:dyDescent="0.3">
      <c r="A167" s="4">
        <f t="array" ref="A167">IFERROR(INDEX('Temp Hisfa'!A$3:A$200, SMALL(IF(ISERROR('Temp Hisfa'!A$3:A$200), "", ROW('Temp Hisfa'!A$3:A$200)-MIN(ROW('Temp Hisfa'!A$3:A$200))+1), ROW(165:363))),"")</f>
        <v>0</v>
      </c>
      <c r="B167" s="4">
        <f t="array" ref="B167">IFERROR(INDEX('Temp Hisfa'!B$3:B$200, SMALL(IF(ISERROR('Temp Hisfa'!B$3:B$200), "", ROW('Temp Hisfa'!B$3:B$200)-MIN(ROW('Temp Hisfa'!B$3:B$200))+1), ROW(165:363))),"")</f>
        <v>0</v>
      </c>
      <c r="C167" s="3">
        <f t="array" ref="C167">IFERROR(INDEX('Temp Hisfa'!C$3:C$200, SMALL(IF(ISERROR('Temp Hisfa'!C$3:C$200), "", ROW('Temp Hisfa'!C$3:C$200)-MIN(ROW('Temp Hisfa'!C$3:C$200))+1), ROW(165:363))),"")</f>
        <v>0</v>
      </c>
      <c r="D167" s="3">
        <f t="array" ref="D167">IFERROR(INDEX('Temp Hisfa'!D$3:D$200, SMALL(IF(ISERROR('Temp Hisfa'!D$3:D$200), "", ROW('Temp Hisfa'!D$3:D$200)-MIN(ROW('Temp Hisfa'!D$3:D$200))+1), ROW(165:363))),"")</f>
        <v>0</v>
      </c>
      <c r="E167" s="29">
        <f t="array" ref="E167">IFERROR(INDEX('Temp Hisfa'!E$3:E$200, SMALL(IF(ISERROR('Temp Hisfa'!E$3:E$200), "", ROW('Temp Hisfa'!E$3:E$200)-MIN(ROW('Temp Hisfa'!E$3:E$200))+1), ROW(165:364))),"")</f>
        <v>0</v>
      </c>
      <c r="F167" s="22" t="str">
        <f t="array" ref="F167">IFERROR(INDEX('Temp Hisfa'!F$3:F$200, SMALL(IF(ISERROR('Temp Hisfa'!F$3:F$200), "", ROW('Temp Hisfa'!F$3:F$200)-MIN(ROW('Temp Hisfa'!F$3:F$200))+1), ROW(165:364))),"")</f>
        <v/>
      </c>
      <c r="G167" s="30">
        <f t="array" ref="G167">IFERROR(INDEX('Temp Hisfa'!G$3:G$200, SMALL(IF(ISERROR('Temp Hisfa'!G$3:G$200), "", ROW('Temp Hisfa'!G$3:G$200)-MIN(ROW('Temp Hisfa'!G$3:G$200))+1), ROW(165:364))),"")</f>
        <v>0</v>
      </c>
      <c r="H167" s="22" t="str">
        <f t="array" ref="H167">IFERROR(INDEX('Temp Hisfa'!H$3:H$200, SMALL(IF(ISERROR('Temp Hisfa'!H$3:H$200), "", ROW('Temp Hisfa'!H$3:H$200)-MIN(ROW('Temp Hisfa'!H$3:H$200))+1), ROW(165:364))),"")</f>
        <v/>
      </c>
      <c r="I167" s="22">
        <f t="array" ref="I167">IFERROR(INDEX('Temp Hisfa'!I$3:I$200, SMALL(IF(ISERROR('Temp Hisfa'!I$3:I$200), "", ROW('Temp Hisfa'!I$3:I$200)-MIN(ROW('Temp Hisfa'!I$3:I$200))+1), ROW(165:364))),"")</f>
        <v>0</v>
      </c>
      <c r="J167" s="22">
        <f t="array" ref="J167">IFERROR(INDEX('Temp Hisfa'!J$3:J$200, SMALL(IF(ISERROR('Temp Hisfa'!J$3:J$200), "", ROW('Temp Hisfa'!J$3:J$200)-MIN(ROW('Temp Hisfa'!J$3:J$200))+1), ROW(165:364))),"")</f>
        <v>0</v>
      </c>
      <c r="K167" s="30">
        <f t="array" ref="K167">IFERROR(INDEX('Temp Hisfa'!K$3:K$200, SMALL(IF(ISERROR('Temp Hisfa'!K$3:K$200), "", ROW('Temp Hisfa'!K$3:K$200)-MIN(ROW('Temp Hisfa'!K$3:K$200))+1), ROW(165:364))),"")</f>
        <v>0</v>
      </c>
      <c r="L167" s="22">
        <f t="array" ref="L167">IFERROR(INDEX('Temp Hisfa'!L$3:L$200, SMALL(IF(ISERROR('Temp Hisfa'!L$3:L$200), "", ROW('Temp Hisfa'!L$3:L$200)-MIN(ROW('Temp Hisfa'!L$3:L$200))+1), ROW(165:364))),"")</f>
        <v>0</v>
      </c>
      <c r="M167" s="22">
        <f t="array" ref="M167">IFERROR(INDEX('Temp Hisfa'!M$3:M$200, SMALL(IF(ISERROR('Temp Hisfa'!M$3:M$200), "", ROW('Temp Hisfa'!M$3:M$200)-MIN(ROW('Temp Hisfa'!M$3:M$200))+1), ROW(165:364))),"")</f>
        <v>0</v>
      </c>
      <c r="N167" s="22">
        <f t="array" ref="N167">IFERROR(INDEX('Temp Hisfa'!N$3:N$200, SMALL(IF(ISERROR('Temp Hisfa'!N$3:N$200), "", ROW('Temp Hisfa'!N$3:N$200)-MIN(ROW('Temp Hisfa'!N$3:N$200))+1), ROW(165:364))),"")</f>
        <v>1900</v>
      </c>
      <c r="O167" s="22" t="str">
        <f t="array" ref="O167">IFERROR(INDEX('Temp Hisfa'!O$3:O$200, SMALL(IF(ISERROR('Temp Hisfa'!O$3:O$200), "", ROW('Temp Hisfa'!O$3:O$200)-MIN(ROW('Temp Hisfa'!O$3:O$200))+1), ROW(165:364))),"")</f>
        <v>enero</v>
      </c>
      <c r="P167" s="22">
        <f t="array" ref="P167">IFERROR(INDEX('Temp Hisfa'!P$3:P$200, SMALL(IF(ISERROR('Temp Hisfa'!P$3:P$200), "", ROW('Temp Hisfa'!P$3:P$200)-MIN(ROW('Temp Hisfa'!P$3:P$200))+1), ROW(165:364))),"")</f>
        <v>0</v>
      </c>
      <c r="Q167" s="22">
        <f t="array" ref="Q167">IFERROR(INDEX('Temp Hisfa'!Q$3:Q$200, SMALL(IF(ISERROR('Temp Hisfa'!Q$3:Q$200), "", ROW('Temp Hisfa'!Q$3:Q$200)-MIN(ROW('Temp Hisfa'!Q$3:Q$200))+1), ROW(165:364))),"")</f>
        <v>0</v>
      </c>
      <c r="R167" s="22">
        <f t="array" ref="R167">IFERROR(INDEX('Temp Hisfa'!R$3:R$200, SMALL(IF(ISERROR('Temp Hisfa'!R$3:R$200), "", ROW('Temp Hisfa'!R$3:R$200)-MIN(ROW('Temp Hisfa'!R$3:R$200))+1), ROW(165:364))),"")</f>
        <v>0</v>
      </c>
      <c r="S167" s="22">
        <f t="array" ref="S167">IFERROR(INDEX('Temp Hisfa'!S$3:S$200, SMALL(IF(ISERROR('Temp Hisfa'!S$3:S$200), "", ROW('Temp Hisfa'!S$3:S$200)-MIN(ROW('Temp Hisfa'!S$3:S$200))+1), ROW(165:364))),"")</f>
        <v>0</v>
      </c>
      <c r="T167" s="22">
        <f t="array" ref="T167">IFERROR(INDEX('Temp Hisfa'!T$3:T$200, SMALL(IF(ISERROR('Temp Hisfa'!T$3:T$200), "", ROW('Temp Hisfa'!T$3:T$200)-MIN(ROW('Temp Hisfa'!T$3:T$200))+1), ROW(165:364))),"")</f>
        <v>0</v>
      </c>
      <c r="U167" s="22">
        <f t="array" ref="U167">IFERROR(INDEX('Temp Hisfa'!U$3:U$200, SMALL(IF(ISERROR('Temp Hisfa'!U$3:U$200), "", ROW('Temp Hisfa'!U$3:U$200)-MIN(ROW('Temp Hisfa'!U$3:U$200))+1), ROW(165:364))),"")</f>
        <v>0</v>
      </c>
      <c r="V167" s="22">
        <f t="array" ref="V167">IFERROR(INDEX('Temp Hisfa'!V$3:V$200, SMALL(IF(ISERROR('Temp Hisfa'!V$3:V$200), "", ROW('Temp Hisfa'!V$3:V$200)-MIN(ROW('Temp Hisfa'!V$3:V$200))+1), ROW(165:364))),"")</f>
        <v>0</v>
      </c>
      <c r="W167" s="22">
        <f t="array" ref="W167">IFERROR(INDEX('Temp Hisfa'!W$3:W$200, SMALL(IF(ISERROR('Temp Hisfa'!W$3:W$200), "", ROW('Temp Hisfa'!W$3:W$200)-MIN(ROW('Temp Hisfa'!W$3:W$200))+1), ROW(165:364))),"")</f>
        <v>0</v>
      </c>
      <c r="X167" s="22">
        <f t="array" ref="X167">IFERROR(INDEX('Temp Hisfa'!X$3:X$200, SMALL(IF(ISERROR('Temp Hisfa'!X$3:X$200), "", ROW('Temp Hisfa'!X$3:X$200)-MIN(ROW('Temp Hisfa'!X$3:X$200))+1), ROW(165:364))),"")</f>
        <v>0</v>
      </c>
      <c r="Y167" s="22">
        <f t="array" ref="Y167">IFERROR(INDEX('Temp Hisfa'!Y$3:Y$200, SMALL(IF(ISERROR('Temp Hisfa'!Y$3:Y$200), "", ROW('Temp Hisfa'!Y$3:Y$200)-MIN(ROW('Temp Hisfa'!Y$3:Y$200))+1), ROW(165:364))),"")</f>
        <v>0</v>
      </c>
      <c r="Z167" s="22">
        <f t="array" ref="Z167">IFERROR(INDEX('Temp Hisfa'!Z$3:Z$200, SMALL(IF(ISERROR('Temp Hisfa'!Z$3:Z$200), "", ROW('Temp Hisfa'!Z$3:Z$200)-MIN(ROW('Temp Hisfa'!Z$3:Z$200))+1), ROW(165:364))),"")</f>
        <v>0</v>
      </c>
      <c r="AA167" s="22">
        <f t="array" ref="AA167">IFERROR(INDEX('Temp Hisfa'!AA$3:AA$200, SMALL(IF(ISERROR('Temp Hisfa'!AA$3:AA$200), "", ROW('Temp Hisfa'!AA$3:AA$200)-MIN(ROW('Temp Hisfa'!AA$3:AA$200))+1), ROW(165:364))),"")</f>
        <v>0</v>
      </c>
      <c r="AB167" s="22">
        <f t="array" ref="AB167">IFERROR(INDEX('Temp Hisfa'!AB$3:AB$200, SMALL(IF(ISERROR('Temp Hisfa'!AB$3:AB$200), "", ROW('Temp Hisfa'!AB$3:AB$200)-MIN(ROW('Temp Hisfa'!AB$3:AB$200))+1), ROW(165:364))),"")</f>
        <v>0</v>
      </c>
    </row>
    <row r="168" spans="1:28" hidden="1" x14ac:dyDescent="0.3">
      <c r="A168" s="4">
        <f t="array" ref="A168">IFERROR(INDEX('Temp Hisfa'!A$3:A$200, SMALL(IF(ISERROR('Temp Hisfa'!A$3:A$200), "", ROW('Temp Hisfa'!A$3:A$200)-MIN(ROW('Temp Hisfa'!A$3:A$200))+1), ROW(166:364))),"")</f>
        <v>0</v>
      </c>
      <c r="B168" s="4">
        <f t="array" ref="B168">IFERROR(INDEX('Temp Hisfa'!B$3:B$200, SMALL(IF(ISERROR('Temp Hisfa'!B$3:B$200), "", ROW('Temp Hisfa'!B$3:B$200)-MIN(ROW('Temp Hisfa'!B$3:B$200))+1), ROW(166:364))),"")</f>
        <v>0</v>
      </c>
      <c r="C168" s="3">
        <f t="array" ref="C168">IFERROR(INDEX('Temp Hisfa'!C$3:C$200, SMALL(IF(ISERROR('Temp Hisfa'!C$3:C$200), "", ROW('Temp Hisfa'!C$3:C$200)-MIN(ROW('Temp Hisfa'!C$3:C$200))+1), ROW(166:364))),"")</f>
        <v>0</v>
      </c>
      <c r="D168" s="3">
        <f t="array" ref="D168">IFERROR(INDEX('Temp Hisfa'!D$3:D$200, SMALL(IF(ISERROR('Temp Hisfa'!D$3:D$200), "", ROW('Temp Hisfa'!D$3:D$200)-MIN(ROW('Temp Hisfa'!D$3:D$200))+1), ROW(166:364))),"")</f>
        <v>0</v>
      </c>
      <c r="E168" s="29">
        <f t="array" ref="E168">IFERROR(INDEX('Temp Hisfa'!E$3:E$200, SMALL(IF(ISERROR('Temp Hisfa'!E$3:E$200), "", ROW('Temp Hisfa'!E$3:E$200)-MIN(ROW('Temp Hisfa'!E$3:E$200))+1), ROW(166:365))),"")</f>
        <v>0</v>
      </c>
      <c r="F168" s="22" t="str">
        <f t="array" ref="F168">IFERROR(INDEX('Temp Hisfa'!F$3:F$200, SMALL(IF(ISERROR('Temp Hisfa'!F$3:F$200), "", ROW('Temp Hisfa'!F$3:F$200)-MIN(ROW('Temp Hisfa'!F$3:F$200))+1), ROW(166:365))),"")</f>
        <v/>
      </c>
      <c r="G168" s="30">
        <f t="array" ref="G168">IFERROR(INDEX('Temp Hisfa'!G$3:G$200, SMALL(IF(ISERROR('Temp Hisfa'!G$3:G$200), "", ROW('Temp Hisfa'!G$3:G$200)-MIN(ROW('Temp Hisfa'!G$3:G$200))+1), ROW(166:365))),"")</f>
        <v>0</v>
      </c>
      <c r="H168" s="22" t="str">
        <f t="array" ref="H168">IFERROR(INDEX('Temp Hisfa'!H$3:H$200, SMALL(IF(ISERROR('Temp Hisfa'!H$3:H$200), "", ROW('Temp Hisfa'!H$3:H$200)-MIN(ROW('Temp Hisfa'!H$3:H$200))+1), ROW(166:365))),"")</f>
        <v/>
      </c>
      <c r="I168" s="22">
        <f t="array" ref="I168">IFERROR(INDEX('Temp Hisfa'!I$3:I$200, SMALL(IF(ISERROR('Temp Hisfa'!I$3:I$200), "", ROW('Temp Hisfa'!I$3:I$200)-MIN(ROW('Temp Hisfa'!I$3:I$200))+1), ROW(166:365))),"")</f>
        <v>0</v>
      </c>
      <c r="J168" s="22">
        <f t="array" ref="J168">IFERROR(INDEX('Temp Hisfa'!J$3:J$200, SMALL(IF(ISERROR('Temp Hisfa'!J$3:J$200), "", ROW('Temp Hisfa'!J$3:J$200)-MIN(ROW('Temp Hisfa'!J$3:J$200))+1), ROW(166:365))),"")</f>
        <v>0</v>
      </c>
      <c r="K168" s="30">
        <f t="array" ref="K168">IFERROR(INDEX('Temp Hisfa'!K$3:K$200, SMALL(IF(ISERROR('Temp Hisfa'!K$3:K$200), "", ROW('Temp Hisfa'!K$3:K$200)-MIN(ROW('Temp Hisfa'!K$3:K$200))+1), ROW(166:365))),"")</f>
        <v>0</v>
      </c>
      <c r="L168" s="22">
        <f t="array" ref="L168">IFERROR(INDEX('Temp Hisfa'!L$3:L$200, SMALL(IF(ISERROR('Temp Hisfa'!L$3:L$200), "", ROW('Temp Hisfa'!L$3:L$200)-MIN(ROW('Temp Hisfa'!L$3:L$200))+1), ROW(166:365))),"")</f>
        <v>0</v>
      </c>
      <c r="M168" s="22">
        <f t="array" ref="M168">IFERROR(INDEX('Temp Hisfa'!M$3:M$200, SMALL(IF(ISERROR('Temp Hisfa'!M$3:M$200), "", ROW('Temp Hisfa'!M$3:M$200)-MIN(ROW('Temp Hisfa'!M$3:M$200))+1), ROW(166:365))),"")</f>
        <v>0</v>
      </c>
      <c r="N168" s="22">
        <f t="array" ref="N168">IFERROR(INDEX('Temp Hisfa'!N$3:N$200, SMALL(IF(ISERROR('Temp Hisfa'!N$3:N$200), "", ROW('Temp Hisfa'!N$3:N$200)-MIN(ROW('Temp Hisfa'!N$3:N$200))+1), ROW(166:365))),"")</f>
        <v>1900</v>
      </c>
      <c r="O168" s="22" t="str">
        <f t="array" ref="O168">IFERROR(INDEX('Temp Hisfa'!O$3:O$200, SMALL(IF(ISERROR('Temp Hisfa'!O$3:O$200), "", ROW('Temp Hisfa'!O$3:O$200)-MIN(ROW('Temp Hisfa'!O$3:O$200))+1), ROW(166:365))),"")</f>
        <v>enero</v>
      </c>
      <c r="P168" s="22">
        <f t="array" ref="P168">IFERROR(INDEX('Temp Hisfa'!P$3:P$200, SMALL(IF(ISERROR('Temp Hisfa'!P$3:P$200), "", ROW('Temp Hisfa'!P$3:P$200)-MIN(ROW('Temp Hisfa'!P$3:P$200))+1), ROW(166:365))),"")</f>
        <v>0</v>
      </c>
      <c r="Q168" s="22">
        <f t="array" ref="Q168">IFERROR(INDEX('Temp Hisfa'!Q$3:Q$200, SMALL(IF(ISERROR('Temp Hisfa'!Q$3:Q$200), "", ROW('Temp Hisfa'!Q$3:Q$200)-MIN(ROW('Temp Hisfa'!Q$3:Q$200))+1), ROW(166:365))),"")</f>
        <v>0</v>
      </c>
      <c r="R168" s="22">
        <f t="array" ref="R168">IFERROR(INDEX('Temp Hisfa'!R$3:R$200, SMALL(IF(ISERROR('Temp Hisfa'!R$3:R$200), "", ROW('Temp Hisfa'!R$3:R$200)-MIN(ROW('Temp Hisfa'!R$3:R$200))+1), ROW(166:365))),"")</f>
        <v>0</v>
      </c>
      <c r="S168" s="22">
        <f t="array" ref="S168">IFERROR(INDEX('Temp Hisfa'!S$3:S$200, SMALL(IF(ISERROR('Temp Hisfa'!S$3:S$200), "", ROW('Temp Hisfa'!S$3:S$200)-MIN(ROW('Temp Hisfa'!S$3:S$200))+1), ROW(166:365))),"")</f>
        <v>0</v>
      </c>
      <c r="T168" s="22">
        <f t="array" ref="T168">IFERROR(INDEX('Temp Hisfa'!T$3:T$200, SMALL(IF(ISERROR('Temp Hisfa'!T$3:T$200), "", ROW('Temp Hisfa'!T$3:T$200)-MIN(ROW('Temp Hisfa'!T$3:T$200))+1), ROW(166:365))),"")</f>
        <v>0</v>
      </c>
      <c r="U168" s="22">
        <f t="array" ref="U168">IFERROR(INDEX('Temp Hisfa'!U$3:U$200, SMALL(IF(ISERROR('Temp Hisfa'!U$3:U$200), "", ROW('Temp Hisfa'!U$3:U$200)-MIN(ROW('Temp Hisfa'!U$3:U$200))+1), ROW(166:365))),"")</f>
        <v>0</v>
      </c>
      <c r="V168" s="22">
        <f t="array" ref="V168">IFERROR(INDEX('Temp Hisfa'!V$3:V$200, SMALL(IF(ISERROR('Temp Hisfa'!V$3:V$200), "", ROW('Temp Hisfa'!V$3:V$200)-MIN(ROW('Temp Hisfa'!V$3:V$200))+1), ROW(166:365))),"")</f>
        <v>0</v>
      </c>
      <c r="W168" s="22">
        <f t="array" ref="W168">IFERROR(INDEX('Temp Hisfa'!W$3:W$200, SMALL(IF(ISERROR('Temp Hisfa'!W$3:W$200), "", ROW('Temp Hisfa'!W$3:W$200)-MIN(ROW('Temp Hisfa'!W$3:W$200))+1), ROW(166:365))),"")</f>
        <v>0</v>
      </c>
      <c r="X168" s="22">
        <f t="array" ref="X168">IFERROR(INDEX('Temp Hisfa'!X$3:X$200, SMALL(IF(ISERROR('Temp Hisfa'!X$3:X$200), "", ROW('Temp Hisfa'!X$3:X$200)-MIN(ROW('Temp Hisfa'!X$3:X$200))+1), ROW(166:365))),"")</f>
        <v>0</v>
      </c>
      <c r="Y168" s="22">
        <f t="array" ref="Y168">IFERROR(INDEX('Temp Hisfa'!Y$3:Y$200, SMALL(IF(ISERROR('Temp Hisfa'!Y$3:Y$200), "", ROW('Temp Hisfa'!Y$3:Y$200)-MIN(ROW('Temp Hisfa'!Y$3:Y$200))+1), ROW(166:365))),"")</f>
        <v>0</v>
      </c>
      <c r="Z168" s="22">
        <f t="array" ref="Z168">IFERROR(INDEX('Temp Hisfa'!Z$3:Z$200, SMALL(IF(ISERROR('Temp Hisfa'!Z$3:Z$200), "", ROW('Temp Hisfa'!Z$3:Z$200)-MIN(ROW('Temp Hisfa'!Z$3:Z$200))+1), ROW(166:365))),"")</f>
        <v>0</v>
      </c>
      <c r="AA168" s="22">
        <f t="array" ref="AA168">IFERROR(INDEX('Temp Hisfa'!AA$3:AA$200, SMALL(IF(ISERROR('Temp Hisfa'!AA$3:AA$200), "", ROW('Temp Hisfa'!AA$3:AA$200)-MIN(ROW('Temp Hisfa'!AA$3:AA$200))+1), ROW(166:365))),"")</f>
        <v>0</v>
      </c>
      <c r="AB168" s="22">
        <f t="array" ref="AB168">IFERROR(INDEX('Temp Hisfa'!AB$3:AB$200, SMALL(IF(ISERROR('Temp Hisfa'!AB$3:AB$200), "", ROW('Temp Hisfa'!AB$3:AB$200)-MIN(ROW('Temp Hisfa'!AB$3:AB$200))+1), ROW(166:365))),"")</f>
        <v>0</v>
      </c>
    </row>
    <row r="169" spans="1:28" hidden="1" x14ac:dyDescent="0.3">
      <c r="A169" s="4">
        <f t="array" ref="A169">IFERROR(INDEX('Temp Hisfa'!A$3:A$200, SMALL(IF(ISERROR('Temp Hisfa'!A$3:A$200), "", ROW('Temp Hisfa'!A$3:A$200)-MIN(ROW('Temp Hisfa'!A$3:A$200))+1), ROW(167:365))),"")</f>
        <v>0</v>
      </c>
      <c r="B169" s="4">
        <f t="array" ref="B169">IFERROR(INDEX('Temp Hisfa'!B$3:B$200, SMALL(IF(ISERROR('Temp Hisfa'!B$3:B$200), "", ROW('Temp Hisfa'!B$3:B$200)-MIN(ROW('Temp Hisfa'!B$3:B$200))+1), ROW(167:365))),"")</f>
        <v>0</v>
      </c>
      <c r="C169" s="3">
        <f t="array" ref="C169">IFERROR(INDEX('Temp Hisfa'!C$3:C$200, SMALL(IF(ISERROR('Temp Hisfa'!C$3:C$200), "", ROW('Temp Hisfa'!C$3:C$200)-MIN(ROW('Temp Hisfa'!C$3:C$200))+1), ROW(167:365))),"")</f>
        <v>0</v>
      </c>
      <c r="D169" s="3">
        <f t="array" ref="D169">IFERROR(INDEX('Temp Hisfa'!D$3:D$200, SMALL(IF(ISERROR('Temp Hisfa'!D$3:D$200), "", ROW('Temp Hisfa'!D$3:D$200)-MIN(ROW('Temp Hisfa'!D$3:D$200))+1), ROW(167:365))),"")</f>
        <v>0</v>
      </c>
      <c r="E169" s="29">
        <f t="array" ref="E169">IFERROR(INDEX('Temp Hisfa'!E$3:E$200, SMALL(IF(ISERROR('Temp Hisfa'!E$3:E$200), "", ROW('Temp Hisfa'!E$3:E$200)-MIN(ROW('Temp Hisfa'!E$3:E$200))+1), ROW(167:366))),"")</f>
        <v>0</v>
      </c>
      <c r="F169" s="22" t="str">
        <f t="array" ref="F169">IFERROR(INDEX('Temp Hisfa'!F$3:F$200, SMALL(IF(ISERROR('Temp Hisfa'!F$3:F$200), "", ROW('Temp Hisfa'!F$3:F$200)-MIN(ROW('Temp Hisfa'!F$3:F$200))+1), ROW(167:366))),"")</f>
        <v/>
      </c>
      <c r="G169" s="30">
        <f t="array" ref="G169">IFERROR(INDEX('Temp Hisfa'!G$3:G$200, SMALL(IF(ISERROR('Temp Hisfa'!G$3:G$200), "", ROW('Temp Hisfa'!G$3:G$200)-MIN(ROW('Temp Hisfa'!G$3:G$200))+1), ROW(167:366))),"")</f>
        <v>0</v>
      </c>
      <c r="H169" s="22" t="str">
        <f t="array" ref="H169">IFERROR(INDEX('Temp Hisfa'!H$3:H$200, SMALL(IF(ISERROR('Temp Hisfa'!H$3:H$200), "", ROW('Temp Hisfa'!H$3:H$200)-MIN(ROW('Temp Hisfa'!H$3:H$200))+1), ROW(167:366))),"")</f>
        <v/>
      </c>
      <c r="I169" s="22">
        <f t="array" ref="I169">IFERROR(INDEX('Temp Hisfa'!I$3:I$200, SMALL(IF(ISERROR('Temp Hisfa'!I$3:I$200), "", ROW('Temp Hisfa'!I$3:I$200)-MIN(ROW('Temp Hisfa'!I$3:I$200))+1), ROW(167:366))),"")</f>
        <v>0</v>
      </c>
      <c r="J169" s="22">
        <f t="array" ref="J169">IFERROR(INDEX('Temp Hisfa'!J$3:J$200, SMALL(IF(ISERROR('Temp Hisfa'!J$3:J$200), "", ROW('Temp Hisfa'!J$3:J$200)-MIN(ROW('Temp Hisfa'!J$3:J$200))+1), ROW(167:366))),"")</f>
        <v>0</v>
      </c>
      <c r="K169" s="30">
        <f t="array" ref="K169">IFERROR(INDEX('Temp Hisfa'!K$3:K$200, SMALL(IF(ISERROR('Temp Hisfa'!K$3:K$200), "", ROW('Temp Hisfa'!K$3:K$200)-MIN(ROW('Temp Hisfa'!K$3:K$200))+1), ROW(167:366))),"")</f>
        <v>0</v>
      </c>
      <c r="L169" s="22">
        <f t="array" ref="L169">IFERROR(INDEX('Temp Hisfa'!L$3:L$200, SMALL(IF(ISERROR('Temp Hisfa'!L$3:L$200), "", ROW('Temp Hisfa'!L$3:L$200)-MIN(ROW('Temp Hisfa'!L$3:L$200))+1), ROW(167:366))),"")</f>
        <v>0</v>
      </c>
      <c r="M169" s="22">
        <f t="array" ref="M169">IFERROR(INDEX('Temp Hisfa'!M$3:M$200, SMALL(IF(ISERROR('Temp Hisfa'!M$3:M$200), "", ROW('Temp Hisfa'!M$3:M$200)-MIN(ROW('Temp Hisfa'!M$3:M$200))+1), ROW(167:366))),"")</f>
        <v>0</v>
      </c>
      <c r="N169" s="22">
        <f t="array" ref="N169">IFERROR(INDEX('Temp Hisfa'!N$3:N$200, SMALL(IF(ISERROR('Temp Hisfa'!N$3:N$200), "", ROW('Temp Hisfa'!N$3:N$200)-MIN(ROW('Temp Hisfa'!N$3:N$200))+1), ROW(167:366))),"")</f>
        <v>1900</v>
      </c>
      <c r="O169" s="22" t="str">
        <f t="array" ref="O169">IFERROR(INDEX('Temp Hisfa'!O$3:O$200, SMALL(IF(ISERROR('Temp Hisfa'!O$3:O$200), "", ROW('Temp Hisfa'!O$3:O$200)-MIN(ROW('Temp Hisfa'!O$3:O$200))+1), ROW(167:366))),"")</f>
        <v>enero</v>
      </c>
      <c r="P169" s="22">
        <f t="array" ref="P169">IFERROR(INDEX('Temp Hisfa'!P$3:P$200, SMALL(IF(ISERROR('Temp Hisfa'!P$3:P$200), "", ROW('Temp Hisfa'!P$3:P$200)-MIN(ROW('Temp Hisfa'!P$3:P$200))+1), ROW(167:366))),"")</f>
        <v>0</v>
      </c>
      <c r="Q169" s="22">
        <f t="array" ref="Q169">IFERROR(INDEX('Temp Hisfa'!Q$3:Q$200, SMALL(IF(ISERROR('Temp Hisfa'!Q$3:Q$200), "", ROW('Temp Hisfa'!Q$3:Q$200)-MIN(ROW('Temp Hisfa'!Q$3:Q$200))+1), ROW(167:366))),"")</f>
        <v>0</v>
      </c>
      <c r="R169" s="22">
        <f t="array" ref="R169">IFERROR(INDEX('Temp Hisfa'!R$3:R$200, SMALL(IF(ISERROR('Temp Hisfa'!R$3:R$200), "", ROW('Temp Hisfa'!R$3:R$200)-MIN(ROW('Temp Hisfa'!R$3:R$200))+1), ROW(167:366))),"")</f>
        <v>0</v>
      </c>
      <c r="S169" s="22">
        <f t="array" ref="S169">IFERROR(INDEX('Temp Hisfa'!S$3:S$200, SMALL(IF(ISERROR('Temp Hisfa'!S$3:S$200), "", ROW('Temp Hisfa'!S$3:S$200)-MIN(ROW('Temp Hisfa'!S$3:S$200))+1), ROW(167:366))),"")</f>
        <v>0</v>
      </c>
      <c r="T169" s="22">
        <f t="array" ref="T169">IFERROR(INDEX('Temp Hisfa'!T$3:T$200, SMALL(IF(ISERROR('Temp Hisfa'!T$3:T$200), "", ROW('Temp Hisfa'!T$3:T$200)-MIN(ROW('Temp Hisfa'!T$3:T$200))+1), ROW(167:366))),"")</f>
        <v>0</v>
      </c>
      <c r="U169" s="22">
        <f t="array" ref="U169">IFERROR(INDEX('Temp Hisfa'!U$3:U$200, SMALL(IF(ISERROR('Temp Hisfa'!U$3:U$200), "", ROW('Temp Hisfa'!U$3:U$200)-MIN(ROW('Temp Hisfa'!U$3:U$200))+1), ROW(167:366))),"")</f>
        <v>0</v>
      </c>
      <c r="V169" s="22">
        <f t="array" ref="V169">IFERROR(INDEX('Temp Hisfa'!V$3:V$200, SMALL(IF(ISERROR('Temp Hisfa'!V$3:V$200), "", ROW('Temp Hisfa'!V$3:V$200)-MIN(ROW('Temp Hisfa'!V$3:V$200))+1), ROW(167:366))),"")</f>
        <v>0</v>
      </c>
      <c r="W169" s="22">
        <f t="array" ref="W169">IFERROR(INDEX('Temp Hisfa'!W$3:W$200, SMALL(IF(ISERROR('Temp Hisfa'!W$3:W$200), "", ROW('Temp Hisfa'!W$3:W$200)-MIN(ROW('Temp Hisfa'!W$3:W$200))+1), ROW(167:366))),"")</f>
        <v>0</v>
      </c>
      <c r="X169" s="22">
        <f t="array" ref="X169">IFERROR(INDEX('Temp Hisfa'!X$3:X$200, SMALL(IF(ISERROR('Temp Hisfa'!X$3:X$200), "", ROW('Temp Hisfa'!X$3:X$200)-MIN(ROW('Temp Hisfa'!X$3:X$200))+1), ROW(167:366))),"")</f>
        <v>0</v>
      </c>
      <c r="Y169" s="22">
        <f t="array" ref="Y169">IFERROR(INDEX('Temp Hisfa'!Y$3:Y$200, SMALL(IF(ISERROR('Temp Hisfa'!Y$3:Y$200), "", ROW('Temp Hisfa'!Y$3:Y$200)-MIN(ROW('Temp Hisfa'!Y$3:Y$200))+1), ROW(167:366))),"")</f>
        <v>0</v>
      </c>
      <c r="Z169" s="22">
        <f t="array" ref="Z169">IFERROR(INDEX('Temp Hisfa'!Z$3:Z$200, SMALL(IF(ISERROR('Temp Hisfa'!Z$3:Z$200), "", ROW('Temp Hisfa'!Z$3:Z$200)-MIN(ROW('Temp Hisfa'!Z$3:Z$200))+1), ROW(167:366))),"")</f>
        <v>0</v>
      </c>
      <c r="AA169" s="22">
        <f t="array" ref="AA169">IFERROR(INDEX('Temp Hisfa'!AA$3:AA$200, SMALL(IF(ISERROR('Temp Hisfa'!AA$3:AA$200), "", ROW('Temp Hisfa'!AA$3:AA$200)-MIN(ROW('Temp Hisfa'!AA$3:AA$200))+1), ROW(167:366))),"")</f>
        <v>0</v>
      </c>
      <c r="AB169" s="22">
        <f t="array" ref="AB169">IFERROR(INDEX('Temp Hisfa'!AB$3:AB$200, SMALL(IF(ISERROR('Temp Hisfa'!AB$3:AB$200), "", ROW('Temp Hisfa'!AB$3:AB$200)-MIN(ROW('Temp Hisfa'!AB$3:AB$200))+1), ROW(167:366))),"")</f>
        <v>0</v>
      </c>
    </row>
    <row r="170" spans="1:28" hidden="1" x14ac:dyDescent="0.3">
      <c r="A170" s="4">
        <f t="array" ref="A170">IFERROR(INDEX('Temp Hisfa'!A$3:A$200, SMALL(IF(ISERROR('Temp Hisfa'!A$3:A$200), "", ROW('Temp Hisfa'!A$3:A$200)-MIN(ROW('Temp Hisfa'!A$3:A$200))+1), ROW(168:366))),"")</f>
        <v>0</v>
      </c>
      <c r="B170" s="4">
        <f t="array" ref="B170">IFERROR(INDEX('Temp Hisfa'!B$3:B$200, SMALL(IF(ISERROR('Temp Hisfa'!B$3:B$200), "", ROW('Temp Hisfa'!B$3:B$200)-MIN(ROW('Temp Hisfa'!B$3:B$200))+1), ROW(168:366))),"")</f>
        <v>0</v>
      </c>
      <c r="C170" s="3">
        <f t="array" ref="C170">IFERROR(INDEX('Temp Hisfa'!C$3:C$200, SMALL(IF(ISERROR('Temp Hisfa'!C$3:C$200), "", ROW('Temp Hisfa'!C$3:C$200)-MIN(ROW('Temp Hisfa'!C$3:C$200))+1), ROW(168:366))),"")</f>
        <v>0</v>
      </c>
      <c r="D170" s="3">
        <f t="array" ref="D170">IFERROR(INDEX('Temp Hisfa'!D$3:D$200, SMALL(IF(ISERROR('Temp Hisfa'!D$3:D$200), "", ROW('Temp Hisfa'!D$3:D$200)-MIN(ROW('Temp Hisfa'!D$3:D$200))+1), ROW(168:366))),"")</f>
        <v>0</v>
      </c>
      <c r="E170" s="29">
        <f t="array" ref="E170">IFERROR(INDEX('Temp Hisfa'!E$3:E$200, SMALL(IF(ISERROR('Temp Hisfa'!E$3:E$200), "", ROW('Temp Hisfa'!E$3:E$200)-MIN(ROW('Temp Hisfa'!E$3:E$200))+1), ROW(168:367))),"")</f>
        <v>0</v>
      </c>
      <c r="F170" s="22" t="str">
        <f t="array" ref="F170">IFERROR(INDEX('Temp Hisfa'!F$3:F$200, SMALL(IF(ISERROR('Temp Hisfa'!F$3:F$200), "", ROW('Temp Hisfa'!F$3:F$200)-MIN(ROW('Temp Hisfa'!F$3:F$200))+1), ROW(168:367))),"")</f>
        <v/>
      </c>
      <c r="G170" s="30">
        <f t="array" ref="G170">IFERROR(INDEX('Temp Hisfa'!G$3:G$200, SMALL(IF(ISERROR('Temp Hisfa'!G$3:G$200), "", ROW('Temp Hisfa'!G$3:G$200)-MIN(ROW('Temp Hisfa'!G$3:G$200))+1), ROW(168:367))),"")</f>
        <v>0</v>
      </c>
      <c r="H170" s="22" t="str">
        <f t="array" ref="H170">IFERROR(INDEX('Temp Hisfa'!H$3:H$200, SMALL(IF(ISERROR('Temp Hisfa'!H$3:H$200), "", ROW('Temp Hisfa'!H$3:H$200)-MIN(ROW('Temp Hisfa'!H$3:H$200))+1), ROW(168:367))),"")</f>
        <v/>
      </c>
      <c r="I170" s="22">
        <f t="array" ref="I170">IFERROR(INDEX('Temp Hisfa'!I$3:I$200, SMALL(IF(ISERROR('Temp Hisfa'!I$3:I$200), "", ROW('Temp Hisfa'!I$3:I$200)-MIN(ROW('Temp Hisfa'!I$3:I$200))+1), ROW(168:367))),"")</f>
        <v>0</v>
      </c>
      <c r="J170" s="22">
        <f t="array" ref="J170">IFERROR(INDEX('Temp Hisfa'!J$3:J$200, SMALL(IF(ISERROR('Temp Hisfa'!J$3:J$200), "", ROW('Temp Hisfa'!J$3:J$200)-MIN(ROW('Temp Hisfa'!J$3:J$200))+1), ROW(168:367))),"")</f>
        <v>0</v>
      </c>
      <c r="K170" s="30">
        <f t="array" ref="K170">IFERROR(INDEX('Temp Hisfa'!K$3:K$200, SMALL(IF(ISERROR('Temp Hisfa'!K$3:K$200), "", ROW('Temp Hisfa'!K$3:K$200)-MIN(ROW('Temp Hisfa'!K$3:K$200))+1), ROW(168:367))),"")</f>
        <v>0</v>
      </c>
      <c r="L170" s="22">
        <f t="array" ref="L170">IFERROR(INDEX('Temp Hisfa'!L$3:L$200, SMALL(IF(ISERROR('Temp Hisfa'!L$3:L$200), "", ROW('Temp Hisfa'!L$3:L$200)-MIN(ROW('Temp Hisfa'!L$3:L$200))+1), ROW(168:367))),"")</f>
        <v>0</v>
      </c>
      <c r="M170" s="22">
        <f t="array" ref="M170">IFERROR(INDEX('Temp Hisfa'!M$3:M$200, SMALL(IF(ISERROR('Temp Hisfa'!M$3:M$200), "", ROW('Temp Hisfa'!M$3:M$200)-MIN(ROW('Temp Hisfa'!M$3:M$200))+1), ROW(168:367))),"")</f>
        <v>0</v>
      </c>
      <c r="N170" s="22">
        <f t="array" ref="N170">IFERROR(INDEX('Temp Hisfa'!N$3:N$200, SMALL(IF(ISERROR('Temp Hisfa'!N$3:N$200), "", ROW('Temp Hisfa'!N$3:N$200)-MIN(ROW('Temp Hisfa'!N$3:N$200))+1), ROW(168:367))),"")</f>
        <v>1900</v>
      </c>
      <c r="O170" s="22" t="str">
        <f t="array" ref="O170">IFERROR(INDEX('Temp Hisfa'!O$3:O$200, SMALL(IF(ISERROR('Temp Hisfa'!O$3:O$200), "", ROW('Temp Hisfa'!O$3:O$200)-MIN(ROW('Temp Hisfa'!O$3:O$200))+1), ROW(168:367))),"")</f>
        <v>enero</v>
      </c>
      <c r="P170" s="22">
        <f t="array" ref="P170">IFERROR(INDEX('Temp Hisfa'!P$3:P$200, SMALL(IF(ISERROR('Temp Hisfa'!P$3:P$200), "", ROW('Temp Hisfa'!P$3:P$200)-MIN(ROW('Temp Hisfa'!P$3:P$200))+1), ROW(168:367))),"")</f>
        <v>0</v>
      </c>
      <c r="Q170" s="22">
        <f t="array" ref="Q170">IFERROR(INDEX('Temp Hisfa'!Q$3:Q$200, SMALL(IF(ISERROR('Temp Hisfa'!Q$3:Q$200), "", ROW('Temp Hisfa'!Q$3:Q$200)-MIN(ROW('Temp Hisfa'!Q$3:Q$200))+1), ROW(168:367))),"")</f>
        <v>0</v>
      </c>
      <c r="R170" s="22">
        <f t="array" ref="R170">IFERROR(INDEX('Temp Hisfa'!R$3:R$200, SMALL(IF(ISERROR('Temp Hisfa'!R$3:R$200), "", ROW('Temp Hisfa'!R$3:R$200)-MIN(ROW('Temp Hisfa'!R$3:R$200))+1), ROW(168:367))),"")</f>
        <v>0</v>
      </c>
      <c r="S170" s="22">
        <f t="array" ref="S170">IFERROR(INDEX('Temp Hisfa'!S$3:S$200, SMALL(IF(ISERROR('Temp Hisfa'!S$3:S$200), "", ROW('Temp Hisfa'!S$3:S$200)-MIN(ROW('Temp Hisfa'!S$3:S$200))+1), ROW(168:367))),"")</f>
        <v>0</v>
      </c>
      <c r="T170" s="22">
        <f t="array" ref="T170">IFERROR(INDEX('Temp Hisfa'!T$3:T$200, SMALL(IF(ISERROR('Temp Hisfa'!T$3:T$200), "", ROW('Temp Hisfa'!T$3:T$200)-MIN(ROW('Temp Hisfa'!T$3:T$200))+1), ROW(168:367))),"")</f>
        <v>0</v>
      </c>
      <c r="U170" s="22">
        <f t="array" ref="U170">IFERROR(INDEX('Temp Hisfa'!U$3:U$200, SMALL(IF(ISERROR('Temp Hisfa'!U$3:U$200), "", ROW('Temp Hisfa'!U$3:U$200)-MIN(ROW('Temp Hisfa'!U$3:U$200))+1), ROW(168:367))),"")</f>
        <v>0</v>
      </c>
      <c r="V170" s="22">
        <f t="array" ref="V170">IFERROR(INDEX('Temp Hisfa'!V$3:V$200, SMALL(IF(ISERROR('Temp Hisfa'!V$3:V$200), "", ROW('Temp Hisfa'!V$3:V$200)-MIN(ROW('Temp Hisfa'!V$3:V$200))+1), ROW(168:367))),"")</f>
        <v>0</v>
      </c>
      <c r="W170" s="22">
        <f t="array" ref="W170">IFERROR(INDEX('Temp Hisfa'!W$3:W$200, SMALL(IF(ISERROR('Temp Hisfa'!W$3:W$200), "", ROW('Temp Hisfa'!W$3:W$200)-MIN(ROW('Temp Hisfa'!W$3:W$200))+1), ROW(168:367))),"")</f>
        <v>0</v>
      </c>
      <c r="X170" s="22">
        <f t="array" ref="X170">IFERROR(INDEX('Temp Hisfa'!X$3:X$200, SMALL(IF(ISERROR('Temp Hisfa'!X$3:X$200), "", ROW('Temp Hisfa'!X$3:X$200)-MIN(ROW('Temp Hisfa'!X$3:X$200))+1), ROW(168:367))),"")</f>
        <v>0</v>
      </c>
      <c r="Y170" s="22">
        <f t="array" ref="Y170">IFERROR(INDEX('Temp Hisfa'!Y$3:Y$200, SMALL(IF(ISERROR('Temp Hisfa'!Y$3:Y$200), "", ROW('Temp Hisfa'!Y$3:Y$200)-MIN(ROW('Temp Hisfa'!Y$3:Y$200))+1), ROW(168:367))),"")</f>
        <v>0</v>
      </c>
      <c r="Z170" s="22">
        <f t="array" ref="Z170">IFERROR(INDEX('Temp Hisfa'!Z$3:Z$200, SMALL(IF(ISERROR('Temp Hisfa'!Z$3:Z$200), "", ROW('Temp Hisfa'!Z$3:Z$200)-MIN(ROW('Temp Hisfa'!Z$3:Z$200))+1), ROW(168:367))),"")</f>
        <v>0</v>
      </c>
      <c r="AA170" s="22">
        <f t="array" ref="AA170">IFERROR(INDEX('Temp Hisfa'!AA$3:AA$200, SMALL(IF(ISERROR('Temp Hisfa'!AA$3:AA$200), "", ROW('Temp Hisfa'!AA$3:AA$200)-MIN(ROW('Temp Hisfa'!AA$3:AA$200))+1), ROW(168:367))),"")</f>
        <v>0</v>
      </c>
      <c r="AB170" s="22">
        <f t="array" ref="AB170">IFERROR(INDEX('Temp Hisfa'!AB$3:AB$200, SMALL(IF(ISERROR('Temp Hisfa'!AB$3:AB$200), "", ROW('Temp Hisfa'!AB$3:AB$200)-MIN(ROW('Temp Hisfa'!AB$3:AB$200))+1), ROW(168:367))),"")</f>
        <v>0</v>
      </c>
    </row>
    <row r="171" spans="1:28" hidden="1" x14ac:dyDescent="0.3">
      <c r="A171" s="4">
        <f t="array" ref="A171">IFERROR(INDEX('Temp Hisfa'!A$3:A$200, SMALL(IF(ISERROR('Temp Hisfa'!A$3:A$200), "", ROW('Temp Hisfa'!A$3:A$200)-MIN(ROW('Temp Hisfa'!A$3:A$200))+1), ROW(169:367))),"")</f>
        <v>0</v>
      </c>
      <c r="B171" s="4">
        <f t="array" ref="B171">IFERROR(INDEX('Temp Hisfa'!B$3:B$200, SMALL(IF(ISERROR('Temp Hisfa'!B$3:B$200), "", ROW('Temp Hisfa'!B$3:B$200)-MIN(ROW('Temp Hisfa'!B$3:B$200))+1), ROW(169:367))),"")</f>
        <v>0</v>
      </c>
      <c r="C171" s="3">
        <f t="array" ref="C171">IFERROR(INDEX('Temp Hisfa'!C$3:C$200, SMALL(IF(ISERROR('Temp Hisfa'!C$3:C$200), "", ROW('Temp Hisfa'!C$3:C$200)-MIN(ROW('Temp Hisfa'!C$3:C$200))+1), ROW(169:367))),"")</f>
        <v>0</v>
      </c>
      <c r="D171" s="3">
        <f t="array" ref="D171">IFERROR(INDEX('Temp Hisfa'!D$3:D$200, SMALL(IF(ISERROR('Temp Hisfa'!D$3:D$200), "", ROW('Temp Hisfa'!D$3:D$200)-MIN(ROW('Temp Hisfa'!D$3:D$200))+1), ROW(169:367))),"")</f>
        <v>0</v>
      </c>
      <c r="E171" s="29">
        <f t="array" ref="E171">IFERROR(INDEX('Temp Hisfa'!E$3:E$200, SMALL(IF(ISERROR('Temp Hisfa'!E$3:E$200), "", ROW('Temp Hisfa'!E$3:E$200)-MIN(ROW('Temp Hisfa'!E$3:E$200))+1), ROW(169:368))),"")</f>
        <v>0</v>
      </c>
      <c r="F171" s="22" t="str">
        <f t="array" ref="F171">IFERROR(INDEX('Temp Hisfa'!F$3:F$200, SMALL(IF(ISERROR('Temp Hisfa'!F$3:F$200), "", ROW('Temp Hisfa'!F$3:F$200)-MIN(ROW('Temp Hisfa'!F$3:F$200))+1), ROW(169:368))),"")</f>
        <v/>
      </c>
      <c r="G171" s="30">
        <f t="array" ref="G171">IFERROR(INDEX('Temp Hisfa'!G$3:G$200, SMALL(IF(ISERROR('Temp Hisfa'!G$3:G$200), "", ROW('Temp Hisfa'!G$3:G$200)-MIN(ROW('Temp Hisfa'!G$3:G$200))+1), ROW(169:368))),"")</f>
        <v>0</v>
      </c>
      <c r="H171" s="22" t="str">
        <f t="array" ref="H171">IFERROR(INDEX('Temp Hisfa'!H$3:H$200, SMALL(IF(ISERROR('Temp Hisfa'!H$3:H$200), "", ROW('Temp Hisfa'!H$3:H$200)-MIN(ROW('Temp Hisfa'!H$3:H$200))+1), ROW(169:368))),"")</f>
        <v/>
      </c>
      <c r="I171" s="22">
        <f t="array" ref="I171">IFERROR(INDEX('Temp Hisfa'!I$3:I$200, SMALL(IF(ISERROR('Temp Hisfa'!I$3:I$200), "", ROW('Temp Hisfa'!I$3:I$200)-MIN(ROW('Temp Hisfa'!I$3:I$200))+1), ROW(169:368))),"")</f>
        <v>0</v>
      </c>
      <c r="J171" s="22">
        <f t="array" ref="J171">IFERROR(INDEX('Temp Hisfa'!J$3:J$200, SMALL(IF(ISERROR('Temp Hisfa'!J$3:J$200), "", ROW('Temp Hisfa'!J$3:J$200)-MIN(ROW('Temp Hisfa'!J$3:J$200))+1), ROW(169:368))),"")</f>
        <v>0</v>
      </c>
      <c r="K171" s="30">
        <f t="array" ref="K171">IFERROR(INDEX('Temp Hisfa'!K$3:K$200, SMALL(IF(ISERROR('Temp Hisfa'!K$3:K$200), "", ROW('Temp Hisfa'!K$3:K$200)-MIN(ROW('Temp Hisfa'!K$3:K$200))+1), ROW(169:368))),"")</f>
        <v>0</v>
      </c>
      <c r="L171" s="22">
        <f t="array" ref="L171">IFERROR(INDEX('Temp Hisfa'!L$3:L$200, SMALL(IF(ISERROR('Temp Hisfa'!L$3:L$200), "", ROW('Temp Hisfa'!L$3:L$200)-MIN(ROW('Temp Hisfa'!L$3:L$200))+1), ROW(169:368))),"")</f>
        <v>0</v>
      </c>
      <c r="M171" s="22">
        <f t="array" ref="M171">IFERROR(INDEX('Temp Hisfa'!M$3:M$200, SMALL(IF(ISERROR('Temp Hisfa'!M$3:M$200), "", ROW('Temp Hisfa'!M$3:M$200)-MIN(ROW('Temp Hisfa'!M$3:M$200))+1), ROW(169:368))),"")</f>
        <v>0</v>
      </c>
      <c r="N171" s="22">
        <f t="array" ref="N171">IFERROR(INDEX('Temp Hisfa'!N$3:N$200, SMALL(IF(ISERROR('Temp Hisfa'!N$3:N$200), "", ROW('Temp Hisfa'!N$3:N$200)-MIN(ROW('Temp Hisfa'!N$3:N$200))+1), ROW(169:368))),"")</f>
        <v>1900</v>
      </c>
      <c r="O171" s="22" t="str">
        <f t="array" ref="O171">IFERROR(INDEX('Temp Hisfa'!O$3:O$200, SMALL(IF(ISERROR('Temp Hisfa'!O$3:O$200), "", ROW('Temp Hisfa'!O$3:O$200)-MIN(ROW('Temp Hisfa'!O$3:O$200))+1), ROW(169:368))),"")</f>
        <v>enero</v>
      </c>
      <c r="P171" s="22">
        <f t="array" ref="P171">IFERROR(INDEX('Temp Hisfa'!P$3:P$200, SMALL(IF(ISERROR('Temp Hisfa'!P$3:P$200), "", ROW('Temp Hisfa'!P$3:P$200)-MIN(ROW('Temp Hisfa'!P$3:P$200))+1), ROW(169:368))),"")</f>
        <v>0</v>
      </c>
      <c r="Q171" s="22">
        <f t="array" ref="Q171">IFERROR(INDEX('Temp Hisfa'!Q$3:Q$200, SMALL(IF(ISERROR('Temp Hisfa'!Q$3:Q$200), "", ROW('Temp Hisfa'!Q$3:Q$200)-MIN(ROW('Temp Hisfa'!Q$3:Q$200))+1), ROW(169:368))),"")</f>
        <v>0</v>
      </c>
      <c r="R171" s="22">
        <f t="array" ref="R171">IFERROR(INDEX('Temp Hisfa'!R$3:R$200, SMALL(IF(ISERROR('Temp Hisfa'!R$3:R$200), "", ROW('Temp Hisfa'!R$3:R$200)-MIN(ROW('Temp Hisfa'!R$3:R$200))+1), ROW(169:368))),"")</f>
        <v>0</v>
      </c>
      <c r="S171" s="22">
        <f t="array" ref="S171">IFERROR(INDEX('Temp Hisfa'!S$3:S$200, SMALL(IF(ISERROR('Temp Hisfa'!S$3:S$200), "", ROW('Temp Hisfa'!S$3:S$200)-MIN(ROW('Temp Hisfa'!S$3:S$200))+1), ROW(169:368))),"")</f>
        <v>0</v>
      </c>
      <c r="T171" s="22">
        <f t="array" ref="T171">IFERROR(INDEX('Temp Hisfa'!T$3:T$200, SMALL(IF(ISERROR('Temp Hisfa'!T$3:T$200), "", ROW('Temp Hisfa'!T$3:T$200)-MIN(ROW('Temp Hisfa'!T$3:T$200))+1), ROW(169:368))),"")</f>
        <v>0</v>
      </c>
      <c r="U171" s="22">
        <f t="array" ref="U171">IFERROR(INDEX('Temp Hisfa'!U$3:U$200, SMALL(IF(ISERROR('Temp Hisfa'!U$3:U$200), "", ROW('Temp Hisfa'!U$3:U$200)-MIN(ROW('Temp Hisfa'!U$3:U$200))+1), ROW(169:368))),"")</f>
        <v>0</v>
      </c>
      <c r="V171" s="22">
        <f t="array" ref="V171">IFERROR(INDEX('Temp Hisfa'!V$3:V$200, SMALL(IF(ISERROR('Temp Hisfa'!V$3:V$200), "", ROW('Temp Hisfa'!V$3:V$200)-MIN(ROW('Temp Hisfa'!V$3:V$200))+1), ROW(169:368))),"")</f>
        <v>0</v>
      </c>
      <c r="W171" s="22">
        <f t="array" ref="W171">IFERROR(INDEX('Temp Hisfa'!W$3:W$200, SMALL(IF(ISERROR('Temp Hisfa'!W$3:W$200), "", ROW('Temp Hisfa'!W$3:W$200)-MIN(ROW('Temp Hisfa'!W$3:W$200))+1), ROW(169:368))),"")</f>
        <v>0</v>
      </c>
      <c r="X171" s="22">
        <f t="array" ref="X171">IFERROR(INDEX('Temp Hisfa'!X$3:X$200, SMALL(IF(ISERROR('Temp Hisfa'!X$3:X$200), "", ROW('Temp Hisfa'!X$3:X$200)-MIN(ROW('Temp Hisfa'!X$3:X$200))+1), ROW(169:368))),"")</f>
        <v>0</v>
      </c>
      <c r="Y171" s="22">
        <f t="array" ref="Y171">IFERROR(INDEX('Temp Hisfa'!Y$3:Y$200, SMALL(IF(ISERROR('Temp Hisfa'!Y$3:Y$200), "", ROW('Temp Hisfa'!Y$3:Y$200)-MIN(ROW('Temp Hisfa'!Y$3:Y$200))+1), ROW(169:368))),"")</f>
        <v>0</v>
      </c>
      <c r="Z171" s="22">
        <f t="array" ref="Z171">IFERROR(INDEX('Temp Hisfa'!Z$3:Z$200, SMALL(IF(ISERROR('Temp Hisfa'!Z$3:Z$200), "", ROW('Temp Hisfa'!Z$3:Z$200)-MIN(ROW('Temp Hisfa'!Z$3:Z$200))+1), ROW(169:368))),"")</f>
        <v>0</v>
      </c>
      <c r="AA171" s="22">
        <f t="array" ref="AA171">IFERROR(INDEX('Temp Hisfa'!AA$3:AA$200, SMALL(IF(ISERROR('Temp Hisfa'!AA$3:AA$200), "", ROW('Temp Hisfa'!AA$3:AA$200)-MIN(ROW('Temp Hisfa'!AA$3:AA$200))+1), ROW(169:368))),"")</f>
        <v>0</v>
      </c>
      <c r="AB171" s="22">
        <f t="array" ref="AB171">IFERROR(INDEX('Temp Hisfa'!AB$3:AB$200, SMALL(IF(ISERROR('Temp Hisfa'!AB$3:AB$200), "", ROW('Temp Hisfa'!AB$3:AB$200)-MIN(ROW('Temp Hisfa'!AB$3:AB$200))+1), ROW(169:368))),"")</f>
        <v>0</v>
      </c>
    </row>
    <row r="172" spans="1:28" hidden="1" x14ac:dyDescent="0.3">
      <c r="A172" s="4">
        <f t="array" ref="A172">IFERROR(INDEX('Temp Hisfa'!A$3:A$200, SMALL(IF(ISERROR('Temp Hisfa'!A$3:A$200), "", ROW('Temp Hisfa'!A$3:A$200)-MIN(ROW('Temp Hisfa'!A$3:A$200))+1), ROW(170:368))),"")</f>
        <v>0</v>
      </c>
      <c r="B172" s="4">
        <f t="array" ref="B172">IFERROR(INDEX('Temp Hisfa'!B$3:B$200, SMALL(IF(ISERROR('Temp Hisfa'!B$3:B$200), "", ROW('Temp Hisfa'!B$3:B$200)-MIN(ROW('Temp Hisfa'!B$3:B$200))+1), ROW(170:368))),"")</f>
        <v>0</v>
      </c>
      <c r="C172" s="3">
        <f t="array" ref="C172">IFERROR(INDEX('Temp Hisfa'!C$3:C$200, SMALL(IF(ISERROR('Temp Hisfa'!C$3:C$200), "", ROW('Temp Hisfa'!C$3:C$200)-MIN(ROW('Temp Hisfa'!C$3:C$200))+1), ROW(170:368))),"")</f>
        <v>0</v>
      </c>
      <c r="D172" s="3">
        <f t="array" ref="D172">IFERROR(INDEX('Temp Hisfa'!D$3:D$200, SMALL(IF(ISERROR('Temp Hisfa'!D$3:D$200), "", ROW('Temp Hisfa'!D$3:D$200)-MIN(ROW('Temp Hisfa'!D$3:D$200))+1), ROW(170:368))),"")</f>
        <v>0</v>
      </c>
      <c r="E172" s="29">
        <f t="array" ref="E172">IFERROR(INDEX('Temp Hisfa'!E$3:E$200, SMALL(IF(ISERROR('Temp Hisfa'!E$3:E$200), "", ROW('Temp Hisfa'!E$3:E$200)-MIN(ROW('Temp Hisfa'!E$3:E$200))+1), ROW(170:369))),"")</f>
        <v>0</v>
      </c>
      <c r="F172" s="22" t="str">
        <f t="array" ref="F172">IFERROR(INDEX('Temp Hisfa'!F$3:F$200, SMALL(IF(ISERROR('Temp Hisfa'!F$3:F$200), "", ROW('Temp Hisfa'!F$3:F$200)-MIN(ROW('Temp Hisfa'!F$3:F$200))+1), ROW(170:369))),"")</f>
        <v/>
      </c>
      <c r="G172" s="30">
        <f t="array" ref="G172">IFERROR(INDEX('Temp Hisfa'!G$3:G$200, SMALL(IF(ISERROR('Temp Hisfa'!G$3:G$200), "", ROW('Temp Hisfa'!G$3:G$200)-MIN(ROW('Temp Hisfa'!G$3:G$200))+1), ROW(170:369))),"")</f>
        <v>0</v>
      </c>
      <c r="H172" s="22" t="str">
        <f t="array" ref="H172">IFERROR(INDEX('Temp Hisfa'!H$3:H$200, SMALL(IF(ISERROR('Temp Hisfa'!H$3:H$200), "", ROW('Temp Hisfa'!H$3:H$200)-MIN(ROW('Temp Hisfa'!H$3:H$200))+1), ROW(170:369))),"")</f>
        <v/>
      </c>
      <c r="I172" s="22">
        <f t="array" ref="I172">IFERROR(INDEX('Temp Hisfa'!I$3:I$200, SMALL(IF(ISERROR('Temp Hisfa'!I$3:I$200), "", ROW('Temp Hisfa'!I$3:I$200)-MIN(ROW('Temp Hisfa'!I$3:I$200))+1), ROW(170:369))),"")</f>
        <v>0</v>
      </c>
      <c r="J172" s="22">
        <f t="array" ref="J172">IFERROR(INDEX('Temp Hisfa'!J$3:J$200, SMALL(IF(ISERROR('Temp Hisfa'!J$3:J$200), "", ROW('Temp Hisfa'!J$3:J$200)-MIN(ROW('Temp Hisfa'!J$3:J$200))+1), ROW(170:369))),"")</f>
        <v>0</v>
      </c>
      <c r="K172" s="30">
        <f t="array" ref="K172">IFERROR(INDEX('Temp Hisfa'!K$3:K$200, SMALL(IF(ISERROR('Temp Hisfa'!K$3:K$200), "", ROW('Temp Hisfa'!K$3:K$200)-MIN(ROW('Temp Hisfa'!K$3:K$200))+1), ROW(170:369))),"")</f>
        <v>0</v>
      </c>
      <c r="L172" s="22">
        <f t="array" ref="L172">IFERROR(INDEX('Temp Hisfa'!L$3:L$200, SMALL(IF(ISERROR('Temp Hisfa'!L$3:L$200), "", ROW('Temp Hisfa'!L$3:L$200)-MIN(ROW('Temp Hisfa'!L$3:L$200))+1), ROW(170:369))),"")</f>
        <v>0</v>
      </c>
      <c r="M172" s="22">
        <f t="array" ref="M172">IFERROR(INDEX('Temp Hisfa'!M$3:M$200, SMALL(IF(ISERROR('Temp Hisfa'!M$3:M$200), "", ROW('Temp Hisfa'!M$3:M$200)-MIN(ROW('Temp Hisfa'!M$3:M$200))+1), ROW(170:369))),"")</f>
        <v>0</v>
      </c>
      <c r="N172" s="22">
        <f t="array" ref="N172">IFERROR(INDEX('Temp Hisfa'!N$3:N$200, SMALL(IF(ISERROR('Temp Hisfa'!N$3:N$200), "", ROW('Temp Hisfa'!N$3:N$200)-MIN(ROW('Temp Hisfa'!N$3:N$200))+1), ROW(170:369))),"")</f>
        <v>1900</v>
      </c>
      <c r="O172" s="22" t="str">
        <f t="array" ref="O172">IFERROR(INDEX('Temp Hisfa'!O$3:O$200, SMALL(IF(ISERROR('Temp Hisfa'!O$3:O$200), "", ROW('Temp Hisfa'!O$3:O$200)-MIN(ROW('Temp Hisfa'!O$3:O$200))+1), ROW(170:369))),"")</f>
        <v>enero</v>
      </c>
      <c r="P172" s="22">
        <f t="array" ref="P172">IFERROR(INDEX('Temp Hisfa'!P$3:P$200, SMALL(IF(ISERROR('Temp Hisfa'!P$3:P$200), "", ROW('Temp Hisfa'!P$3:P$200)-MIN(ROW('Temp Hisfa'!P$3:P$200))+1), ROW(170:369))),"")</f>
        <v>0</v>
      </c>
      <c r="Q172" s="22">
        <f t="array" ref="Q172">IFERROR(INDEX('Temp Hisfa'!Q$3:Q$200, SMALL(IF(ISERROR('Temp Hisfa'!Q$3:Q$200), "", ROW('Temp Hisfa'!Q$3:Q$200)-MIN(ROW('Temp Hisfa'!Q$3:Q$200))+1), ROW(170:369))),"")</f>
        <v>0</v>
      </c>
      <c r="R172" s="22">
        <f t="array" ref="R172">IFERROR(INDEX('Temp Hisfa'!R$3:R$200, SMALL(IF(ISERROR('Temp Hisfa'!R$3:R$200), "", ROW('Temp Hisfa'!R$3:R$200)-MIN(ROW('Temp Hisfa'!R$3:R$200))+1), ROW(170:369))),"")</f>
        <v>0</v>
      </c>
      <c r="S172" s="22">
        <f t="array" ref="S172">IFERROR(INDEX('Temp Hisfa'!S$3:S$200, SMALL(IF(ISERROR('Temp Hisfa'!S$3:S$200), "", ROW('Temp Hisfa'!S$3:S$200)-MIN(ROW('Temp Hisfa'!S$3:S$200))+1), ROW(170:369))),"")</f>
        <v>0</v>
      </c>
      <c r="T172" s="22">
        <f t="array" ref="T172">IFERROR(INDEX('Temp Hisfa'!T$3:T$200, SMALL(IF(ISERROR('Temp Hisfa'!T$3:T$200), "", ROW('Temp Hisfa'!T$3:T$200)-MIN(ROW('Temp Hisfa'!T$3:T$200))+1), ROW(170:369))),"")</f>
        <v>0</v>
      </c>
      <c r="U172" s="22">
        <f t="array" ref="U172">IFERROR(INDEX('Temp Hisfa'!U$3:U$200, SMALL(IF(ISERROR('Temp Hisfa'!U$3:U$200), "", ROW('Temp Hisfa'!U$3:U$200)-MIN(ROW('Temp Hisfa'!U$3:U$200))+1), ROW(170:369))),"")</f>
        <v>0</v>
      </c>
      <c r="V172" s="22">
        <f t="array" ref="V172">IFERROR(INDEX('Temp Hisfa'!V$3:V$200, SMALL(IF(ISERROR('Temp Hisfa'!V$3:V$200), "", ROW('Temp Hisfa'!V$3:V$200)-MIN(ROW('Temp Hisfa'!V$3:V$200))+1), ROW(170:369))),"")</f>
        <v>0</v>
      </c>
      <c r="W172" s="22">
        <f t="array" ref="W172">IFERROR(INDEX('Temp Hisfa'!W$3:W$200, SMALL(IF(ISERROR('Temp Hisfa'!W$3:W$200), "", ROW('Temp Hisfa'!W$3:W$200)-MIN(ROW('Temp Hisfa'!W$3:W$200))+1), ROW(170:369))),"")</f>
        <v>0</v>
      </c>
      <c r="X172" s="22">
        <f t="array" ref="X172">IFERROR(INDEX('Temp Hisfa'!X$3:X$200, SMALL(IF(ISERROR('Temp Hisfa'!X$3:X$200), "", ROW('Temp Hisfa'!X$3:X$200)-MIN(ROW('Temp Hisfa'!X$3:X$200))+1), ROW(170:369))),"")</f>
        <v>0</v>
      </c>
      <c r="Y172" s="22">
        <f t="array" ref="Y172">IFERROR(INDEX('Temp Hisfa'!Y$3:Y$200, SMALL(IF(ISERROR('Temp Hisfa'!Y$3:Y$200), "", ROW('Temp Hisfa'!Y$3:Y$200)-MIN(ROW('Temp Hisfa'!Y$3:Y$200))+1), ROW(170:369))),"")</f>
        <v>0</v>
      </c>
      <c r="Z172" s="22">
        <f t="array" ref="Z172">IFERROR(INDEX('Temp Hisfa'!Z$3:Z$200, SMALL(IF(ISERROR('Temp Hisfa'!Z$3:Z$200), "", ROW('Temp Hisfa'!Z$3:Z$200)-MIN(ROW('Temp Hisfa'!Z$3:Z$200))+1), ROW(170:369))),"")</f>
        <v>0</v>
      </c>
      <c r="AA172" s="22">
        <f t="array" ref="AA172">IFERROR(INDEX('Temp Hisfa'!AA$3:AA$200, SMALL(IF(ISERROR('Temp Hisfa'!AA$3:AA$200), "", ROW('Temp Hisfa'!AA$3:AA$200)-MIN(ROW('Temp Hisfa'!AA$3:AA$200))+1), ROW(170:369))),"")</f>
        <v>0</v>
      </c>
      <c r="AB172" s="22">
        <f t="array" ref="AB172">IFERROR(INDEX('Temp Hisfa'!AB$3:AB$200, SMALL(IF(ISERROR('Temp Hisfa'!AB$3:AB$200), "", ROW('Temp Hisfa'!AB$3:AB$200)-MIN(ROW('Temp Hisfa'!AB$3:AB$200))+1), ROW(170:369))),"")</f>
        <v>0</v>
      </c>
    </row>
    <row r="173" spans="1:28" hidden="1" x14ac:dyDescent="0.3">
      <c r="A173" s="4">
        <f t="array" ref="A173">IFERROR(INDEX('Temp Hisfa'!A$3:A$200, SMALL(IF(ISERROR('Temp Hisfa'!A$3:A$200), "", ROW('Temp Hisfa'!A$3:A$200)-MIN(ROW('Temp Hisfa'!A$3:A$200))+1), ROW(171:369))),"")</f>
        <v>0</v>
      </c>
      <c r="B173" s="4">
        <f t="array" ref="B173">IFERROR(INDEX('Temp Hisfa'!B$3:B$200, SMALL(IF(ISERROR('Temp Hisfa'!B$3:B$200), "", ROW('Temp Hisfa'!B$3:B$200)-MIN(ROW('Temp Hisfa'!B$3:B$200))+1), ROW(171:369))),"")</f>
        <v>0</v>
      </c>
      <c r="C173" s="3">
        <f t="array" ref="C173">IFERROR(INDEX('Temp Hisfa'!C$3:C$200, SMALL(IF(ISERROR('Temp Hisfa'!C$3:C$200), "", ROW('Temp Hisfa'!C$3:C$200)-MIN(ROW('Temp Hisfa'!C$3:C$200))+1), ROW(171:369))),"")</f>
        <v>0</v>
      </c>
      <c r="D173" s="3">
        <f t="array" ref="D173">IFERROR(INDEX('Temp Hisfa'!D$3:D$200, SMALL(IF(ISERROR('Temp Hisfa'!D$3:D$200), "", ROW('Temp Hisfa'!D$3:D$200)-MIN(ROW('Temp Hisfa'!D$3:D$200))+1), ROW(171:369))),"")</f>
        <v>0</v>
      </c>
      <c r="E173" s="29">
        <f t="array" ref="E173">IFERROR(INDEX('Temp Hisfa'!E$3:E$200, SMALL(IF(ISERROR('Temp Hisfa'!E$3:E$200), "", ROW('Temp Hisfa'!E$3:E$200)-MIN(ROW('Temp Hisfa'!E$3:E$200))+1), ROW(171:370))),"")</f>
        <v>0</v>
      </c>
      <c r="F173" s="22" t="str">
        <f t="array" ref="F173">IFERROR(INDEX('Temp Hisfa'!F$3:F$200, SMALL(IF(ISERROR('Temp Hisfa'!F$3:F$200), "", ROW('Temp Hisfa'!F$3:F$200)-MIN(ROW('Temp Hisfa'!F$3:F$200))+1), ROW(171:370))),"")</f>
        <v/>
      </c>
      <c r="G173" s="30">
        <f t="array" ref="G173">IFERROR(INDEX('Temp Hisfa'!G$3:G$200, SMALL(IF(ISERROR('Temp Hisfa'!G$3:G$200), "", ROW('Temp Hisfa'!G$3:G$200)-MIN(ROW('Temp Hisfa'!G$3:G$200))+1), ROW(171:370))),"")</f>
        <v>0</v>
      </c>
      <c r="H173" s="22" t="str">
        <f t="array" ref="H173">IFERROR(INDEX('Temp Hisfa'!H$3:H$200, SMALL(IF(ISERROR('Temp Hisfa'!H$3:H$200), "", ROW('Temp Hisfa'!H$3:H$200)-MIN(ROW('Temp Hisfa'!H$3:H$200))+1), ROW(171:370))),"")</f>
        <v/>
      </c>
      <c r="I173" s="22">
        <f t="array" ref="I173">IFERROR(INDEX('Temp Hisfa'!I$3:I$200, SMALL(IF(ISERROR('Temp Hisfa'!I$3:I$200), "", ROW('Temp Hisfa'!I$3:I$200)-MIN(ROW('Temp Hisfa'!I$3:I$200))+1), ROW(171:370))),"")</f>
        <v>0</v>
      </c>
      <c r="J173" s="22">
        <f t="array" ref="J173">IFERROR(INDEX('Temp Hisfa'!J$3:J$200, SMALL(IF(ISERROR('Temp Hisfa'!J$3:J$200), "", ROW('Temp Hisfa'!J$3:J$200)-MIN(ROW('Temp Hisfa'!J$3:J$200))+1), ROW(171:370))),"")</f>
        <v>0</v>
      </c>
      <c r="K173" s="30">
        <f t="array" ref="K173">IFERROR(INDEX('Temp Hisfa'!K$3:K$200, SMALL(IF(ISERROR('Temp Hisfa'!K$3:K$200), "", ROW('Temp Hisfa'!K$3:K$200)-MIN(ROW('Temp Hisfa'!K$3:K$200))+1), ROW(171:370))),"")</f>
        <v>0</v>
      </c>
      <c r="L173" s="22">
        <f t="array" ref="L173">IFERROR(INDEX('Temp Hisfa'!L$3:L$200, SMALL(IF(ISERROR('Temp Hisfa'!L$3:L$200), "", ROW('Temp Hisfa'!L$3:L$200)-MIN(ROW('Temp Hisfa'!L$3:L$200))+1), ROW(171:370))),"")</f>
        <v>0</v>
      </c>
      <c r="M173" s="22">
        <f t="array" ref="M173">IFERROR(INDEX('Temp Hisfa'!M$3:M$200, SMALL(IF(ISERROR('Temp Hisfa'!M$3:M$200), "", ROW('Temp Hisfa'!M$3:M$200)-MIN(ROW('Temp Hisfa'!M$3:M$200))+1), ROW(171:370))),"")</f>
        <v>0</v>
      </c>
      <c r="N173" s="22">
        <f t="array" ref="N173">IFERROR(INDEX('Temp Hisfa'!N$3:N$200, SMALL(IF(ISERROR('Temp Hisfa'!N$3:N$200), "", ROW('Temp Hisfa'!N$3:N$200)-MIN(ROW('Temp Hisfa'!N$3:N$200))+1), ROW(171:370))),"")</f>
        <v>1900</v>
      </c>
      <c r="O173" s="22" t="str">
        <f t="array" ref="O173">IFERROR(INDEX('Temp Hisfa'!O$3:O$200, SMALL(IF(ISERROR('Temp Hisfa'!O$3:O$200), "", ROW('Temp Hisfa'!O$3:O$200)-MIN(ROW('Temp Hisfa'!O$3:O$200))+1), ROW(171:370))),"")</f>
        <v>enero</v>
      </c>
      <c r="P173" s="22">
        <f t="array" ref="P173">IFERROR(INDEX('Temp Hisfa'!P$3:P$200, SMALL(IF(ISERROR('Temp Hisfa'!P$3:P$200), "", ROW('Temp Hisfa'!P$3:P$200)-MIN(ROW('Temp Hisfa'!P$3:P$200))+1), ROW(171:370))),"")</f>
        <v>0</v>
      </c>
      <c r="Q173" s="22">
        <f t="array" ref="Q173">IFERROR(INDEX('Temp Hisfa'!Q$3:Q$200, SMALL(IF(ISERROR('Temp Hisfa'!Q$3:Q$200), "", ROW('Temp Hisfa'!Q$3:Q$200)-MIN(ROW('Temp Hisfa'!Q$3:Q$200))+1), ROW(171:370))),"")</f>
        <v>0</v>
      </c>
      <c r="R173" s="22">
        <f t="array" ref="R173">IFERROR(INDEX('Temp Hisfa'!R$3:R$200, SMALL(IF(ISERROR('Temp Hisfa'!R$3:R$200), "", ROW('Temp Hisfa'!R$3:R$200)-MIN(ROW('Temp Hisfa'!R$3:R$200))+1), ROW(171:370))),"")</f>
        <v>0</v>
      </c>
      <c r="S173" s="22">
        <f t="array" ref="S173">IFERROR(INDEX('Temp Hisfa'!S$3:S$200, SMALL(IF(ISERROR('Temp Hisfa'!S$3:S$200), "", ROW('Temp Hisfa'!S$3:S$200)-MIN(ROW('Temp Hisfa'!S$3:S$200))+1), ROW(171:370))),"")</f>
        <v>0</v>
      </c>
      <c r="T173" s="22">
        <f t="array" ref="T173">IFERROR(INDEX('Temp Hisfa'!T$3:T$200, SMALL(IF(ISERROR('Temp Hisfa'!T$3:T$200), "", ROW('Temp Hisfa'!T$3:T$200)-MIN(ROW('Temp Hisfa'!T$3:T$200))+1), ROW(171:370))),"")</f>
        <v>0</v>
      </c>
      <c r="U173" s="22">
        <f t="array" ref="U173">IFERROR(INDEX('Temp Hisfa'!U$3:U$200, SMALL(IF(ISERROR('Temp Hisfa'!U$3:U$200), "", ROW('Temp Hisfa'!U$3:U$200)-MIN(ROW('Temp Hisfa'!U$3:U$200))+1), ROW(171:370))),"")</f>
        <v>0</v>
      </c>
      <c r="V173" s="22">
        <f t="array" ref="V173">IFERROR(INDEX('Temp Hisfa'!V$3:V$200, SMALL(IF(ISERROR('Temp Hisfa'!V$3:V$200), "", ROW('Temp Hisfa'!V$3:V$200)-MIN(ROW('Temp Hisfa'!V$3:V$200))+1), ROW(171:370))),"")</f>
        <v>0</v>
      </c>
      <c r="W173" s="22">
        <f t="array" ref="W173">IFERROR(INDEX('Temp Hisfa'!W$3:W$200, SMALL(IF(ISERROR('Temp Hisfa'!W$3:W$200), "", ROW('Temp Hisfa'!W$3:W$200)-MIN(ROW('Temp Hisfa'!W$3:W$200))+1), ROW(171:370))),"")</f>
        <v>0</v>
      </c>
      <c r="X173" s="22">
        <f t="array" ref="X173">IFERROR(INDEX('Temp Hisfa'!X$3:X$200, SMALL(IF(ISERROR('Temp Hisfa'!X$3:X$200), "", ROW('Temp Hisfa'!X$3:X$200)-MIN(ROW('Temp Hisfa'!X$3:X$200))+1), ROW(171:370))),"")</f>
        <v>0</v>
      </c>
      <c r="Y173" s="22">
        <f t="array" ref="Y173">IFERROR(INDEX('Temp Hisfa'!Y$3:Y$200, SMALL(IF(ISERROR('Temp Hisfa'!Y$3:Y$200), "", ROW('Temp Hisfa'!Y$3:Y$200)-MIN(ROW('Temp Hisfa'!Y$3:Y$200))+1), ROW(171:370))),"")</f>
        <v>0</v>
      </c>
      <c r="Z173" s="22">
        <f t="array" ref="Z173">IFERROR(INDEX('Temp Hisfa'!Z$3:Z$200, SMALL(IF(ISERROR('Temp Hisfa'!Z$3:Z$200), "", ROW('Temp Hisfa'!Z$3:Z$200)-MIN(ROW('Temp Hisfa'!Z$3:Z$200))+1), ROW(171:370))),"")</f>
        <v>0</v>
      </c>
      <c r="AA173" s="22">
        <f t="array" ref="AA173">IFERROR(INDEX('Temp Hisfa'!AA$3:AA$200, SMALL(IF(ISERROR('Temp Hisfa'!AA$3:AA$200), "", ROW('Temp Hisfa'!AA$3:AA$200)-MIN(ROW('Temp Hisfa'!AA$3:AA$200))+1), ROW(171:370))),"")</f>
        <v>0</v>
      </c>
      <c r="AB173" s="22">
        <f t="array" ref="AB173">IFERROR(INDEX('Temp Hisfa'!AB$3:AB$200, SMALL(IF(ISERROR('Temp Hisfa'!AB$3:AB$200), "", ROW('Temp Hisfa'!AB$3:AB$200)-MIN(ROW('Temp Hisfa'!AB$3:AB$200))+1), ROW(171:370))),"")</f>
        <v>0</v>
      </c>
    </row>
    <row r="174" spans="1:28" hidden="1" x14ac:dyDescent="0.3">
      <c r="A174" s="4">
        <f t="array" ref="A174">IFERROR(INDEX('Temp Hisfa'!A$3:A$200, SMALL(IF(ISERROR('Temp Hisfa'!A$3:A$200), "", ROW('Temp Hisfa'!A$3:A$200)-MIN(ROW('Temp Hisfa'!A$3:A$200))+1), ROW(172:370))),"")</f>
        <v>0</v>
      </c>
      <c r="B174" s="4">
        <f t="array" ref="B174">IFERROR(INDEX('Temp Hisfa'!B$3:B$200, SMALL(IF(ISERROR('Temp Hisfa'!B$3:B$200), "", ROW('Temp Hisfa'!B$3:B$200)-MIN(ROW('Temp Hisfa'!B$3:B$200))+1), ROW(172:370))),"")</f>
        <v>0</v>
      </c>
      <c r="C174" s="3">
        <f t="array" ref="C174">IFERROR(INDEX('Temp Hisfa'!C$3:C$200, SMALL(IF(ISERROR('Temp Hisfa'!C$3:C$200), "", ROW('Temp Hisfa'!C$3:C$200)-MIN(ROW('Temp Hisfa'!C$3:C$200))+1), ROW(172:370))),"")</f>
        <v>0</v>
      </c>
      <c r="D174" s="3">
        <f t="array" ref="D174">IFERROR(INDEX('Temp Hisfa'!D$3:D$200, SMALL(IF(ISERROR('Temp Hisfa'!D$3:D$200), "", ROW('Temp Hisfa'!D$3:D$200)-MIN(ROW('Temp Hisfa'!D$3:D$200))+1), ROW(172:370))),"")</f>
        <v>0</v>
      </c>
      <c r="E174" s="29">
        <f t="array" ref="E174">IFERROR(INDEX('Temp Hisfa'!E$3:E$200, SMALL(IF(ISERROR('Temp Hisfa'!E$3:E$200), "", ROW('Temp Hisfa'!E$3:E$200)-MIN(ROW('Temp Hisfa'!E$3:E$200))+1), ROW(172:371))),"")</f>
        <v>0</v>
      </c>
      <c r="F174" s="22" t="str">
        <f t="array" ref="F174">IFERROR(INDEX('Temp Hisfa'!F$3:F$200, SMALL(IF(ISERROR('Temp Hisfa'!F$3:F$200), "", ROW('Temp Hisfa'!F$3:F$200)-MIN(ROW('Temp Hisfa'!F$3:F$200))+1), ROW(172:371))),"")</f>
        <v/>
      </c>
      <c r="G174" s="30">
        <f t="array" ref="G174">IFERROR(INDEX('Temp Hisfa'!G$3:G$200, SMALL(IF(ISERROR('Temp Hisfa'!G$3:G$200), "", ROW('Temp Hisfa'!G$3:G$200)-MIN(ROW('Temp Hisfa'!G$3:G$200))+1), ROW(172:371))),"")</f>
        <v>0</v>
      </c>
      <c r="H174" s="22" t="str">
        <f t="array" ref="H174">IFERROR(INDEX('Temp Hisfa'!H$3:H$200, SMALL(IF(ISERROR('Temp Hisfa'!H$3:H$200), "", ROW('Temp Hisfa'!H$3:H$200)-MIN(ROW('Temp Hisfa'!H$3:H$200))+1), ROW(172:371))),"")</f>
        <v/>
      </c>
      <c r="I174" s="22">
        <f t="array" ref="I174">IFERROR(INDEX('Temp Hisfa'!I$3:I$200, SMALL(IF(ISERROR('Temp Hisfa'!I$3:I$200), "", ROW('Temp Hisfa'!I$3:I$200)-MIN(ROW('Temp Hisfa'!I$3:I$200))+1), ROW(172:371))),"")</f>
        <v>0</v>
      </c>
      <c r="J174" s="22">
        <f t="array" ref="J174">IFERROR(INDEX('Temp Hisfa'!J$3:J$200, SMALL(IF(ISERROR('Temp Hisfa'!J$3:J$200), "", ROW('Temp Hisfa'!J$3:J$200)-MIN(ROW('Temp Hisfa'!J$3:J$200))+1), ROW(172:371))),"")</f>
        <v>0</v>
      </c>
      <c r="K174" s="30">
        <f t="array" ref="K174">IFERROR(INDEX('Temp Hisfa'!K$3:K$200, SMALL(IF(ISERROR('Temp Hisfa'!K$3:K$200), "", ROW('Temp Hisfa'!K$3:K$200)-MIN(ROW('Temp Hisfa'!K$3:K$200))+1), ROW(172:371))),"")</f>
        <v>0</v>
      </c>
      <c r="L174" s="22">
        <f t="array" ref="L174">IFERROR(INDEX('Temp Hisfa'!L$3:L$200, SMALL(IF(ISERROR('Temp Hisfa'!L$3:L$200), "", ROW('Temp Hisfa'!L$3:L$200)-MIN(ROW('Temp Hisfa'!L$3:L$200))+1), ROW(172:371))),"")</f>
        <v>0</v>
      </c>
      <c r="M174" s="22">
        <f t="array" ref="M174">IFERROR(INDEX('Temp Hisfa'!M$3:M$200, SMALL(IF(ISERROR('Temp Hisfa'!M$3:M$200), "", ROW('Temp Hisfa'!M$3:M$200)-MIN(ROW('Temp Hisfa'!M$3:M$200))+1), ROW(172:371))),"")</f>
        <v>0</v>
      </c>
      <c r="N174" s="22">
        <f t="array" ref="N174">IFERROR(INDEX('Temp Hisfa'!N$3:N$200, SMALL(IF(ISERROR('Temp Hisfa'!N$3:N$200), "", ROW('Temp Hisfa'!N$3:N$200)-MIN(ROW('Temp Hisfa'!N$3:N$200))+1), ROW(172:371))),"")</f>
        <v>1900</v>
      </c>
      <c r="O174" s="22" t="str">
        <f t="array" ref="O174">IFERROR(INDEX('Temp Hisfa'!O$3:O$200, SMALL(IF(ISERROR('Temp Hisfa'!O$3:O$200), "", ROW('Temp Hisfa'!O$3:O$200)-MIN(ROW('Temp Hisfa'!O$3:O$200))+1), ROW(172:371))),"")</f>
        <v>enero</v>
      </c>
      <c r="P174" s="22">
        <f t="array" ref="P174">IFERROR(INDEX('Temp Hisfa'!P$3:P$200, SMALL(IF(ISERROR('Temp Hisfa'!P$3:P$200), "", ROW('Temp Hisfa'!P$3:P$200)-MIN(ROW('Temp Hisfa'!P$3:P$200))+1), ROW(172:371))),"")</f>
        <v>0</v>
      </c>
      <c r="Q174" s="22">
        <f t="array" ref="Q174">IFERROR(INDEX('Temp Hisfa'!Q$3:Q$200, SMALL(IF(ISERROR('Temp Hisfa'!Q$3:Q$200), "", ROW('Temp Hisfa'!Q$3:Q$200)-MIN(ROW('Temp Hisfa'!Q$3:Q$200))+1), ROW(172:371))),"")</f>
        <v>0</v>
      </c>
      <c r="R174" s="22">
        <f t="array" ref="R174">IFERROR(INDEX('Temp Hisfa'!R$3:R$200, SMALL(IF(ISERROR('Temp Hisfa'!R$3:R$200), "", ROW('Temp Hisfa'!R$3:R$200)-MIN(ROW('Temp Hisfa'!R$3:R$200))+1), ROW(172:371))),"")</f>
        <v>0</v>
      </c>
      <c r="S174" s="22">
        <f t="array" ref="S174">IFERROR(INDEX('Temp Hisfa'!S$3:S$200, SMALL(IF(ISERROR('Temp Hisfa'!S$3:S$200), "", ROW('Temp Hisfa'!S$3:S$200)-MIN(ROW('Temp Hisfa'!S$3:S$200))+1), ROW(172:371))),"")</f>
        <v>0</v>
      </c>
      <c r="T174" s="22">
        <f t="array" ref="T174">IFERROR(INDEX('Temp Hisfa'!T$3:T$200, SMALL(IF(ISERROR('Temp Hisfa'!T$3:T$200), "", ROW('Temp Hisfa'!T$3:T$200)-MIN(ROW('Temp Hisfa'!T$3:T$200))+1), ROW(172:371))),"")</f>
        <v>0</v>
      </c>
      <c r="U174" s="22">
        <f t="array" ref="U174">IFERROR(INDEX('Temp Hisfa'!U$3:U$200, SMALL(IF(ISERROR('Temp Hisfa'!U$3:U$200), "", ROW('Temp Hisfa'!U$3:U$200)-MIN(ROW('Temp Hisfa'!U$3:U$200))+1), ROW(172:371))),"")</f>
        <v>0</v>
      </c>
      <c r="V174" s="22">
        <f t="array" ref="V174">IFERROR(INDEX('Temp Hisfa'!V$3:V$200, SMALL(IF(ISERROR('Temp Hisfa'!V$3:V$200), "", ROW('Temp Hisfa'!V$3:V$200)-MIN(ROW('Temp Hisfa'!V$3:V$200))+1), ROW(172:371))),"")</f>
        <v>0</v>
      </c>
      <c r="W174" s="22">
        <f t="array" ref="W174">IFERROR(INDEX('Temp Hisfa'!W$3:W$200, SMALL(IF(ISERROR('Temp Hisfa'!W$3:W$200), "", ROW('Temp Hisfa'!W$3:W$200)-MIN(ROW('Temp Hisfa'!W$3:W$200))+1), ROW(172:371))),"")</f>
        <v>0</v>
      </c>
      <c r="X174" s="22">
        <f t="array" ref="X174">IFERROR(INDEX('Temp Hisfa'!X$3:X$200, SMALL(IF(ISERROR('Temp Hisfa'!X$3:X$200), "", ROW('Temp Hisfa'!X$3:X$200)-MIN(ROW('Temp Hisfa'!X$3:X$200))+1), ROW(172:371))),"")</f>
        <v>0</v>
      </c>
      <c r="Y174" s="22">
        <f t="array" ref="Y174">IFERROR(INDEX('Temp Hisfa'!Y$3:Y$200, SMALL(IF(ISERROR('Temp Hisfa'!Y$3:Y$200), "", ROW('Temp Hisfa'!Y$3:Y$200)-MIN(ROW('Temp Hisfa'!Y$3:Y$200))+1), ROW(172:371))),"")</f>
        <v>0</v>
      </c>
      <c r="Z174" s="22">
        <f t="array" ref="Z174">IFERROR(INDEX('Temp Hisfa'!Z$3:Z$200, SMALL(IF(ISERROR('Temp Hisfa'!Z$3:Z$200), "", ROW('Temp Hisfa'!Z$3:Z$200)-MIN(ROW('Temp Hisfa'!Z$3:Z$200))+1), ROW(172:371))),"")</f>
        <v>0</v>
      </c>
      <c r="AA174" s="22">
        <f t="array" ref="AA174">IFERROR(INDEX('Temp Hisfa'!AA$3:AA$200, SMALL(IF(ISERROR('Temp Hisfa'!AA$3:AA$200), "", ROW('Temp Hisfa'!AA$3:AA$200)-MIN(ROW('Temp Hisfa'!AA$3:AA$200))+1), ROW(172:371))),"")</f>
        <v>0</v>
      </c>
      <c r="AB174" s="22">
        <f t="array" ref="AB174">IFERROR(INDEX('Temp Hisfa'!AB$3:AB$200, SMALL(IF(ISERROR('Temp Hisfa'!AB$3:AB$200), "", ROW('Temp Hisfa'!AB$3:AB$200)-MIN(ROW('Temp Hisfa'!AB$3:AB$200))+1), ROW(172:371))),"")</f>
        <v>0</v>
      </c>
    </row>
    <row r="175" spans="1:28" hidden="1" x14ac:dyDescent="0.3">
      <c r="A175" s="4">
        <f t="array" ref="A175">IFERROR(INDEX('Temp Hisfa'!A$3:A$200, SMALL(IF(ISERROR('Temp Hisfa'!A$3:A$200), "", ROW('Temp Hisfa'!A$3:A$200)-MIN(ROW('Temp Hisfa'!A$3:A$200))+1), ROW(173:371))),"")</f>
        <v>0</v>
      </c>
      <c r="B175" s="4">
        <f t="array" ref="B175">IFERROR(INDEX('Temp Hisfa'!B$3:B$200, SMALL(IF(ISERROR('Temp Hisfa'!B$3:B$200), "", ROW('Temp Hisfa'!B$3:B$200)-MIN(ROW('Temp Hisfa'!B$3:B$200))+1), ROW(173:371))),"")</f>
        <v>0</v>
      </c>
      <c r="C175" s="3">
        <f t="array" ref="C175">IFERROR(INDEX('Temp Hisfa'!C$3:C$200, SMALL(IF(ISERROR('Temp Hisfa'!C$3:C$200), "", ROW('Temp Hisfa'!C$3:C$200)-MIN(ROW('Temp Hisfa'!C$3:C$200))+1), ROW(173:371))),"")</f>
        <v>0</v>
      </c>
      <c r="D175" s="3">
        <f t="array" ref="D175">IFERROR(INDEX('Temp Hisfa'!D$3:D$200, SMALL(IF(ISERROR('Temp Hisfa'!D$3:D$200), "", ROW('Temp Hisfa'!D$3:D$200)-MIN(ROW('Temp Hisfa'!D$3:D$200))+1), ROW(173:371))),"")</f>
        <v>0</v>
      </c>
      <c r="E175" s="29">
        <f t="array" ref="E175">IFERROR(INDEX('Temp Hisfa'!E$3:E$200, SMALL(IF(ISERROR('Temp Hisfa'!E$3:E$200), "", ROW('Temp Hisfa'!E$3:E$200)-MIN(ROW('Temp Hisfa'!E$3:E$200))+1), ROW(173:372))),"")</f>
        <v>0</v>
      </c>
      <c r="F175" s="22" t="str">
        <f t="array" ref="F175">IFERROR(INDEX('Temp Hisfa'!F$3:F$200, SMALL(IF(ISERROR('Temp Hisfa'!F$3:F$200), "", ROW('Temp Hisfa'!F$3:F$200)-MIN(ROW('Temp Hisfa'!F$3:F$200))+1), ROW(173:372))),"")</f>
        <v/>
      </c>
      <c r="G175" s="30">
        <f t="array" ref="G175">IFERROR(INDEX('Temp Hisfa'!G$3:G$200, SMALL(IF(ISERROR('Temp Hisfa'!G$3:G$200), "", ROW('Temp Hisfa'!G$3:G$200)-MIN(ROW('Temp Hisfa'!G$3:G$200))+1), ROW(173:372))),"")</f>
        <v>0</v>
      </c>
      <c r="H175" s="22" t="str">
        <f t="array" ref="H175">IFERROR(INDEX('Temp Hisfa'!H$3:H$200, SMALL(IF(ISERROR('Temp Hisfa'!H$3:H$200), "", ROW('Temp Hisfa'!H$3:H$200)-MIN(ROW('Temp Hisfa'!H$3:H$200))+1), ROW(173:372))),"")</f>
        <v/>
      </c>
      <c r="I175" s="22">
        <f t="array" ref="I175">IFERROR(INDEX('Temp Hisfa'!I$3:I$200, SMALL(IF(ISERROR('Temp Hisfa'!I$3:I$200), "", ROW('Temp Hisfa'!I$3:I$200)-MIN(ROW('Temp Hisfa'!I$3:I$200))+1), ROW(173:372))),"")</f>
        <v>0</v>
      </c>
      <c r="J175" s="22">
        <f t="array" ref="J175">IFERROR(INDEX('Temp Hisfa'!J$3:J$200, SMALL(IF(ISERROR('Temp Hisfa'!J$3:J$200), "", ROW('Temp Hisfa'!J$3:J$200)-MIN(ROW('Temp Hisfa'!J$3:J$200))+1), ROW(173:372))),"")</f>
        <v>0</v>
      </c>
      <c r="K175" s="30">
        <f t="array" ref="K175">IFERROR(INDEX('Temp Hisfa'!K$3:K$200, SMALL(IF(ISERROR('Temp Hisfa'!K$3:K$200), "", ROW('Temp Hisfa'!K$3:K$200)-MIN(ROW('Temp Hisfa'!K$3:K$200))+1), ROW(173:372))),"")</f>
        <v>0</v>
      </c>
      <c r="L175" s="22">
        <f t="array" ref="L175">IFERROR(INDEX('Temp Hisfa'!L$3:L$200, SMALL(IF(ISERROR('Temp Hisfa'!L$3:L$200), "", ROW('Temp Hisfa'!L$3:L$200)-MIN(ROW('Temp Hisfa'!L$3:L$200))+1), ROW(173:372))),"")</f>
        <v>0</v>
      </c>
      <c r="M175" s="22">
        <f t="array" ref="M175">IFERROR(INDEX('Temp Hisfa'!M$3:M$200, SMALL(IF(ISERROR('Temp Hisfa'!M$3:M$200), "", ROW('Temp Hisfa'!M$3:M$200)-MIN(ROW('Temp Hisfa'!M$3:M$200))+1), ROW(173:372))),"")</f>
        <v>0</v>
      </c>
      <c r="N175" s="22">
        <f t="array" ref="N175">IFERROR(INDEX('Temp Hisfa'!N$3:N$200, SMALL(IF(ISERROR('Temp Hisfa'!N$3:N$200), "", ROW('Temp Hisfa'!N$3:N$200)-MIN(ROW('Temp Hisfa'!N$3:N$200))+1), ROW(173:372))),"")</f>
        <v>1900</v>
      </c>
      <c r="O175" s="22" t="str">
        <f t="array" ref="O175">IFERROR(INDEX('Temp Hisfa'!O$3:O$200, SMALL(IF(ISERROR('Temp Hisfa'!O$3:O$200), "", ROW('Temp Hisfa'!O$3:O$200)-MIN(ROW('Temp Hisfa'!O$3:O$200))+1), ROW(173:372))),"")</f>
        <v>enero</v>
      </c>
      <c r="P175" s="22">
        <f t="array" ref="P175">IFERROR(INDEX('Temp Hisfa'!P$3:P$200, SMALL(IF(ISERROR('Temp Hisfa'!P$3:P$200), "", ROW('Temp Hisfa'!P$3:P$200)-MIN(ROW('Temp Hisfa'!P$3:P$200))+1), ROW(173:372))),"")</f>
        <v>0</v>
      </c>
      <c r="Q175" s="22">
        <f t="array" ref="Q175">IFERROR(INDEX('Temp Hisfa'!Q$3:Q$200, SMALL(IF(ISERROR('Temp Hisfa'!Q$3:Q$200), "", ROW('Temp Hisfa'!Q$3:Q$200)-MIN(ROW('Temp Hisfa'!Q$3:Q$200))+1), ROW(173:372))),"")</f>
        <v>0</v>
      </c>
      <c r="R175" s="22">
        <f t="array" ref="R175">IFERROR(INDEX('Temp Hisfa'!R$3:R$200, SMALL(IF(ISERROR('Temp Hisfa'!R$3:R$200), "", ROW('Temp Hisfa'!R$3:R$200)-MIN(ROW('Temp Hisfa'!R$3:R$200))+1), ROW(173:372))),"")</f>
        <v>0</v>
      </c>
      <c r="S175" s="22">
        <f t="array" ref="S175">IFERROR(INDEX('Temp Hisfa'!S$3:S$200, SMALL(IF(ISERROR('Temp Hisfa'!S$3:S$200), "", ROW('Temp Hisfa'!S$3:S$200)-MIN(ROW('Temp Hisfa'!S$3:S$200))+1), ROW(173:372))),"")</f>
        <v>0</v>
      </c>
      <c r="T175" s="22">
        <f t="array" ref="T175">IFERROR(INDEX('Temp Hisfa'!T$3:T$200, SMALL(IF(ISERROR('Temp Hisfa'!T$3:T$200), "", ROW('Temp Hisfa'!T$3:T$200)-MIN(ROW('Temp Hisfa'!T$3:T$200))+1), ROW(173:372))),"")</f>
        <v>0</v>
      </c>
      <c r="U175" s="22">
        <f t="array" ref="U175">IFERROR(INDEX('Temp Hisfa'!U$3:U$200, SMALL(IF(ISERROR('Temp Hisfa'!U$3:U$200), "", ROW('Temp Hisfa'!U$3:U$200)-MIN(ROW('Temp Hisfa'!U$3:U$200))+1), ROW(173:372))),"")</f>
        <v>0</v>
      </c>
      <c r="V175" s="22">
        <f t="array" ref="V175">IFERROR(INDEX('Temp Hisfa'!V$3:V$200, SMALL(IF(ISERROR('Temp Hisfa'!V$3:V$200), "", ROW('Temp Hisfa'!V$3:V$200)-MIN(ROW('Temp Hisfa'!V$3:V$200))+1), ROW(173:372))),"")</f>
        <v>0</v>
      </c>
      <c r="W175" s="22">
        <f t="array" ref="W175">IFERROR(INDEX('Temp Hisfa'!W$3:W$200, SMALL(IF(ISERROR('Temp Hisfa'!W$3:W$200), "", ROW('Temp Hisfa'!W$3:W$200)-MIN(ROW('Temp Hisfa'!W$3:W$200))+1), ROW(173:372))),"")</f>
        <v>0</v>
      </c>
      <c r="X175" s="22">
        <f t="array" ref="X175">IFERROR(INDEX('Temp Hisfa'!X$3:X$200, SMALL(IF(ISERROR('Temp Hisfa'!X$3:X$200), "", ROW('Temp Hisfa'!X$3:X$200)-MIN(ROW('Temp Hisfa'!X$3:X$200))+1), ROW(173:372))),"")</f>
        <v>0</v>
      </c>
      <c r="Y175" s="22">
        <f t="array" ref="Y175">IFERROR(INDEX('Temp Hisfa'!Y$3:Y$200, SMALL(IF(ISERROR('Temp Hisfa'!Y$3:Y$200), "", ROW('Temp Hisfa'!Y$3:Y$200)-MIN(ROW('Temp Hisfa'!Y$3:Y$200))+1), ROW(173:372))),"")</f>
        <v>0</v>
      </c>
      <c r="Z175" s="22">
        <f t="array" ref="Z175">IFERROR(INDEX('Temp Hisfa'!Z$3:Z$200, SMALL(IF(ISERROR('Temp Hisfa'!Z$3:Z$200), "", ROW('Temp Hisfa'!Z$3:Z$200)-MIN(ROW('Temp Hisfa'!Z$3:Z$200))+1), ROW(173:372))),"")</f>
        <v>0</v>
      </c>
      <c r="AA175" s="22">
        <f t="array" ref="AA175">IFERROR(INDEX('Temp Hisfa'!AA$3:AA$200, SMALL(IF(ISERROR('Temp Hisfa'!AA$3:AA$200), "", ROW('Temp Hisfa'!AA$3:AA$200)-MIN(ROW('Temp Hisfa'!AA$3:AA$200))+1), ROW(173:372))),"")</f>
        <v>0</v>
      </c>
      <c r="AB175" s="22">
        <f t="array" ref="AB175">IFERROR(INDEX('Temp Hisfa'!AB$3:AB$200, SMALL(IF(ISERROR('Temp Hisfa'!AB$3:AB$200), "", ROW('Temp Hisfa'!AB$3:AB$200)-MIN(ROW('Temp Hisfa'!AB$3:AB$200))+1), ROW(173:372))),"")</f>
        <v>0</v>
      </c>
    </row>
    <row r="176" spans="1:28" hidden="1" x14ac:dyDescent="0.3">
      <c r="A176" s="4">
        <f t="array" ref="A176">IFERROR(INDEX('Temp Hisfa'!A$3:A$200, SMALL(IF(ISERROR('Temp Hisfa'!A$3:A$200), "", ROW('Temp Hisfa'!A$3:A$200)-MIN(ROW('Temp Hisfa'!A$3:A$200))+1), ROW(174:372))),"")</f>
        <v>0</v>
      </c>
      <c r="B176" s="4">
        <f t="array" ref="B176">IFERROR(INDEX('Temp Hisfa'!B$3:B$200, SMALL(IF(ISERROR('Temp Hisfa'!B$3:B$200), "", ROW('Temp Hisfa'!B$3:B$200)-MIN(ROW('Temp Hisfa'!B$3:B$200))+1), ROW(174:372))),"")</f>
        <v>0</v>
      </c>
      <c r="C176" s="3">
        <f t="array" ref="C176">IFERROR(INDEX('Temp Hisfa'!C$3:C$200, SMALL(IF(ISERROR('Temp Hisfa'!C$3:C$200), "", ROW('Temp Hisfa'!C$3:C$200)-MIN(ROW('Temp Hisfa'!C$3:C$200))+1), ROW(174:372))),"")</f>
        <v>0</v>
      </c>
      <c r="D176" s="3">
        <f t="array" ref="D176">IFERROR(INDEX('Temp Hisfa'!D$3:D$200, SMALL(IF(ISERROR('Temp Hisfa'!D$3:D$200), "", ROW('Temp Hisfa'!D$3:D$200)-MIN(ROW('Temp Hisfa'!D$3:D$200))+1), ROW(174:372))),"")</f>
        <v>0</v>
      </c>
      <c r="E176" s="29">
        <f t="array" ref="E176">IFERROR(INDEX('Temp Hisfa'!E$3:E$200, SMALL(IF(ISERROR('Temp Hisfa'!E$3:E$200), "", ROW('Temp Hisfa'!E$3:E$200)-MIN(ROW('Temp Hisfa'!E$3:E$200))+1), ROW(174:373))),"")</f>
        <v>0</v>
      </c>
      <c r="F176" s="22" t="str">
        <f t="array" ref="F176">IFERROR(INDEX('Temp Hisfa'!F$3:F$200, SMALL(IF(ISERROR('Temp Hisfa'!F$3:F$200), "", ROW('Temp Hisfa'!F$3:F$200)-MIN(ROW('Temp Hisfa'!F$3:F$200))+1), ROW(174:373))),"")</f>
        <v/>
      </c>
      <c r="G176" s="30">
        <f t="array" ref="G176">IFERROR(INDEX('Temp Hisfa'!G$3:G$200, SMALL(IF(ISERROR('Temp Hisfa'!G$3:G$200), "", ROW('Temp Hisfa'!G$3:G$200)-MIN(ROW('Temp Hisfa'!G$3:G$200))+1), ROW(174:373))),"")</f>
        <v>0</v>
      </c>
      <c r="H176" s="22" t="str">
        <f t="array" ref="H176">IFERROR(INDEX('Temp Hisfa'!H$3:H$200, SMALL(IF(ISERROR('Temp Hisfa'!H$3:H$200), "", ROW('Temp Hisfa'!H$3:H$200)-MIN(ROW('Temp Hisfa'!H$3:H$200))+1), ROW(174:373))),"")</f>
        <v/>
      </c>
      <c r="I176" s="22">
        <f t="array" ref="I176">IFERROR(INDEX('Temp Hisfa'!I$3:I$200, SMALL(IF(ISERROR('Temp Hisfa'!I$3:I$200), "", ROW('Temp Hisfa'!I$3:I$200)-MIN(ROW('Temp Hisfa'!I$3:I$200))+1), ROW(174:373))),"")</f>
        <v>0</v>
      </c>
      <c r="J176" s="22">
        <f t="array" ref="J176">IFERROR(INDEX('Temp Hisfa'!J$3:J$200, SMALL(IF(ISERROR('Temp Hisfa'!J$3:J$200), "", ROW('Temp Hisfa'!J$3:J$200)-MIN(ROW('Temp Hisfa'!J$3:J$200))+1), ROW(174:373))),"")</f>
        <v>0</v>
      </c>
      <c r="K176" s="30">
        <f t="array" ref="K176">IFERROR(INDEX('Temp Hisfa'!K$3:K$200, SMALL(IF(ISERROR('Temp Hisfa'!K$3:K$200), "", ROW('Temp Hisfa'!K$3:K$200)-MIN(ROW('Temp Hisfa'!K$3:K$200))+1), ROW(174:373))),"")</f>
        <v>0</v>
      </c>
      <c r="L176" s="22">
        <f t="array" ref="L176">IFERROR(INDEX('Temp Hisfa'!L$3:L$200, SMALL(IF(ISERROR('Temp Hisfa'!L$3:L$200), "", ROW('Temp Hisfa'!L$3:L$200)-MIN(ROW('Temp Hisfa'!L$3:L$200))+1), ROW(174:373))),"")</f>
        <v>0</v>
      </c>
      <c r="M176" s="22">
        <f t="array" ref="M176">IFERROR(INDEX('Temp Hisfa'!M$3:M$200, SMALL(IF(ISERROR('Temp Hisfa'!M$3:M$200), "", ROW('Temp Hisfa'!M$3:M$200)-MIN(ROW('Temp Hisfa'!M$3:M$200))+1), ROW(174:373))),"")</f>
        <v>0</v>
      </c>
      <c r="N176" s="22">
        <f t="array" ref="N176">IFERROR(INDEX('Temp Hisfa'!N$3:N$200, SMALL(IF(ISERROR('Temp Hisfa'!N$3:N$200), "", ROW('Temp Hisfa'!N$3:N$200)-MIN(ROW('Temp Hisfa'!N$3:N$200))+1), ROW(174:373))),"")</f>
        <v>1900</v>
      </c>
      <c r="O176" s="22" t="str">
        <f t="array" ref="O176">IFERROR(INDEX('Temp Hisfa'!O$3:O$200, SMALL(IF(ISERROR('Temp Hisfa'!O$3:O$200), "", ROW('Temp Hisfa'!O$3:O$200)-MIN(ROW('Temp Hisfa'!O$3:O$200))+1), ROW(174:373))),"")</f>
        <v>enero</v>
      </c>
      <c r="P176" s="22">
        <f t="array" ref="P176">IFERROR(INDEX('Temp Hisfa'!P$3:P$200, SMALL(IF(ISERROR('Temp Hisfa'!P$3:P$200), "", ROW('Temp Hisfa'!P$3:P$200)-MIN(ROW('Temp Hisfa'!P$3:P$200))+1), ROW(174:373))),"")</f>
        <v>0</v>
      </c>
      <c r="Q176" s="22">
        <f t="array" ref="Q176">IFERROR(INDEX('Temp Hisfa'!Q$3:Q$200, SMALL(IF(ISERROR('Temp Hisfa'!Q$3:Q$200), "", ROW('Temp Hisfa'!Q$3:Q$200)-MIN(ROW('Temp Hisfa'!Q$3:Q$200))+1), ROW(174:373))),"")</f>
        <v>0</v>
      </c>
      <c r="R176" s="22">
        <f t="array" ref="R176">IFERROR(INDEX('Temp Hisfa'!R$3:R$200, SMALL(IF(ISERROR('Temp Hisfa'!R$3:R$200), "", ROW('Temp Hisfa'!R$3:R$200)-MIN(ROW('Temp Hisfa'!R$3:R$200))+1), ROW(174:373))),"")</f>
        <v>0</v>
      </c>
      <c r="S176" s="22">
        <f t="array" ref="S176">IFERROR(INDEX('Temp Hisfa'!S$3:S$200, SMALL(IF(ISERROR('Temp Hisfa'!S$3:S$200), "", ROW('Temp Hisfa'!S$3:S$200)-MIN(ROW('Temp Hisfa'!S$3:S$200))+1), ROW(174:373))),"")</f>
        <v>0</v>
      </c>
      <c r="T176" s="22">
        <f t="array" ref="T176">IFERROR(INDEX('Temp Hisfa'!T$3:T$200, SMALL(IF(ISERROR('Temp Hisfa'!T$3:T$200), "", ROW('Temp Hisfa'!T$3:T$200)-MIN(ROW('Temp Hisfa'!T$3:T$200))+1), ROW(174:373))),"")</f>
        <v>0</v>
      </c>
      <c r="U176" s="22">
        <f t="array" ref="U176">IFERROR(INDEX('Temp Hisfa'!U$3:U$200, SMALL(IF(ISERROR('Temp Hisfa'!U$3:U$200), "", ROW('Temp Hisfa'!U$3:U$200)-MIN(ROW('Temp Hisfa'!U$3:U$200))+1), ROW(174:373))),"")</f>
        <v>0</v>
      </c>
      <c r="V176" s="22">
        <f t="array" ref="V176">IFERROR(INDEX('Temp Hisfa'!V$3:V$200, SMALL(IF(ISERROR('Temp Hisfa'!V$3:V$200), "", ROW('Temp Hisfa'!V$3:V$200)-MIN(ROW('Temp Hisfa'!V$3:V$200))+1), ROW(174:373))),"")</f>
        <v>0</v>
      </c>
      <c r="W176" s="22">
        <f t="array" ref="W176">IFERROR(INDEX('Temp Hisfa'!W$3:W$200, SMALL(IF(ISERROR('Temp Hisfa'!W$3:W$200), "", ROW('Temp Hisfa'!W$3:W$200)-MIN(ROW('Temp Hisfa'!W$3:W$200))+1), ROW(174:373))),"")</f>
        <v>0</v>
      </c>
      <c r="X176" s="22">
        <f t="array" ref="X176">IFERROR(INDEX('Temp Hisfa'!X$3:X$200, SMALL(IF(ISERROR('Temp Hisfa'!X$3:X$200), "", ROW('Temp Hisfa'!X$3:X$200)-MIN(ROW('Temp Hisfa'!X$3:X$200))+1), ROW(174:373))),"")</f>
        <v>0</v>
      </c>
      <c r="Y176" s="22">
        <f t="array" ref="Y176">IFERROR(INDEX('Temp Hisfa'!Y$3:Y$200, SMALL(IF(ISERROR('Temp Hisfa'!Y$3:Y$200), "", ROW('Temp Hisfa'!Y$3:Y$200)-MIN(ROW('Temp Hisfa'!Y$3:Y$200))+1), ROW(174:373))),"")</f>
        <v>0</v>
      </c>
      <c r="Z176" s="22">
        <f t="array" ref="Z176">IFERROR(INDEX('Temp Hisfa'!Z$3:Z$200, SMALL(IF(ISERROR('Temp Hisfa'!Z$3:Z$200), "", ROW('Temp Hisfa'!Z$3:Z$200)-MIN(ROW('Temp Hisfa'!Z$3:Z$200))+1), ROW(174:373))),"")</f>
        <v>0</v>
      </c>
      <c r="AA176" s="22">
        <f t="array" ref="AA176">IFERROR(INDEX('Temp Hisfa'!AA$3:AA$200, SMALL(IF(ISERROR('Temp Hisfa'!AA$3:AA$200), "", ROW('Temp Hisfa'!AA$3:AA$200)-MIN(ROW('Temp Hisfa'!AA$3:AA$200))+1), ROW(174:373))),"")</f>
        <v>0</v>
      </c>
      <c r="AB176" s="22">
        <f t="array" ref="AB176">IFERROR(INDEX('Temp Hisfa'!AB$3:AB$200, SMALL(IF(ISERROR('Temp Hisfa'!AB$3:AB$200), "", ROW('Temp Hisfa'!AB$3:AB$200)-MIN(ROW('Temp Hisfa'!AB$3:AB$200))+1), ROW(174:373))),"")</f>
        <v>0</v>
      </c>
    </row>
    <row r="177" spans="1:28" hidden="1" x14ac:dyDescent="0.3">
      <c r="A177" s="4">
        <f t="array" ref="A177">IFERROR(INDEX('Temp Hisfa'!A$3:A$200, SMALL(IF(ISERROR('Temp Hisfa'!A$3:A$200), "", ROW('Temp Hisfa'!A$3:A$200)-MIN(ROW('Temp Hisfa'!A$3:A$200))+1), ROW(175:373))),"")</f>
        <v>0</v>
      </c>
      <c r="B177" s="4">
        <f t="array" ref="B177">IFERROR(INDEX('Temp Hisfa'!B$3:B$200, SMALL(IF(ISERROR('Temp Hisfa'!B$3:B$200), "", ROW('Temp Hisfa'!B$3:B$200)-MIN(ROW('Temp Hisfa'!B$3:B$200))+1), ROW(175:373))),"")</f>
        <v>0</v>
      </c>
      <c r="C177" s="3">
        <f t="array" ref="C177">IFERROR(INDEX('Temp Hisfa'!C$3:C$200, SMALL(IF(ISERROR('Temp Hisfa'!C$3:C$200), "", ROW('Temp Hisfa'!C$3:C$200)-MIN(ROW('Temp Hisfa'!C$3:C$200))+1), ROW(175:373))),"")</f>
        <v>0</v>
      </c>
      <c r="D177" s="3">
        <f t="array" ref="D177">IFERROR(INDEX('Temp Hisfa'!D$3:D$200, SMALL(IF(ISERROR('Temp Hisfa'!D$3:D$200), "", ROW('Temp Hisfa'!D$3:D$200)-MIN(ROW('Temp Hisfa'!D$3:D$200))+1), ROW(175:373))),"")</f>
        <v>0</v>
      </c>
      <c r="E177" s="29">
        <f t="array" ref="E177">IFERROR(INDEX('Temp Hisfa'!E$3:E$200, SMALL(IF(ISERROR('Temp Hisfa'!E$3:E$200), "", ROW('Temp Hisfa'!E$3:E$200)-MIN(ROW('Temp Hisfa'!E$3:E$200))+1), ROW(175:374))),"")</f>
        <v>0</v>
      </c>
      <c r="F177" s="22" t="str">
        <f t="array" ref="F177">IFERROR(INDEX('Temp Hisfa'!F$3:F$200, SMALL(IF(ISERROR('Temp Hisfa'!F$3:F$200), "", ROW('Temp Hisfa'!F$3:F$200)-MIN(ROW('Temp Hisfa'!F$3:F$200))+1), ROW(175:374))),"")</f>
        <v/>
      </c>
      <c r="G177" s="30">
        <f t="array" ref="G177">IFERROR(INDEX('Temp Hisfa'!G$3:G$200, SMALL(IF(ISERROR('Temp Hisfa'!G$3:G$200), "", ROW('Temp Hisfa'!G$3:G$200)-MIN(ROW('Temp Hisfa'!G$3:G$200))+1), ROW(175:374))),"")</f>
        <v>0</v>
      </c>
      <c r="H177" s="22" t="str">
        <f t="array" ref="H177">IFERROR(INDEX('Temp Hisfa'!H$3:H$200, SMALL(IF(ISERROR('Temp Hisfa'!H$3:H$200), "", ROW('Temp Hisfa'!H$3:H$200)-MIN(ROW('Temp Hisfa'!H$3:H$200))+1), ROW(175:374))),"")</f>
        <v/>
      </c>
      <c r="I177" s="22">
        <f t="array" ref="I177">IFERROR(INDEX('Temp Hisfa'!I$3:I$200, SMALL(IF(ISERROR('Temp Hisfa'!I$3:I$200), "", ROW('Temp Hisfa'!I$3:I$200)-MIN(ROW('Temp Hisfa'!I$3:I$200))+1), ROW(175:374))),"")</f>
        <v>0</v>
      </c>
      <c r="J177" s="22">
        <f t="array" ref="J177">IFERROR(INDEX('Temp Hisfa'!J$3:J$200, SMALL(IF(ISERROR('Temp Hisfa'!J$3:J$200), "", ROW('Temp Hisfa'!J$3:J$200)-MIN(ROW('Temp Hisfa'!J$3:J$200))+1), ROW(175:374))),"")</f>
        <v>0</v>
      </c>
      <c r="K177" s="30">
        <f t="array" ref="K177">IFERROR(INDEX('Temp Hisfa'!K$3:K$200, SMALL(IF(ISERROR('Temp Hisfa'!K$3:K$200), "", ROW('Temp Hisfa'!K$3:K$200)-MIN(ROW('Temp Hisfa'!K$3:K$200))+1), ROW(175:374))),"")</f>
        <v>0</v>
      </c>
      <c r="L177" s="22">
        <f t="array" ref="L177">IFERROR(INDEX('Temp Hisfa'!L$3:L$200, SMALL(IF(ISERROR('Temp Hisfa'!L$3:L$200), "", ROW('Temp Hisfa'!L$3:L$200)-MIN(ROW('Temp Hisfa'!L$3:L$200))+1), ROW(175:374))),"")</f>
        <v>0</v>
      </c>
      <c r="M177" s="22">
        <f t="array" ref="M177">IFERROR(INDEX('Temp Hisfa'!M$3:M$200, SMALL(IF(ISERROR('Temp Hisfa'!M$3:M$200), "", ROW('Temp Hisfa'!M$3:M$200)-MIN(ROW('Temp Hisfa'!M$3:M$200))+1), ROW(175:374))),"")</f>
        <v>0</v>
      </c>
      <c r="N177" s="22">
        <f t="array" ref="N177">IFERROR(INDEX('Temp Hisfa'!N$3:N$200, SMALL(IF(ISERROR('Temp Hisfa'!N$3:N$200), "", ROW('Temp Hisfa'!N$3:N$200)-MIN(ROW('Temp Hisfa'!N$3:N$200))+1), ROW(175:374))),"")</f>
        <v>1900</v>
      </c>
      <c r="O177" s="22" t="str">
        <f t="array" ref="O177">IFERROR(INDEX('Temp Hisfa'!O$3:O$200, SMALL(IF(ISERROR('Temp Hisfa'!O$3:O$200), "", ROW('Temp Hisfa'!O$3:O$200)-MIN(ROW('Temp Hisfa'!O$3:O$200))+1), ROW(175:374))),"")</f>
        <v>enero</v>
      </c>
      <c r="P177" s="22">
        <f t="array" ref="P177">IFERROR(INDEX('Temp Hisfa'!P$3:P$200, SMALL(IF(ISERROR('Temp Hisfa'!P$3:P$200), "", ROW('Temp Hisfa'!P$3:P$200)-MIN(ROW('Temp Hisfa'!P$3:P$200))+1), ROW(175:374))),"")</f>
        <v>0</v>
      </c>
      <c r="Q177" s="22">
        <f t="array" ref="Q177">IFERROR(INDEX('Temp Hisfa'!Q$3:Q$200, SMALL(IF(ISERROR('Temp Hisfa'!Q$3:Q$200), "", ROW('Temp Hisfa'!Q$3:Q$200)-MIN(ROW('Temp Hisfa'!Q$3:Q$200))+1), ROW(175:374))),"")</f>
        <v>0</v>
      </c>
      <c r="R177" s="22">
        <f t="array" ref="R177">IFERROR(INDEX('Temp Hisfa'!R$3:R$200, SMALL(IF(ISERROR('Temp Hisfa'!R$3:R$200), "", ROW('Temp Hisfa'!R$3:R$200)-MIN(ROW('Temp Hisfa'!R$3:R$200))+1), ROW(175:374))),"")</f>
        <v>0</v>
      </c>
      <c r="S177" s="22">
        <f t="array" ref="S177">IFERROR(INDEX('Temp Hisfa'!S$3:S$200, SMALL(IF(ISERROR('Temp Hisfa'!S$3:S$200), "", ROW('Temp Hisfa'!S$3:S$200)-MIN(ROW('Temp Hisfa'!S$3:S$200))+1), ROW(175:374))),"")</f>
        <v>0</v>
      </c>
      <c r="T177" s="22">
        <f t="array" ref="T177">IFERROR(INDEX('Temp Hisfa'!T$3:T$200, SMALL(IF(ISERROR('Temp Hisfa'!T$3:T$200), "", ROW('Temp Hisfa'!T$3:T$200)-MIN(ROW('Temp Hisfa'!T$3:T$200))+1), ROW(175:374))),"")</f>
        <v>0</v>
      </c>
      <c r="U177" s="22">
        <f t="array" ref="U177">IFERROR(INDEX('Temp Hisfa'!U$3:U$200, SMALL(IF(ISERROR('Temp Hisfa'!U$3:U$200), "", ROW('Temp Hisfa'!U$3:U$200)-MIN(ROW('Temp Hisfa'!U$3:U$200))+1), ROW(175:374))),"")</f>
        <v>0</v>
      </c>
      <c r="V177" s="22">
        <f t="array" ref="V177">IFERROR(INDEX('Temp Hisfa'!V$3:V$200, SMALL(IF(ISERROR('Temp Hisfa'!V$3:V$200), "", ROW('Temp Hisfa'!V$3:V$200)-MIN(ROW('Temp Hisfa'!V$3:V$200))+1), ROW(175:374))),"")</f>
        <v>0</v>
      </c>
      <c r="W177" s="22">
        <f t="array" ref="W177">IFERROR(INDEX('Temp Hisfa'!W$3:W$200, SMALL(IF(ISERROR('Temp Hisfa'!W$3:W$200), "", ROW('Temp Hisfa'!W$3:W$200)-MIN(ROW('Temp Hisfa'!W$3:W$200))+1), ROW(175:374))),"")</f>
        <v>0</v>
      </c>
      <c r="X177" s="22">
        <f t="array" ref="X177">IFERROR(INDEX('Temp Hisfa'!X$3:X$200, SMALL(IF(ISERROR('Temp Hisfa'!X$3:X$200), "", ROW('Temp Hisfa'!X$3:X$200)-MIN(ROW('Temp Hisfa'!X$3:X$200))+1), ROW(175:374))),"")</f>
        <v>0</v>
      </c>
      <c r="Y177" s="22">
        <f t="array" ref="Y177">IFERROR(INDEX('Temp Hisfa'!Y$3:Y$200, SMALL(IF(ISERROR('Temp Hisfa'!Y$3:Y$200), "", ROW('Temp Hisfa'!Y$3:Y$200)-MIN(ROW('Temp Hisfa'!Y$3:Y$200))+1), ROW(175:374))),"")</f>
        <v>0</v>
      </c>
      <c r="Z177" s="22">
        <f t="array" ref="Z177">IFERROR(INDEX('Temp Hisfa'!Z$3:Z$200, SMALL(IF(ISERROR('Temp Hisfa'!Z$3:Z$200), "", ROW('Temp Hisfa'!Z$3:Z$200)-MIN(ROW('Temp Hisfa'!Z$3:Z$200))+1), ROW(175:374))),"")</f>
        <v>0</v>
      </c>
      <c r="AA177" s="22">
        <f t="array" ref="AA177">IFERROR(INDEX('Temp Hisfa'!AA$3:AA$200, SMALL(IF(ISERROR('Temp Hisfa'!AA$3:AA$200), "", ROW('Temp Hisfa'!AA$3:AA$200)-MIN(ROW('Temp Hisfa'!AA$3:AA$200))+1), ROW(175:374))),"")</f>
        <v>0</v>
      </c>
      <c r="AB177" s="22">
        <f t="array" ref="AB177">IFERROR(INDEX('Temp Hisfa'!AB$3:AB$200, SMALL(IF(ISERROR('Temp Hisfa'!AB$3:AB$200), "", ROW('Temp Hisfa'!AB$3:AB$200)-MIN(ROW('Temp Hisfa'!AB$3:AB$200))+1), ROW(175:374))),"")</f>
        <v>0</v>
      </c>
    </row>
    <row r="178" spans="1:28" hidden="1" x14ac:dyDescent="0.3">
      <c r="A178" s="4">
        <f t="array" ref="A178">IFERROR(INDEX('Temp Hisfa'!A$3:A$200, SMALL(IF(ISERROR('Temp Hisfa'!A$3:A$200), "", ROW('Temp Hisfa'!A$3:A$200)-MIN(ROW('Temp Hisfa'!A$3:A$200))+1), ROW(176:374))),"")</f>
        <v>0</v>
      </c>
      <c r="B178" s="4">
        <f t="array" ref="B178">IFERROR(INDEX('Temp Hisfa'!B$3:B$200, SMALL(IF(ISERROR('Temp Hisfa'!B$3:B$200), "", ROW('Temp Hisfa'!B$3:B$200)-MIN(ROW('Temp Hisfa'!B$3:B$200))+1), ROW(176:374))),"")</f>
        <v>0</v>
      </c>
      <c r="C178" s="3">
        <f t="array" ref="C178">IFERROR(INDEX('Temp Hisfa'!C$3:C$200, SMALL(IF(ISERROR('Temp Hisfa'!C$3:C$200), "", ROW('Temp Hisfa'!C$3:C$200)-MIN(ROW('Temp Hisfa'!C$3:C$200))+1), ROW(176:374))),"")</f>
        <v>0</v>
      </c>
      <c r="D178" s="3">
        <f t="array" ref="D178">IFERROR(INDEX('Temp Hisfa'!D$3:D$200, SMALL(IF(ISERROR('Temp Hisfa'!D$3:D$200), "", ROW('Temp Hisfa'!D$3:D$200)-MIN(ROW('Temp Hisfa'!D$3:D$200))+1), ROW(176:374))),"")</f>
        <v>0</v>
      </c>
      <c r="E178" s="29">
        <f t="array" ref="E178">IFERROR(INDEX('Temp Hisfa'!E$3:E$200, SMALL(IF(ISERROR('Temp Hisfa'!E$3:E$200), "", ROW('Temp Hisfa'!E$3:E$200)-MIN(ROW('Temp Hisfa'!E$3:E$200))+1), ROW(176:375))),"")</f>
        <v>0</v>
      </c>
      <c r="F178" s="22" t="str">
        <f t="array" ref="F178">IFERROR(INDEX('Temp Hisfa'!F$3:F$200, SMALL(IF(ISERROR('Temp Hisfa'!F$3:F$200), "", ROW('Temp Hisfa'!F$3:F$200)-MIN(ROW('Temp Hisfa'!F$3:F$200))+1), ROW(176:375))),"")</f>
        <v/>
      </c>
      <c r="G178" s="30">
        <f t="array" ref="G178">IFERROR(INDEX('Temp Hisfa'!G$3:G$200, SMALL(IF(ISERROR('Temp Hisfa'!G$3:G$200), "", ROW('Temp Hisfa'!G$3:G$200)-MIN(ROW('Temp Hisfa'!G$3:G$200))+1), ROW(176:375))),"")</f>
        <v>0</v>
      </c>
      <c r="H178" s="22" t="str">
        <f t="array" ref="H178">IFERROR(INDEX('Temp Hisfa'!H$3:H$200, SMALL(IF(ISERROR('Temp Hisfa'!H$3:H$200), "", ROW('Temp Hisfa'!H$3:H$200)-MIN(ROW('Temp Hisfa'!H$3:H$200))+1), ROW(176:375))),"")</f>
        <v/>
      </c>
      <c r="I178" s="22">
        <f t="array" ref="I178">IFERROR(INDEX('Temp Hisfa'!I$3:I$200, SMALL(IF(ISERROR('Temp Hisfa'!I$3:I$200), "", ROW('Temp Hisfa'!I$3:I$200)-MIN(ROW('Temp Hisfa'!I$3:I$200))+1), ROW(176:375))),"")</f>
        <v>0</v>
      </c>
      <c r="J178" s="22">
        <f t="array" ref="J178">IFERROR(INDEX('Temp Hisfa'!J$3:J$200, SMALL(IF(ISERROR('Temp Hisfa'!J$3:J$200), "", ROW('Temp Hisfa'!J$3:J$200)-MIN(ROW('Temp Hisfa'!J$3:J$200))+1), ROW(176:375))),"")</f>
        <v>0</v>
      </c>
      <c r="K178" s="30">
        <f t="array" ref="K178">IFERROR(INDEX('Temp Hisfa'!K$3:K$200, SMALL(IF(ISERROR('Temp Hisfa'!K$3:K$200), "", ROW('Temp Hisfa'!K$3:K$200)-MIN(ROW('Temp Hisfa'!K$3:K$200))+1), ROW(176:375))),"")</f>
        <v>0</v>
      </c>
      <c r="L178" s="22">
        <f t="array" ref="L178">IFERROR(INDEX('Temp Hisfa'!L$3:L$200, SMALL(IF(ISERROR('Temp Hisfa'!L$3:L$200), "", ROW('Temp Hisfa'!L$3:L$200)-MIN(ROW('Temp Hisfa'!L$3:L$200))+1), ROW(176:375))),"")</f>
        <v>0</v>
      </c>
      <c r="M178" s="22">
        <f t="array" ref="M178">IFERROR(INDEX('Temp Hisfa'!M$3:M$200, SMALL(IF(ISERROR('Temp Hisfa'!M$3:M$200), "", ROW('Temp Hisfa'!M$3:M$200)-MIN(ROW('Temp Hisfa'!M$3:M$200))+1), ROW(176:375))),"")</f>
        <v>0</v>
      </c>
      <c r="N178" s="22">
        <f t="array" ref="N178">IFERROR(INDEX('Temp Hisfa'!N$3:N$200, SMALL(IF(ISERROR('Temp Hisfa'!N$3:N$200), "", ROW('Temp Hisfa'!N$3:N$200)-MIN(ROW('Temp Hisfa'!N$3:N$200))+1), ROW(176:375))),"")</f>
        <v>1900</v>
      </c>
      <c r="O178" s="22" t="str">
        <f t="array" ref="O178">IFERROR(INDEX('Temp Hisfa'!O$3:O$200, SMALL(IF(ISERROR('Temp Hisfa'!O$3:O$200), "", ROW('Temp Hisfa'!O$3:O$200)-MIN(ROW('Temp Hisfa'!O$3:O$200))+1), ROW(176:375))),"")</f>
        <v>enero</v>
      </c>
      <c r="P178" s="22">
        <f t="array" ref="P178">IFERROR(INDEX('Temp Hisfa'!P$3:P$200, SMALL(IF(ISERROR('Temp Hisfa'!P$3:P$200), "", ROW('Temp Hisfa'!P$3:P$200)-MIN(ROW('Temp Hisfa'!P$3:P$200))+1), ROW(176:375))),"")</f>
        <v>0</v>
      </c>
      <c r="Q178" s="22">
        <f t="array" ref="Q178">IFERROR(INDEX('Temp Hisfa'!Q$3:Q$200, SMALL(IF(ISERROR('Temp Hisfa'!Q$3:Q$200), "", ROW('Temp Hisfa'!Q$3:Q$200)-MIN(ROW('Temp Hisfa'!Q$3:Q$200))+1), ROW(176:375))),"")</f>
        <v>0</v>
      </c>
      <c r="R178" s="22">
        <f t="array" ref="R178">IFERROR(INDEX('Temp Hisfa'!R$3:R$200, SMALL(IF(ISERROR('Temp Hisfa'!R$3:R$200), "", ROW('Temp Hisfa'!R$3:R$200)-MIN(ROW('Temp Hisfa'!R$3:R$200))+1), ROW(176:375))),"")</f>
        <v>0</v>
      </c>
      <c r="S178" s="22">
        <f t="array" ref="S178">IFERROR(INDEX('Temp Hisfa'!S$3:S$200, SMALL(IF(ISERROR('Temp Hisfa'!S$3:S$200), "", ROW('Temp Hisfa'!S$3:S$200)-MIN(ROW('Temp Hisfa'!S$3:S$200))+1), ROW(176:375))),"")</f>
        <v>0</v>
      </c>
      <c r="T178" s="22">
        <f t="array" ref="T178">IFERROR(INDEX('Temp Hisfa'!T$3:T$200, SMALL(IF(ISERROR('Temp Hisfa'!T$3:T$200), "", ROW('Temp Hisfa'!T$3:T$200)-MIN(ROW('Temp Hisfa'!T$3:T$200))+1), ROW(176:375))),"")</f>
        <v>0</v>
      </c>
      <c r="U178" s="22">
        <f t="array" ref="U178">IFERROR(INDEX('Temp Hisfa'!U$3:U$200, SMALL(IF(ISERROR('Temp Hisfa'!U$3:U$200), "", ROW('Temp Hisfa'!U$3:U$200)-MIN(ROW('Temp Hisfa'!U$3:U$200))+1), ROW(176:375))),"")</f>
        <v>0</v>
      </c>
      <c r="V178" s="22">
        <f t="array" ref="V178">IFERROR(INDEX('Temp Hisfa'!V$3:V$200, SMALL(IF(ISERROR('Temp Hisfa'!V$3:V$200), "", ROW('Temp Hisfa'!V$3:V$200)-MIN(ROW('Temp Hisfa'!V$3:V$200))+1), ROW(176:375))),"")</f>
        <v>0</v>
      </c>
      <c r="W178" s="22">
        <f t="array" ref="W178">IFERROR(INDEX('Temp Hisfa'!W$3:W$200, SMALL(IF(ISERROR('Temp Hisfa'!W$3:W$200), "", ROW('Temp Hisfa'!W$3:W$200)-MIN(ROW('Temp Hisfa'!W$3:W$200))+1), ROW(176:375))),"")</f>
        <v>0</v>
      </c>
      <c r="X178" s="22">
        <f t="array" ref="X178">IFERROR(INDEX('Temp Hisfa'!X$3:X$200, SMALL(IF(ISERROR('Temp Hisfa'!X$3:X$200), "", ROW('Temp Hisfa'!X$3:X$200)-MIN(ROW('Temp Hisfa'!X$3:X$200))+1), ROW(176:375))),"")</f>
        <v>0</v>
      </c>
      <c r="Y178" s="22">
        <f t="array" ref="Y178">IFERROR(INDEX('Temp Hisfa'!Y$3:Y$200, SMALL(IF(ISERROR('Temp Hisfa'!Y$3:Y$200), "", ROW('Temp Hisfa'!Y$3:Y$200)-MIN(ROW('Temp Hisfa'!Y$3:Y$200))+1), ROW(176:375))),"")</f>
        <v>0</v>
      </c>
      <c r="Z178" s="22">
        <f t="array" ref="Z178">IFERROR(INDEX('Temp Hisfa'!Z$3:Z$200, SMALL(IF(ISERROR('Temp Hisfa'!Z$3:Z$200), "", ROW('Temp Hisfa'!Z$3:Z$200)-MIN(ROW('Temp Hisfa'!Z$3:Z$200))+1), ROW(176:375))),"")</f>
        <v>0</v>
      </c>
      <c r="AA178" s="22">
        <f t="array" ref="AA178">IFERROR(INDEX('Temp Hisfa'!AA$3:AA$200, SMALL(IF(ISERROR('Temp Hisfa'!AA$3:AA$200), "", ROW('Temp Hisfa'!AA$3:AA$200)-MIN(ROW('Temp Hisfa'!AA$3:AA$200))+1), ROW(176:375))),"")</f>
        <v>0</v>
      </c>
      <c r="AB178" s="22">
        <f t="array" ref="AB178">IFERROR(INDEX('Temp Hisfa'!AB$3:AB$200, SMALL(IF(ISERROR('Temp Hisfa'!AB$3:AB$200), "", ROW('Temp Hisfa'!AB$3:AB$200)-MIN(ROW('Temp Hisfa'!AB$3:AB$200))+1), ROW(176:375))),"")</f>
        <v>0</v>
      </c>
    </row>
    <row r="179" spans="1:28" hidden="1" x14ac:dyDescent="0.3">
      <c r="A179" s="4">
        <f t="array" ref="A179">IFERROR(INDEX('Temp Hisfa'!A$3:A$200, SMALL(IF(ISERROR('Temp Hisfa'!A$3:A$200), "", ROW('Temp Hisfa'!A$3:A$200)-MIN(ROW('Temp Hisfa'!A$3:A$200))+1), ROW(177:375))),"")</f>
        <v>0</v>
      </c>
      <c r="B179" s="4">
        <f t="array" ref="B179">IFERROR(INDEX('Temp Hisfa'!B$3:B$200, SMALL(IF(ISERROR('Temp Hisfa'!B$3:B$200), "", ROW('Temp Hisfa'!B$3:B$200)-MIN(ROW('Temp Hisfa'!B$3:B$200))+1), ROW(177:375))),"")</f>
        <v>0</v>
      </c>
      <c r="C179" s="3">
        <f t="array" ref="C179">IFERROR(INDEX('Temp Hisfa'!C$3:C$200, SMALL(IF(ISERROR('Temp Hisfa'!C$3:C$200), "", ROW('Temp Hisfa'!C$3:C$200)-MIN(ROW('Temp Hisfa'!C$3:C$200))+1), ROW(177:375))),"")</f>
        <v>0</v>
      </c>
      <c r="D179" s="3">
        <f t="array" ref="D179">IFERROR(INDEX('Temp Hisfa'!D$3:D$200, SMALL(IF(ISERROR('Temp Hisfa'!D$3:D$200), "", ROW('Temp Hisfa'!D$3:D$200)-MIN(ROW('Temp Hisfa'!D$3:D$200))+1), ROW(177:375))),"")</f>
        <v>0</v>
      </c>
      <c r="E179" s="29">
        <f t="array" ref="E179">IFERROR(INDEX('Temp Hisfa'!E$3:E$200, SMALL(IF(ISERROR('Temp Hisfa'!E$3:E$200), "", ROW('Temp Hisfa'!E$3:E$200)-MIN(ROW('Temp Hisfa'!E$3:E$200))+1), ROW(177:376))),"")</f>
        <v>0</v>
      </c>
      <c r="F179" s="22" t="str">
        <f t="array" ref="F179">IFERROR(INDEX('Temp Hisfa'!F$3:F$200, SMALL(IF(ISERROR('Temp Hisfa'!F$3:F$200), "", ROW('Temp Hisfa'!F$3:F$200)-MIN(ROW('Temp Hisfa'!F$3:F$200))+1), ROW(177:376))),"")</f>
        <v/>
      </c>
      <c r="G179" s="30">
        <f t="array" ref="G179">IFERROR(INDEX('Temp Hisfa'!G$3:G$200, SMALL(IF(ISERROR('Temp Hisfa'!G$3:G$200), "", ROW('Temp Hisfa'!G$3:G$200)-MIN(ROW('Temp Hisfa'!G$3:G$200))+1), ROW(177:376))),"")</f>
        <v>0</v>
      </c>
      <c r="H179" s="22" t="str">
        <f t="array" ref="H179">IFERROR(INDEX('Temp Hisfa'!H$3:H$200, SMALL(IF(ISERROR('Temp Hisfa'!H$3:H$200), "", ROW('Temp Hisfa'!H$3:H$200)-MIN(ROW('Temp Hisfa'!H$3:H$200))+1), ROW(177:376))),"")</f>
        <v/>
      </c>
      <c r="I179" s="22">
        <f t="array" ref="I179">IFERROR(INDEX('Temp Hisfa'!I$3:I$200, SMALL(IF(ISERROR('Temp Hisfa'!I$3:I$200), "", ROW('Temp Hisfa'!I$3:I$200)-MIN(ROW('Temp Hisfa'!I$3:I$200))+1), ROW(177:376))),"")</f>
        <v>0</v>
      </c>
      <c r="J179" s="22">
        <f t="array" ref="J179">IFERROR(INDEX('Temp Hisfa'!J$3:J$200, SMALL(IF(ISERROR('Temp Hisfa'!J$3:J$200), "", ROW('Temp Hisfa'!J$3:J$200)-MIN(ROW('Temp Hisfa'!J$3:J$200))+1), ROW(177:376))),"")</f>
        <v>0</v>
      </c>
      <c r="K179" s="30">
        <f t="array" ref="K179">IFERROR(INDEX('Temp Hisfa'!K$3:K$200, SMALL(IF(ISERROR('Temp Hisfa'!K$3:K$200), "", ROW('Temp Hisfa'!K$3:K$200)-MIN(ROW('Temp Hisfa'!K$3:K$200))+1), ROW(177:376))),"")</f>
        <v>0</v>
      </c>
      <c r="L179" s="22">
        <f t="array" ref="L179">IFERROR(INDEX('Temp Hisfa'!L$3:L$200, SMALL(IF(ISERROR('Temp Hisfa'!L$3:L$200), "", ROW('Temp Hisfa'!L$3:L$200)-MIN(ROW('Temp Hisfa'!L$3:L$200))+1), ROW(177:376))),"")</f>
        <v>0</v>
      </c>
      <c r="M179" s="22">
        <f t="array" ref="M179">IFERROR(INDEX('Temp Hisfa'!M$3:M$200, SMALL(IF(ISERROR('Temp Hisfa'!M$3:M$200), "", ROW('Temp Hisfa'!M$3:M$200)-MIN(ROW('Temp Hisfa'!M$3:M$200))+1), ROW(177:376))),"")</f>
        <v>0</v>
      </c>
      <c r="N179" s="22">
        <f t="array" ref="N179">IFERROR(INDEX('Temp Hisfa'!N$3:N$200, SMALL(IF(ISERROR('Temp Hisfa'!N$3:N$200), "", ROW('Temp Hisfa'!N$3:N$200)-MIN(ROW('Temp Hisfa'!N$3:N$200))+1), ROW(177:376))),"")</f>
        <v>1900</v>
      </c>
      <c r="O179" s="22" t="str">
        <f t="array" ref="O179">IFERROR(INDEX('Temp Hisfa'!O$3:O$200, SMALL(IF(ISERROR('Temp Hisfa'!O$3:O$200), "", ROW('Temp Hisfa'!O$3:O$200)-MIN(ROW('Temp Hisfa'!O$3:O$200))+1), ROW(177:376))),"")</f>
        <v>enero</v>
      </c>
      <c r="P179" s="22">
        <f t="array" ref="P179">IFERROR(INDEX('Temp Hisfa'!P$3:P$200, SMALL(IF(ISERROR('Temp Hisfa'!P$3:P$200), "", ROW('Temp Hisfa'!P$3:P$200)-MIN(ROW('Temp Hisfa'!P$3:P$200))+1), ROW(177:376))),"")</f>
        <v>0</v>
      </c>
      <c r="Q179" s="22">
        <f t="array" ref="Q179">IFERROR(INDEX('Temp Hisfa'!Q$3:Q$200, SMALL(IF(ISERROR('Temp Hisfa'!Q$3:Q$200), "", ROW('Temp Hisfa'!Q$3:Q$200)-MIN(ROW('Temp Hisfa'!Q$3:Q$200))+1), ROW(177:376))),"")</f>
        <v>0</v>
      </c>
      <c r="R179" s="22">
        <f t="array" ref="R179">IFERROR(INDEX('Temp Hisfa'!R$3:R$200, SMALL(IF(ISERROR('Temp Hisfa'!R$3:R$200), "", ROW('Temp Hisfa'!R$3:R$200)-MIN(ROW('Temp Hisfa'!R$3:R$200))+1), ROW(177:376))),"")</f>
        <v>0</v>
      </c>
      <c r="S179" s="22">
        <f t="array" ref="S179">IFERROR(INDEX('Temp Hisfa'!S$3:S$200, SMALL(IF(ISERROR('Temp Hisfa'!S$3:S$200), "", ROW('Temp Hisfa'!S$3:S$200)-MIN(ROW('Temp Hisfa'!S$3:S$200))+1), ROW(177:376))),"")</f>
        <v>0</v>
      </c>
      <c r="T179" s="22">
        <f t="array" ref="T179">IFERROR(INDEX('Temp Hisfa'!T$3:T$200, SMALL(IF(ISERROR('Temp Hisfa'!T$3:T$200), "", ROW('Temp Hisfa'!T$3:T$200)-MIN(ROW('Temp Hisfa'!T$3:T$200))+1), ROW(177:376))),"")</f>
        <v>0</v>
      </c>
      <c r="U179" s="22">
        <f t="array" ref="U179">IFERROR(INDEX('Temp Hisfa'!U$3:U$200, SMALL(IF(ISERROR('Temp Hisfa'!U$3:U$200), "", ROW('Temp Hisfa'!U$3:U$200)-MIN(ROW('Temp Hisfa'!U$3:U$200))+1), ROW(177:376))),"")</f>
        <v>0</v>
      </c>
      <c r="V179" s="22">
        <f t="array" ref="V179">IFERROR(INDEX('Temp Hisfa'!V$3:V$200, SMALL(IF(ISERROR('Temp Hisfa'!V$3:V$200), "", ROW('Temp Hisfa'!V$3:V$200)-MIN(ROW('Temp Hisfa'!V$3:V$200))+1), ROW(177:376))),"")</f>
        <v>0</v>
      </c>
      <c r="W179" s="22">
        <f t="array" ref="W179">IFERROR(INDEX('Temp Hisfa'!W$3:W$200, SMALL(IF(ISERROR('Temp Hisfa'!W$3:W$200), "", ROW('Temp Hisfa'!W$3:W$200)-MIN(ROW('Temp Hisfa'!W$3:W$200))+1), ROW(177:376))),"")</f>
        <v>0</v>
      </c>
      <c r="X179" s="22">
        <f t="array" ref="X179">IFERROR(INDEX('Temp Hisfa'!X$3:X$200, SMALL(IF(ISERROR('Temp Hisfa'!X$3:X$200), "", ROW('Temp Hisfa'!X$3:X$200)-MIN(ROW('Temp Hisfa'!X$3:X$200))+1), ROW(177:376))),"")</f>
        <v>0</v>
      </c>
      <c r="Y179" s="22">
        <f t="array" ref="Y179">IFERROR(INDEX('Temp Hisfa'!Y$3:Y$200, SMALL(IF(ISERROR('Temp Hisfa'!Y$3:Y$200), "", ROW('Temp Hisfa'!Y$3:Y$200)-MIN(ROW('Temp Hisfa'!Y$3:Y$200))+1), ROW(177:376))),"")</f>
        <v>0</v>
      </c>
      <c r="Z179" s="22">
        <f t="array" ref="Z179">IFERROR(INDEX('Temp Hisfa'!Z$3:Z$200, SMALL(IF(ISERROR('Temp Hisfa'!Z$3:Z$200), "", ROW('Temp Hisfa'!Z$3:Z$200)-MIN(ROW('Temp Hisfa'!Z$3:Z$200))+1), ROW(177:376))),"")</f>
        <v>0</v>
      </c>
      <c r="AA179" s="22">
        <f t="array" ref="AA179">IFERROR(INDEX('Temp Hisfa'!AA$3:AA$200, SMALL(IF(ISERROR('Temp Hisfa'!AA$3:AA$200), "", ROW('Temp Hisfa'!AA$3:AA$200)-MIN(ROW('Temp Hisfa'!AA$3:AA$200))+1), ROW(177:376))),"")</f>
        <v>0</v>
      </c>
      <c r="AB179" s="22">
        <f t="array" ref="AB179">IFERROR(INDEX('Temp Hisfa'!AB$3:AB$200, SMALL(IF(ISERROR('Temp Hisfa'!AB$3:AB$200), "", ROW('Temp Hisfa'!AB$3:AB$200)-MIN(ROW('Temp Hisfa'!AB$3:AB$200))+1), ROW(177:376))),"")</f>
        <v>0</v>
      </c>
    </row>
    <row r="180" spans="1:28" hidden="1" x14ac:dyDescent="0.3">
      <c r="A180" s="4">
        <f t="array" ref="A180">IFERROR(INDEX('Temp Hisfa'!A$3:A$200, SMALL(IF(ISERROR('Temp Hisfa'!A$3:A$200), "", ROW('Temp Hisfa'!A$3:A$200)-MIN(ROW('Temp Hisfa'!A$3:A$200))+1), ROW(178:376))),"")</f>
        <v>0</v>
      </c>
      <c r="B180" s="4">
        <f t="array" ref="B180">IFERROR(INDEX('Temp Hisfa'!B$3:B$200, SMALL(IF(ISERROR('Temp Hisfa'!B$3:B$200), "", ROW('Temp Hisfa'!B$3:B$200)-MIN(ROW('Temp Hisfa'!B$3:B$200))+1), ROW(178:376))),"")</f>
        <v>0</v>
      </c>
      <c r="C180" s="3">
        <f t="array" ref="C180">IFERROR(INDEX('Temp Hisfa'!C$3:C$200, SMALL(IF(ISERROR('Temp Hisfa'!C$3:C$200), "", ROW('Temp Hisfa'!C$3:C$200)-MIN(ROW('Temp Hisfa'!C$3:C$200))+1), ROW(178:376))),"")</f>
        <v>0</v>
      </c>
      <c r="D180" s="3">
        <f t="array" ref="D180">IFERROR(INDEX('Temp Hisfa'!D$3:D$200, SMALL(IF(ISERROR('Temp Hisfa'!D$3:D$200), "", ROW('Temp Hisfa'!D$3:D$200)-MIN(ROW('Temp Hisfa'!D$3:D$200))+1), ROW(178:376))),"")</f>
        <v>0</v>
      </c>
      <c r="E180" s="29">
        <f t="array" ref="E180">IFERROR(INDEX('Temp Hisfa'!E$3:E$200, SMALL(IF(ISERROR('Temp Hisfa'!E$3:E$200), "", ROW('Temp Hisfa'!E$3:E$200)-MIN(ROW('Temp Hisfa'!E$3:E$200))+1), ROW(178:377))),"")</f>
        <v>0</v>
      </c>
      <c r="F180" s="22" t="str">
        <f t="array" ref="F180">IFERROR(INDEX('Temp Hisfa'!F$3:F$200, SMALL(IF(ISERROR('Temp Hisfa'!F$3:F$200), "", ROW('Temp Hisfa'!F$3:F$200)-MIN(ROW('Temp Hisfa'!F$3:F$200))+1), ROW(178:377))),"")</f>
        <v/>
      </c>
      <c r="G180" s="30">
        <f t="array" ref="G180">IFERROR(INDEX('Temp Hisfa'!G$3:G$200, SMALL(IF(ISERROR('Temp Hisfa'!G$3:G$200), "", ROW('Temp Hisfa'!G$3:G$200)-MIN(ROW('Temp Hisfa'!G$3:G$200))+1), ROW(178:377))),"")</f>
        <v>0</v>
      </c>
      <c r="H180" s="22" t="str">
        <f t="array" ref="H180">IFERROR(INDEX('Temp Hisfa'!H$3:H$200, SMALL(IF(ISERROR('Temp Hisfa'!H$3:H$200), "", ROW('Temp Hisfa'!H$3:H$200)-MIN(ROW('Temp Hisfa'!H$3:H$200))+1), ROW(178:377))),"")</f>
        <v/>
      </c>
      <c r="I180" s="22">
        <f t="array" ref="I180">IFERROR(INDEX('Temp Hisfa'!I$3:I$200, SMALL(IF(ISERROR('Temp Hisfa'!I$3:I$200), "", ROW('Temp Hisfa'!I$3:I$200)-MIN(ROW('Temp Hisfa'!I$3:I$200))+1), ROW(178:377))),"")</f>
        <v>0</v>
      </c>
      <c r="J180" s="22">
        <f t="array" ref="J180">IFERROR(INDEX('Temp Hisfa'!J$3:J$200, SMALL(IF(ISERROR('Temp Hisfa'!J$3:J$200), "", ROW('Temp Hisfa'!J$3:J$200)-MIN(ROW('Temp Hisfa'!J$3:J$200))+1), ROW(178:377))),"")</f>
        <v>0</v>
      </c>
      <c r="K180" s="30">
        <f t="array" ref="K180">IFERROR(INDEX('Temp Hisfa'!K$3:K$200, SMALL(IF(ISERROR('Temp Hisfa'!K$3:K$200), "", ROW('Temp Hisfa'!K$3:K$200)-MIN(ROW('Temp Hisfa'!K$3:K$200))+1), ROW(178:377))),"")</f>
        <v>0</v>
      </c>
      <c r="L180" s="22">
        <f t="array" ref="L180">IFERROR(INDEX('Temp Hisfa'!L$3:L$200, SMALL(IF(ISERROR('Temp Hisfa'!L$3:L$200), "", ROW('Temp Hisfa'!L$3:L$200)-MIN(ROW('Temp Hisfa'!L$3:L$200))+1), ROW(178:377))),"")</f>
        <v>0</v>
      </c>
      <c r="M180" s="22">
        <f t="array" ref="M180">IFERROR(INDEX('Temp Hisfa'!M$3:M$200, SMALL(IF(ISERROR('Temp Hisfa'!M$3:M$200), "", ROW('Temp Hisfa'!M$3:M$200)-MIN(ROW('Temp Hisfa'!M$3:M$200))+1), ROW(178:377))),"")</f>
        <v>0</v>
      </c>
      <c r="N180" s="22">
        <f t="array" ref="N180">IFERROR(INDEX('Temp Hisfa'!N$3:N$200, SMALL(IF(ISERROR('Temp Hisfa'!N$3:N$200), "", ROW('Temp Hisfa'!N$3:N$200)-MIN(ROW('Temp Hisfa'!N$3:N$200))+1), ROW(178:377))),"")</f>
        <v>1900</v>
      </c>
      <c r="O180" s="22" t="str">
        <f t="array" ref="O180">IFERROR(INDEX('Temp Hisfa'!O$3:O$200, SMALL(IF(ISERROR('Temp Hisfa'!O$3:O$200), "", ROW('Temp Hisfa'!O$3:O$200)-MIN(ROW('Temp Hisfa'!O$3:O$200))+1), ROW(178:377))),"")</f>
        <v>enero</v>
      </c>
      <c r="P180" s="22">
        <f t="array" ref="P180">IFERROR(INDEX('Temp Hisfa'!P$3:P$200, SMALL(IF(ISERROR('Temp Hisfa'!P$3:P$200), "", ROW('Temp Hisfa'!P$3:P$200)-MIN(ROW('Temp Hisfa'!P$3:P$200))+1), ROW(178:377))),"")</f>
        <v>0</v>
      </c>
      <c r="Q180" s="22">
        <f t="array" ref="Q180">IFERROR(INDEX('Temp Hisfa'!Q$3:Q$200, SMALL(IF(ISERROR('Temp Hisfa'!Q$3:Q$200), "", ROW('Temp Hisfa'!Q$3:Q$200)-MIN(ROW('Temp Hisfa'!Q$3:Q$200))+1), ROW(178:377))),"")</f>
        <v>0</v>
      </c>
      <c r="R180" s="22">
        <f t="array" ref="R180">IFERROR(INDEX('Temp Hisfa'!R$3:R$200, SMALL(IF(ISERROR('Temp Hisfa'!R$3:R$200), "", ROW('Temp Hisfa'!R$3:R$200)-MIN(ROW('Temp Hisfa'!R$3:R$200))+1), ROW(178:377))),"")</f>
        <v>0</v>
      </c>
      <c r="S180" s="22">
        <f t="array" ref="S180">IFERROR(INDEX('Temp Hisfa'!S$3:S$200, SMALL(IF(ISERROR('Temp Hisfa'!S$3:S$200), "", ROW('Temp Hisfa'!S$3:S$200)-MIN(ROW('Temp Hisfa'!S$3:S$200))+1), ROW(178:377))),"")</f>
        <v>0</v>
      </c>
      <c r="T180" s="22">
        <f t="array" ref="T180">IFERROR(INDEX('Temp Hisfa'!T$3:T$200, SMALL(IF(ISERROR('Temp Hisfa'!T$3:T$200), "", ROW('Temp Hisfa'!T$3:T$200)-MIN(ROW('Temp Hisfa'!T$3:T$200))+1), ROW(178:377))),"")</f>
        <v>0</v>
      </c>
      <c r="U180" s="22">
        <f t="array" ref="U180">IFERROR(INDEX('Temp Hisfa'!U$3:U$200, SMALL(IF(ISERROR('Temp Hisfa'!U$3:U$200), "", ROW('Temp Hisfa'!U$3:U$200)-MIN(ROW('Temp Hisfa'!U$3:U$200))+1), ROW(178:377))),"")</f>
        <v>0</v>
      </c>
      <c r="V180" s="22">
        <f t="array" ref="V180">IFERROR(INDEX('Temp Hisfa'!V$3:V$200, SMALL(IF(ISERROR('Temp Hisfa'!V$3:V$200), "", ROW('Temp Hisfa'!V$3:V$200)-MIN(ROW('Temp Hisfa'!V$3:V$200))+1), ROW(178:377))),"")</f>
        <v>0</v>
      </c>
      <c r="W180" s="22">
        <f t="array" ref="W180">IFERROR(INDEX('Temp Hisfa'!W$3:W$200, SMALL(IF(ISERROR('Temp Hisfa'!W$3:W$200), "", ROW('Temp Hisfa'!W$3:W$200)-MIN(ROW('Temp Hisfa'!W$3:W$200))+1), ROW(178:377))),"")</f>
        <v>0</v>
      </c>
      <c r="X180" s="22">
        <f t="array" ref="X180">IFERROR(INDEX('Temp Hisfa'!X$3:X$200, SMALL(IF(ISERROR('Temp Hisfa'!X$3:X$200), "", ROW('Temp Hisfa'!X$3:X$200)-MIN(ROW('Temp Hisfa'!X$3:X$200))+1), ROW(178:377))),"")</f>
        <v>0</v>
      </c>
      <c r="Y180" s="22">
        <f t="array" ref="Y180">IFERROR(INDEX('Temp Hisfa'!Y$3:Y$200, SMALL(IF(ISERROR('Temp Hisfa'!Y$3:Y$200), "", ROW('Temp Hisfa'!Y$3:Y$200)-MIN(ROW('Temp Hisfa'!Y$3:Y$200))+1), ROW(178:377))),"")</f>
        <v>0</v>
      </c>
      <c r="Z180" s="22">
        <f t="array" ref="Z180">IFERROR(INDEX('Temp Hisfa'!Z$3:Z$200, SMALL(IF(ISERROR('Temp Hisfa'!Z$3:Z$200), "", ROW('Temp Hisfa'!Z$3:Z$200)-MIN(ROW('Temp Hisfa'!Z$3:Z$200))+1), ROW(178:377))),"")</f>
        <v>0</v>
      </c>
      <c r="AA180" s="22">
        <f t="array" ref="AA180">IFERROR(INDEX('Temp Hisfa'!AA$3:AA$200, SMALL(IF(ISERROR('Temp Hisfa'!AA$3:AA$200), "", ROW('Temp Hisfa'!AA$3:AA$200)-MIN(ROW('Temp Hisfa'!AA$3:AA$200))+1), ROW(178:377))),"")</f>
        <v>0</v>
      </c>
      <c r="AB180" s="22">
        <f t="array" ref="AB180">IFERROR(INDEX('Temp Hisfa'!AB$3:AB$200, SMALL(IF(ISERROR('Temp Hisfa'!AB$3:AB$200), "", ROW('Temp Hisfa'!AB$3:AB$200)-MIN(ROW('Temp Hisfa'!AB$3:AB$200))+1), ROW(178:377))),"")</f>
        <v>0</v>
      </c>
    </row>
    <row r="181" spans="1:28" hidden="1" x14ac:dyDescent="0.3">
      <c r="A181" s="4">
        <f t="array" ref="A181">IFERROR(INDEX('Temp Hisfa'!A$3:A$200, SMALL(IF(ISERROR('Temp Hisfa'!A$3:A$200), "", ROW('Temp Hisfa'!A$3:A$200)-MIN(ROW('Temp Hisfa'!A$3:A$200))+1), ROW(179:377))),"")</f>
        <v>0</v>
      </c>
      <c r="B181" s="4">
        <f t="array" ref="B181">IFERROR(INDEX('Temp Hisfa'!B$3:B$200, SMALL(IF(ISERROR('Temp Hisfa'!B$3:B$200), "", ROW('Temp Hisfa'!B$3:B$200)-MIN(ROW('Temp Hisfa'!B$3:B$200))+1), ROW(179:377))),"")</f>
        <v>0</v>
      </c>
      <c r="C181" s="3">
        <f t="array" ref="C181">IFERROR(INDEX('Temp Hisfa'!C$3:C$200, SMALL(IF(ISERROR('Temp Hisfa'!C$3:C$200), "", ROW('Temp Hisfa'!C$3:C$200)-MIN(ROW('Temp Hisfa'!C$3:C$200))+1), ROW(179:377))),"")</f>
        <v>0</v>
      </c>
      <c r="D181" s="3">
        <f t="array" ref="D181">IFERROR(INDEX('Temp Hisfa'!D$3:D$200, SMALL(IF(ISERROR('Temp Hisfa'!D$3:D$200), "", ROW('Temp Hisfa'!D$3:D$200)-MIN(ROW('Temp Hisfa'!D$3:D$200))+1), ROW(179:377))),"")</f>
        <v>0</v>
      </c>
      <c r="E181" s="29">
        <f t="array" ref="E181">IFERROR(INDEX('Temp Hisfa'!E$3:E$200, SMALL(IF(ISERROR('Temp Hisfa'!E$3:E$200), "", ROW('Temp Hisfa'!E$3:E$200)-MIN(ROW('Temp Hisfa'!E$3:E$200))+1), ROW(179:378))),"")</f>
        <v>0</v>
      </c>
      <c r="F181" s="22" t="str">
        <f t="array" ref="F181">IFERROR(INDEX('Temp Hisfa'!F$3:F$200, SMALL(IF(ISERROR('Temp Hisfa'!F$3:F$200), "", ROW('Temp Hisfa'!F$3:F$200)-MIN(ROW('Temp Hisfa'!F$3:F$200))+1), ROW(179:378))),"")</f>
        <v/>
      </c>
      <c r="G181" s="30">
        <f t="array" ref="G181">IFERROR(INDEX('Temp Hisfa'!G$3:G$200, SMALL(IF(ISERROR('Temp Hisfa'!G$3:G$200), "", ROW('Temp Hisfa'!G$3:G$200)-MIN(ROW('Temp Hisfa'!G$3:G$200))+1), ROW(179:378))),"")</f>
        <v>0</v>
      </c>
      <c r="H181" s="22" t="str">
        <f t="array" ref="H181">IFERROR(INDEX('Temp Hisfa'!H$3:H$200, SMALL(IF(ISERROR('Temp Hisfa'!H$3:H$200), "", ROW('Temp Hisfa'!H$3:H$200)-MIN(ROW('Temp Hisfa'!H$3:H$200))+1), ROW(179:378))),"")</f>
        <v/>
      </c>
      <c r="I181" s="22">
        <f t="array" ref="I181">IFERROR(INDEX('Temp Hisfa'!I$3:I$200, SMALL(IF(ISERROR('Temp Hisfa'!I$3:I$200), "", ROW('Temp Hisfa'!I$3:I$200)-MIN(ROW('Temp Hisfa'!I$3:I$200))+1), ROW(179:378))),"")</f>
        <v>0</v>
      </c>
      <c r="J181" s="22">
        <f t="array" ref="J181">IFERROR(INDEX('Temp Hisfa'!J$3:J$200, SMALL(IF(ISERROR('Temp Hisfa'!J$3:J$200), "", ROW('Temp Hisfa'!J$3:J$200)-MIN(ROW('Temp Hisfa'!J$3:J$200))+1), ROW(179:378))),"")</f>
        <v>0</v>
      </c>
      <c r="K181" s="30">
        <f t="array" ref="K181">IFERROR(INDEX('Temp Hisfa'!K$3:K$200, SMALL(IF(ISERROR('Temp Hisfa'!K$3:K$200), "", ROW('Temp Hisfa'!K$3:K$200)-MIN(ROW('Temp Hisfa'!K$3:K$200))+1), ROW(179:378))),"")</f>
        <v>0</v>
      </c>
      <c r="L181" s="22">
        <f t="array" ref="L181">IFERROR(INDEX('Temp Hisfa'!L$3:L$200, SMALL(IF(ISERROR('Temp Hisfa'!L$3:L$200), "", ROW('Temp Hisfa'!L$3:L$200)-MIN(ROW('Temp Hisfa'!L$3:L$200))+1), ROW(179:378))),"")</f>
        <v>0</v>
      </c>
      <c r="M181" s="22">
        <f t="array" ref="M181">IFERROR(INDEX('Temp Hisfa'!M$3:M$200, SMALL(IF(ISERROR('Temp Hisfa'!M$3:M$200), "", ROW('Temp Hisfa'!M$3:M$200)-MIN(ROW('Temp Hisfa'!M$3:M$200))+1), ROW(179:378))),"")</f>
        <v>0</v>
      </c>
      <c r="N181" s="22">
        <f t="array" ref="N181">IFERROR(INDEX('Temp Hisfa'!N$3:N$200, SMALL(IF(ISERROR('Temp Hisfa'!N$3:N$200), "", ROW('Temp Hisfa'!N$3:N$200)-MIN(ROW('Temp Hisfa'!N$3:N$200))+1), ROW(179:378))),"")</f>
        <v>1900</v>
      </c>
      <c r="O181" s="22" t="str">
        <f t="array" ref="O181">IFERROR(INDEX('Temp Hisfa'!O$3:O$200, SMALL(IF(ISERROR('Temp Hisfa'!O$3:O$200), "", ROW('Temp Hisfa'!O$3:O$200)-MIN(ROW('Temp Hisfa'!O$3:O$200))+1), ROW(179:378))),"")</f>
        <v>enero</v>
      </c>
      <c r="P181" s="22">
        <f t="array" ref="P181">IFERROR(INDEX('Temp Hisfa'!P$3:P$200, SMALL(IF(ISERROR('Temp Hisfa'!P$3:P$200), "", ROW('Temp Hisfa'!P$3:P$200)-MIN(ROW('Temp Hisfa'!P$3:P$200))+1), ROW(179:378))),"")</f>
        <v>0</v>
      </c>
      <c r="Q181" s="22">
        <f t="array" ref="Q181">IFERROR(INDEX('Temp Hisfa'!Q$3:Q$200, SMALL(IF(ISERROR('Temp Hisfa'!Q$3:Q$200), "", ROW('Temp Hisfa'!Q$3:Q$200)-MIN(ROW('Temp Hisfa'!Q$3:Q$200))+1), ROW(179:378))),"")</f>
        <v>0</v>
      </c>
      <c r="R181" s="22">
        <f t="array" ref="R181">IFERROR(INDEX('Temp Hisfa'!R$3:R$200, SMALL(IF(ISERROR('Temp Hisfa'!R$3:R$200), "", ROW('Temp Hisfa'!R$3:R$200)-MIN(ROW('Temp Hisfa'!R$3:R$200))+1), ROW(179:378))),"")</f>
        <v>0</v>
      </c>
      <c r="S181" s="22">
        <f t="array" ref="S181">IFERROR(INDEX('Temp Hisfa'!S$3:S$200, SMALL(IF(ISERROR('Temp Hisfa'!S$3:S$200), "", ROW('Temp Hisfa'!S$3:S$200)-MIN(ROW('Temp Hisfa'!S$3:S$200))+1), ROW(179:378))),"")</f>
        <v>0</v>
      </c>
      <c r="T181" s="22">
        <f t="array" ref="T181">IFERROR(INDEX('Temp Hisfa'!T$3:T$200, SMALL(IF(ISERROR('Temp Hisfa'!T$3:T$200), "", ROW('Temp Hisfa'!T$3:T$200)-MIN(ROW('Temp Hisfa'!T$3:T$200))+1), ROW(179:378))),"")</f>
        <v>0</v>
      </c>
      <c r="U181" s="22">
        <f t="array" ref="U181">IFERROR(INDEX('Temp Hisfa'!U$3:U$200, SMALL(IF(ISERROR('Temp Hisfa'!U$3:U$200), "", ROW('Temp Hisfa'!U$3:U$200)-MIN(ROW('Temp Hisfa'!U$3:U$200))+1), ROW(179:378))),"")</f>
        <v>0</v>
      </c>
      <c r="V181" s="22">
        <f t="array" ref="V181">IFERROR(INDEX('Temp Hisfa'!V$3:V$200, SMALL(IF(ISERROR('Temp Hisfa'!V$3:V$200), "", ROW('Temp Hisfa'!V$3:V$200)-MIN(ROW('Temp Hisfa'!V$3:V$200))+1), ROW(179:378))),"")</f>
        <v>0</v>
      </c>
      <c r="W181" s="22">
        <f t="array" ref="W181">IFERROR(INDEX('Temp Hisfa'!W$3:W$200, SMALL(IF(ISERROR('Temp Hisfa'!W$3:W$200), "", ROW('Temp Hisfa'!W$3:W$200)-MIN(ROW('Temp Hisfa'!W$3:W$200))+1), ROW(179:378))),"")</f>
        <v>0</v>
      </c>
      <c r="X181" s="22">
        <f t="array" ref="X181">IFERROR(INDEX('Temp Hisfa'!X$3:X$200, SMALL(IF(ISERROR('Temp Hisfa'!X$3:X$200), "", ROW('Temp Hisfa'!X$3:X$200)-MIN(ROW('Temp Hisfa'!X$3:X$200))+1), ROW(179:378))),"")</f>
        <v>0</v>
      </c>
      <c r="Y181" s="22">
        <f t="array" ref="Y181">IFERROR(INDEX('Temp Hisfa'!Y$3:Y$200, SMALL(IF(ISERROR('Temp Hisfa'!Y$3:Y$200), "", ROW('Temp Hisfa'!Y$3:Y$200)-MIN(ROW('Temp Hisfa'!Y$3:Y$200))+1), ROW(179:378))),"")</f>
        <v>0</v>
      </c>
      <c r="Z181" s="22">
        <f t="array" ref="Z181">IFERROR(INDEX('Temp Hisfa'!Z$3:Z$200, SMALL(IF(ISERROR('Temp Hisfa'!Z$3:Z$200), "", ROW('Temp Hisfa'!Z$3:Z$200)-MIN(ROW('Temp Hisfa'!Z$3:Z$200))+1), ROW(179:378))),"")</f>
        <v>0</v>
      </c>
      <c r="AA181" s="22">
        <f t="array" ref="AA181">IFERROR(INDEX('Temp Hisfa'!AA$3:AA$200, SMALL(IF(ISERROR('Temp Hisfa'!AA$3:AA$200), "", ROW('Temp Hisfa'!AA$3:AA$200)-MIN(ROW('Temp Hisfa'!AA$3:AA$200))+1), ROW(179:378))),"")</f>
        <v>0</v>
      </c>
      <c r="AB181" s="22">
        <f t="array" ref="AB181">IFERROR(INDEX('Temp Hisfa'!AB$3:AB$200, SMALL(IF(ISERROR('Temp Hisfa'!AB$3:AB$200), "", ROW('Temp Hisfa'!AB$3:AB$200)-MIN(ROW('Temp Hisfa'!AB$3:AB$200))+1), ROW(179:378))),"")</f>
        <v>0</v>
      </c>
    </row>
    <row r="182" spans="1:28" hidden="1" x14ac:dyDescent="0.3">
      <c r="A182" s="4">
        <f t="array" ref="A182">IFERROR(INDEX('Temp Hisfa'!A$3:A$200, SMALL(IF(ISERROR('Temp Hisfa'!A$3:A$200), "", ROW('Temp Hisfa'!A$3:A$200)-MIN(ROW('Temp Hisfa'!A$3:A$200))+1), ROW(180:378))),"")</f>
        <v>0</v>
      </c>
      <c r="B182" s="4">
        <f t="array" ref="B182">IFERROR(INDEX('Temp Hisfa'!B$3:B$200, SMALL(IF(ISERROR('Temp Hisfa'!B$3:B$200), "", ROW('Temp Hisfa'!B$3:B$200)-MIN(ROW('Temp Hisfa'!B$3:B$200))+1), ROW(180:378))),"")</f>
        <v>0</v>
      </c>
      <c r="C182" s="3">
        <f t="array" ref="C182">IFERROR(INDEX('Temp Hisfa'!C$3:C$200, SMALL(IF(ISERROR('Temp Hisfa'!C$3:C$200), "", ROW('Temp Hisfa'!C$3:C$200)-MIN(ROW('Temp Hisfa'!C$3:C$200))+1), ROW(180:378))),"")</f>
        <v>0</v>
      </c>
      <c r="D182" s="3">
        <f t="array" ref="D182">IFERROR(INDEX('Temp Hisfa'!D$3:D$200, SMALL(IF(ISERROR('Temp Hisfa'!D$3:D$200), "", ROW('Temp Hisfa'!D$3:D$200)-MIN(ROW('Temp Hisfa'!D$3:D$200))+1), ROW(180:378))),"")</f>
        <v>0</v>
      </c>
      <c r="E182" s="29">
        <f t="array" ref="E182">IFERROR(INDEX('Temp Hisfa'!E$3:E$200, SMALL(IF(ISERROR('Temp Hisfa'!E$3:E$200), "", ROW('Temp Hisfa'!E$3:E$200)-MIN(ROW('Temp Hisfa'!E$3:E$200))+1), ROW(180:379))),"")</f>
        <v>0</v>
      </c>
      <c r="F182" s="22" t="str">
        <f t="array" ref="F182">IFERROR(INDEX('Temp Hisfa'!F$3:F$200, SMALL(IF(ISERROR('Temp Hisfa'!F$3:F$200), "", ROW('Temp Hisfa'!F$3:F$200)-MIN(ROW('Temp Hisfa'!F$3:F$200))+1), ROW(180:379))),"")</f>
        <v/>
      </c>
      <c r="G182" s="30">
        <f t="array" ref="G182">IFERROR(INDEX('Temp Hisfa'!G$3:G$200, SMALL(IF(ISERROR('Temp Hisfa'!G$3:G$200), "", ROW('Temp Hisfa'!G$3:G$200)-MIN(ROW('Temp Hisfa'!G$3:G$200))+1), ROW(180:379))),"")</f>
        <v>0</v>
      </c>
      <c r="H182" s="22" t="str">
        <f t="array" ref="H182">IFERROR(INDEX('Temp Hisfa'!H$3:H$200, SMALL(IF(ISERROR('Temp Hisfa'!H$3:H$200), "", ROW('Temp Hisfa'!H$3:H$200)-MIN(ROW('Temp Hisfa'!H$3:H$200))+1), ROW(180:379))),"")</f>
        <v/>
      </c>
      <c r="I182" s="22">
        <f t="array" ref="I182">IFERROR(INDEX('Temp Hisfa'!I$3:I$200, SMALL(IF(ISERROR('Temp Hisfa'!I$3:I$200), "", ROW('Temp Hisfa'!I$3:I$200)-MIN(ROW('Temp Hisfa'!I$3:I$200))+1), ROW(180:379))),"")</f>
        <v>0</v>
      </c>
      <c r="J182" s="22">
        <f t="array" ref="J182">IFERROR(INDEX('Temp Hisfa'!J$3:J$200, SMALL(IF(ISERROR('Temp Hisfa'!J$3:J$200), "", ROW('Temp Hisfa'!J$3:J$200)-MIN(ROW('Temp Hisfa'!J$3:J$200))+1), ROW(180:379))),"")</f>
        <v>0</v>
      </c>
      <c r="K182" s="30">
        <f t="array" ref="K182">IFERROR(INDEX('Temp Hisfa'!K$3:K$200, SMALL(IF(ISERROR('Temp Hisfa'!K$3:K$200), "", ROW('Temp Hisfa'!K$3:K$200)-MIN(ROW('Temp Hisfa'!K$3:K$200))+1), ROW(180:379))),"")</f>
        <v>0</v>
      </c>
      <c r="L182" s="22">
        <f t="array" ref="L182">IFERROR(INDEX('Temp Hisfa'!L$3:L$200, SMALL(IF(ISERROR('Temp Hisfa'!L$3:L$200), "", ROW('Temp Hisfa'!L$3:L$200)-MIN(ROW('Temp Hisfa'!L$3:L$200))+1), ROW(180:379))),"")</f>
        <v>0</v>
      </c>
      <c r="M182" s="22">
        <f t="array" ref="M182">IFERROR(INDEX('Temp Hisfa'!M$3:M$200, SMALL(IF(ISERROR('Temp Hisfa'!M$3:M$200), "", ROW('Temp Hisfa'!M$3:M$200)-MIN(ROW('Temp Hisfa'!M$3:M$200))+1), ROW(180:379))),"")</f>
        <v>0</v>
      </c>
      <c r="N182" s="22">
        <f t="array" ref="N182">IFERROR(INDEX('Temp Hisfa'!N$3:N$200, SMALL(IF(ISERROR('Temp Hisfa'!N$3:N$200), "", ROW('Temp Hisfa'!N$3:N$200)-MIN(ROW('Temp Hisfa'!N$3:N$200))+1), ROW(180:379))),"")</f>
        <v>1900</v>
      </c>
      <c r="O182" s="22" t="str">
        <f t="array" ref="O182">IFERROR(INDEX('Temp Hisfa'!O$3:O$200, SMALL(IF(ISERROR('Temp Hisfa'!O$3:O$200), "", ROW('Temp Hisfa'!O$3:O$200)-MIN(ROW('Temp Hisfa'!O$3:O$200))+1), ROW(180:379))),"")</f>
        <v>enero</v>
      </c>
      <c r="P182" s="22">
        <f t="array" ref="P182">IFERROR(INDEX('Temp Hisfa'!P$3:P$200, SMALL(IF(ISERROR('Temp Hisfa'!P$3:P$200), "", ROW('Temp Hisfa'!P$3:P$200)-MIN(ROW('Temp Hisfa'!P$3:P$200))+1), ROW(180:379))),"")</f>
        <v>0</v>
      </c>
      <c r="Q182" s="22">
        <f t="array" ref="Q182">IFERROR(INDEX('Temp Hisfa'!Q$3:Q$200, SMALL(IF(ISERROR('Temp Hisfa'!Q$3:Q$200), "", ROW('Temp Hisfa'!Q$3:Q$200)-MIN(ROW('Temp Hisfa'!Q$3:Q$200))+1), ROW(180:379))),"")</f>
        <v>0</v>
      </c>
      <c r="R182" s="22">
        <f t="array" ref="R182">IFERROR(INDEX('Temp Hisfa'!R$3:R$200, SMALL(IF(ISERROR('Temp Hisfa'!R$3:R$200), "", ROW('Temp Hisfa'!R$3:R$200)-MIN(ROW('Temp Hisfa'!R$3:R$200))+1), ROW(180:379))),"")</f>
        <v>0</v>
      </c>
      <c r="S182" s="22">
        <f t="array" ref="S182">IFERROR(INDEX('Temp Hisfa'!S$3:S$200, SMALL(IF(ISERROR('Temp Hisfa'!S$3:S$200), "", ROW('Temp Hisfa'!S$3:S$200)-MIN(ROW('Temp Hisfa'!S$3:S$200))+1), ROW(180:379))),"")</f>
        <v>0</v>
      </c>
      <c r="T182" s="22">
        <f t="array" ref="T182">IFERROR(INDEX('Temp Hisfa'!T$3:T$200, SMALL(IF(ISERROR('Temp Hisfa'!T$3:T$200), "", ROW('Temp Hisfa'!T$3:T$200)-MIN(ROW('Temp Hisfa'!T$3:T$200))+1), ROW(180:379))),"")</f>
        <v>0</v>
      </c>
      <c r="U182" s="22">
        <f t="array" ref="U182">IFERROR(INDEX('Temp Hisfa'!U$3:U$200, SMALL(IF(ISERROR('Temp Hisfa'!U$3:U$200), "", ROW('Temp Hisfa'!U$3:U$200)-MIN(ROW('Temp Hisfa'!U$3:U$200))+1), ROW(180:379))),"")</f>
        <v>0</v>
      </c>
      <c r="V182" s="22">
        <f t="array" ref="V182">IFERROR(INDEX('Temp Hisfa'!V$3:V$200, SMALL(IF(ISERROR('Temp Hisfa'!V$3:V$200), "", ROW('Temp Hisfa'!V$3:V$200)-MIN(ROW('Temp Hisfa'!V$3:V$200))+1), ROW(180:379))),"")</f>
        <v>0</v>
      </c>
      <c r="W182" s="22">
        <f t="array" ref="W182">IFERROR(INDEX('Temp Hisfa'!W$3:W$200, SMALL(IF(ISERROR('Temp Hisfa'!W$3:W$200), "", ROW('Temp Hisfa'!W$3:W$200)-MIN(ROW('Temp Hisfa'!W$3:W$200))+1), ROW(180:379))),"")</f>
        <v>0</v>
      </c>
      <c r="X182" s="22">
        <f t="array" ref="X182">IFERROR(INDEX('Temp Hisfa'!X$3:X$200, SMALL(IF(ISERROR('Temp Hisfa'!X$3:X$200), "", ROW('Temp Hisfa'!X$3:X$200)-MIN(ROW('Temp Hisfa'!X$3:X$200))+1), ROW(180:379))),"")</f>
        <v>0</v>
      </c>
      <c r="Y182" s="22">
        <f t="array" ref="Y182">IFERROR(INDEX('Temp Hisfa'!Y$3:Y$200, SMALL(IF(ISERROR('Temp Hisfa'!Y$3:Y$200), "", ROW('Temp Hisfa'!Y$3:Y$200)-MIN(ROW('Temp Hisfa'!Y$3:Y$200))+1), ROW(180:379))),"")</f>
        <v>0</v>
      </c>
      <c r="Z182" s="22">
        <f t="array" ref="Z182">IFERROR(INDEX('Temp Hisfa'!Z$3:Z$200, SMALL(IF(ISERROR('Temp Hisfa'!Z$3:Z$200), "", ROW('Temp Hisfa'!Z$3:Z$200)-MIN(ROW('Temp Hisfa'!Z$3:Z$200))+1), ROW(180:379))),"")</f>
        <v>0</v>
      </c>
      <c r="AA182" s="22">
        <f t="array" ref="AA182">IFERROR(INDEX('Temp Hisfa'!AA$3:AA$200, SMALL(IF(ISERROR('Temp Hisfa'!AA$3:AA$200), "", ROW('Temp Hisfa'!AA$3:AA$200)-MIN(ROW('Temp Hisfa'!AA$3:AA$200))+1), ROW(180:379))),"")</f>
        <v>0</v>
      </c>
      <c r="AB182" s="22">
        <f t="array" ref="AB182">IFERROR(INDEX('Temp Hisfa'!AB$3:AB$200, SMALL(IF(ISERROR('Temp Hisfa'!AB$3:AB$200), "", ROW('Temp Hisfa'!AB$3:AB$200)-MIN(ROW('Temp Hisfa'!AB$3:AB$200))+1), ROW(180:379))),"")</f>
        <v>0</v>
      </c>
    </row>
    <row r="183" spans="1:28" hidden="1" x14ac:dyDescent="0.3">
      <c r="A183" s="4">
        <f t="array" ref="A183">IFERROR(INDEX('Temp Hisfa'!A$3:A$200, SMALL(IF(ISERROR('Temp Hisfa'!A$3:A$200), "", ROW('Temp Hisfa'!A$3:A$200)-MIN(ROW('Temp Hisfa'!A$3:A$200))+1), ROW(181:379))),"")</f>
        <v>0</v>
      </c>
      <c r="B183" s="4">
        <f t="array" ref="B183">IFERROR(INDEX('Temp Hisfa'!B$3:B$200, SMALL(IF(ISERROR('Temp Hisfa'!B$3:B$200), "", ROW('Temp Hisfa'!B$3:B$200)-MIN(ROW('Temp Hisfa'!B$3:B$200))+1), ROW(181:379))),"")</f>
        <v>0</v>
      </c>
      <c r="C183" s="3">
        <f t="array" ref="C183">IFERROR(INDEX('Temp Hisfa'!C$3:C$200, SMALL(IF(ISERROR('Temp Hisfa'!C$3:C$200), "", ROW('Temp Hisfa'!C$3:C$200)-MIN(ROW('Temp Hisfa'!C$3:C$200))+1), ROW(181:379))),"")</f>
        <v>0</v>
      </c>
      <c r="D183" s="3">
        <f t="array" ref="D183">IFERROR(INDEX('Temp Hisfa'!D$3:D$200, SMALL(IF(ISERROR('Temp Hisfa'!D$3:D$200), "", ROW('Temp Hisfa'!D$3:D$200)-MIN(ROW('Temp Hisfa'!D$3:D$200))+1), ROW(181:379))),"")</f>
        <v>0</v>
      </c>
      <c r="E183" s="29">
        <f t="array" ref="E183">IFERROR(INDEX('Temp Hisfa'!E$3:E$200, SMALL(IF(ISERROR('Temp Hisfa'!E$3:E$200), "", ROW('Temp Hisfa'!E$3:E$200)-MIN(ROW('Temp Hisfa'!E$3:E$200))+1), ROW(181:380))),"")</f>
        <v>0</v>
      </c>
      <c r="F183" s="22" t="str">
        <f t="array" ref="F183">IFERROR(INDEX('Temp Hisfa'!F$3:F$200, SMALL(IF(ISERROR('Temp Hisfa'!F$3:F$200), "", ROW('Temp Hisfa'!F$3:F$200)-MIN(ROW('Temp Hisfa'!F$3:F$200))+1), ROW(181:380))),"")</f>
        <v/>
      </c>
      <c r="G183" s="30">
        <f t="array" ref="G183">IFERROR(INDEX('Temp Hisfa'!G$3:G$200, SMALL(IF(ISERROR('Temp Hisfa'!G$3:G$200), "", ROW('Temp Hisfa'!G$3:G$200)-MIN(ROW('Temp Hisfa'!G$3:G$200))+1), ROW(181:380))),"")</f>
        <v>0</v>
      </c>
      <c r="H183" s="22" t="str">
        <f t="array" ref="H183">IFERROR(INDEX('Temp Hisfa'!H$3:H$200, SMALL(IF(ISERROR('Temp Hisfa'!H$3:H$200), "", ROW('Temp Hisfa'!H$3:H$200)-MIN(ROW('Temp Hisfa'!H$3:H$200))+1), ROW(181:380))),"")</f>
        <v/>
      </c>
      <c r="I183" s="22">
        <f t="array" ref="I183">IFERROR(INDEX('Temp Hisfa'!I$3:I$200, SMALL(IF(ISERROR('Temp Hisfa'!I$3:I$200), "", ROW('Temp Hisfa'!I$3:I$200)-MIN(ROW('Temp Hisfa'!I$3:I$200))+1), ROW(181:380))),"")</f>
        <v>0</v>
      </c>
      <c r="J183" s="22">
        <f t="array" ref="J183">IFERROR(INDEX('Temp Hisfa'!J$3:J$200, SMALL(IF(ISERROR('Temp Hisfa'!J$3:J$200), "", ROW('Temp Hisfa'!J$3:J$200)-MIN(ROW('Temp Hisfa'!J$3:J$200))+1), ROW(181:380))),"")</f>
        <v>0</v>
      </c>
      <c r="K183" s="30">
        <f t="array" ref="K183">IFERROR(INDEX('Temp Hisfa'!K$3:K$200, SMALL(IF(ISERROR('Temp Hisfa'!K$3:K$200), "", ROW('Temp Hisfa'!K$3:K$200)-MIN(ROW('Temp Hisfa'!K$3:K$200))+1), ROW(181:380))),"")</f>
        <v>0</v>
      </c>
      <c r="L183" s="22">
        <f t="array" ref="L183">IFERROR(INDEX('Temp Hisfa'!L$3:L$200, SMALL(IF(ISERROR('Temp Hisfa'!L$3:L$200), "", ROW('Temp Hisfa'!L$3:L$200)-MIN(ROW('Temp Hisfa'!L$3:L$200))+1), ROW(181:380))),"")</f>
        <v>0</v>
      </c>
      <c r="M183" s="22">
        <f t="array" ref="M183">IFERROR(INDEX('Temp Hisfa'!M$3:M$200, SMALL(IF(ISERROR('Temp Hisfa'!M$3:M$200), "", ROW('Temp Hisfa'!M$3:M$200)-MIN(ROW('Temp Hisfa'!M$3:M$200))+1), ROW(181:380))),"")</f>
        <v>0</v>
      </c>
      <c r="N183" s="22">
        <f t="array" ref="N183">IFERROR(INDEX('Temp Hisfa'!N$3:N$200, SMALL(IF(ISERROR('Temp Hisfa'!N$3:N$200), "", ROW('Temp Hisfa'!N$3:N$200)-MIN(ROW('Temp Hisfa'!N$3:N$200))+1), ROW(181:380))),"")</f>
        <v>1900</v>
      </c>
      <c r="O183" s="22" t="str">
        <f t="array" ref="O183">IFERROR(INDEX('Temp Hisfa'!O$3:O$200, SMALL(IF(ISERROR('Temp Hisfa'!O$3:O$200), "", ROW('Temp Hisfa'!O$3:O$200)-MIN(ROW('Temp Hisfa'!O$3:O$200))+1), ROW(181:380))),"")</f>
        <v>enero</v>
      </c>
      <c r="P183" s="22">
        <f t="array" ref="P183">IFERROR(INDEX('Temp Hisfa'!P$3:P$200, SMALL(IF(ISERROR('Temp Hisfa'!P$3:P$200), "", ROW('Temp Hisfa'!P$3:P$200)-MIN(ROW('Temp Hisfa'!P$3:P$200))+1), ROW(181:380))),"")</f>
        <v>0</v>
      </c>
      <c r="Q183" s="22">
        <f t="array" ref="Q183">IFERROR(INDEX('Temp Hisfa'!Q$3:Q$200, SMALL(IF(ISERROR('Temp Hisfa'!Q$3:Q$200), "", ROW('Temp Hisfa'!Q$3:Q$200)-MIN(ROW('Temp Hisfa'!Q$3:Q$200))+1), ROW(181:380))),"")</f>
        <v>0</v>
      </c>
      <c r="R183" s="22">
        <f t="array" ref="R183">IFERROR(INDEX('Temp Hisfa'!R$3:R$200, SMALL(IF(ISERROR('Temp Hisfa'!R$3:R$200), "", ROW('Temp Hisfa'!R$3:R$200)-MIN(ROW('Temp Hisfa'!R$3:R$200))+1), ROW(181:380))),"")</f>
        <v>0</v>
      </c>
      <c r="S183" s="22">
        <f t="array" ref="S183">IFERROR(INDEX('Temp Hisfa'!S$3:S$200, SMALL(IF(ISERROR('Temp Hisfa'!S$3:S$200), "", ROW('Temp Hisfa'!S$3:S$200)-MIN(ROW('Temp Hisfa'!S$3:S$200))+1), ROW(181:380))),"")</f>
        <v>0</v>
      </c>
      <c r="T183" s="22">
        <f t="array" ref="T183">IFERROR(INDEX('Temp Hisfa'!T$3:T$200, SMALL(IF(ISERROR('Temp Hisfa'!T$3:T$200), "", ROW('Temp Hisfa'!T$3:T$200)-MIN(ROW('Temp Hisfa'!T$3:T$200))+1), ROW(181:380))),"")</f>
        <v>0</v>
      </c>
      <c r="U183" s="22">
        <f t="array" ref="U183">IFERROR(INDEX('Temp Hisfa'!U$3:U$200, SMALL(IF(ISERROR('Temp Hisfa'!U$3:U$200), "", ROW('Temp Hisfa'!U$3:U$200)-MIN(ROW('Temp Hisfa'!U$3:U$200))+1), ROW(181:380))),"")</f>
        <v>0</v>
      </c>
      <c r="V183" s="22">
        <f t="array" ref="V183">IFERROR(INDEX('Temp Hisfa'!V$3:V$200, SMALL(IF(ISERROR('Temp Hisfa'!V$3:V$200), "", ROW('Temp Hisfa'!V$3:V$200)-MIN(ROW('Temp Hisfa'!V$3:V$200))+1), ROW(181:380))),"")</f>
        <v>0</v>
      </c>
      <c r="W183" s="22">
        <f t="array" ref="W183">IFERROR(INDEX('Temp Hisfa'!W$3:W$200, SMALL(IF(ISERROR('Temp Hisfa'!W$3:W$200), "", ROW('Temp Hisfa'!W$3:W$200)-MIN(ROW('Temp Hisfa'!W$3:W$200))+1), ROW(181:380))),"")</f>
        <v>0</v>
      </c>
      <c r="X183" s="22">
        <f t="array" ref="X183">IFERROR(INDEX('Temp Hisfa'!X$3:X$200, SMALL(IF(ISERROR('Temp Hisfa'!X$3:X$200), "", ROW('Temp Hisfa'!X$3:X$200)-MIN(ROW('Temp Hisfa'!X$3:X$200))+1), ROW(181:380))),"")</f>
        <v>0</v>
      </c>
      <c r="Y183" s="22">
        <f t="array" ref="Y183">IFERROR(INDEX('Temp Hisfa'!Y$3:Y$200, SMALL(IF(ISERROR('Temp Hisfa'!Y$3:Y$200), "", ROW('Temp Hisfa'!Y$3:Y$200)-MIN(ROW('Temp Hisfa'!Y$3:Y$200))+1), ROW(181:380))),"")</f>
        <v>0</v>
      </c>
      <c r="Z183" s="22">
        <f t="array" ref="Z183">IFERROR(INDEX('Temp Hisfa'!Z$3:Z$200, SMALL(IF(ISERROR('Temp Hisfa'!Z$3:Z$200), "", ROW('Temp Hisfa'!Z$3:Z$200)-MIN(ROW('Temp Hisfa'!Z$3:Z$200))+1), ROW(181:380))),"")</f>
        <v>0</v>
      </c>
      <c r="AA183" s="22">
        <f t="array" ref="AA183">IFERROR(INDEX('Temp Hisfa'!AA$3:AA$200, SMALL(IF(ISERROR('Temp Hisfa'!AA$3:AA$200), "", ROW('Temp Hisfa'!AA$3:AA$200)-MIN(ROW('Temp Hisfa'!AA$3:AA$200))+1), ROW(181:380))),"")</f>
        <v>0</v>
      </c>
      <c r="AB183" s="22">
        <f t="array" ref="AB183">IFERROR(INDEX('Temp Hisfa'!AB$3:AB$200, SMALL(IF(ISERROR('Temp Hisfa'!AB$3:AB$200), "", ROW('Temp Hisfa'!AB$3:AB$200)-MIN(ROW('Temp Hisfa'!AB$3:AB$200))+1), ROW(181:380))),"")</f>
        <v>0</v>
      </c>
    </row>
    <row r="184" spans="1:28" hidden="1" x14ac:dyDescent="0.3">
      <c r="A184" s="4">
        <f t="array" ref="A184">IFERROR(INDEX('Temp Hisfa'!A$3:A$200, SMALL(IF(ISERROR('Temp Hisfa'!A$3:A$200), "", ROW('Temp Hisfa'!A$3:A$200)-MIN(ROW('Temp Hisfa'!A$3:A$200))+1), ROW(182:380))),"")</f>
        <v>0</v>
      </c>
      <c r="B184" s="4">
        <f t="array" ref="B184">IFERROR(INDEX('Temp Hisfa'!B$3:B$200, SMALL(IF(ISERROR('Temp Hisfa'!B$3:B$200), "", ROW('Temp Hisfa'!B$3:B$200)-MIN(ROW('Temp Hisfa'!B$3:B$200))+1), ROW(182:380))),"")</f>
        <v>0</v>
      </c>
      <c r="C184" s="3">
        <f t="array" ref="C184">IFERROR(INDEX('Temp Hisfa'!C$3:C$200, SMALL(IF(ISERROR('Temp Hisfa'!C$3:C$200), "", ROW('Temp Hisfa'!C$3:C$200)-MIN(ROW('Temp Hisfa'!C$3:C$200))+1), ROW(182:380))),"")</f>
        <v>0</v>
      </c>
      <c r="D184" s="3">
        <f t="array" ref="D184">IFERROR(INDEX('Temp Hisfa'!D$3:D$200, SMALL(IF(ISERROR('Temp Hisfa'!D$3:D$200), "", ROW('Temp Hisfa'!D$3:D$200)-MIN(ROW('Temp Hisfa'!D$3:D$200))+1), ROW(182:380))),"")</f>
        <v>0</v>
      </c>
      <c r="E184" s="29">
        <f t="array" ref="E184">IFERROR(INDEX('Temp Hisfa'!E$3:E$200, SMALL(IF(ISERROR('Temp Hisfa'!E$3:E$200), "", ROW('Temp Hisfa'!E$3:E$200)-MIN(ROW('Temp Hisfa'!E$3:E$200))+1), ROW(182:381))),"")</f>
        <v>0</v>
      </c>
      <c r="F184" s="22" t="str">
        <f t="array" ref="F184">IFERROR(INDEX('Temp Hisfa'!F$3:F$200, SMALL(IF(ISERROR('Temp Hisfa'!F$3:F$200), "", ROW('Temp Hisfa'!F$3:F$200)-MIN(ROW('Temp Hisfa'!F$3:F$200))+1), ROW(182:381))),"")</f>
        <v/>
      </c>
      <c r="G184" s="30">
        <f t="array" ref="G184">IFERROR(INDEX('Temp Hisfa'!G$3:G$200, SMALL(IF(ISERROR('Temp Hisfa'!G$3:G$200), "", ROW('Temp Hisfa'!G$3:G$200)-MIN(ROW('Temp Hisfa'!G$3:G$200))+1), ROW(182:381))),"")</f>
        <v>0</v>
      </c>
      <c r="H184" s="22" t="str">
        <f t="array" ref="H184">IFERROR(INDEX('Temp Hisfa'!H$3:H$200, SMALL(IF(ISERROR('Temp Hisfa'!H$3:H$200), "", ROW('Temp Hisfa'!H$3:H$200)-MIN(ROW('Temp Hisfa'!H$3:H$200))+1), ROW(182:381))),"")</f>
        <v/>
      </c>
      <c r="I184" s="22">
        <f t="array" ref="I184">IFERROR(INDEX('Temp Hisfa'!I$3:I$200, SMALL(IF(ISERROR('Temp Hisfa'!I$3:I$200), "", ROW('Temp Hisfa'!I$3:I$200)-MIN(ROW('Temp Hisfa'!I$3:I$200))+1), ROW(182:381))),"")</f>
        <v>0</v>
      </c>
      <c r="J184" s="22">
        <f t="array" ref="J184">IFERROR(INDEX('Temp Hisfa'!J$3:J$200, SMALL(IF(ISERROR('Temp Hisfa'!J$3:J$200), "", ROW('Temp Hisfa'!J$3:J$200)-MIN(ROW('Temp Hisfa'!J$3:J$200))+1), ROW(182:381))),"")</f>
        <v>0</v>
      </c>
      <c r="K184" s="30">
        <f t="array" ref="K184">IFERROR(INDEX('Temp Hisfa'!K$3:K$200, SMALL(IF(ISERROR('Temp Hisfa'!K$3:K$200), "", ROW('Temp Hisfa'!K$3:K$200)-MIN(ROW('Temp Hisfa'!K$3:K$200))+1), ROW(182:381))),"")</f>
        <v>0</v>
      </c>
      <c r="L184" s="22">
        <f t="array" ref="L184">IFERROR(INDEX('Temp Hisfa'!L$3:L$200, SMALL(IF(ISERROR('Temp Hisfa'!L$3:L$200), "", ROW('Temp Hisfa'!L$3:L$200)-MIN(ROW('Temp Hisfa'!L$3:L$200))+1), ROW(182:381))),"")</f>
        <v>0</v>
      </c>
      <c r="M184" s="22">
        <f t="array" ref="M184">IFERROR(INDEX('Temp Hisfa'!M$3:M$200, SMALL(IF(ISERROR('Temp Hisfa'!M$3:M$200), "", ROW('Temp Hisfa'!M$3:M$200)-MIN(ROW('Temp Hisfa'!M$3:M$200))+1), ROW(182:381))),"")</f>
        <v>0</v>
      </c>
      <c r="N184" s="22">
        <f t="array" ref="N184">IFERROR(INDEX('Temp Hisfa'!N$3:N$200, SMALL(IF(ISERROR('Temp Hisfa'!N$3:N$200), "", ROW('Temp Hisfa'!N$3:N$200)-MIN(ROW('Temp Hisfa'!N$3:N$200))+1), ROW(182:381))),"")</f>
        <v>1900</v>
      </c>
      <c r="O184" s="22" t="str">
        <f t="array" ref="O184">IFERROR(INDEX('Temp Hisfa'!O$3:O$200, SMALL(IF(ISERROR('Temp Hisfa'!O$3:O$200), "", ROW('Temp Hisfa'!O$3:O$200)-MIN(ROW('Temp Hisfa'!O$3:O$200))+1), ROW(182:381))),"")</f>
        <v>enero</v>
      </c>
      <c r="P184" s="22">
        <f t="array" ref="P184">IFERROR(INDEX('Temp Hisfa'!P$3:P$200, SMALL(IF(ISERROR('Temp Hisfa'!P$3:P$200), "", ROW('Temp Hisfa'!P$3:P$200)-MIN(ROW('Temp Hisfa'!P$3:P$200))+1), ROW(182:381))),"")</f>
        <v>0</v>
      </c>
      <c r="Q184" s="22">
        <f t="array" ref="Q184">IFERROR(INDEX('Temp Hisfa'!Q$3:Q$200, SMALL(IF(ISERROR('Temp Hisfa'!Q$3:Q$200), "", ROW('Temp Hisfa'!Q$3:Q$200)-MIN(ROW('Temp Hisfa'!Q$3:Q$200))+1), ROW(182:381))),"")</f>
        <v>0</v>
      </c>
      <c r="R184" s="22">
        <f t="array" ref="R184">IFERROR(INDEX('Temp Hisfa'!R$3:R$200, SMALL(IF(ISERROR('Temp Hisfa'!R$3:R$200), "", ROW('Temp Hisfa'!R$3:R$200)-MIN(ROW('Temp Hisfa'!R$3:R$200))+1), ROW(182:381))),"")</f>
        <v>0</v>
      </c>
      <c r="S184" s="22">
        <f t="array" ref="S184">IFERROR(INDEX('Temp Hisfa'!S$3:S$200, SMALL(IF(ISERROR('Temp Hisfa'!S$3:S$200), "", ROW('Temp Hisfa'!S$3:S$200)-MIN(ROW('Temp Hisfa'!S$3:S$200))+1), ROW(182:381))),"")</f>
        <v>0</v>
      </c>
      <c r="T184" s="22">
        <f t="array" ref="T184">IFERROR(INDEX('Temp Hisfa'!T$3:T$200, SMALL(IF(ISERROR('Temp Hisfa'!T$3:T$200), "", ROW('Temp Hisfa'!T$3:T$200)-MIN(ROW('Temp Hisfa'!T$3:T$200))+1), ROW(182:381))),"")</f>
        <v>0</v>
      </c>
      <c r="U184" s="22">
        <f t="array" ref="U184">IFERROR(INDEX('Temp Hisfa'!U$3:U$200, SMALL(IF(ISERROR('Temp Hisfa'!U$3:U$200), "", ROW('Temp Hisfa'!U$3:U$200)-MIN(ROW('Temp Hisfa'!U$3:U$200))+1), ROW(182:381))),"")</f>
        <v>0</v>
      </c>
      <c r="V184" s="22">
        <f t="array" ref="V184">IFERROR(INDEX('Temp Hisfa'!V$3:V$200, SMALL(IF(ISERROR('Temp Hisfa'!V$3:V$200), "", ROW('Temp Hisfa'!V$3:V$200)-MIN(ROW('Temp Hisfa'!V$3:V$200))+1), ROW(182:381))),"")</f>
        <v>0</v>
      </c>
      <c r="W184" s="22">
        <f t="array" ref="W184">IFERROR(INDEX('Temp Hisfa'!W$3:W$200, SMALL(IF(ISERROR('Temp Hisfa'!W$3:W$200), "", ROW('Temp Hisfa'!W$3:W$200)-MIN(ROW('Temp Hisfa'!W$3:W$200))+1), ROW(182:381))),"")</f>
        <v>0</v>
      </c>
      <c r="X184" s="22">
        <f t="array" ref="X184">IFERROR(INDEX('Temp Hisfa'!X$3:X$200, SMALL(IF(ISERROR('Temp Hisfa'!X$3:X$200), "", ROW('Temp Hisfa'!X$3:X$200)-MIN(ROW('Temp Hisfa'!X$3:X$200))+1), ROW(182:381))),"")</f>
        <v>0</v>
      </c>
      <c r="Y184" s="22">
        <f t="array" ref="Y184">IFERROR(INDEX('Temp Hisfa'!Y$3:Y$200, SMALL(IF(ISERROR('Temp Hisfa'!Y$3:Y$200), "", ROW('Temp Hisfa'!Y$3:Y$200)-MIN(ROW('Temp Hisfa'!Y$3:Y$200))+1), ROW(182:381))),"")</f>
        <v>0</v>
      </c>
      <c r="Z184" s="22">
        <f t="array" ref="Z184">IFERROR(INDEX('Temp Hisfa'!Z$3:Z$200, SMALL(IF(ISERROR('Temp Hisfa'!Z$3:Z$200), "", ROW('Temp Hisfa'!Z$3:Z$200)-MIN(ROW('Temp Hisfa'!Z$3:Z$200))+1), ROW(182:381))),"")</f>
        <v>0</v>
      </c>
      <c r="AA184" s="22">
        <f t="array" ref="AA184">IFERROR(INDEX('Temp Hisfa'!AA$3:AA$200, SMALL(IF(ISERROR('Temp Hisfa'!AA$3:AA$200), "", ROW('Temp Hisfa'!AA$3:AA$200)-MIN(ROW('Temp Hisfa'!AA$3:AA$200))+1), ROW(182:381))),"")</f>
        <v>0</v>
      </c>
      <c r="AB184" s="22">
        <f t="array" ref="AB184">IFERROR(INDEX('Temp Hisfa'!AB$3:AB$200, SMALL(IF(ISERROR('Temp Hisfa'!AB$3:AB$200), "", ROW('Temp Hisfa'!AB$3:AB$200)-MIN(ROW('Temp Hisfa'!AB$3:AB$200))+1), ROW(182:381))),"")</f>
        <v>0</v>
      </c>
    </row>
    <row r="185" spans="1:28" hidden="1" x14ac:dyDescent="0.3">
      <c r="A185" s="4">
        <f t="array" ref="A185">IFERROR(INDEX('Temp Hisfa'!A$3:A$200, SMALL(IF(ISERROR('Temp Hisfa'!A$3:A$200), "", ROW('Temp Hisfa'!A$3:A$200)-MIN(ROW('Temp Hisfa'!A$3:A$200))+1), ROW(183:381))),"")</f>
        <v>0</v>
      </c>
      <c r="B185" s="4">
        <f t="array" ref="B185">IFERROR(INDEX('Temp Hisfa'!B$3:B$200, SMALL(IF(ISERROR('Temp Hisfa'!B$3:B$200), "", ROW('Temp Hisfa'!B$3:B$200)-MIN(ROW('Temp Hisfa'!B$3:B$200))+1), ROW(183:381))),"")</f>
        <v>0</v>
      </c>
      <c r="C185" s="3">
        <f t="array" ref="C185">IFERROR(INDEX('Temp Hisfa'!C$3:C$200, SMALL(IF(ISERROR('Temp Hisfa'!C$3:C$200), "", ROW('Temp Hisfa'!C$3:C$200)-MIN(ROW('Temp Hisfa'!C$3:C$200))+1), ROW(183:381))),"")</f>
        <v>0</v>
      </c>
      <c r="D185" s="3">
        <f t="array" ref="D185">IFERROR(INDEX('Temp Hisfa'!D$3:D$200, SMALL(IF(ISERROR('Temp Hisfa'!D$3:D$200), "", ROW('Temp Hisfa'!D$3:D$200)-MIN(ROW('Temp Hisfa'!D$3:D$200))+1), ROW(183:381))),"")</f>
        <v>0</v>
      </c>
      <c r="E185" s="29">
        <f t="array" ref="E185">IFERROR(INDEX('Temp Hisfa'!E$3:E$200, SMALL(IF(ISERROR('Temp Hisfa'!E$3:E$200), "", ROW('Temp Hisfa'!E$3:E$200)-MIN(ROW('Temp Hisfa'!E$3:E$200))+1), ROW(183:382))),"")</f>
        <v>0</v>
      </c>
      <c r="F185" s="22" t="str">
        <f t="array" ref="F185">IFERROR(INDEX('Temp Hisfa'!F$3:F$200, SMALL(IF(ISERROR('Temp Hisfa'!F$3:F$200), "", ROW('Temp Hisfa'!F$3:F$200)-MIN(ROW('Temp Hisfa'!F$3:F$200))+1), ROW(183:382))),"")</f>
        <v/>
      </c>
      <c r="G185" s="30">
        <f t="array" ref="G185">IFERROR(INDEX('Temp Hisfa'!G$3:G$200, SMALL(IF(ISERROR('Temp Hisfa'!G$3:G$200), "", ROW('Temp Hisfa'!G$3:G$200)-MIN(ROW('Temp Hisfa'!G$3:G$200))+1), ROW(183:382))),"")</f>
        <v>0</v>
      </c>
      <c r="H185" s="22" t="str">
        <f t="array" ref="H185">IFERROR(INDEX('Temp Hisfa'!H$3:H$200, SMALL(IF(ISERROR('Temp Hisfa'!H$3:H$200), "", ROW('Temp Hisfa'!H$3:H$200)-MIN(ROW('Temp Hisfa'!H$3:H$200))+1), ROW(183:382))),"")</f>
        <v/>
      </c>
      <c r="I185" s="22">
        <f t="array" ref="I185">IFERROR(INDEX('Temp Hisfa'!I$3:I$200, SMALL(IF(ISERROR('Temp Hisfa'!I$3:I$200), "", ROW('Temp Hisfa'!I$3:I$200)-MIN(ROW('Temp Hisfa'!I$3:I$200))+1), ROW(183:382))),"")</f>
        <v>0</v>
      </c>
      <c r="J185" s="22">
        <f t="array" ref="J185">IFERROR(INDEX('Temp Hisfa'!J$3:J$200, SMALL(IF(ISERROR('Temp Hisfa'!J$3:J$200), "", ROW('Temp Hisfa'!J$3:J$200)-MIN(ROW('Temp Hisfa'!J$3:J$200))+1), ROW(183:382))),"")</f>
        <v>0</v>
      </c>
      <c r="K185" s="30">
        <f t="array" ref="K185">IFERROR(INDEX('Temp Hisfa'!K$3:K$200, SMALL(IF(ISERROR('Temp Hisfa'!K$3:K$200), "", ROW('Temp Hisfa'!K$3:K$200)-MIN(ROW('Temp Hisfa'!K$3:K$200))+1), ROW(183:382))),"")</f>
        <v>0</v>
      </c>
      <c r="L185" s="22">
        <f t="array" ref="L185">IFERROR(INDEX('Temp Hisfa'!L$3:L$200, SMALL(IF(ISERROR('Temp Hisfa'!L$3:L$200), "", ROW('Temp Hisfa'!L$3:L$200)-MIN(ROW('Temp Hisfa'!L$3:L$200))+1), ROW(183:382))),"")</f>
        <v>0</v>
      </c>
      <c r="M185" s="22">
        <f t="array" ref="M185">IFERROR(INDEX('Temp Hisfa'!M$3:M$200, SMALL(IF(ISERROR('Temp Hisfa'!M$3:M$200), "", ROW('Temp Hisfa'!M$3:M$200)-MIN(ROW('Temp Hisfa'!M$3:M$200))+1), ROW(183:382))),"")</f>
        <v>0</v>
      </c>
      <c r="N185" s="22">
        <f t="array" ref="N185">IFERROR(INDEX('Temp Hisfa'!N$3:N$200, SMALL(IF(ISERROR('Temp Hisfa'!N$3:N$200), "", ROW('Temp Hisfa'!N$3:N$200)-MIN(ROW('Temp Hisfa'!N$3:N$200))+1), ROW(183:382))),"")</f>
        <v>1900</v>
      </c>
      <c r="O185" s="22" t="str">
        <f t="array" ref="O185">IFERROR(INDEX('Temp Hisfa'!O$3:O$200, SMALL(IF(ISERROR('Temp Hisfa'!O$3:O$200), "", ROW('Temp Hisfa'!O$3:O$200)-MIN(ROW('Temp Hisfa'!O$3:O$200))+1), ROW(183:382))),"")</f>
        <v>enero</v>
      </c>
      <c r="P185" s="22">
        <f t="array" ref="P185">IFERROR(INDEX('Temp Hisfa'!P$3:P$200, SMALL(IF(ISERROR('Temp Hisfa'!P$3:P$200), "", ROW('Temp Hisfa'!P$3:P$200)-MIN(ROW('Temp Hisfa'!P$3:P$200))+1), ROW(183:382))),"")</f>
        <v>0</v>
      </c>
      <c r="Q185" s="22">
        <f t="array" ref="Q185">IFERROR(INDEX('Temp Hisfa'!Q$3:Q$200, SMALL(IF(ISERROR('Temp Hisfa'!Q$3:Q$200), "", ROW('Temp Hisfa'!Q$3:Q$200)-MIN(ROW('Temp Hisfa'!Q$3:Q$200))+1), ROW(183:382))),"")</f>
        <v>0</v>
      </c>
      <c r="R185" s="22">
        <f t="array" ref="R185">IFERROR(INDEX('Temp Hisfa'!R$3:R$200, SMALL(IF(ISERROR('Temp Hisfa'!R$3:R$200), "", ROW('Temp Hisfa'!R$3:R$200)-MIN(ROW('Temp Hisfa'!R$3:R$200))+1), ROW(183:382))),"")</f>
        <v>0</v>
      </c>
      <c r="S185" s="22">
        <f t="array" ref="S185">IFERROR(INDEX('Temp Hisfa'!S$3:S$200, SMALL(IF(ISERROR('Temp Hisfa'!S$3:S$200), "", ROW('Temp Hisfa'!S$3:S$200)-MIN(ROW('Temp Hisfa'!S$3:S$200))+1), ROW(183:382))),"")</f>
        <v>0</v>
      </c>
      <c r="T185" s="22">
        <f t="array" ref="T185">IFERROR(INDEX('Temp Hisfa'!T$3:T$200, SMALL(IF(ISERROR('Temp Hisfa'!T$3:T$200), "", ROW('Temp Hisfa'!T$3:T$200)-MIN(ROW('Temp Hisfa'!T$3:T$200))+1), ROW(183:382))),"")</f>
        <v>0</v>
      </c>
      <c r="U185" s="22">
        <f t="array" ref="U185">IFERROR(INDEX('Temp Hisfa'!U$3:U$200, SMALL(IF(ISERROR('Temp Hisfa'!U$3:U$200), "", ROW('Temp Hisfa'!U$3:U$200)-MIN(ROW('Temp Hisfa'!U$3:U$200))+1), ROW(183:382))),"")</f>
        <v>0</v>
      </c>
      <c r="V185" s="22">
        <f t="array" ref="V185">IFERROR(INDEX('Temp Hisfa'!V$3:V$200, SMALL(IF(ISERROR('Temp Hisfa'!V$3:V$200), "", ROW('Temp Hisfa'!V$3:V$200)-MIN(ROW('Temp Hisfa'!V$3:V$200))+1), ROW(183:382))),"")</f>
        <v>0</v>
      </c>
      <c r="W185" s="22">
        <f t="array" ref="W185">IFERROR(INDEX('Temp Hisfa'!W$3:W$200, SMALL(IF(ISERROR('Temp Hisfa'!W$3:W$200), "", ROW('Temp Hisfa'!W$3:W$200)-MIN(ROW('Temp Hisfa'!W$3:W$200))+1), ROW(183:382))),"")</f>
        <v>0</v>
      </c>
      <c r="X185" s="22">
        <f t="array" ref="X185">IFERROR(INDEX('Temp Hisfa'!X$3:X$200, SMALL(IF(ISERROR('Temp Hisfa'!X$3:X$200), "", ROW('Temp Hisfa'!X$3:X$200)-MIN(ROW('Temp Hisfa'!X$3:X$200))+1), ROW(183:382))),"")</f>
        <v>0</v>
      </c>
      <c r="Y185" s="22">
        <f t="array" ref="Y185">IFERROR(INDEX('Temp Hisfa'!Y$3:Y$200, SMALL(IF(ISERROR('Temp Hisfa'!Y$3:Y$200), "", ROW('Temp Hisfa'!Y$3:Y$200)-MIN(ROW('Temp Hisfa'!Y$3:Y$200))+1), ROW(183:382))),"")</f>
        <v>0</v>
      </c>
      <c r="Z185" s="22">
        <f t="array" ref="Z185">IFERROR(INDEX('Temp Hisfa'!Z$3:Z$200, SMALL(IF(ISERROR('Temp Hisfa'!Z$3:Z$200), "", ROW('Temp Hisfa'!Z$3:Z$200)-MIN(ROW('Temp Hisfa'!Z$3:Z$200))+1), ROW(183:382))),"")</f>
        <v>0</v>
      </c>
      <c r="AA185" s="22">
        <f t="array" ref="AA185">IFERROR(INDEX('Temp Hisfa'!AA$3:AA$200, SMALL(IF(ISERROR('Temp Hisfa'!AA$3:AA$200), "", ROW('Temp Hisfa'!AA$3:AA$200)-MIN(ROW('Temp Hisfa'!AA$3:AA$200))+1), ROW(183:382))),"")</f>
        <v>0</v>
      </c>
      <c r="AB185" s="22">
        <f t="array" ref="AB185">IFERROR(INDEX('Temp Hisfa'!AB$3:AB$200, SMALL(IF(ISERROR('Temp Hisfa'!AB$3:AB$200), "", ROW('Temp Hisfa'!AB$3:AB$200)-MIN(ROW('Temp Hisfa'!AB$3:AB$200))+1), ROW(183:382))),"")</f>
        <v>0</v>
      </c>
    </row>
    <row r="186" spans="1:28" hidden="1" x14ac:dyDescent="0.3">
      <c r="A186" s="4">
        <f t="array" ref="A186">IFERROR(INDEX('Temp Hisfa'!A$3:A$200, SMALL(IF(ISERROR('Temp Hisfa'!A$3:A$200), "", ROW('Temp Hisfa'!A$3:A$200)-MIN(ROW('Temp Hisfa'!A$3:A$200))+1), ROW(184:382))),"")</f>
        <v>0</v>
      </c>
      <c r="B186" s="4">
        <f t="array" ref="B186">IFERROR(INDEX('Temp Hisfa'!B$3:B$200, SMALL(IF(ISERROR('Temp Hisfa'!B$3:B$200), "", ROW('Temp Hisfa'!B$3:B$200)-MIN(ROW('Temp Hisfa'!B$3:B$200))+1), ROW(184:382))),"")</f>
        <v>0</v>
      </c>
      <c r="C186" s="3">
        <f t="array" ref="C186">IFERROR(INDEX('Temp Hisfa'!C$3:C$200, SMALL(IF(ISERROR('Temp Hisfa'!C$3:C$200), "", ROW('Temp Hisfa'!C$3:C$200)-MIN(ROW('Temp Hisfa'!C$3:C$200))+1), ROW(184:382))),"")</f>
        <v>0</v>
      </c>
      <c r="D186" s="3">
        <f t="array" ref="D186">IFERROR(INDEX('Temp Hisfa'!D$3:D$200, SMALL(IF(ISERROR('Temp Hisfa'!D$3:D$200), "", ROW('Temp Hisfa'!D$3:D$200)-MIN(ROW('Temp Hisfa'!D$3:D$200))+1), ROW(184:382))),"")</f>
        <v>0</v>
      </c>
      <c r="E186" s="29">
        <f t="array" ref="E186">IFERROR(INDEX('Temp Hisfa'!E$3:E$200, SMALL(IF(ISERROR('Temp Hisfa'!E$3:E$200), "", ROW('Temp Hisfa'!E$3:E$200)-MIN(ROW('Temp Hisfa'!E$3:E$200))+1), ROW(184:383))),"")</f>
        <v>0</v>
      </c>
      <c r="F186" s="22" t="str">
        <f t="array" ref="F186">IFERROR(INDEX('Temp Hisfa'!F$3:F$200, SMALL(IF(ISERROR('Temp Hisfa'!F$3:F$200), "", ROW('Temp Hisfa'!F$3:F$200)-MIN(ROW('Temp Hisfa'!F$3:F$200))+1), ROW(184:383))),"")</f>
        <v/>
      </c>
      <c r="G186" s="30">
        <f t="array" ref="G186">IFERROR(INDEX('Temp Hisfa'!G$3:G$200, SMALL(IF(ISERROR('Temp Hisfa'!G$3:G$200), "", ROW('Temp Hisfa'!G$3:G$200)-MIN(ROW('Temp Hisfa'!G$3:G$200))+1), ROW(184:383))),"")</f>
        <v>0</v>
      </c>
      <c r="H186" s="22" t="str">
        <f t="array" ref="H186">IFERROR(INDEX('Temp Hisfa'!H$3:H$200, SMALL(IF(ISERROR('Temp Hisfa'!H$3:H$200), "", ROW('Temp Hisfa'!H$3:H$200)-MIN(ROW('Temp Hisfa'!H$3:H$200))+1), ROW(184:383))),"")</f>
        <v/>
      </c>
      <c r="I186" s="22">
        <f t="array" ref="I186">IFERROR(INDEX('Temp Hisfa'!I$3:I$200, SMALL(IF(ISERROR('Temp Hisfa'!I$3:I$200), "", ROW('Temp Hisfa'!I$3:I$200)-MIN(ROW('Temp Hisfa'!I$3:I$200))+1), ROW(184:383))),"")</f>
        <v>0</v>
      </c>
      <c r="J186" s="22">
        <f t="array" ref="J186">IFERROR(INDEX('Temp Hisfa'!J$3:J$200, SMALL(IF(ISERROR('Temp Hisfa'!J$3:J$200), "", ROW('Temp Hisfa'!J$3:J$200)-MIN(ROW('Temp Hisfa'!J$3:J$200))+1), ROW(184:383))),"")</f>
        <v>0</v>
      </c>
      <c r="K186" s="30">
        <f t="array" ref="K186">IFERROR(INDEX('Temp Hisfa'!K$3:K$200, SMALL(IF(ISERROR('Temp Hisfa'!K$3:K$200), "", ROW('Temp Hisfa'!K$3:K$200)-MIN(ROW('Temp Hisfa'!K$3:K$200))+1), ROW(184:383))),"")</f>
        <v>0</v>
      </c>
      <c r="L186" s="22">
        <f t="array" ref="L186">IFERROR(INDEX('Temp Hisfa'!L$3:L$200, SMALL(IF(ISERROR('Temp Hisfa'!L$3:L$200), "", ROW('Temp Hisfa'!L$3:L$200)-MIN(ROW('Temp Hisfa'!L$3:L$200))+1), ROW(184:383))),"")</f>
        <v>0</v>
      </c>
      <c r="M186" s="22">
        <f t="array" ref="M186">IFERROR(INDEX('Temp Hisfa'!M$3:M$200, SMALL(IF(ISERROR('Temp Hisfa'!M$3:M$200), "", ROW('Temp Hisfa'!M$3:M$200)-MIN(ROW('Temp Hisfa'!M$3:M$200))+1), ROW(184:383))),"")</f>
        <v>0</v>
      </c>
      <c r="N186" s="22">
        <f t="array" ref="N186">IFERROR(INDEX('Temp Hisfa'!N$3:N$200, SMALL(IF(ISERROR('Temp Hisfa'!N$3:N$200), "", ROW('Temp Hisfa'!N$3:N$200)-MIN(ROW('Temp Hisfa'!N$3:N$200))+1), ROW(184:383))),"")</f>
        <v>1900</v>
      </c>
      <c r="O186" s="22" t="str">
        <f t="array" ref="O186">IFERROR(INDEX('Temp Hisfa'!O$3:O$200, SMALL(IF(ISERROR('Temp Hisfa'!O$3:O$200), "", ROW('Temp Hisfa'!O$3:O$200)-MIN(ROW('Temp Hisfa'!O$3:O$200))+1), ROW(184:383))),"")</f>
        <v>enero</v>
      </c>
      <c r="P186" s="22">
        <f t="array" ref="P186">IFERROR(INDEX('Temp Hisfa'!P$3:P$200, SMALL(IF(ISERROR('Temp Hisfa'!P$3:P$200), "", ROW('Temp Hisfa'!P$3:P$200)-MIN(ROW('Temp Hisfa'!P$3:P$200))+1), ROW(184:383))),"")</f>
        <v>0</v>
      </c>
      <c r="Q186" s="22">
        <f t="array" ref="Q186">IFERROR(INDEX('Temp Hisfa'!Q$3:Q$200, SMALL(IF(ISERROR('Temp Hisfa'!Q$3:Q$200), "", ROW('Temp Hisfa'!Q$3:Q$200)-MIN(ROW('Temp Hisfa'!Q$3:Q$200))+1), ROW(184:383))),"")</f>
        <v>0</v>
      </c>
      <c r="R186" s="22">
        <f t="array" ref="R186">IFERROR(INDEX('Temp Hisfa'!R$3:R$200, SMALL(IF(ISERROR('Temp Hisfa'!R$3:R$200), "", ROW('Temp Hisfa'!R$3:R$200)-MIN(ROW('Temp Hisfa'!R$3:R$200))+1), ROW(184:383))),"")</f>
        <v>0</v>
      </c>
      <c r="S186" s="22">
        <f t="array" ref="S186">IFERROR(INDEX('Temp Hisfa'!S$3:S$200, SMALL(IF(ISERROR('Temp Hisfa'!S$3:S$200), "", ROW('Temp Hisfa'!S$3:S$200)-MIN(ROW('Temp Hisfa'!S$3:S$200))+1), ROW(184:383))),"")</f>
        <v>0</v>
      </c>
      <c r="T186" s="22">
        <f t="array" ref="T186">IFERROR(INDEX('Temp Hisfa'!T$3:T$200, SMALL(IF(ISERROR('Temp Hisfa'!T$3:T$200), "", ROW('Temp Hisfa'!T$3:T$200)-MIN(ROW('Temp Hisfa'!T$3:T$200))+1), ROW(184:383))),"")</f>
        <v>0</v>
      </c>
      <c r="U186" s="22">
        <f t="array" ref="U186">IFERROR(INDEX('Temp Hisfa'!U$3:U$200, SMALL(IF(ISERROR('Temp Hisfa'!U$3:U$200), "", ROW('Temp Hisfa'!U$3:U$200)-MIN(ROW('Temp Hisfa'!U$3:U$200))+1), ROW(184:383))),"")</f>
        <v>0</v>
      </c>
      <c r="V186" s="22">
        <f t="array" ref="V186">IFERROR(INDEX('Temp Hisfa'!V$3:V$200, SMALL(IF(ISERROR('Temp Hisfa'!V$3:V$200), "", ROW('Temp Hisfa'!V$3:V$200)-MIN(ROW('Temp Hisfa'!V$3:V$200))+1), ROW(184:383))),"")</f>
        <v>0</v>
      </c>
      <c r="W186" s="22">
        <f t="array" ref="W186">IFERROR(INDEX('Temp Hisfa'!W$3:W$200, SMALL(IF(ISERROR('Temp Hisfa'!W$3:W$200), "", ROW('Temp Hisfa'!W$3:W$200)-MIN(ROW('Temp Hisfa'!W$3:W$200))+1), ROW(184:383))),"")</f>
        <v>0</v>
      </c>
      <c r="X186" s="22">
        <f t="array" ref="X186">IFERROR(INDEX('Temp Hisfa'!X$3:X$200, SMALL(IF(ISERROR('Temp Hisfa'!X$3:X$200), "", ROW('Temp Hisfa'!X$3:X$200)-MIN(ROW('Temp Hisfa'!X$3:X$200))+1), ROW(184:383))),"")</f>
        <v>0</v>
      </c>
      <c r="Y186" s="22">
        <f t="array" ref="Y186">IFERROR(INDEX('Temp Hisfa'!Y$3:Y$200, SMALL(IF(ISERROR('Temp Hisfa'!Y$3:Y$200), "", ROW('Temp Hisfa'!Y$3:Y$200)-MIN(ROW('Temp Hisfa'!Y$3:Y$200))+1), ROW(184:383))),"")</f>
        <v>0</v>
      </c>
      <c r="Z186" s="22">
        <f t="array" ref="Z186">IFERROR(INDEX('Temp Hisfa'!Z$3:Z$200, SMALL(IF(ISERROR('Temp Hisfa'!Z$3:Z$200), "", ROW('Temp Hisfa'!Z$3:Z$200)-MIN(ROW('Temp Hisfa'!Z$3:Z$200))+1), ROW(184:383))),"")</f>
        <v>0</v>
      </c>
      <c r="AA186" s="22">
        <f t="array" ref="AA186">IFERROR(INDEX('Temp Hisfa'!AA$3:AA$200, SMALL(IF(ISERROR('Temp Hisfa'!AA$3:AA$200), "", ROW('Temp Hisfa'!AA$3:AA$200)-MIN(ROW('Temp Hisfa'!AA$3:AA$200))+1), ROW(184:383))),"")</f>
        <v>0</v>
      </c>
      <c r="AB186" s="22">
        <f t="array" ref="AB186">IFERROR(INDEX('Temp Hisfa'!AB$3:AB$200, SMALL(IF(ISERROR('Temp Hisfa'!AB$3:AB$200), "", ROW('Temp Hisfa'!AB$3:AB$200)-MIN(ROW('Temp Hisfa'!AB$3:AB$200))+1), ROW(184:383))),"")</f>
        <v>0</v>
      </c>
    </row>
    <row r="187" spans="1:28" hidden="1" x14ac:dyDescent="0.3">
      <c r="A187" s="4">
        <f t="array" ref="A187">IFERROR(INDEX('Temp Hisfa'!A$3:A$200, SMALL(IF(ISERROR('Temp Hisfa'!A$3:A$200), "", ROW('Temp Hisfa'!A$3:A$200)-MIN(ROW('Temp Hisfa'!A$3:A$200))+1), ROW(185:383))),"")</f>
        <v>0</v>
      </c>
      <c r="B187" s="4">
        <f t="array" ref="B187">IFERROR(INDEX('Temp Hisfa'!B$3:B$200, SMALL(IF(ISERROR('Temp Hisfa'!B$3:B$200), "", ROW('Temp Hisfa'!B$3:B$200)-MIN(ROW('Temp Hisfa'!B$3:B$200))+1), ROW(185:383))),"")</f>
        <v>0</v>
      </c>
      <c r="C187" s="3">
        <f t="array" ref="C187">IFERROR(INDEX('Temp Hisfa'!C$3:C$200, SMALL(IF(ISERROR('Temp Hisfa'!C$3:C$200), "", ROW('Temp Hisfa'!C$3:C$200)-MIN(ROW('Temp Hisfa'!C$3:C$200))+1), ROW(185:383))),"")</f>
        <v>0</v>
      </c>
      <c r="D187" s="3">
        <f t="array" ref="D187">IFERROR(INDEX('Temp Hisfa'!D$3:D$200, SMALL(IF(ISERROR('Temp Hisfa'!D$3:D$200), "", ROW('Temp Hisfa'!D$3:D$200)-MIN(ROW('Temp Hisfa'!D$3:D$200))+1), ROW(185:383))),"")</f>
        <v>0</v>
      </c>
      <c r="E187" s="29">
        <f t="array" ref="E187">IFERROR(INDEX('Temp Hisfa'!E$3:E$200, SMALL(IF(ISERROR('Temp Hisfa'!E$3:E$200), "", ROW('Temp Hisfa'!E$3:E$200)-MIN(ROW('Temp Hisfa'!E$3:E$200))+1), ROW(185:384))),"")</f>
        <v>0</v>
      </c>
      <c r="F187" s="22" t="str">
        <f t="array" ref="F187">IFERROR(INDEX('Temp Hisfa'!F$3:F$200, SMALL(IF(ISERROR('Temp Hisfa'!F$3:F$200), "", ROW('Temp Hisfa'!F$3:F$200)-MIN(ROW('Temp Hisfa'!F$3:F$200))+1), ROW(185:384))),"")</f>
        <v/>
      </c>
      <c r="G187" s="30">
        <f t="array" ref="G187">IFERROR(INDEX('Temp Hisfa'!G$3:G$200, SMALL(IF(ISERROR('Temp Hisfa'!G$3:G$200), "", ROW('Temp Hisfa'!G$3:G$200)-MIN(ROW('Temp Hisfa'!G$3:G$200))+1), ROW(185:384))),"")</f>
        <v>0</v>
      </c>
      <c r="H187" s="22" t="str">
        <f t="array" ref="H187">IFERROR(INDEX('Temp Hisfa'!H$3:H$200, SMALL(IF(ISERROR('Temp Hisfa'!H$3:H$200), "", ROW('Temp Hisfa'!H$3:H$200)-MIN(ROW('Temp Hisfa'!H$3:H$200))+1), ROW(185:384))),"")</f>
        <v/>
      </c>
      <c r="I187" s="22">
        <f t="array" ref="I187">IFERROR(INDEX('Temp Hisfa'!I$3:I$200, SMALL(IF(ISERROR('Temp Hisfa'!I$3:I$200), "", ROW('Temp Hisfa'!I$3:I$200)-MIN(ROW('Temp Hisfa'!I$3:I$200))+1), ROW(185:384))),"")</f>
        <v>0</v>
      </c>
      <c r="J187" s="22">
        <f t="array" ref="J187">IFERROR(INDEX('Temp Hisfa'!J$3:J$200, SMALL(IF(ISERROR('Temp Hisfa'!J$3:J$200), "", ROW('Temp Hisfa'!J$3:J$200)-MIN(ROW('Temp Hisfa'!J$3:J$200))+1), ROW(185:384))),"")</f>
        <v>0</v>
      </c>
      <c r="K187" s="30">
        <f t="array" ref="K187">IFERROR(INDEX('Temp Hisfa'!K$3:K$200, SMALL(IF(ISERROR('Temp Hisfa'!K$3:K$200), "", ROW('Temp Hisfa'!K$3:K$200)-MIN(ROW('Temp Hisfa'!K$3:K$200))+1), ROW(185:384))),"")</f>
        <v>0</v>
      </c>
      <c r="L187" s="22">
        <f t="array" ref="L187">IFERROR(INDEX('Temp Hisfa'!L$3:L$200, SMALL(IF(ISERROR('Temp Hisfa'!L$3:L$200), "", ROW('Temp Hisfa'!L$3:L$200)-MIN(ROW('Temp Hisfa'!L$3:L$200))+1), ROW(185:384))),"")</f>
        <v>0</v>
      </c>
      <c r="M187" s="22">
        <f t="array" ref="M187">IFERROR(INDEX('Temp Hisfa'!M$3:M$200, SMALL(IF(ISERROR('Temp Hisfa'!M$3:M$200), "", ROW('Temp Hisfa'!M$3:M$200)-MIN(ROW('Temp Hisfa'!M$3:M$200))+1), ROW(185:384))),"")</f>
        <v>0</v>
      </c>
      <c r="N187" s="22">
        <f t="array" ref="N187">IFERROR(INDEX('Temp Hisfa'!N$3:N$200, SMALL(IF(ISERROR('Temp Hisfa'!N$3:N$200), "", ROW('Temp Hisfa'!N$3:N$200)-MIN(ROW('Temp Hisfa'!N$3:N$200))+1), ROW(185:384))),"")</f>
        <v>1900</v>
      </c>
      <c r="O187" s="22" t="str">
        <f t="array" ref="O187">IFERROR(INDEX('Temp Hisfa'!O$3:O$200, SMALL(IF(ISERROR('Temp Hisfa'!O$3:O$200), "", ROW('Temp Hisfa'!O$3:O$200)-MIN(ROW('Temp Hisfa'!O$3:O$200))+1), ROW(185:384))),"")</f>
        <v>enero</v>
      </c>
      <c r="P187" s="22">
        <f t="array" ref="P187">IFERROR(INDEX('Temp Hisfa'!P$3:P$200, SMALL(IF(ISERROR('Temp Hisfa'!P$3:P$200), "", ROW('Temp Hisfa'!P$3:P$200)-MIN(ROW('Temp Hisfa'!P$3:P$200))+1), ROW(185:384))),"")</f>
        <v>0</v>
      </c>
      <c r="Q187" s="22">
        <f t="array" ref="Q187">IFERROR(INDEX('Temp Hisfa'!Q$3:Q$200, SMALL(IF(ISERROR('Temp Hisfa'!Q$3:Q$200), "", ROW('Temp Hisfa'!Q$3:Q$200)-MIN(ROW('Temp Hisfa'!Q$3:Q$200))+1), ROW(185:384))),"")</f>
        <v>0</v>
      </c>
      <c r="R187" s="22">
        <f t="array" ref="R187">IFERROR(INDEX('Temp Hisfa'!R$3:R$200, SMALL(IF(ISERROR('Temp Hisfa'!R$3:R$200), "", ROW('Temp Hisfa'!R$3:R$200)-MIN(ROW('Temp Hisfa'!R$3:R$200))+1), ROW(185:384))),"")</f>
        <v>0</v>
      </c>
      <c r="S187" s="22">
        <f t="array" ref="S187">IFERROR(INDEX('Temp Hisfa'!S$3:S$200, SMALL(IF(ISERROR('Temp Hisfa'!S$3:S$200), "", ROW('Temp Hisfa'!S$3:S$200)-MIN(ROW('Temp Hisfa'!S$3:S$200))+1), ROW(185:384))),"")</f>
        <v>0</v>
      </c>
      <c r="T187" s="22">
        <f t="array" ref="T187">IFERROR(INDEX('Temp Hisfa'!T$3:T$200, SMALL(IF(ISERROR('Temp Hisfa'!T$3:T$200), "", ROW('Temp Hisfa'!T$3:T$200)-MIN(ROW('Temp Hisfa'!T$3:T$200))+1), ROW(185:384))),"")</f>
        <v>0</v>
      </c>
      <c r="U187" s="22">
        <f t="array" ref="U187">IFERROR(INDEX('Temp Hisfa'!U$3:U$200, SMALL(IF(ISERROR('Temp Hisfa'!U$3:U$200), "", ROW('Temp Hisfa'!U$3:U$200)-MIN(ROW('Temp Hisfa'!U$3:U$200))+1), ROW(185:384))),"")</f>
        <v>0</v>
      </c>
      <c r="V187" s="22">
        <f t="array" ref="V187">IFERROR(INDEX('Temp Hisfa'!V$3:V$200, SMALL(IF(ISERROR('Temp Hisfa'!V$3:V$200), "", ROW('Temp Hisfa'!V$3:V$200)-MIN(ROW('Temp Hisfa'!V$3:V$200))+1), ROW(185:384))),"")</f>
        <v>0</v>
      </c>
      <c r="W187" s="22">
        <f t="array" ref="W187">IFERROR(INDEX('Temp Hisfa'!W$3:W$200, SMALL(IF(ISERROR('Temp Hisfa'!W$3:W$200), "", ROW('Temp Hisfa'!W$3:W$200)-MIN(ROW('Temp Hisfa'!W$3:W$200))+1), ROW(185:384))),"")</f>
        <v>0</v>
      </c>
      <c r="X187" s="22">
        <f t="array" ref="X187">IFERROR(INDEX('Temp Hisfa'!X$3:X$200, SMALL(IF(ISERROR('Temp Hisfa'!X$3:X$200), "", ROW('Temp Hisfa'!X$3:X$200)-MIN(ROW('Temp Hisfa'!X$3:X$200))+1), ROW(185:384))),"")</f>
        <v>0</v>
      </c>
      <c r="Y187" s="22">
        <f t="array" ref="Y187">IFERROR(INDEX('Temp Hisfa'!Y$3:Y$200, SMALL(IF(ISERROR('Temp Hisfa'!Y$3:Y$200), "", ROW('Temp Hisfa'!Y$3:Y$200)-MIN(ROW('Temp Hisfa'!Y$3:Y$200))+1), ROW(185:384))),"")</f>
        <v>0</v>
      </c>
      <c r="Z187" s="22">
        <f t="array" ref="Z187">IFERROR(INDEX('Temp Hisfa'!Z$3:Z$200, SMALL(IF(ISERROR('Temp Hisfa'!Z$3:Z$200), "", ROW('Temp Hisfa'!Z$3:Z$200)-MIN(ROW('Temp Hisfa'!Z$3:Z$200))+1), ROW(185:384))),"")</f>
        <v>0</v>
      </c>
      <c r="AA187" s="22">
        <f t="array" ref="AA187">IFERROR(INDEX('Temp Hisfa'!AA$3:AA$200, SMALL(IF(ISERROR('Temp Hisfa'!AA$3:AA$200), "", ROW('Temp Hisfa'!AA$3:AA$200)-MIN(ROW('Temp Hisfa'!AA$3:AA$200))+1), ROW(185:384))),"")</f>
        <v>0</v>
      </c>
      <c r="AB187" s="22">
        <f t="array" ref="AB187">IFERROR(INDEX('Temp Hisfa'!AB$3:AB$200, SMALL(IF(ISERROR('Temp Hisfa'!AB$3:AB$200), "", ROW('Temp Hisfa'!AB$3:AB$200)-MIN(ROW('Temp Hisfa'!AB$3:AB$200))+1), ROW(185:384))),"")</f>
        <v>0</v>
      </c>
    </row>
    <row r="188" spans="1:28" hidden="1" x14ac:dyDescent="0.3">
      <c r="A188" s="4">
        <f t="array" ref="A188">IFERROR(INDEX('Temp Hisfa'!A$3:A$200, SMALL(IF(ISERROR('Temp Hisfa'!A$3:A$200), "", ROW('Temp Hisfa'!A$3:A$200)-MIN(ROW('Temp Hisfa'!A$3:A$200))+1), ROW(186:384))),"")</f>
        <v>0</v>
      </c>
      <c r="B188" s="4">
        <f t="array" ref="B188">IFERROR(INDEX('Temp Hisfa'!B$3:B$200, SMALL(IF(ISERROR('Temp Hisfa'!B$3:B$200), "", ROW('Temp Hisfa'!B$3:B$200)-MIN(ROW('Temp Hisfa'!B$3:B$200))+1), ROW(186:384))),"")</f>
        <v>0</v>
      </c>
      <c r="C188" s="3">
        <f t="array" ref="C188">IFERROR(INDEX('Temp Hisfa'!C$3:C$200, SMALL(IF(ISERROR('Temp Hisfa'!C$3:C$200), "", ROW('Temp Hisfa'!C$3:C$200)-MIN(ROW('Temp Hisfa'!C$3:C$200))+1), ROW(186:384))),"")</f>
        <v>0</v>
      </c>
      <c r="D188" s="3">
        <f t="array" ref="D188">IFERROR(INDEX('Temp Hisfa'!D$3:D$200, SMALL(IF(ISERROR('Temp Hisfa'!D$3:D$200), "", ROW('Temp Hisfa'!D$3:D$200)-MIN(ROW('Temp Hisfa'!D$3:D$200))+1), ROW(186:384))),"")</f>
        <v>0</v>
      </c>
      <c r="E188" s="29">
        <f t="array" ref="E188">IFERROR(INDEX('Temp Hisfa'!E$3:E$200, SMALL(IF(ISERROR('Temp Hisfa'!E$3:E$200), "", ROW('Temp Hisfa'!E$3:E$200)-MIN(ROW('Temp Hisfa'!E$3:E$200))+1), ROW(186:385))),"")</f>
        <v>0</v>
      </c>
      <c r="F188" s="22" t="str">
        <f t="array" ref="F188">IFERROR(INDEX('Temp Hisfa'!F$3:F$200, SMALL(IF(ISERROR('Temp Hisfa'!F$3:F$200), "", ROW('Temp Hisfa'!F$3:F$200)-MIN(ROW('Temp Hisfa'!F$3:F$200))+1), ROW(186:385))),"")</f>
        <v/>
      </c>
      <c r="G188" s="30">
        <f t="array" ref="G188">IFERROR(INDEX('Temp Hisfa'!G$3:G$200, SMALL(IF(ISERROR('Temp Hisfa'!G$3:G$200), "", ROW('Temp Hisfa'!G$3:G$200)-MIN(ROW('Temp Hisfa'!G$3:G$200))+1), ROW(186:385))),"")</f>
        <v>0</v>
      </c>
      <c r="H188" s="22" t="str">
        <f t="array" ref="H188">IFERROR(INDEX('Temp Hisfa'!H$3:H$200, SMALL(IF(ISERROR('Temp Hisfa'!H$3:H$200), "", ROW('Temp Hisfa'!H$3:H$200)-MIN(ROW('Temp Hisfa'!H$3:H$200))+1), ROW(186:385))),"")</f>
        <v/>
      </c>
      <c r="I188" s="22">
        <f t="array" ref="I188">IFERROR(INDEX('Temp Hisfa'!I$3:I$200, SMALL(IF(ISERROR('Temp Hisfa'!I$3:I$200), "", ROW('Temp Hisfa'!I$3:I$200)-MIN(ROW('Temp Hisfa'!I$3:I$200))+1), ROW(186:385))),"")</f>
        <v>0</v>
      </c>
      <c r="J188" s="22">
        <f t="array" ref="J188">IFERROR(INDEX('Temp Hisfa'!J$3:J$200, SMALL(IF(ISERROR('Temp Hisfa'!J$3:J$200), "", ROW('Temp Hisfa'!J$3:J$200)-MIN(ROW('Temp Hisfa'!J$3:J$200))+1), ROW(186:385))),"")</f>
        <v>0</v>
      </c>
      <c r="K188" s="30">
        <f t="array" ref="K188">IFERROR(INDEX('Temp Hisfa'!K$3:K$200, SMALL(IF(ISERROR('Temp Hisfa'!K$3:K$200), "", ROW('Temp Hisfa'!K$3:K$200)-MIN(ROW('Temp Hisfa'!K$3:K$200))+1), ROW(186:385))),"")</f>
        <v>0</v>
      </c>
      <c r="L188" s="22">
        <f t="array" ref="L188">IFERROR(INDEX('Temp Hisfa'!L$3:L$200, SMALL(IF(ISERROR('Temp Hisfa'!L$3:L$200), "", ROW('Temp Hisfa'!L$3:L$200)-MIN(ROW('Temp Hisfa'!L$3:L$200))+1), ROW(186:385))),"")</f>
        <v>0</v>
      </c>
      <c r="M188" s="22">
        <f t="array" ref="M188">IFERROR(INDEX('Temp Hisfa'!M$3:M$200, SMALL(IF(ISERROR('Temp Hisfa'!M$3:M$200), "", ROW('Temp Hisfa'!M$3:M$200)-MIN(ROW('Temp Hisfa'!M$3:M$200))+1), ROW(186:385))),"")</f>
        <v>0</v>
      </c>
      <c r="N188" s="22">
        <f t="array" ref="N188">IFERROR(INDEX('Temp Hisfa'!N$3:N$200, SMALL(IF(ISERROR('Temp Hisfa'!N$3:N$200), "", ROW('Temp Hisfa'!N$3:N$200)-MIN(ROW('Temp Hisfa'!N$3:N$200))+1), ROW(186:385))),"")</f>
        <v>1900</v>
      </c>
      <c r="O188" s="22" t="str">
        <f t="array" ref="O188">IFERROR(INDEX('Temp Hisfa'!O$3:O$200, SMALL(IF(ISERROR('Temp Hisfa'!O$3:O$200), "", ROW('Temp Hisfa'!O$3:O$200)-MIN(ROW('Temp Hisfa'!O$3:O$200))+1), ROW(186:385))),"")</f>
        <v>enero</v>
      </c>
      <c r="P188" s="22">
        <f t="array" ref="P188">IFERROR(INDEX('Temp Hisfa'!P$3:P$200, SMALL(IF(ISERROR('Temp Hisfa'!P$3:P$200), "", ROW('Temp Hisfa'!P$3:P$200)-MIN(ROW('Temp Hisfa'!P$3:P$200))+1), ROW(186:385))),"")</f>
        <v>0</v>
      </c>
      <c r="Q188" s="22">
        <f t="array" ref="Q188">IFERROR(INDEX('Temp Hisfa'!Q$3:Q$200, SMALL(IF(ISERROR('Temp Hisfa'!Q$3:Q$200), "", ROW('Temp Hisfa'!Q$3:Q$200)-MIN(ROW('Temp Hisfa'!Q$3:Q$200))+1), ROW(186:385))),"")</f>
        <v>0</v>
      </c>
      <c r="R188" s="22">
        <f t="array" ref="R188">IFERROR(INDEX('Temp Hisfa'!R$3:R$200, SMALL(IF(ISERROR('Temp Hisfa'!R$3:R$200), "", ROW('Temp Hisfa'!R$3:R$200)-MIN(ROW('Temp Hisfa'!R$3:R$200))+1), ROW(186:385))),"")</f>
        <v>0</v>
      </c>
      <c r="S188" s="22">
        <f t="array" ref="S188">IFERROR(INDEX('Temp Hisfa'!S$3:S$200, SMALL(IF(ISERROR('Temp Hisfa'!S$3:S$200), "", ROW('Temp Hisfa'!S$3:S$200)-MIN(ROW('Temp Hisfa'!S$3:S$200))+1), ROW(186:385))),"")</f>
        <v>0</v>
      </c>
      <c r="T188" s="22">
        <f t="array" ref="T188">IFERROR(INDEX('Temp Hisfa'!T$3:T$200, SMALL(IF(ISERROR('Temp Hisfa'!T$3:T$200), "", ROW('Temp Hisfa'!T$3:T$200)-MIN(ROW('Temp Hisfa'!T$3:T$200))+1), ROW(186:385))),"")</f>
        <v>0</v>
      </c>
      <c r="U188" s="22">
        <f t="array" ref="U188">IFERROR(INDEX('Temp Hisfa'!U$3:U$200, SMALL(IF(ISERROR('Temp Hisfa'!U$3:U$200), "", ROW('Temp Hisfa'!U$3:U$200)-MIN(ROW('Temp Hisfa'!U$3:U$200))+1), ROW(186:385))),"")</f>
        <v>0</v>
      </c>
      <c r="V188" s="22">
        <f t="array" ref="V188">IFERROR(INDEX('Temp Hisfa'!V$3:V$200, SMALL(IF(ISERROR('Temp Hisfa'!V$3:V$200), "", ROW('Temp Hisfa'!V$3:V$200)-MIN(ROW('Temp Hisfa'!V$3:V$200))+1), ROW(186:385))),"")</f>
        <v>0</v>
      </c>
      <c r="W188" s="22">
        <f t="array" ref="W188">IFERROR(INDEX('Temp Hisfa'!W$3:W$200, SMALL(IF(ISERROR('Temp Hisfa'!W$3:W$200), "", ROW('Temp Hisfa'!W$3:W$200)-MIN(ROW('Temp Hisfa'!W$3:W$200))+1), ROW(186:385))),"")</f>
        <v>0</v>
      </c>
      <c r="X188" s="22">
        <f t="array" ref="X188">IFERROR(INDEX('Temp Hisfa'!X$3:X$200, SMALL(IF(ISERROR('Temp Hisfa'!X$3:X$200), "", ROW('Temp Hisfa'!X$3:X$200)-MIN(ROW('Temp Hisfa'!X$3:X$200))+1), ROW(186:385))),"")</f>
        <v>0</v>
      </c>
      <c r="Y188" s="22">
        <f t="array" ref="Y188">IFERROR(INDEX('Temp Hisfa'!Y$3:Y$200, SMALL(IF(ISERROR('Temp Hisfa'!Y$3:Y$200), "", ROW('Temp Hisfa'!Y$3:Y$200)-MIN(ROW('Temp Hisfa'!Y$3:Y$200))+1), ROW(186:385))),"")</f>
        <v>0</v>
      </c>
      <c r="Z188" s="22">
        <f t="array" ref="Z188">IFERROR(INDEX('Temp Hisfa'!Z$3:Z$200, SMALL(IF(ISERROR('Temp Hisfa'!Z$3:Z$200), "", ROW('Temp Hisfa'!Z$3:Z$200)-MIN(ROW('Temp Hisfa'!Z$3:Z$200))+1), ROW(186:385))),"")</f>
        <v>0</v>
      </c>
      <c r="AA188" s="22">
        <f t="array" ref="AA188">IFERROR(INDEX('Temp Hisfa'!AA$3:AA$200, SMALL(IF(ISERROR('Temp Hisfa'!AA$3:AA$200), "", ROW('Temp Hisfa'!AA$3:AA$200)-MIN(ROW('Temp Hisfa'!AA$3:AA$200))+1), ROW(186:385))),"")</f>
        <v>0</v>
      </c>
      <c r="AB188" s="22">
        <f t="array" ref="AB188">IFERROR(INDEX('Temp Hisfa'!AB$3:AB$200, SMALL(IF(ISERROR('Temp Hisfa'!AB$3:AB$200), "", ROW('Temp Hisfa'!AB$3:AB$200)-MIN(ROW('Temp Hisfa'!AB$3:AB$200))+1), ROW(186:385))),"")</f>
        <v>0</v>
      </c>
    </row>
    <row r="189" spans="1:28" hidden="1" x14ac:dyDescent="0.3">
      <c r="A189" s="4">
        <f t="array" ref="A189">IFERROR(INDEX('Temp Hisfa'!A$3:A$200, SMALL(IF(ISERROR('Temp Hisfa'!A$3:A$200), "", ROW('Temp Hisfa'!A$3:A$200)-MIN(ROW('Temp Hisfa'!A$3:A$200))+1), ROW(187:385))),"")</f>
        <v>0</v>
      </c>
      <c r="B189" s="4">
        <f t="array" ref="B189">IFERROR(INDEX('Temp Hisfa'!B$3:B$200, SMALL(IF(ISERROR('Temp Hisfa'!B$3:B$200), "", ROW('Temp Hisfa'!B$3:B$200)-MIN(ROW('Temp Hisfa'!B$3:B$200))+1), ROW(187:385))),"")</f>
        <v>0</v>
      </c>
      <c r="C189" s="3">
        <f t="array" ref="C189">IFERROR(INDEX('Temp Hisfa'!C$3:C$200, SMALL(IF(ISERROR('Temp Hisfa'!C$3:C$200), "", ROW('Temp Hisfa'!C$3:C$200)-MIN(ROW('Temp Hisfa'!C$3:C$200))+1), ROW(187:385))),"")</f>
        <v>0</v>
      </c>
      <c r="D189" s="3">
        <f t="array" ref="D189">IFERROR(INDEX('Temp Hisfa'!D$3:D$200, SMALL(IF(ISERROR('Temp Hisfa'!D$3:D$200), "", ROW('Temp Hisfa'!D$3:D$200)-MIN(ROW('Temp Hisfa'!D$3:D$200))+1), ROW(187:385))),"")</f>
        <v>0</v>
      </c>
      <c r="E189" s="29">
        <f t="array" ref="E189">IFERROR(INDEX('Temp Hisfa'!E$3:E$200, SMALL(IF(ISERROR('Temp Hisfa'!E$3:E$200), "", ROW('Temp Hisfa'!E$3:E$200)-MIN(ROW('Temp Hisfa'!E$3:E$200))+1), ROW(187:386))),"")</f>
        <v>0</v>
      </c>
      <c r="F189" s="22" t="str">
        <f t="array" ref="F189">IFERROR(INDEX('Temp Hisfa'!F$3:F$200, SMALL(IF(ISERROR('Temp Hisfa'!F$3:F$200), "", ROW('Temp Hisfa'!F$3:F$200)-MIN(ROW('Temp Hisfa'!F$3:F$200))+1), ROW(187:386))),"")</f>
        <v/>
      </c>
      <c r="G189" s="30">
        <f t="array" ref="G189">IFERROR(INDEX('Temp Hisfa'!G$3:G$200, SMALL(IF(ISERROR('Temp Hisfa'!G$3:G$200), "", ROW('Temp Hisfa'!G$3:G$200)-MIN(ROW('Temp Hisfa'!G$3:G$200))+1), ROW(187:386))),"")</f>
        <v>0</v>
      </c>
      <c r="H189" s="22" t="str">
        <f t="array" ref="H189">IFERROR(INDEX('Temp Hisfa'!H$3:H$200, SMALL(IF(ISERROR('Temp Hisfa'!H$3:H$200), "", ROW('Temp Hisfa'!H$3:H$200)-MIN(ROW('Temp Hisfa'!H$3:H$200))+1), ROW(187:386))),"")</f>
        <v/>
      </c>
      <c r="I189" s="22">
        <f t="array" ref="I189">IFERROR(INDEX('Temp Hisfa'!I$3:I$200, SMALL(IF(ISERROR('Temp Hisfa'!I$3:I$200), "", ROW('Temp Hisfa'!I$3:I$200)-MIN(ROW('Temp Hisfa'!I$3:I$200))+1), ROW(187:386))),"")</f>
        <v>0</v>
      </c>
      <c r="J189" s="22">
        <f t="array" ref="J189">IFERROR(INDEX('Temp Hisfa'!J$3:J$200, SMALL(IF(ISERROR('Temp Hisfa'!J$3:J$200), "", ROW('Temp Hisfa'!J$3:J$200)-MIN(ROW('Temp Hisfa'!J$3:J$200))+1), ROW(187:386))),"")</f>
        <v>0</v>
      </c>
      <c r="K189" s="30">
        <f t="array" ref="K189">IFERROR(INDEX('Temp Hisfa'!K$3:K$200, SMALL(IF(ISERROR('Temp Hisfa'!K$3:K$200), "", ROW('Temp Hisfa'!K$3:K$200)-MIN(ROW('Temp Hisfa'!K$3:K$200))+1), ROW(187:386))),"")</f>
        <v>0</v>
      </c>
      <c r="L189" s="22">
        <f t="array" ref="L189">IFERROR(INDEX('Temp Hisfa'!L$3:L$200, SMALL(IF(ISERROR('Temp Hisfa'!L$3:L$200), "", ROW('Temp Hisfa'!L$3:L$200)-MIN(ROW('Temp Hisfa'!L$3:L$200))+1), ROW(187:386))),"")</f>
        <v>0</v>
      </c>
      <c r="M189" s="22">
        <f t="array" ref="M189">IFERROR(INDEX('Temp Hisfa'!M$3:M$200, SMALL(IF(ISERROR('Temp Hisfa'!M$3:M$200), "", ROW('Temp Hisfa'!M$3:M$200)-MIN(ROW('Temp Hisfa'!M$3:M$200))+1), ROW(187:386))),"")</f>
        <v>0</v>
      </c>
      <c r="N189" s="22">
        <f t="array" ref="N189">IFERROR(INDEX('Temp Hisfa'!N$3:N$200, SMALL(IF(ISERROR('Temp Hisfa'!N$3:N$200), "", ROW('Temp Hisfa'!N$3:N$200)-MIN(ROW('Temp Hisfa'!N$3:N$200))+1), ROW(187:386))),"")</f>
        <v>1900</v>
      </c>
      <c r="O189" s="22" t="str">
        <f t="array" ref="O189">IFERROR(INDEX('Temp Hisfa'!O$3:O$200, SMALL(IF(ISERROR('Temp Hisfa'!O$3:O$200), "", ROW('Temp Hisfa'!O$3:O$200)-MIN(ROW('Temp Hisfa'!O$3:O$200))+1), ROW(187:386))),"")</f>
        <v>enero</v>
      </c>
      <c r="P189" s="22">
        <f t="array" ref="P189">IFERROR(INDEX('Temp Hisfa'!P$3:P$200, SMALL(IF(ISERROR('Temp Hisfa'!P$3:P$200), "", ROW('Temp Hisfa'!P$3:P$200)-MIN(ROW('Temp Hisfa'!P$3:P$200))+1), ROW(187:386))),"")</f>
        <v>0</v>
      </c>
      <c r="Q189" s="22">
        <f t="array" ref="Q189">IFERROR(INDEX('Temp Hisfa'!Q$3:Q$200, SMALL(IF(ISERROR('Temp Hisfa'!Q$3:Q$200), "", ROW('Temp Hisfa'!Q$3:Q$200)-MIN(ROW('Temp Hisfa'!Q$3:Q$200))+1), ROW(187:386))),"")</f>
        <v>0</v>
      </c>
      <c r="R189" s="22">
        <f t="array" ref="R189">IFERROR(INDEX('Temp Hisfa'!R$3:R$200, SMALL(IF(ISERROR('Temp Hisfa'!R$3:R$200), "", ROW('Temp Hisfa'!R$3:R$200)-MIN(ROW('Temp Hisfa'!R$3:R$200))+1), ROW(187:386))),"")</f>
        <v>0</v>
      </c>
      <c r="S189" s="22">
        <f t="array" ref="S189">IFERROR(INDEX('Temp Hisfa'!S$3:S$200, SMALL(IF(ISERROR('Temp Hisfa'!S$3:S$200), "", ROW('Temp Hisfa'!S$3:S$200)-MIN(ROW('Temp Hisfa'!S$3:S$200))+1), ROW(187:386))),"")</f>
        <v>0</v>
      </c>
      <c r="T189" s="22">
        <f t="array" ref="T189">IFERROR(INDEX('Temp Hisfa'!T$3:T$200, SMALL(IF(ISERROR('Temp Hisfa'!T$3:T$200), "", ROW('Temp Hisfa'!T$3:T$200)-MIN(ROW('Temp Hisfa'!T$3:T$200))+1), ROW(187:386))),"")</f>
        <v>0</v>
      </c>
      <c r="U189" s="22">
        <f t="array" ref="U189">IFERROR(INDEX('Temp Hisfa'!U$3:U$200, SMALL(IF(ISERROR('Temp Hisfa'!U$3:U$200), "", ROW('Temp Hisfa'!U$3:U$200)-MIN(ROW('Temp Hisfa'!U$3:U$200))+1), ROW(187:386))),"")</f>
        <v>0</v>
      </c>
      <c r="V189" s="22">
        <f t="array" ref="V189">IFERROR(INDEX('Temp Hisfa'!V$3:V$200, SMALL(IF(ISERROR('Temp Hisfa'!V$3:V$200), "", ROW('Temp Hisfa'!V$3:V$200)-MIN(ROW('Temp Hisfa'!V$3:V$200))+1), ROW(187:386))),"")</f>
        <v>0</v>
      </c>
      <c r="W189" s="22">
        <f t="array" ref="W189">IFERROR(INDEX('Temp Hisfa'!W$3:W$200, SMALL(IF(ISERROR('Temp Hisfa'!W$3:W$200), "", ROW('Temp Hisfa'!W$3:W$200)-MIN(ROW('Temp Hisfa'!W$3:W$200))+1), ROW(187:386))),"")</f>
        <v>0</v>
      </c>
      <c r="X189" s="22">
        <f t="array" ref="X189">IFERROR(INDEX('Temp Hisfa'!X$3:X$200, SMALL(IF(ISERROR('Temp Hisfa'!X$3:X$200), "", ROW('Temp Hisfa'!X$3:X$200)-MIN(ROW('Temp Hisfa'!X$3:X$200))+1), ROW(187:386))),"")</f>
        <v>0</v>
      </c>
      <c r="Y189" s="22">
        <f t="array" ref="Y189">IFERROR(INDEX('Temp Hisfa'!Y$3:Y$200, SMALL(IF(ISERROR('Temp Hisfa'!Y$3:Y$200), "", ROW('Temp Hisfa'!Y$3:Y$200)-MIN(ROW('Temp Hisfa'!Y$3:Y$200))+1), ROW(187:386))),"")</f>
        <v>0</v>
      </c>
      <c r="Z189" s="22">
        <f t="array" ref="Z189">IFERROR(INDEX('Temp Hisfa'!Z$3:Z$200, SMALL(IF(ISERROR('Temp Hisfa'!Z$3:Z$200), "", ROW('Temp Hisfa'!Z$3:Z$200)-MIN(ROW('Temp Hisfa'!Z$3:Z$200))+1), ROW(187:386))),"")</f>
        <v>0</v>
      </c>
      <c r="AA189" s="22">
        <f t="array" ref="AA189">IFERROR(INDEX('Temp Hisfa'!AA$3:AA$200, SMALL(IF(ISERROR('Temp Hisfa'!AA$3:AA$200), "", ROW('Temp Hisfa'!AA$3:AA$200)-MIN(ROW('Temp Hisfa'!AA$3:AA$200))+1), ROW(187:386))),"")</f>
        <v>0</v>
      </c>
      <c r="AB189" s="22">
        <f t="array" ref="AB189">IFERROR(INDEX('Temp Hisfa'!AB$3:AB$200, SMALL(IF(ISERROR('Temp Hisfa'!AB$3:AB$200), "", ROW('Temp Hisfa'!AB$3:AB$200)-MIN(ROW('Temp Hisfa'!AB$3:AB$200))+1), ROW(187:386))),"")</f>
        <v>0</v>
      </c>
    </row>
    <row r="190" spans="1:28" hidden="1" x14ac:dyDescent="0.3">
      <c r="A190" s="4">
        <f t="array" ref="A190">IFERROR(INDEX('Temp Hisfa'!A$3:A$200, SMALL(IF(ISERROR('Temp Hisfa'!A$3:A$200), "", ROW('Temp Hisfa'!A$3:A$200)-MIN(ROW('Temp Hisfa'!A$3:A$200))+1), ROW(188:386))),"")</f>
        <v>0</v>
      </c>
      <c r="B190" s="4">
        <f t="array" ref="B190">IFERROR(INDEX('Temp Hisfa'!B$3:B$200, SMALL(IF(ISERROR('Temp Hisfa'!B$3:B$200), "", ROW('Temp Hisfa'!B$3:B$200)-MIN(ROW('Temp Hisfa'!B$3:B$200))+1), ROW(188:386))),"")</f>
        <v>0</v>
      </c>
      <c r="C190" s="3">
        <f t="array" ref="C190">IFERROR(INDEX('Temp Hisfa'!C$3:C$200, SMALL(IF(ISERROR('Temp Hisfa'!C$3:C$200), "", ROW('Temp Hisfa'!C$3:C$200)-MIN(ROW('Temp Hisfa'!C$3:C$200))+1), ROW(188:386))),"")</f>
        <v>0</v>
      </c>
      <c r="D190" s="3">
        <f t="array" ref="D190">IFERROR(INDEX('Temp Hisfa'!D$3:D$200, SMALL(IF(ISERROR('Temp Hisfa'!D$3:D$200), "", ROW('Temp Hisfa'!D$3:D$200)-MIN(ROW('Temp Hisfa'!D$3:D$200))+1), ROW(188:386))),"")</f>
        <v>0</v>
      </c>
      <c r="E190" s="29">
        <f t="array" ref="E190">IFERROR(INDEX('Temp Hisfa'!E$3:E$200, SMALL(IF(ISERROR('Temp Hisfa'!E$3:E$200), "", ROW('Temp Hisfa'!E$3:E$200)-MIN(ROW('Temp Hisfa'!E$3:E$200))+1), ROW(188:387))),"")</f>
        <v>0</v>
      </c>
      <c r="F190" s="22" t="str">
        <f t="array" ref="F190">IFERROR(INDEX('Temp Hisfa'!F$3:F$200, SMALL(IF(ISERROR('Temp Hisfa'!F$3:F$200), "", ROW('Temp Hisfa'!F$3:F$200)-MIN(ROW('Temp Hisfa'!F$3:F$200))+1), ROW(188:387))),"")</f>
        <v/>
      </c>
      <c r="G190" s="30">
        <f t="array" ref="G190">IFERROR(INDEX('Temp Hisfa'!G$3:G$200, SMALL(IF(ISERROR('Temp Hisfa'!G$3:G$200), "", ROW('Temp Hisfa'!G$3:G$200)-MIN(ROW('Temp Hisfa'!G$3:G$200))+1), ROW(188:387))),"")</f>
        <v>0</v>
      </c>
      <c r="H190" s="22" t="str">
        <f t="array" ref="H190">IFERROR(INDEX('Temp Hisfa'!H$3:H$200, SMALL(IF(ISERROR('Temp Hisfa'!H$3:H$200), "", ROW('Temp Hisfa'!H$3:H$200)-MIN(ROW('Temp Hisfa'!H$3:H$200))+1), ROW(188:387))),"")</f>
        <v/>
      </c>
      <c r="I190" s="22">
        <f t="array" ref="I190">IFERROR(INDEX('Temp Hisfa'!I$3:I$200, SMALL(IF(ISERROR('Temp Hisfa'!I$3:I$200), "", ROW('Temp Hisfa'!I$3:I$200)-MIN(ROW('Temp Hisfa'!I$3:I$200))+1), ROW(188:387))),"")</f>
        <v>0</v>
      </c>
      <c r="J190" s="22">
        <f t="array" ref="J190">IFERROR(INDEX('Temp Hisfa'!J$3:J$200, SMALL(IF(ISERROR('Temp Hisfa'!J$3:J$200), "", ROW('Temp Hisfa'!J$3:J$200)-MIN(ROW('Temp Hisfa'!J$3:J$200))+1), ROW(188:387))),"")</f>
        <v>0</v>
      </c>
      <c r="K190" s="30">
        <f t="array" ref="K190">IFERROR(INDEX('Temp Hisfa'!K$3:K$200, SMALL(IF(ISERROR('Temp Hisfa'!K$3:K$200), "", ROW('Temp Hisfa'!K$3:K$200)-MIN(ROW('Temp Hisfa'!K$3:K$200))+1), ROW(188:387))),"")</f>
        <v>0</v>
      </c>
      <c r="L190" s="22">
        <f t="array" ref="L190">IFERROR(INDEX('Temp Hisfa'!L$3:L$200, SMALL(IF(ISERROR('Temp Hisfa'!L$3:L$200), "", ROW('Temp Hisfa'!L$3:L$200)-MIN(ROW('Temp Hisfa'!L$3:L$200))+1), ROW(188:387))),"")</f>
        <v>0</v>
      </c>
      <c r="M190" s="22">
        <f t="array" ref="M190">IFERROR(INDEX('Temp Hisfa'!M$3:M$200, SMALL(IF(ISERROR('Temp Hisfa'!M$3:M$200), "", ROW('Temp Hisfa'!M$3:M$200)-MIN(ROW('Temp Hisfa'!M$3:M$200))+1), ROW(188:387))),"")</f>
        <v>0</v>
      </c>
      <c r="N190" s="22">
        <f t="array" ref="N190">IFERROR(INDEX('Temp Hisfa'!N$3:N$200, SMALL(IF(ISERROR('Temp Hisfa'!N$3:N$200), "", ROW('Temp Hisfa'!N$3:N$200)-MIN(ROW('Temp Hisfa'!N$3:N$200))+1), ROW(188:387))),"")</f>
        <v>1900</v>
      </c>
      <c r="O190" s="22" t="str">
        <f t="array" ref="O190">IFERROR(INDEX('Temp Hisfa'!O$3:O$200, SMALL(IF(ISERROR('Temp Hisfa'!O$3:O$200), "", ROW('Temp Hisfa'!O$3:O$200)-MIN(ROW('Temp Hisfa'!O$3:O$200))+1), ROW(188:387))),"")</f>
        <v>enero</v>
      </c>
      <c r="P190" s="22">
        <f t="array" ref="P190">IFERROR(INDEX('Temp Hisfa'!P$3:P$200, SMALL(IF(ISERROR('Temp Hisfa'!P$3:P$200), "", ROW('Temp Hisfa'!P$3:P$200)-MIN(ROW('Temp Hisfa'!P$3:P$200))+1), ROW(188:387))),"")</f>
        <v>0</v>
      </c>
      <c r="Q190" s="22">
        <f t="array" ref="Q190">IFERROR(INDEX('Temp Hisfa'!Q$3:Q$200, SMALL(IF(ISERROR('Temp Hisfa'!Q$3:Q$200), "", ROW('Temp Hisfa'!Q$3:Q$200)-MIN(ROW('Temp Hisfa'!Q$3:Q$200))+1), ROW(188:387))),"")</f>
        <v>0</v>
      </c>
      <c r="R190" s="22">
        <f t="array" ref="R190">IFERROR(INDEX('Temp Hisfa'!R$3:R$200, SMALL(IF(ISERROR('Temp Hisfa'!R$3:R$200), "", ROW('Temp Hisfa'!R$3:R$200)-MIN(ROW('Temp Hisfa'!R$3:R$200))+1), ROW(188:387))),"")</f>
        <v>0</v>
      </c>
      <c r="S190" s="22">
        <f t="array" ref="S190">IFERROR(INDEX('Temp Hisfa'!S$3:S$200, SMALL(IF(ISERROR('Temp Hisfa'!S$3:S$200), "", ROW('Temp Hisfa'!S$3:S$200)-MIN(ROW('Temp Hisfa'!S$3:S$200))+1), ROW(188:387))),"")</f>
        <v>0</v>
      </c>
      <c r="T190" s="22">
        <f t="array" ref="T190">IFERROR(INDEX('Temp Hisfa'!T$3:T$200, SMALL(IF(ISERROR('Temp Hisfa'!T$3:T$200), "", ROW('Temp Hisfa'!T$3:T$200)-MIN(ROW('Temp Hisfa'!T$3:T$200))+1), ROW(188:387))),"")</f>
        <v>0</v>
      </c>
      <c r="U190" s="22">
        <f t="array" ref="U190">IFERROR(INDEX('Temp Hisfa'!U$3:U$200, SMALL(IF(ISERROR('Temp Hisfa'!U$3:U$200), "", ROW('Temp Hisfa'!U$3:U$200)-MIN(ROW('Temp Hisfa'!U$3:U$200))+1), ROW(188:387))),"")</f>
        <v>0</v>
      </c>
      <c r="V190" s="22">
        <f t="array" ref="V190">IFERROR(INDEX('Temp Hisfa'!V$3:V$200, SMALL(IF(ISERROR('Temp Hisfa'!V$3:V$200), "", ROW('Temp Hisfa'!V$3:V$200)-MIN(ROW('Temp Hisfa'!V$3:V$200))+1), ROW(188:387))),"")</f>
        <v>0</v>
      </c>
      <c r="W190" s="22">
        <f t="array" ref="W190">IFERROR(INDEX('Temp Hisfa'!W$3:W$200, SMALL(IF(ISERROR('Temp Hisfa'!W$3:W$200), "", ROW('Temp Hisfa'!W$3:W$200)-MIN(ROW('Temp Hisfa'!W$3:W$200))+1), ROW(188:387))),"")</f>
        <v>0</v>
      </c>
      <c r="X190" s="22">
        <f t="array" ref="X190">IFERROR(INDEX('Temp Hisfa'!X$3:X$200, SMALL(IF(ISERROR('Temp Hisfa'!X$3:X$200), "", ROW('Temp Hisfa'!X$3:X$200)-MIN(ROW('Temp Hisfa'!X$3:X$200))+1), ROW(188:387))),"")</f>
        <v>0</v>
      </c>
      <c r="Y190" s="22">
        <f t="array" ref="Y190">IFERROR(INDEX('Temp Hisfa'!Y$3:Y$200, SMALL(IF(ISERROR('Temp Hisfa'!Y$3:Y$200), "", ROW('Temp Hisfa'!Y$3:Y$200)-MIN(ROW('Temp Hisfa'!Y$3:Y$200))+1), ROW(188:387))),"")</f>
        <v>0</v>
      </c>
      <c r="Z190" s="22">
        <f t="array" ref="Z190">IFERROR(INDEX('Temp Hisfa'!Z$3:Z$200, SMALL(IF(ISERROR('Temp Hisfa'!Z$3:Z$200), "", ROW('Temp Hisfa'!Z$3:Z$200)-MIN(ROW('Temp Hisfa'!Z$3:Z$200))+1), ROW(188:387))),"")</f>
        <v>0</v>
      </c>
      <c r="AA190" s="22">
        <f t="array" ref="AA190">IFERROR(INDEX('Temp Hisfa'!AA$3:AA$200, SMALL(IF(ISERROR('Temp Hisfa'!AA$3:AA$200), "", ROW('Temp Hisfa'!AA$3:AA$200)-MIN(ROW('Temp Hisfa'!AA$3:AA$200))+1), ROW(188:387))),"")</f>
        <v>0</v>
      </c>
      <c r="AB190" s="22">
        <f t="array" ref="AB190">IFERROR(INDEX('Temp Hisfa'!AB$3:AB$200, SMALL(IF(ISERROR('Temp Hisfa'!AB$3:AB$200), "", ROW('Temp Hisfa'!AB$3:AB$200)-MIN(ROW('Temp Hisfa'!AB$3:AB$200))+1), ROW(188:387))),"")</f>
        <v>0</v>
      </c>
    </row>
    <row r="191" spans="1:28" hidden="1" x14ac:dyDescent="0.3">
      <c r="A191" s="4">
        <f t="array" ref="A191">IFERROR(INDEX('Temp Hisfa'!A$3:A$200, SMALL(IF(ISERROR('Temp Hisfa'!A$3:A$200), "", ROW('Temp Hisfa'!A$3:A$200)-MIN(ROW('Temp Hisfa'!A$3:A$200))+1), ROW(189:387))),"")</f>
        <v>0</v>
      </c>
      <c r="B191" s="4">
        <f t="array" ref="B191">IFERROR(INDEX('Temp Hisfa'!B$3:B$200, SMALL(IF(ISERROR('Temp Hisfa'!B$3:B$200), "", ROW('Temp Hisfa'!B$3:B$200)-MIN(ROW('Temp Hisfa'!B$3:B$200))+1), ROW(189:387))),"")</f>
        <v>0</v>
      </c>
      <c r="C191" s="3">
        <f t="array" ref="C191">IFERROR(INDEX('Temp Hisfa'!C$3:C$200, SMALL(IF(ISERROR('Temp Hisfa'!C$3:C$200), "", ROW('Temp Hisfa'!C$3:C$200)-MIN(ROW('Temp Hisfa'!C$3:C$200))+1), ROW(189:387))),"")</f>
        <v>0</v>
      </c>
      <c r="D191" s="3">
        <f t="array" ref="D191">IFERROR(INDEX('Temp Hisfa'!D$3:D$200, SMALL(IF(ISERROR('Temp Hisfa'!D$3:D$200), "", ROW('Temp Hisfa'!D$3:D$200)-MIN(ROW('Temp Hisfa'!D$3:D$200))+1), ROW(189:387))),"")</f>
        <v>0</v>
      </c>
      <c r="E191" s="29">
        <f t="array" ref="E191">IFERROR(INDEX('Temp Hisfa'!E$3:E$200, SMALL(IF(ISERROR('Temp Hisfa'!E$3:E$200), "", ROW('Temp Hisfa'!E$3:E$200)-MIN(ROW('Temp Hisfa'!E$3:E$200))+1), ROW(189:388))),"")</f>
        <v>0</v>
      </c>
      <c r="F191" s="22" t="str">
        <f t="array" ref="F191">IFERROR(INDEX('Temp Hisfa'!F$3:F$200, SMALL(IF(ISERROR('Temp Hisfa'!F$3:F$200), "", ROW('Temp Hisfa'!F$3:F$200)-MIN(ROW('Temp Hisfa'!F$3:F$200))+1), ROW(189:388))),"")</f>
        <v/>
      </c>
      <c r="G191" s="30">
        <f t="array" ref="G191">IFERROR(INDEX('Temp Hisfa'!G$3:G$200, SMALL(IF(ISERROR('Temp Hisfa'!G$3:G$200), "", ROW('Temp Hisfa'!G$3:G$200)-MIN(ROW('Temp Hisfa'!G$3:G$200))+1), ROW(189:388))),"")</f>
        <v>0</v>
      </c>
      <c r="H191" s="22" t="str">
        <f t="array" ref="H191">IFERROR(INDEX('Temp Hisfa'!H$3:H$200, SMALL(IF(ISERROR('Temp Hisfa'!H$3:H$200), "", ROW('Temp Hisfa'!H$3:H$200)-MIN(ROW('Temp Hisfa'!H$3:H$200))+1), ROW(189:388))),"")</f>
        <v/>
      </c>
      <c r="I191" s="22">
        <f t="array" ref="I191">IFERROR(INDEX('Temp Hisfa'!I$3:I$200, SMALL(IF(ISERROR('Temp Hisfa'!I$3:I$200), "", ROW('Temp Hisfa'!I$3:I$200)-MIN(ROW('Temp Hisfa'!I$3:I$200))+1), ROW(189:388))),"")</f>
        <v>0</v>
      </c>
      <c r="J191" s="22">
        <f t="array" ref="J191">IFERROR(INDEX('Temp Hisfa'!J$3:J$200, SMALL(IF(ISERROR('Temp Hisfa'!J$3:J$200), "", ROW('Temp Hisfa'!J$3:J$200)-MIN(ROW('Temp Hisfa'!J$3:J$200))+1), ROW(189:388))),"")</f>
        <v>0</v>
      </c>
      <c r="K191" s="30">
        <f t="array" ref="K191">IFERROR(INDEX('Temp Hisfa'!K$3:K$200, SMALL(IF(ISERROR('Temp Hisfa'!K$3:K$200), "", ROW('Temp Hisfa'!K$3:K$200)-MIN(ROW('Temp Hisfa'!K$3:K$200))+1), ROW(189:388))),"")</f>
        <v>0</v>
      </c>
      <c r="L191" s="22">
        <f t="array" ref="L191">IFERROR(INDEX('Temp Hisfa'!L$3:L$200, SMALL(IF(ISERROR('Temp Hisfa'!L$3:L$200), "", ROW('Temp Hisfa'!L$3:L$200)-MIN(ROW('Temp Hisfa'!L$3:L$200))+1), ROW(189:388))),"")</f>
        <v>0</v>
      </c>
      <c r="M191" s="22">
        <f t="array" ref="M191">IFERROR(INDEX('Temp Hisfa'!M$3:M$200, SMALL(IF(ISERROR('Temp Hisfa'!M$3:M$200), "", ROW('Temp Hisfa'!M$3:M$200)-MIN(ROW('Temp Hisfa'!M$3:M$200))+1), ROW(189:388))),"")</f>
        <v>0</v>
      </c>
      <c r="N191" s="22">
        <f t="array" ref="N191">IFERROR(INDEX('Temp Hisfa'!N$3:N$200, SMALL(IF(ISERROR('Temp Hisfa'!N$3:N$200), "", ROW('Temp Hisfa'!N$3:N$200)-MIN(ROW('Temp Hisfa'!N$3:N$200))+1), ROW(189:388))),"")</f>
        <v>1900</v>
      </c>
      <c r="O191" s="22" t="str">
        <f t="array" ref="O191">IFERROR(INDEX('Temp Hisfa'!O$3:O$200, SMALL(IF(ISERROR('Temp Hisfa'!O$3:O$200), "", ROW('Temp Hisfa'!O$3:O$200)-MIN(ROW('Temp Hisfa'!O$3:O$200))+1), ROW(189:388))),"")</f>
        <v>enero</v>
      </c>
      <c r="P191" s="22">
        <f t="array" ref="P191">IFERROR(INDEX('Temp Hisfa'!P$3:P$200, SMALL(IF(ISERROR('Temp Hisfa'!P$3:P$200), "", ROW('Temp Hisfa'!P$3:P$200)-MIN(ROW('Temp Hisfa'!P$3:P$200))+1), ROW(189:388))),"")</f>
        <v>0</v>
      </c>
      <c r="Q191" s="22">
        <f t="array" ref="Q191">IFERROR(INDEX('Temp Hisfa'!Q$3:Q$200, SMALL(IF(ISERROR('Temp Hisfa'!Q$3:Q$200), "", ROW('Temp Hisfa'!Q$3:Q$200)-MIN(ROW('Temp Hisfa'!Q$3:Q$200))+1), ROW(189:388))),"")</f>
        <v>0</v>
      </c>
      <c r="R191" s="22">
        <f t="array" ref="R191">IFERROR(INDEX('Temp Hisfa'!R$3:R$200, SMALL(IF(ISERROR('Temp Hisfa'!R$3:R$200), "", ROW('Temp Hisfa'!R$3:R$200)-MIN(ROW('Temp Hisfa'!R$3:R$200))+1), ROW(189:388))),"")</f>
        <v>0</v>
      </c>
      <c r="S191" s="22">
        <f t="array" ref="S191">IFERROR(INDEX('Temp Hisfa'!S$3:S$200, SMALL(IF(ISERROR('Temp Hisfa'!S$3:S$200), "", ROW('Temp Hisfa'!S$3:S$200)-MIN(ROW('Temp Hisfa'!S$3:S$200))+1), ROW(189:388))),"")</f>
        <v>0</v>
      </c>
      <c r="T191" s="22">
        <f t="array" ref="T191">IFERROR(INDEX('Temp Hisfa'!T$3:T$200, SMALL(IF(ISERROR('Temp Hisfa'!T$3:T$200), "", ROW('Temp Hisfa'!T$3:T$200)-MIN(ROW('Temp Hisfa'!T$3:T$200))+1), ROW(189:388))),"")</f>
        <v>0</v>
      </c>
      <c r="U191" s="22">
        <f t="array" ref="U191">IFERROR(INDEX('Temp Hisfa'!U$3:U$200, SMALL(IF(ISERROR('Temp Hisfa'!U$3:U$200), "", ROW('Temp Hisfa'!U$3:U$200)-MIN(ROW('Temp Hisfa'!U$3:U$200))+1), ROW(189:388))),"")</f>
        <v>0</v>
      </c>
      <c r="V191" s="22">
        <f t="array" ref="V191">IFERROR(INDEX('Temp Hisfa'!V$3:V$200, SMALL(IF(ISERROR('Temp Hisfa'!V$3:V$200), "", ROW('Temp Hisfa'!V$3:V$200)-MIN(ROW('Temp Hisfa'!V$3:V$200))+1), ROW(189:388))),"")</f>
        <v>0</v>
      </c>
      <c r="W191" s="22">
        <f t="array" ref="W191">IFERROR(INDEX('Temp Hisfa'!W$3:W$200, SMALL(IF(ISERROR('Temp Hisfa'!W$3:W$200), "", ROW('Temp Hisfa'!W$3:W$200)-MIN(ROW('Temp Hisfa'!W$3:W$200))+1), ROW(189:388))),"")</f>
        <v>0</v>
      </c>
      <c r="X191" s="22">
        <f t="array" ref="X191">IFERROR(INDEX('Temp Hisfa'!X$3:X$200, SMALL(IF(ISERROR('Temp Hisfa'!X$3:X$200), "", ROW('Temp Hisfa'!X$3:X$200)-MIN(ROW('Temp Hisfa'!X$3:X$200))+1), ROW(189:388))),"")</f>
        <v>0</v>
      </c>
      <c r="Y191" s="22">
        <f t="array" ref="Y191">IFERROR(INDEX('Temp Hisfa'!Y$3:Y$200, SMALL(IF(ISERROR('Temp Hisfa'!Y$3:Y$200), "", ROW('Temp Hisfa'!Y$3:Y$200)-MIN(ROW('Temp Hisfa'!Y$3:Y$200))+1), ROW(189:388))),"")</f>
        <v>0</v>
      </c>
      <c r="Z191" s="22">
        <f t="array" ref="Z191">IFERROR(INDEX('Temp Hisfa'!Z$3:Z$200, SMALL(IF(ISERROR('Temp Hisfa'!Z$3:Z$200), "", ROW('Temp Hisfa'!Z$3:Z$200)-MIN(ROW('Temp Hisfa'!Z$3:Z$200))+1), ROW(189:388))),"")</f>
        <v>0</v>
      </c>
      <c r="AA191" s="22">
        <f t="array" ref="AA191">IFERROR(INDEX('Temp Hisfa'!AA$3:AA$200, SMALL(IF(ISERROR('Temp Hisfa'!AA$3:AA$200), "", ROW('Temp Hisfa'!AA$3:AA$200)-MIN(ROW('Temp Hisfa'!AA$3:AA$200))+1), ROW(189:388))),"")</f>
        <v>0</v>
      </c>
      <c r="AB191" s="22">
        <f t="array" ref="AB191">IFERROR(INDEX('Temp Hisfa'!AB$3:AB$200, SMALL(IF(ISERROR('Temp Hisfa'!AB$3:AB$200), "", ROW('Temp Hisfa'!AB$3:AB$200)-MIN(ROW('Temp Hisfa'!AB$3:AB$200))+1), ROW(189:388))),"")</f>
        <v>0</v>
      </c>
    </row>
    <row r="192" spans="1:28" hidden="1" x14ac:dyDescent="0.3">
      <c r="A192" s="4">
        <f t="array" ref="A192">IFERROR(INDEX('Temp Hisfa'!A$3:A$200, SMALL(IF(ISERROR('Temp Hisfa'!A$3:A$200), "", ROW('Temp Hisfa'!A$3:A$200)-MIN(ROW('Temp Hisfa'!A$3:A$200))+1), ROW(190:388))),"")</f>
        <v>0</v>
      </c>
      <c r="B192" s="4">
        <f t="array" ref="B192">IFERROR(INDEX('Temp Hisfa'!B$3:B$200, SMALL(IF(ISERROR('Temp Hisfa'!B$3:B$200), "", ROW('Temp Hisfa'!B$3:B$200)-MIN(ROW('Temp Hisfa'!B$3:B$200))+1), ROW(190:388))),"")</f>
        <v>0</v>
      </c>
      <c r="C192" s="3">
        <f t="array" ref="C192">IFERROR(INDEX('Temp Hisfa'!C$3:C$200, SMALL(IF(ISERROR('Temp Hisfa'!C$3:C$200), "", ROW('Temp Hisfa'!C$3:C$200)-MIN(ROW('Temp Hisfa'!C$3:C$200))+1), ROW(190:388))),"")</f>
        <v>0</v>
      </c>
      <c r="D192" s="3">
        <f t="array" ref="D192">IFERROR(INDEX('Temp Hisfa'!D$3:D$200, SMALL(IF(ISERROR('Temp Hisfa'!D$3:D$200), "", ROW('Temp Hisfa'!D$3:D$200)-MIN(ROW('Temp Hisfa'!D$3:D$200))+1), ROW(190:388))),"")</f>
        <v>0</v>
      </c>
      <c r="E192" s="29">
        <f t="array" ref="E192">IFERROR(INDEX('Temp Hisfa'!E$3:E$200, SMALL(IF(ISERROR('Temp Hisfa'!E$3:E$200), "", ROW('Temp Hisfa'!E$3:E$200)-MIN(ROW('Temp Hisfa'!E$3:E$200))+1), ROW(190:389))),"")</f>
        <v>0</v>
      </c>
      <c r="F192" s="22" t="str">
        <f t="array" ref="F192">IFERROR(INDEX('Temp Hisfa'!F$3:F$200, SMALL(IF(ISERROR('Temp Hisfa'!F$3:F$200), "", ROW('Temp Hisfa'!F$3:F$200)-MIN(ROW('Temp Hisfa'!F$3:F$200))+1), ROW(190:389))),"")</f>
        <v/>
      </c>
      <c r="G192" s="30">
        <f t="array" ref="G192">IFERROR(INDEX('Temp Hisfa'!G$3:G$200, SMALL(IF(ISERROR('Temp Hisfa'!G$3:G$200), "", ROW('Temp Hisfa'!G$3:G$200)-MIN(ROW('Temp Hisfa'!G$3:G$200))+1), ROW(190:389))),"")</f>
        <v>0</v>
      </c>
      <c r="H192" s="22" t="str">
        <f t="array" ref="H192">IFERROR(INDEX('Temp Hisfa'!H$3:H$200, SMALL(IF(ISERROR('Temp Hisfa'!H$3:H$200), "", ROW('Temp Hisfa'!H$3:H$200)-MIN(ROW('Temp Hisfa'!H$3:H$200))+1), ROW(190:389))),"")</f>
        <v/>
      </c>
      <c r="I192" s="22">
        <f t="array" ref="I192">IFERROR(INDEX('Temp Hisfa'!I$3:I$200, SMALL(IF(ISERROR('Temp Hisfa'!I$3:I$200), "", ROW('Temp Hisfa'!I$3:I$200)-MIN(ROW('Temp Hisfa'!I$3:I$200))+1), ROW(190:389))),"")</f>
        <v>0</v>
      </c>
      <c r="J192" s="22">
        <f t="array" ref="J192">IFERROR(INDEX('Temp Hisfa'!J$3:J$200, SMALL(IF(ISERROR('Temp Hisfa'!J$3:J$200), "", ROW('Temp Hisfa'!J$3:J$200)-MIN(ROW('Temp Hisfa'!J$3:J$200))+1), ROW(190:389))),"")</f>
        <v>0</v>
      </c>
      <c r="K192" s="30">
        <f t="array" ref="K192">IFERROR(INDEX('Temp Hisfa'!K$3:K$200, SMALL(IF(ISERROR('Temp Hisfa'!K$3:K$200), "", ROW('Temp Hisfa'!K$3:K$200)-MIN(ROW('Temp Hisfa'!K$3:K$200))+1), ROW(190:389))),"")</f>
        <v>0</v>
      </c>
      <c r="L192" s="22">
        <f t="array" ref="L192">IFERROR(INDEX('Temp Hisfa'!L$3:L$200, SMALL(IF(ISERROR('Temp Hisfa'!L$3:L$200), "", ROW('Temp Hisfa'!L$3:L$200)-MIN(ROW('Temp Hisfa'!L$3:L$200))+1), ROW(190:389))),"")</f>
        <v>0</v>
      </c>
      <c r="M192" s="22">
        <f t="array" ref="M192">IFERROR(INDEX('Temp Hisfa'!M$3:M$200, SMALL(IF(ISERROR('Temp Hisfa'!M$3:M$200), "", ROW('Temp Hisfa'!M$3:M$200)-MIN(ROW('Temp Hisfa'!M$3:M$200))+1), ROW(190:389))),"")</f>
        <v>0</v>
      </c>
      <c r="N192" s="22">
        <f t="array" ref="N192">IFERROR(INDEX('Temp Hisfa'!N$3:N$200, SMALL(IF(ISERROR('Temp Hisfa'!N$3:N$200), "", ROW('Temp Hisfa'!N$3:N$200)-MIN(ROW('Temp Hisfa'!N$3:N$200))+1), ROW(190:389))),"")</f>
        <v>1900</v>
      </c>
      <c r="O192" s="22" t="str">
        <f t="array" ref="O192">IFERROR(INDEX('Temp Hisfa'!O$3:O$200, SMALL(IF(ISERROR('Temp Hisfa'!O$3:O$200), "", ROW('Temp Hisfa'!O$3:O$200)-MIN(ROW('Temp Hisfa'!O$3:O$200))+1), ROW(190:389))),"")</f>
        <v>enero</v>
      </c>
      <c r="P192" s="22">
        <f t="array" ref="P192">IFERROR(INDEX('Temp Hisfa'!P$3:P$200, SMALL(IF(ISERROR('Temp Hisfa'!P$3:P$200), "", ROW('Temp Hisfa'!P$3:P$200)-MIN(ROW('Temp Hisfa'!P$3:P$200))+1), ROW(190:389))),"")</f>
        <v>0</v>
      </c>
      <c r="Q192" s="22">
        <f t="array" ref="Q192">IFERROR(INDEX('Temp Hisfa'!Q$3:Q$200, SMALL(IF(ISERROR('Temp Hisfa'!Q$3:Q$200), "", ROW('Temp Hisfa'!Q$3:Q$200)-MIN(ROW('Temp Hisfa'!Q$3:Q$200))+1), ROW(190:389))),"")</f>
        <v>0</v>
      </c>
      <c r="R192" s="22">
        <f t="array" ref="R192">IFERROR(INDEX('Temp Hisfa'!R$3:R$200, SMALL(IF(ISERROR('Temp Hisfa'!R$3:R$200), "", ROW('Temp Hisfa'!R$3:R$200)-MIN(ROW('Temp Hisfa'!R$3:R$200))+1), ROW(190:389))),"")</f>
        <v>0</v>
      </c>
      <c r="S192" s="22">
        <f t="array" ref="S192">IFERROR(INDEX('Temp Hisfa'!S$3:S$200, SMALL(IF(ISERROR('Temp Hisfa'!S$3:S$200), "", ROW('Temp Hisfa'!S$3:S$200)-MIN(ROW('Temp Hisfa'!S$3:S$200))+1), ROW(190:389))),"")</f>
        <v>0</v>
      </c>
      <c r="T192" s="22">
        <f t="array" ref="T192">IFERROR(INDEX('Temp Hisfa'!T$3:T$200, SMALL(IF(ISERROR('Temp Hisfa'!T$3:T$200), "", ROW('Temp Hisfa'!T$3:T$200)-MIN(ROW('Temp Hisfa'!T$3:T$200))+1), ROW(190:389))),"")</f>
        <v>0</v>
      </c>
      <c r="U192" s="22">
        <f t="array" ref="U192">IFERROR(INDEX('Temp Hisfa'!U$3:U$200, SMALL(IF(ISERROR('Temp Hisfa'!U$3:U$200), "", ROW('Temp Hisfa'!U$3:U$200)-MIN(ROW('Temp Hisfa'!U$3:U$200))+1), ROW(190:389))),"")</f>
        <v>0</v>
      </c>
      <c r="V192" s="22">
        <f t="array" ref="V192">IFERROR(INDEX('Temp Hisfa'!V$3:V$200, SMALL(IF(ISERROR('Temp Hisfa'!V$3:V$200), "", ROW('Temp Hisfa'!V$3:V$200)-MIN(ROW('Temp Hisfa'!V$3:V$200))+1), ROW(190:389))),"")</f>
        <v>0</v>
      </c>
      <c r="W192" s="22">
        <f t="array" ref="W192">IFERROR(INDEX('Temp Hisfa'!W$3:W$200, SMALL(IF(ISERROR('Temp Hisfa'!W$3:W$200), "", ROW('Temp Hisfa'!W$3:W$200)-MIN(ROW('Temp Hisfa'!W$3:W$200))+1), ROW(190:389))),"")</f>
        <v>0</v>
      </c>
      <c r="X192" s="22">
        <f t="array" ref="X192">IFERROR(INDEX('Temp Hisfa'!X$3:X$200, SMALL(IF(ISERROR('Temp Hisfa'!X$3:X$200), "", ROW('Temp Hisfa'!X$3:X$200)-MIN(ROW('Temp Hisfa'!X$3:X$200))+1), ROW(190:389))),"")</f>
        <v>0</v>
      </c>
      <c r="Y192" s="22">
        <f t="array" ref="Y192">IFERROR(INDEX('Temp Hisfa'!Y$3:Y$200, SMALL(IF(ISERROR('Temp Hisfa'!Y$3:Y$200), "", ROW('Temp Hisfa'!Y$3:Y$200)-MIN(ROW('Temp Hisfa'!Y$3:Y$200))+1), ROW(190:389))),"")</f>
        <v>0</v>
      </c>
      <c r="Z192" s="22">
        <f t="array" ref="Z192">IFERROR(INDEX('Temp Hisfa'!Z$3:Z$200, SMALL(IF(ISERROR('Temp Hisfa'!Z$3:Z$200), "", ROW('Temp Hisfa'!Z$3:Z$200)-MIN(ROW('Temp Hisfa'!Z$3:Z$200))+1), ROW(190:389))),"")</f>
        <v>0</v>
      </c>
      <c r="AA192" s="22">
        <f t="array" ref="AA192">IFERROR(INDEX('Temp Hisfa'!AA$3:AA$200, SMALL(IF(ISERROR('Temp Hisfa'!AA$3:AA$200), "", ROW('Temp Hisfa'!AA$3:AA$200)-MIN(ROW('Temp Hisfa'!AA$3:AA$200))+1), ROW(190:389))),"")</f>
        <v>0</v>
      </c>
      <c r="AB192" s="22">
        <f t="array" ref="AB192">IFERROR(INDEX('Temp Hisfa'!AB$3:AB$200, SMALL(IF(ISERROR('Temp Hisfa'!AB$3:AB$200), "", ROW('Temp Hisfa'!AB$3:AB$200)-MIN(ROW('Temp Hisfa'!AB$3:AB$200))+1), ROW(190:389))),"")</f>
        <v>0</v>
      </c>
    </row>
    <row r="193" spans="1:28" hidden="1" x14ac:dyDescent="0.3">
      <c r="A193" s="4">
        <f t="array" ref="A193">IFERROR(INDEX('Temp Hisfa'!A$3:A$200, SMALL(IF(ISERROR('Temp Hisfa'!A$3:A$200), "", ROW('Temp Hisfa'!A$3:A$200)-MIN(ROW('Temp Hisfa'!A$3:A$200))+1), ROW(191:389))),"")</f>
        <v>0</v>
      </c>
      <c r="B193" s="4">
        <f t="array" ref="B193">IFERROR(INDEX('Temp Hisfa'!B$3:B$200, SMALL(IF(ISERROR('Temp Hisfa'!B$3:B$200), "", ROW('Temp Hisfa'!B$3:B$200)-MIN(ROW('Temp Hisfa'!B$3:B$200))+1), ROW(191:389))),"")</f>
        <v>0</v>
      </c>
      <c r="C193" s="3">
        <f t="array" ref="C193">IFERROR(INDEX('Temp Hisfa'!C$3:C$200, SMALL(IF(ISERROR('Temp Hisfa'!C$3:C$200), "", ROW('Temp Hisfa'!C$3:C$200)-MIN(ROW('Temp Hisfa'!C$3:C$200))+1), ROW(191:389))),"")</f>
        <v>0</v>
      </c>
      <c r="D193" s="3">
        <f t="array" ref="D193">IFERROR(INDEX('Temp Hisfa'!D$3:D$200, SMALL(IF(ISERROR('Temp Hisfa'!D$3:D$200), "", ROW('Temp Hisfa'!D$3:D$200)-MIN(ROW('Temp Hisfa'!D$3:D$200))+1), ROW(191:389))),"")</f>
        <v>0</v>
      </c>
      <c r="E193" s="29">
        <f t="array" ref="E193">IFERROR(INDEX('Temp Hisfa'!E$3:E$200, SMALL(IF(ISERROR('Temp Hisfa'!E$3:E$200), "", ROW('Temp Hisfa'!E$3:E$200)-MIN(ROW('Temp Hisfa'!E$3:E$200))+1), ROW(191:390))),"")</f>
        <v>0</v>
      </c>
      <c r="F193" s="22" t="str">
        <f t="array" ref="F193">IFERROR(INDEX('Temp Hisfa'!F$3:F$200, SMALL(IF(ISERROR('Temp Hisfa'!F$3:F$200), "", ROW('Temp Hisfa'!F$3:F$200)-MIN(ROW('Temp Hisfa'!F$3:F$200))+1), ROW(191:390))),"")</f>
        <v/>
      </c>
      <c r="G193" s="30">
        <f t="array" ref="G193">IFERROR(INDEX('Temp Hisfa'!G$3:G$200, SMALL(IF(ISERROR('Temp Hisfa'!G$3:G$200), "", ROW('Temp Hisfa'!G$3:G$200)-MIN(ROW('Temp Hisfa'!G$3:G$200))+1), ROW(191:390))),"")</f>
        <v>0</v>
      </c>
      <c r="H193" s="22" t="str">
        <f t="array" ref="H193">IFERROR(INDEX('Temp Hisfa'!H$3:H$200, SMALL(IF(ISERROR('Temp Hisfa'!H$3:H$200), "", ROW('Temp Hisfa'!H$3:H$200)-MIN(ROW('Temp Hisfa'!H$3:H$200))+1), ROW(191:390))),"")</f>
        <v/>
      </c>
      <c r="I193" s="22">
        <f t="array" ref="I193">IFERROR(INDEX('Temp Hisfa'!I$3:I$200, SMALL(IF(ISERROR('Temp Hisfa'!I$3:I$200), "", ROW('Temp Hisfa'!I$3:I$200)-MIN(ROW('Temp Hisfa'!I$3:I$200))+1), ROW(191:390))),"")</f>
        <v>0</v>
      </c>
      <c r="J193" s="22">
        <f t="array" ref="J193">IFERROR(INDEX('Temp Hisfa'!J$3:J$200, SMALL(IF(ISERROR('Temp Hisfa'!J$3:J$200), "", ROW('Temp Hisfa'!J$3:J$200)-MIN(ROW('Temp Hisfa'!J$3:J$200))+1), ROW(191:390))),"")</f>
        <v>0</v>
      </c>
      <c r="K193" s="30">
        <f t="array" ref="K193">IFERROR(INDEX('Temp Hisfa'!K$3:K$200, SMALL(IF(ISERROR('Temp Hisfa'!K$3:K$200), "", ROW('Temp Hisfa'!K$3:K$200)-MIN(ROW('Temp Hisfa'!K$3:K$200))+1), ROW(191:390))),"")</f>
        <v>0</v>
      </c>
      <c r="L193" s="22">
        <f t="array" ref="L193">IFERROR(INDEX('Temp Hisfa'!L$3:L$200, SMALL(IF(ISERROR('Temp Hisfa'!L$3:L$200), "", ROW('Temp Hisfa'!L$3:L$200)-MIN(ROW('Temp Hisfa'!L$3:L$200))+1), ROW(191:390))),"")</f>
        <v>0</v>
      </c>
      <c r="M193" s="22">
        <f t="array" ref="M193">IFERROR(INDEX('Temp Hisfa'!M$3:M$200, SMALL(IF(ISERROR('Temp Hisfa'!M$3:M$200), "", ROW('Temp Hisfa'!M$3:M$200)-MIN(ROW('Temp Hisfa'!M$3:M$200))+1), ROW(191:390))),"")</f>
        <v>0</v>
      </c>
      <c r="N193" s="22">
        <f t="array" ref="N193">IFERROR(INDEX('Temp Hisfa'!N$3:N$200, SMALL(IF(ISERROR('Temp Hisfa'!N$3:N$200), "", ROW('Temp Hisfa'!N$3:N$200)-MIN(ROW('Temp Hisfa'!N$3:N$200))+1), ROW(191:390))),"")</f>
        <v>1900</v>
      </c>
      <c r="O193" s="22" t="str">
        <f t="array" ref="O193">IFERROR(INDEX('Temp Hisfa'!O$3:O$200, SMALL(IF(ISERROR('Temp Hisfa'!O$3:O$200), "", ROW('Temp Hisfa'!O$3:O$200)-MIN(ROW('Temp Hisfa'!O$3:O$200))+1), ROW(191:390))),"")</f>
        <v>enero</v>
      </c>
      <c r="P193" s="22">
        <f t="array" ref="P193">IFERROR(INDEX('Temp Hisfa'!P$3:P$200, SMALL(IF(ISERROR('Temp Hisfa'!P$3:P$200), "", ROW('Temp Hisfa'!P$3:P$200)-MIN(ROW('Temp Hisfa'!P$3:P$200))+1), ROW(191:390))),"")</f>
        <v>0</v>
      </c>
      <c r="Q193" s="22">
        <f t="array" ref="Q193">IFERROR(INDEX('Temp Hisfa'!Q$3:Q$200, SMALL(IF(ISERROR('Temp Hisfa'!Q$3:Q$200), "", ROW('Temp Hisfa'!Q$3:Q$200)-MIN(ROW('Temp Hisfa'!Q$3:Q$200))+1), ROW(191:390))),"")</f>
        <v>0</v>
      </c>
      <c r="R193" s="22">
        <f t="array" ref="R193">IFERROR(INDEX('Temp Hisfa'!R$3:R$200, SMALL(IF(ISERROR('Temp Hisfa'!R$3:R$200), "", ROW('Temp Hisfa'!R$3:R$200)-MIN(ROW('Temp Hisfa'!R$3:R$200))+1), ROW(191:390))),"")</f>
        <v>0</v>
      </c>
      <c r="S193" s="22">
        <f t="array" ref="S193">IFERROR(INDEX('Temp Hisfa'!S$3:S$200, SMALL(IF(ISERROR('Temp Hisfa'!S$3:S$200), "", ROW('Temp Hisfa'!S$3:S$200)-MIN(ROW('Temp Hisfa'!S$3:S$200))+1), ROW(191:390))),"")</f>
        <v>0</v>
      </c>
      <c r="T193" s="22">
        <f t="array" ref="T193">IFERROR(INDEX('Temp Hisfa'!T$3:T$200, SMALL(IF(ISERROR('Temp Hisfa'!T$3:T$200), "", ROW('Temp Hisfa'!T$3:T$200)-MIN(ROW('Temp Hisfa'!T$3:T$200))+1), ROW(191:390))),"")</f>
        <v>0</v>
      </c>
      <c r="U193" s="22">
        <f t="array" ref="U193">IFERROR(INDEX('Temp Hisfa'!U$3:U$200, SMALL(IF(ISERROR('Temp Hisfa'!U$3:U$200), "", ROW('Temp Hisfa'!U$3:U$200)-MIN(ROW('Temp Hisfa'!U$3:U$200))+1), ROW(191:390))),"")</f>
        <v>0</v>
      </c>
      <c r="V193" s="22">
        <f t="array" ref="V193">IFERROR(INDEX('Temp Hisfa'!V$3:V$200, SMALL(IF(ISERROR('Temp Hisfa'!V$3:V$200), "", ROW('Temp Hisfa'!V$3:V$200)-MIN(ROW('Temp Hisfa'!V$3:V$200))+1), ROW(191:390))),"")</f>
        <v>0</v>
      </c>
      <c r="W193" s="22">
        <f t="array" ref="W193">IFERROR(INDEX('Temp Hisfa'!W$3:W$200, SMALL(IF(ISERROR('Temp Hisfa'!W$3:W$200), "", ROW('Temp Hisfa'!W$3:W$200)-MIN(ROW('Temp Hisfa'!W$3:W$200))+1), ROW(191:390))),"")</f>
        <v>0</v>
      </c>
      <c r="X193" s="22">
        <f t="array" ref="X193">IFERROR(INDEX('Temp Hisfa'!X$3:X$200, SMALL(IF(ISERROR('Temp Hisfa'!X$3:X$200), "", ROW('Temp Hisfa'!X$3:X$200)-MIN(ROW('Temp Hisfa'!X$3:X$200))+1), ROW(191:390))),"")</f>
        <v>0</v>
      </c>
      <c r="Y193" s="22">
        <f t="array" ref="Y193">IFERROR(INDEX('Temp Hisfa'!Y$3:Y$200, SMALL(IF(ISERROR('Temp Hisfa'!Y$3:Y$200), "", ROW('Temp Hisfa'!Y$3:Y$200)-MIN(ROW('Temp Hisfa'!Y$3:Y$200))+1), ROW(191:390))),"")</f>
        <v>0</v>
      </c>
      <c r="Z193" s="22">
        <f t="array" ref="Z193">IFERROR(INDEX('Temp Hisfa'!Z$3:Z$200, SMALL(IF(ISERROR('Temp Hisfa'!Z$3:Z$200), "", ROW('Temp Hisfa'!Z$3:Z$200)-MIN(ROW('Temp Hisfa'!Z$3:Z$200))+1), ROW(191:390))),"")</f>
        <v>0</v>
      </c>
      <c r="AA193" s="22">
        <f t="array" ref="AA193">IFERROR(INDEX('Temp Hisfa'!AA$3:AA$200, SMALL(IF(ISERROR('Temp Hisfa'!AA$3:AA$200), "", ROW('Temp Hisfa'!AA$3:AA$200)-MIN(ROW('Temp Hisfa'!AA$3:AA$200))+1), ROW(191:390))),"")</f>
        <v>0</v>
      </c>
      <c r="AB193" s="22">
        <f t="array" ref="AB193">IFERROR(INDEX('Temp Hisfa'!AB$3:AB$200, SMALL(IF(ISERROR('Temp Hisfa'!AB$3:AB$200), "", ROW('Temp Hisfa'!AB$3:AB$200)-MIN(ROW('Temp Hisfa'!AB$3:AB$200))+1), ROW(191:390))),"")</f>
        <v>0</v>
      </c>
    </row>
    <row r="194" spans="1:28" hidden="1" x14ac:dyDescent="0.3">
      <c r="A194" s="4">
        <f t="array" ref="A194">IFERROR(INDEX('Temp Hisfa'!A$3:A$200, SMALL(IF(ISERROR('Temp Hisfa'!A$3:A$200), "", ROW('Temp Hisfa'!A$3:A$200)-MIN(ROW('Temp Hisfa'!A$3:A$200))+1), ROW(192:390))),"")</f>
        <v>0</v>
      </c>
      <c r="B194" s="4">
        <f t="array" ref="B194">IFERROR(INDEX('Temp Hisfa'!B$3:B$200, SMALL(IF(ISERROR('Temp Hisfa'!B$3:B$200), "", ROW('Temp Hisfa'!B$3:B$200)-MIN(ROW('Temp Hisfa'!B$3:B$200))+1), ROW(192:390))),"")</f>
        <v>0</v>
      </c>
      <c r="C194" s="3">
        <f t="array" ref="C194">IFERROR(INDEX('Temp Hisfa'!C$3:C$200, SMALL(IF(ISERROR('Temp Hisfa'!C$3:C$200), "", ROW('Temp Hisfa'!C$3:C$200)-MIN(ROW('Temp Hisfa'!C$3:C$200))+1), ROW(192:390))),"")</f>
        <v>0</v>
      </c>
      <c r="D194" s="3">
        <f t="array" ref="D194">IFERROR(INDEX('Temp Hisfa'!D$3:D$200, SMALL(IF(ISERROR('Temp Hisfa'!D$3:D$200), "", ROW('Temp Hisfa'!D$3:D$200)-MIN(ROW('Temp Hisfa'!D$3:D$200))+1), ROW(192:390))),"")</f>
        <v>0</v>
      </c>
      <c r="E194" s="29">
        <f t="array" ref="E194">IFERROR(INDEX('Temp Hisfa'!E$3:E$200, SMALL(IF(ISERROR('Temp Hisfa'!E$3:E$200), "", ROW('Temp Hisfa'!E$3:E$200)-MIN(ROW('Temp Hisfa'!E$3:E$200))+1), ROW(192:391))),"")</f>
        <v>0</v>
      </c>
      <c r="F194" s="22" t="str">
        <f t="array" ref="F194">IFERROR(INDEX('Temp Hisfa'!F$3:F$200, SMALL(IF(ISERROR('Temp Hisfa'!F$3:F$200), "", ROW('Temp Hisfa'!F$3:F$200)-MIN(ROW('Temp Hisfa'!F$3:F$200))+1), ROW(192:391))),"")</f>
        <v/>
      </c>
      <c r="G194" s="30">
        <f t="array" ref="G194">IFERROR(INDEX('Temp Hisfa'!G$3:G$200, SMALL(IF(ISERROR('Temp Hisfa'!G$3:G$200), "", ROW('Temp Hisfa'!G$3:G$200)-MIN(ROW('Temp Hisfa'!G$3:G$200))+1), ROW(192:391))),"")</f>
        <v>0</v>
      </c>
      <c r="H194" s="22" t="str">
        <f t="array" ref="H194">IFERROR(INDEX('Temp Hisfa'!H$3:H$200, SMALL(IF(ISERROR('Temp Hisfa'!H$3:H$200), "", ROW('Temp Hisfa'!H$3:H$200)-MIN(ROW('Temp Hisfa'!H$3:H$200))+1), ROW(192:391))),"")</f>
        <v/>
      </c>
      <c r="I194" s="22">
        <f t="array" ref="I194">IFERROR(INDEX('Temp Hisfa'!I$3:I$200, SMALL(IF(ISERROR('Temp Hisfa'!I$3:I$200), "", ROW('Temp Hisfa'!I$3:I$200)-MIN(ROW('Temp Hisfa'!I$3:I$200))+1), ROW(192:391))),"")</f>
        <v>0</v>
      </c>
      <c r="J194" s="22">
        <f t="array" ref="J194">IFERROR(INDEX('Temp Hisfa'!J$3:J$200, SMALL(IF(ISERROR('Temp Hisfa'!J$3:J$200), "", ROW('Temp Hisfa'!J$3:J$200)-MIN(ROW('Temp Hisfa'!J$3:J$200))+1), ROW(192:391))),"")</f>
        <v>0</v>
      </c>
      <c r="K194" s="30">
        <f t="array" ref="K194">IFERROR(INDEX('Temp Hisfa'!K$3:K$200, SMALL(IF(ISERROR('Temp Hisfa'!K$3:K$200), "", ROW('Temp Hisfa'!K$3:K$200)-MIN(ROW('Temp Hisfa'!K$3:K$200))+1), ROW(192:391))),"")</f>
        <v>0</v>
      </c>
      <c r="L194" s="22">
        <f t="array" ref="L194">IFERROR(INDEX('Temp Hisfa'!L$3:L$200, SMALL(IF(ISERROR('Temp Hisfa'!L$3:L$200), "", ROW('Temp Hisfa'!L$3:L$200)-MIN(ROW('Temp Hisfa'!L$3:L$200))+1), ROW(192:391))),"")</f>
        <v>0</v>
      </c>
      <c r="M194" s="22">
        <f t="array" ref="M194">IFERROR(INDEX('Temp Hisfa'!M$3:M$200, SMALL(IF(ISERROR('Temp Hisfa'!M$3:M$200), "", ROW('Temp Hisfa'!M$3:M$200)-MIN(ROW('Temp Hisfa'!M$3:M$200))+1), ROW(192:391))),"")</f>
        <v>0</v>
      </c>
      <c r="N194" s="22">
        <f t="array" ref="N194">IFERROR(INDEX('Temp Hisfa'!N$3:N$200, SMALL(IF(ISERROR('Temp Hisfa'!N$3:N$200), "", ROW('Temp Hisfa'!N$3:N$200)-MIN(ROW('Temp Hisfa'!N$3:N$200))+1), ROW(192:391))),"")</f>
        <v>1900</v>
      </c>
      <c r="O194" s="22" t="str">
        <f t="array" ref="O194">IFERROR(INDEX('Temp Hisfa'!O$3:O$200, SMALL(IF(ISERROR('Temp Hisfa'!O$3:O$200), "", ROW('Temp Hisfa'!O$3:O$200)-MIN(ROW('Temp Hisfa'!O$3:O$200))+1), ROW(192:391))),"")</f>
        <v>enero</v>
      </c>
      <c r="P194" s="22">
        <f t="array" ref="P194">IFERROR(INDEX('Temp Hisfa'!P$3:P$200, SMALL(IF(ISERROR('Temp Hisfa'!P$3:P$200), "", ROW('Temp Hisfa'!P$3:P$200)-MIN(ROW('Temp Hisfa'!P$3:P$200))+1), ROW(192:391))),"")</f>
        <v>0</v>
      </c>
      <c r="Q194" s="22">
        <f t="array" ref="Q194">IFERROR(INDEX('Temp Hisfa'!Q$3:Q$200, SMALL(IF(ISERROR('Temp Hisfa'!Q$3:Q$200), "", ROW('Temp Hisfa'!Q$3:Q$200)-MIN(ROW('Temp Hisfa'!Q$3:Q$200))+1), ROW(192:391))),"")</f>
        <v>0</v>
      </c>
      <c r="R194" s="22">
        <f t="array" ref="R194">IFERROR(INDEX('Temp Hisfa'!R$3:R$200, SMALL(IF(ISERROR('Temp Hisfa'!R$3:R$200), "", ROW('Temp Hisfa'!R$3:R$200)-MIN(ROW('Temp Hisfa'!R$3:R$200))+1), ROW(192:391))),"")</f>
        <v>0</v>
      </c>
      <c r="S194" s="22">
        <f t="array" ref="S194">IFERROR(INDEX('Temp Hisfa'!S$3:S$200, SMALL(IF(ISERROR('Temp Hisfa'!S$3:S$200), "", ROW('Temp Hisfa'!S$3:S$200)-MIN(ROW('Temp Hisfa'!S$3:S$200))+1), ROW(192:391))),"")</f>
        <v>0</v>
      </c>
      <c r="T194" s="22">
        <f t="array" ref="T194">IFERROR(INDEX('Temp Hisfa'!T$3:T$200, SMALL(IF(ISERROR('Temp Hisfa'!T$3:T$200), "", ROW('Temp Hisfa'!T$3:T$200)-MIN(ROW('Temp Hisfa'!T$3:T$200))+1), ROW(192:391))),"")</f>
        <v>0</v>
      </c>
      <c r="U194" s="22">
        <f t="array" ref="U194">IFERROR(INDEX('Temp Hisfa'!U$3:U$200, SMALL(IF(ISERROR('Temp Hisfa'!U$3:U$200), "", ROW('Temp Hisfa'!U$3:U$200)-MIN(ROW('Temp Hisfa'!U$3:U$200))+1), ROW(192:391))),"")</f>
        <v>0</v>
      </c>
      <c r="V194" s="22">
        <f t="array" ref="V194">IFERROR(INDEX('Temp Hisfa'!V$3:V$200, SMALL(IF(ISERROR('Temp Hisfa'!V$3:V$200), "", ROW('Temp Hisfa'!V$3:V$200)-MIN(ROW('Temp Hisfa'!V$3:V$200))+1), ROW(192:391))),"")</f>
        <v>0</v>
      </c>
      <c r="W194" s="22">
        <f t="array" ref="W194">IFERROR(INDEX('Temp Hisfa'!W$3:W$200, SMALL(IF(ISERROR('Temp Hisfa'!W$3:W$200), "", ROW('Temp Hisfa'!W$3:W$200)-MIN(ROW('Temp Hisfa'!W$3:W$200))+1), ROW(192:391))),"")</f>
        <v>0</v>
      </c>
      <c r="X194" s="22">
        <f t="array" ref="X194">IFERROR(INDEX('Temp Hisfa'!X$3:X$200, SMALL(IF(ISERROR('Temp Hisfa'!X$3:X$200), "", ROW('Temp Hisfa'!X$3:X$200)-MIN(ROW('Temp Hisfa'!X$3:X$200))+1), ROW(192:391))),"")</f>
        <v>0</v>
      </c>
      <c r="Y194" s="22">
        <f t="array" ref="Y194">IFERROR(INDEX('Temp Hisfa'!Y$3:Y$200, SMALL(IF(ISERROR('Temp Hisfa'!Y$3:Y$200), "", ROW('Temp Hisfa'!Y$3:Y$200)-MIN(ROW('Temp Hisfa'!Y$3:Y$200))+1), ROW(192:391))),"")</f>
        <v>0</v>
      </c>
      <c r="Z194" s="22">
        <f t="array" ref="Z194">IFERROR(INDEX('Temp Hisfa'!Z$3:Z$200, SMALL(IF(ISERROR('Temp Hisfa'!Z$3:Z$200), "", ROW('Temp Hisfa'!Z$3:Z$200)-MIN(ROW('Temp Hisfa'!Z$3:Z$200))+1), ROW(192:391))),"")</f>
        <v>0</v>
      </c>
      <c r="AA194" s="22">
        <f t="array" ref="AA194">IFERROR(INDEX('Temp Hisfa'!AA$3:AA$200, SMALL(IF(ISERROR('Temp Hisfa'!AA$3:AA$200), "", ROW('Temp Hisfa'!AA$3:AA$200)-MIN(ROW('Temp Hisfa'!AA$3:AA$200))+1), ROW(192:391))),"")</f>
        <v>0</v>
      </c>
      <c r="AB194" s="22">
        <f t="array" ref="AB194">IFERROR(INDEX('Temp Hisfa'!AB$3:AB$200, SMALL(IF(ISERROR('Temp Hisfa'!AB$3:AB$200), "", ROW('Temp Hisfa'!AB$3:AB$200)-MIN(ROW('Temp Hisfa'!AB$3:AB$200))+1), ROW(192:391))),"")</f>
        <v>0</v>
      </c>
    </row>
    <row r="195" spans="1:28" hidden="1" x14ac:dyDescent="0.3">
      <c r="A195" s="4">
        <f t="array" ref="A195">IFERROR(INDEX('Temp Hisfa'!A$3:A$200, SMALL(IF(ISERROR('Temp Hisfa'!A$3:A$200), "", ROW('Temp Hisfa'!A$3:A$200)-MIN(ROW('Temp Hisfa'!A$3:A$200))+1), ROW(193:391))),"")</f>
        <v>0</v>
      </c>
      <c r="B195" s="4">
        <f t="array" ref="B195">IFERROR(INDEX('Temp Hisfa'!B$3:B$200, SMALL(IF(ISERROR('Temp Hisfa'!B$3:B$200), "", ROW('Temp Hisfa'!B$3:B$200)-MIN(ROW('Temp Hisfa'!B$3:B$200))+1), ROW(193:391))),"")</f>
        <v>0</v>
      </c>
      <c r="C195" s="3">
        <f t="array" ref="C195">IFERROR(INDEX('Temp Hisfa'!C$3:C$200, SMALL(IF(ISERROR('Temp Hisfa'!C$3:C$200), "", ROW('Temp Hisfa'!C$3:C$200)-MIN(ROW('Temp Hisfa'!C$3:C$200))+1), ROW(193:391))),"")</f>
        <v>0</v>
      </c>
      <c r="D195" s="3">
        <f t="array" ref="D195">IFERROR(INDEX('Temp Hisfa'!D$3:D$200, SMALL(IF(ISERROR('Temp Hisfa'!D$3:D$200), "", ROW('Temp Hisfa'!D$3:D$200)-MIN(ROW('Temp Hisfa'!D$3:D$200))+1), ROW(193:391))),"")</f>
        <v>0</v>
      </c>
      <c r="E195" s="29">
        <f t="array" ref="E195">IFERROR(INDEX('Temp Hisfa'!E$3:E$200, SMALL(IF(ISERROR('Temp Hisfa'!E$3:E$200), "", ROW('Temp Hisfa'!E$3:E$200)-MIN(ROW('Temp Hisfa'!E$3:E$200))+1), ROW(193:392))),"")</f>
        <v>0</v>
      </c>
      <c r="F195" s="22" t="str">
        <f t="array" ref="F195">IFERROR(INDEX('Temp Hisfa'!F$3:F$200, SMALL(IF(ISERROR('Temp Hisfa'!F$3:F$200), "", ROW('Temp Hisfa'!F$3:F$200)-MIN(ROW('Temp Hisfa'!F$3:F$200))+1), ROW(193:392))),"")</f>
        <v/>
      </c>
      <c r="G195" s="30">
        <f t="array" ref="G195">IFERROR(INDEX('Temp Hisfa'!G$3:G$200, SMALL(IF(ISERROR('Temp Hisfa'!G$3:G$200), "", ROW('Temp Hisfa'!G$3:G$200)-MIN(ROW('Temp Hisfa'!G$3:G$200))+1), ROW(193:392))),"")</f>
        <v>0</v>
      </c>
      <c r="H195" s="22" t="str">
        <f t="array" ref="H195">IFERROR(INDEX('Temp Hisfa'!H$3:H$200, SMALL(IF(ISERROR('Temp Hisfa'!H$3:H$200), "", ROW('Temp Hisfa'!H$3:H$200)-MIN(ROW('Temp Hisfa'!H$3:H$200))+1), ROW(193:392))),"")</f>
        <v/>
      </c>
      <c r="I195" s="22">
        <f t="array" ref="I195">IFERROR(INDEX('Temp Hisfa'!I$3:I$200, SMALL(IF(ISERROR('Temp Hisfa'!I$3:I$200), "", ROW('Temp Hisfa'!I$3:I$200)-MIN(ROW('Temp Hisfa'!I$3:I$200))+1), ROW(193:392))),"")</f>
        <v>0</v>
      </c>
      <c r="J195" s="22">
        <f t="array" ref="J195">IFERROR(INDEX('Temp Hisfa'!J$3:J$200, SMALL(IF(ISERROR('Temp Hisfa'!J$3:J$200), "", ROW('Temp Hisfa'!J$3:J$200)-MIN(ROW('Temp Hisfa'!J$3:J$200))+1), ROW(193:392))),"")</f>
        <v>0</v>
      </c>
      <c r="K195" s="30">
        <f t="array" ref="K195">IFERROR(INDEX('Temp Hisfa'!K$3:K$200, SMALL(IF(ISERROR('Temp Hisfa'!K$3:K$200), "", ROW('Temp Hisfa'!K$3:K$200)-MIN(ROW('Temp Hisfa'!K$3:K$200))+1), ROW(193:392))),"")</f>
        <v>0</v>
      </c>
      <c r="L195" s="22">
        <f t="array" ref="L195">IFERROR(INDEX('Temp Hisfa'!L$3:L$200, SMALL(IF(ISERROR('Temp Hisfa'!L$3:L$200), "", ROW('Temp Hisfa'!L$3:L$200)-MIN(ROW('Temp Hisfa'!L$3:L$200))+1), ROW(193:392))),"")</f>
        <v>0</v>
      </c>
      <c r="M195" s="22">
        <f t="array" ref="M195">IFERROR(INDEX('Temp Hisfa'!M$3:M$200, SMALL(IF(ISERROR('Temp Hisfa'!M$3:M$200), "", ROW('Temp Hisfa'!M$3:M$200)-MIN(ROW('Temp Hisfa'!M$3:M$200))+1), ROW(193:392))),"")</f>
        <v>0</v>
      </c>
      <c r="N195" s="22">
        <f t="array" ref="N195">IFERROR(INDEX('Temp Hisfa'!N$3:N$200, SMALL(IF(ISERROR('Temp Hisfa'!N$3:N$200), "", ROW('Temp Hisfa'!N$3:N$200)-MIN(ROW('Temp Hisfa'!N$3:N$200))+1), ROW(193:392))),"")</f>
        <v>1900</v>
      </c>
      <c r="O195" s="22" t="str">
        <f t="array" ref="O195">IFERROR(INDEX('Temp Hisfa'!O$3:O$200, SMALL(IF(ISERROR('Temp Hisfa'!O$3:O$200), "", ROW('Temp Hisfa'!O$3:O$200)-MIN(ROW('Temp Hisfa'!O$3:O$200))+1), ROW(193:392))),"")</f>
        <v>enero</v>
      </c>
      <c r="P195" s="22">
        <f t="array" ref="P195">IFERROR(INDEX('Temp Hisfa'!P$3:P$200, SMALL(IF(ISERROR('Temp Hisfa'!P$3:P$200), "", ROW('Temp Hisfa'!P$3:P$200)-MIN(ROW('Temp Hisfa'!P$3:P$200))+1), ROW(193:392))),"")</f>
        <v>0</v>
      </c>
      <c r="Q195" s="22">
        <f t="array" ref="Q195">IFERROR(INDEX('Temp Hisfa'!Q$3:Q$200, SMALL(IF(ISERROR('Temp Hisfa'!Q$3:Q$200), "", ROW('Temp Hisfa'!Q$3:Q$200)-MIN(ROW('Temp Hisfa'!Q$3:Q$200))+1), ROW(193:392))),"")</f>
        <v>0</v>
      </c>
      <c r="R195" s="22">
        <f t="array" ref="R195">IFERROR(INDEX('Temp Hisfa'!R$3:R$200, SMALL(IF(ISERROR('Temp Hisfa'!R$3:R$200), "", ROW('Temp Hisfa'!R$3:R$200)-MIN(ROW('Temp Hisfa'!R$3:R$200))+1), ROW(193:392))),"")</f>
        <v>0</v>
      </c>
      <c r="S195" s="22">
        <f t="array" ref="S195">IFERROR(INDEX('Temp Hisfa'!S$3:S$200, SMALL(IF(ISERROR('Temp Hisfa'!S$3:S$200), "", ROW('Temp Hisfa'!S$3:S$200)-MIN(ROW('Temp Hisfa'!S$3:S$200))+1), ROW(193:392))),"")</f>
        <v>0</v>
      </c>
      <c r="T195" s="22">
        <f t="array" ref="T195">IFERROR(INDEX('Temp Hisfa'!T$3:T$200, SMALL(IF(ISERROR('Temp Hisfa'!T$3:T$200), "", ROW('Temp Hisfa'!T$3:T$200)-MIN(ROW('Temp Hisfa'!T$3:T$200))+1), ROW(193:392))),"")</f>
        <v>0</v>
      </c>
      <c r="U195" s="22">
        <f t="array" ref="U195">IFERROR(INDEX('Temp Hisfa'!U$3:U$200, SMALL(IF(ISERROR('Temp Hisfa'!U$3:U$200), "", ROW('Temp Hisfa'!U$3:U$200)-MIN(ROW('Temp Hisfa'!U$3:U$200))+1), ROW(193:392))),"")</f>
        <v>0</v>
      </c>
      <c r="V195" s="22">
        <f t="array" ref="V195">IFERROR(INDEX('Temp Hisfa'!V$3:V$200, SMALL(IF(ISERROR('Temp Hisfa'!V$3:V$200), "", ROW('Temp Hisfa'!V$3:V$200)-MIN(ROW('Temp Hisfa'!V$3:V$200))+1), ROW(193:392))),"")</f>
        <v>0</v>
      </c>
      <c r="W195" s="22">
        <f t="array" ref="W195">IFERROR(INDEX('Temp Hisfa'!W$3:W$200, SMALL(IF(ISERROR('Temp Hisfa'!W$3:W$200), "", ROW('Temp Hisfa'!W$3:W$200)-MIN(ROW('Temp Hisfa'!W$3:W$200))+1), ROW(193:392))),"")</f>
        <v>0</v>
      </c>
      <c r="X195" s="22">
        <f t="array" ref="X195">IFERROR(INDEX('Temp Hisfa'!X$3:X$200, SMALL(IF(ISERROR('Temp Hisfa'!X$3:X$200), "", ROW('Temp Hisfa'!X$3:X$200)-MIN(ROW('Temp Hisfa'!X$3:X$200))+1), ROW(193:392))),"")</f>
        <v>0</v>
      </c>
      <c r="Y195" s="22">
        <f t="array" ref="Y195">IFERROR(INDEX('Temp Hisfa'!Y$3:Y$200, SMALL(IF(ISERROR('Temp Hisfa'!Y$3:Y$200), "", ROW('Temp Hisfa'!Y$3:Y$200)-MIN(ROW('Temp Hisfa'!Y$3:Y$200))+1), ROW(193:392))),"")</f>
        <v>0</v>
      </c>
      <c r="Z195" s="22">
        <f t="array" ref="Z195">IFERROR(INDEX('Temp Hisfa'!Z$3:Z$200, SMALL(IF(ISERROR('Temp Hisfa'!Z$3:Z$200), "", ROW('Temp Hisfa'!Z$3:Z$200)-MIN(ROW('Temp Hisfa'!Z$3:Z$200))+1), ROW(193:392))),"")</f>
        <v>0</v>
      </c>
      <c r="AA195" s="22">
        <f t="array" ref="AA195">IFERROR(INDEX('Temp Hisfa'!AA$3:AA$200, SMALL(IF(ISERROR('Temp Hisfa'!AA$3:AA$200), "", ROW('Temp Hisfa'!AA$3:AA$200)-MIN(ROW('Temp Hisfa'!AA$3:AA$200))+1), ROW(193:392))),"")</f>
        <v>0</v>
      </c>
      <c r="AB195" s="22">
        <f t="array" ref="AB195">IFERROR(INDEX('Temp Hisfa'!AB$3:AB$200, SMALL(IF(ISERROR('Temp Hisfa'!AB$3:AB$200), "", ROW('Temp Hisfa'!AB$3:AB$200)-MIN(ROW('Temp Hisfa'!AB$3:AB$200))+1), ROW(193:392))),"")</f>
        <v>0</v>
      </c>
    </row>
    <row r="196" spans="1:28" hidden="1" x14ac:dyDescent="0.3">
      <c r="A196" s="4">
        <f t="array" ref="A196">IFERROR(INDEX('Temp Hisfa'!A$3:A$200, SMALL(IF(ISERROR('Temp Hisfa'!A$3:A$200), "", ROW('Temp Hisfa'!A$3:A$200)-MIN(ROW('Temp Hisfa'!A$3:A$200))+1), ROW(194:392))),"")</f>
        <v>0</v>
      </c>
      <c r="B196" s="4">
        <f t="array" ref="B196">IFERROR(INDEX('Temp Hisfa'!B$3:B$200, SMALL(IF(ISERROR('Temp Hisfa'!B$3:B$200), "", ROW('Temp Hisfa'!B$3:B$200)-MIN(ROW('Temp Hisfa'!B$3:B$200))+1), ROW(194:392))),"")</f>
        <v>0</v>
      </c>
      <c r="C196" s="3">
        <f t="array" ref="C196">IFERROR(INDEX('Temp Hisfa'!C$3:C$200, SMALL(IF(ISERROR('Temp Hisfa'!C$3:C$200), "", ROW('Temp Hisfa'!C$3:C$200)-MIN(ROW('Temp Hisfa'!C$3:C$200))+1), ROW(194:392))),"")</f>
        <v>0</v>
      </c>
      <c r="D196" s="3">
        <f t="array" ref="D196">IFERROR(INDEX('Temp Hisfa'!D$3:D$200, SMALL(IF(ISERROR('Temp Hisfa'!D$3:D$200), "", ROW('Temp Hisfa'!D$3:D$200)-MIN(ROW('Temp Hisfa'!D$3:D$200))+1), ROW(194:392))),"")</f>
        <v>0</v>
      </c>
      <c r="E196" s="29">
        <f t="array" ref="E196">IFERROR(INDEX('Temp Hisfa'!E$3:E$200, SMALL(IF(ISERROR('Temp Hisfa'!E$3:E$200), "", ROW('Temp Hisfa'!E$3:E$200)-MIN(ROW('Temp Hisfa'!E$3:E$200))+1), ROW(194:393))),"")</f>
        <v>0</v>
      </c>
      <c r="F196" s="22" t="str">
        <f t="array" ref="F196">IFERROR(INDEX('Temp Hisfa'!F$3:F$200, SMALL(IF(ISERROR('Temp Hisfa'!F$3:F$200), "", ROW('Temp Hisfa'!F$3:F$200)-MIN(ROW('Temp Hisfa'!F$3:F$200))+1), ROW(194:393))),"")</f>
        <v/>
      </c>
      <c r="G196" s="30">
        <f t="array" ref="G196">IFERROR(INDEX('Temp Hisfa'!G$3:G$200, SMALL(IF(ISERROR('Temp Hisfa'!G$3:G$200), "", ROW('Temp Hisfa'!G$3:G$200)-MIN(ROW('Temp Hisfa'!G$3:G$200))+1), ROW(194:393))),"")</f>
        <v>0</v>
      </c>
      <c r="H196" s="22" t="str">
        <f t="array" ref="H196">IFERROR(INDEX('Temp Hisfa'!H$3:H$200, SMALL(IF(ISERROR('Temp Hisfa'!H$3:H$200), "", ROW('Temp Hisfa'!H$3:H$200)-MIN(ROW('Temp Hisfa'!H$3:H$200))+1), ROW(194:393))),"")</f>
        <v/>
      </c>
      <c r="I196" s="22">
        <f t="array" ref="I196">IFERROR(INDEX('Temp Hisfa'!I$3:I$200, SMALL(IF(ISERROR('Temp Hisfa'!I$3:I$200), "", ROW('Temp Hisfa'!I$3:I$200)-MIN(ROW('Temp Hisfa'!I$3:I$200))+1), ROW(194:393))),"")</f>
        <v>0</v>
      </c>
      <c r="J196" s="22">
        <f t="array" ref="J196">IFERROR(INDEX('Temp Hisfa'!J$3:J$200, SMALL(IF(ISERROR('Temp Hisfa'!J$3:J$200), "", ROW('Temp Hisfa'!J$3:J$200)-MIN(ROW('Temp Hisfa'!J$3:J$200))+1), ROW(194:393))),"")</f>
        <v>0</v>
      </c>
      <c r="K196" s="30">
        <f t="array" ref="K196">IFERROR(INDEX('Temp Hisfa'!K$3:K$200, SMALL(IF(ISERROR('Temp Hisfa'!K$3:K$200), "", ROW('Temp Hisfa'!K$3:K$200)-MIN(ROW('Temp Hisfa'!K$3:K$200))+1), ROW(194:393))),"")</f>
        <v>0</v>
      </c>
      <c r="L196" s="22">
        <f t="array" ref="L196">IFERROR(INDEX('Temp Hisfa'!L$3:L$200, SMALL(IF(ISERROR('Temp Hisfa'!L$3:L$200), "", ROW('Temp Hisfa'!L$3:L$200)-MIN(ROW('Temp Hisfa'!L$3:L$200))+1), ROW(194:393))),"")</f>
        <v>0</v>
      </c>
      <c r="M196" s="22">
        <f t="array" ref="M196">IFERROR(INDEX('Temp Hisfa'!M$3:M$200, SMALL(IF(ISERROR('Temp Hisfa'!M$3:M$200), "", ROW('Temp Hisfa'!M$3:M$200)-MIN(ROW('Temp Hisfa'!M$3:M$200))+1), ROW(194:393))),"")</f>
        <v>0</v>
      </c>
      <c r="N196" s="22">
        <f t="array" ref="N196">IFERROR(INDEX('Temp Hisfa'!N$3:N$200, SMALL(IF(ISERROR('Temp Hisfa'!N$3:N$200), "", ROW('Temp Hisfa'!N$3:N$200)-MIN(ROW('Temp Hisfa'!N$3:N$200))+1), ROW(194:393))),"")</f>
        <v>1900</v>
      </c>
      <c r="O196" s="22" t="str">
        <f t="array" ref="O196">IFERROR(INDEX('Temp Hisfa'!O$3:O$200, SMALL(IF(ISERROR('Temp Hisfa'!O$3:O$200), "", ROW('Temp Hisfa'!O$3:O$200)-MIN(ROW('Temp Hisfa'!O$3:O$200))+1), ROW(194:393))),"")</f>
        <v>enero</v>
      </c>
      <c r="P196" s="22">
        <f t="array" ref="P196">IFERROR(INDEX('Temp Hisfa'!P$3:P$200, SMALL(IF(ISERROR('Temp Hisfa'!P$3:P$200), "", ROW('Temp Hisfa'!P$3:P$200)-MIN(ROW('Temp Hisfa'!P$3:P$200))+1), ROW(194:393))),"")</f>
        <v>0</v>
      </c>
      <c r="Q196" s="22">
        <f t="array" ref="Q196">IFERROR(INDEX('Temp Hisfa'!Q$3:Q$200, SMALL(IF(ISERROR('Temp Hisfa'!Q$3:Q$200), "", ROW('Temp Hisfa'!Q$3:Q$200)-MIN(ROW('Temp Hisfa'!Q$3:Q$200))+1), ROW(194:393))),"")</f>
        <v>0</v>
      </c>
      <c r="R196" s="22">
        <f t="array" ref="R196">IFERROR(INDEX('Temp Hisfa'!R$3:R$200, SMALL(IF(ISERROR('Temp Hisfa'!R$3:R$200), "", ROW('Temp Hisfa'!R$3:R$200)-MIN(ROW('Temp Hisfa'!R$3:R$200))+1), ROW(194:393))),"")</f>
        <v>0</v>
      </c>
      <c r="S196" s="22">
        <f t="array" ref="S196">IFERROR(INDEX('Temp Hisfa'!S$3:S$200, SMALL(IF(ISERROR('Temp Hisfa'!S$3:S$200), "", ROW('Temp Hisfa'!S$3:S$200)-MIN(ROW('Temp Hisfa'!S$3:S$200))+1), ROW(194:393))),"")</f>
        <v>0</v>
      </c>
      <c r="T196" s="22">
        <f t="array" ref="T196">IFERROR(INDEX('Temp Hisfa'!T$3:T$200, SMALL(IF(ISERROR('Temp Hisfa'!T$3:T$200), "", ROW('Temp Hisfa'!T$3:T$200)-MIN(ROW('Temp Hisfa'!T$3:T$200))+1), ROW(194:393))),"")</f>
        <v>0</v>
      </c>
      <c r="U196" s="22">
        <f t="array" ref="U196">IFERROR(INDEX('Temp Hisfa'!U$3:U$200, SMALL(IF(ISERROR('Temp Hisfa'!U$3:U$200), "", ROW('Temp Hisfa'!U$3:U$200)-MIN(ROW('Temp Hisfa'!U$3:U$200))+1), ROW(194:393))),"")</f>
        <v>0</v>
      </c>
      <c r="V196" s="22">
        <f t="array" ref="V196">IFERROR(INDEX('Temp Hisfa'!V$3:V$200, SMALL(IF(ISERROR('Temp Hisfa'!V$3:V$200), "", ROW('Temp Hisfa'!V$3:V$200)-MIN(ROW('Temp Hisfa'!V$3:V$200))+1), ROW(194:393))),"")</f>
        <v>0</v>
      </c>
      <c r="W196" s="22">
        <f t="array" ref="W196">IFERROR(INDEX('Temp Hisfa'!W$3:W$200, SMALL(IF(ISERROR('Temp Hisfa'!W$3:W$200), "", ROW('Temp Hisfa'!W$3:W$200)-MIN(ROW('Temp Hisfa'!W$3:W$200))+1), ROW(194:393))),"")</f>
        <v>0</v>
      </c>
      <c r="X196" s="22">
        <f t="array" ref="X196">IFERROR(INDEX('Temp Hisfa'!X$3:X$200, SMALL(IF(ISERROR('Temp Hisfa'!X$3:X$200), "", ROW('Temp Hisfa'!X$3:X$200)-MIN(ROW('Temp Hisfa'!X$3:X$200))+1), ROW(194:393))),"")</f>
        <v>0</v>
      </c>
      <c r="Y196" s="22">
        <f t="array" ref="Y196">IFERROR(INDEX('Temp Hisfa'!Y$3:Y$200, SMALL(IF(ISERROR('Temp Hisfa'!Y$3:Y$200), "", ROW('Temp Hisfa'!Y$3:Y$200)-MIN(ROW('Temp Hisfa'!Y$3:Y$200))+1), ROW(194:393))),"")</f>
        <v>0</v>
      </c>
      <c r="Z196" s="22">
        <f t="array" ref="Z196">IFERROR(INDEX('Temp Hisfa'!Z$3:Z$200, SMALL(IF(ISERROR('Temp Hisfa'!Z$3:Z$200), "", ROW('Temp Hisfa'!Z$3:Z$200)-MIN(ROW('Temp Hisfa'!Z$3:Z$200))+1), ROW(194:393))),"")</f>
        <v>0</v>
      </c>
      <c r="AA196" s="22">
        <f t="array" ref="AA196">IFERROR(INDEX('Temp Hisfa'!AA$3:AA$200, SMALL(IF(ISERROR('Temp Hisfa'!AA$3:AA$200), "", ROW('Temp Hisfa'!AA$3:AA$200)-MIN(ROW('Temp Hisfa'!AA$3:AA$200))+1), ROW(194:393))),"")</f>
        <v>0</v>
      </c>
      <c r="AB196" s="22">
        <f t="array" ref="AB196">IFERROR(INDEX('Temp Hisfa'!AB$3:AB$200, SMALL(IF(ISERROR('Temp Hisfa'!AB$3:AB$200), "", ROW('Temp Hisfa'!AB$3:AB$200)-MIN(ROW('Temp Hisfa'!AB$3:AB$200))+1), ROW(194:393))),"")</f>
        <v>0</v>
      </c>
    </row>
    <row r="197" spans="1:28" hidden="1" x14ac:dyDescent="0.3">
      <c r="A197" s="4">
        <f t="array" ref="A197">IFERROR(INDEX('Temp Hisfa'!A$3:A$200, SMALL(IF(ISERROR('Temp Hisfa'!A$3:A$200), "", ROW('Temp Hisfa'!A$3:A$200)-MIN(ROW('Temp Hisfa'!A$3:A$200))+1), ROW(195:393))),"")</f>
        <v>0</v>
      </c>
      <c r="B197" s="4">
        <f t="array" ref="B197">IFERROR(INDEX('Temp Hisfa'!B$3:B$200, SMALL(IF(ISERROR('Temp Hisfa'!B$3:B$200), "", ROW('Temp Hisfa'!B$3:B$200)-MIN(ROW('Temp Hisfa'!B$3:B$200))+1), ROW(195:393))),"")</f>
        <v>0</v>
      </c>
      <c r="C197" s="3">
        <f t="array" ref="C197">IFERROR(INDEX('Temp Hisfa'!C$3:C$200, SMALL(IF(ISERROR('Temp Hisfa'!C$3:C$200), "", ROW('Temp Hisfa'!C$3:C$200)-MIN(ROW('Temp Hisfa'!C$3:C$200))+1), ROW(195:393))),"")</f>
        <v>0</v>
      </c>
      <c r="D197" s="3">
        <f t="array" ref="D197">IFERROR(INDEX('Temp Hisfa'!D$3:D$200, SMALL(IF(ISERROR('Temp Hisfa'!D$3:D$200), "", ROW('Temp Hisfa'!D$3:D$200)-MIN(ROW('Temp Hisfa'!D$3:D$200))+1), ROW(195:393))),"")</f>
        <v>0</v>
      </c>
      <c r="E197" s="29">
        <f t="array" ref="E197">IFERROR(INDEX('Temp Hisfa'!E$3:E$200, SMALL(IF(ISERROR('Temp Hisfa'!E$3:E$200), "", ROW('Temp Hisfa'!E$3:E$200)-MIN(ROW('Temp Hisfa'!E$3:E$200))+1), ROW(195:394))),"")</f>
        <v>0</v>
      </c>
      <c r="F197" s="22" t="str">
        <f t="array" ref="F197">IFERROR(INDEX('Temp Hisfa'!F$3:F$200, SMALL(IF(ISERROR('Temp Hisfa'!F$3:F$200), "", ROW('Temp Hisfa'!F$3:F$200)-MIN(ROW('Temp Hisfa'!F$3:F$200))+1), ROW(195:394))),"")</f>
        <v/>
      </c>
      <c r="G197" s="30">
        <f t="array" ref="G197">IFERROR(INDEX('Temp Hisfa'!G$3:G$200, SMALL(IF(ISERROR('Temp Hisfa'!G$3:G$200), "", ROW('Temp Hisfa'!G$3:G$200)-MIN(ROW('Temp Hisfa'!G$3:G$200))+1), ROW(195:394))),"")</f>
        <v>0</v>
      </c>
      <c r="H197" s="22" t="str">
        <f t="array" ref="H197">IFERROR(INDEX('Temp Hisfa'!H$3:H$200, SMALL(IF(ISERROR('Temp Hisfa'!H$3:H$200), "", ROW('Temp Hisfa'!H$3:H$200)-MIN(ROW('Temp Hisfa'!H$3:H$200))+1), ROW(195:394))),"")</f>
        <v/>
      </c>
      <c r="I197" s="22">
        <f t="array" ref="I197">IFERROR(INDEX('Temp Hisfa'!I$3:I$200, SMALL(IF(ISERROR('Temp Hisfa'!I$3:I$200), "", ROW('Temp Hisfa'!I$3:I$200)-MIN(ROW('Temp Hisfa'!I$3:I$200))+1), ROW(195:394))),"")</f>
        <v>0</v>
      </c>
      <c r="J197" s="22">
        <f t="array" ref="J197">IFERROR(INDEX('Temp Hisfa'!J$3:J$200, SMALL(IF(ISERROR('Temp Hisfa'!J$3:J$200), "", ROW('Temp Hisfa'!J$3:J$200)-MIN(ROW('Temp Hisfa'!J$3:J$200))+1), ROW(195:394))),"")</f>
        <v>0</v>
      </c>
      <c r="K197" s="30">
        <f t="array" ref="K197">IFERROR(INDEX('Temp Hisfa'!K$3:K$200, SMALL(IF(ISERROR('Temp Hisfa'!K$3:K$200), "", ROW('Temp Hisfa'!K$3:K$200)-MIN(ROW('Temp Hisfa'!K$3:K$200))+1), ROW(195:394))),"")</f>
        <v>0</v>
      </c>
      <c r="L197" s="22">
        <f t="array" ref="L197">IFERROR(INDEX('Temp Hisfa'!L$3:L$200, SMALL(IF(ISERROR('Temp Hisfa'!L$3:L$200), "", ROW('Temp Hisfa'!L$3:L$200)-MIN(ROW('Temp Hisfa'!L$3:L$200))+1), ROW(195:394))),"")</f>
        <v>0</v>
      </c>
      <c r="M197" s="22">
        <f t="array" ref="M197">IFERROR(INDEX('Temp Hisfa'!M$3:M$200, SMALL(IF(ISERROR('Temp Hisfa'!M$3:M$200), "", ROW('Temp Hisfa'!M$3:M$200)-MIN(ROW('Temp Hisfa'!M$3:M$200))+1), ROW(195:394))),"")</f>
        <v>0</v>
      </c>
      <c r="N197" s="22">
        <f t="array" ref="N197">IFERROR(INDEX('Temp Hisfa'!N$3:N$200, SMALL(IF(ISERROR('Temp Hisfa'!N$3:N$200), "", ROW('Temp Hisfa'!N$3:N$200)-MIN(ROW('Temp Hisfa'!N$3:N$200))+1), ROW(195:394))),"")</f>
        <v>1900</v>
      </c>
      <c r="O197" s="22" t="str">
        <f t="array" ref="O197">IFERROR(INDEX('Temp Hisfa'!O$3:O$200, SMALL(IF(ISERROR('Temp Hisfa'!O$3:O$200), "", ROW('Temp Hisfa'!O$3:O$200)-MIN(ROW('Temp Hisfa'!O$3:O$200))+1), ROW(195:394))),"")</f>
        <v>enero</v>
      </c>
      <c r="P197" s="22">
        <f t="array" ref="P197">IFERROR(INDEX('Temp Hisfa'!P$3:P$200, SMALL(IF(ISERROR('Temp Hisfa'!P$3:P$200), "", ROW('Temp Hisfa'!P$3:P$200)-MIN(ROW('Temp Hisfa'!P$3:P$200))+1), ROW(195:394))),"")</f>
        <v>0</v>
      </c>
      <c r="Q197" s="22">
        <f t="array" ref="Q197">IFERROR(INDEX('Temp Hisfa'!Q$3:Q$200, SMALL(IF(ISERROR('Temp Hisfa'!Q$3:Q$200), "", ROW('Temp Hisfa'!Q$3:Q$200)-MIN(ROW('Temp Hisfa'!Q$3:Q$200))+1), ROW(195:394))),"")</f>
        <v>0</v>
      </c>
      <c r="R197" s="22">
        <f t="array" ref="R197">IFERROR(INDEX('Temp Hisfa'!R$3:R$200, SMALL(IF(ISERROR('Temp Hisfa'!R$3:R$200), "", ROW('Temp Hisfa'!R$3:R$200)-MIN(ROW('Temp Hisfa'!R$3:R$200))+1), ROW(195:394))),"")</f>
        <v>0</v>
      </c>
      <c r="S197" s="22">
        <f t="array" ref="S197">IFERROR(INDEX('Temp Hisfa'!S$3:S$200, SMALL(IF(ISERROR('Temp Hisfa'!S$3:S$200), "", ROW('Temp Hisfa'!S$3:S$200)-MIN(ROW('Temp Hisfa'!S$3:S$200))+1), ROW(195:394))),"")</f>
        <v>0</v>
      </c>
      <c r="T197" s="22">
        <f t="array" ref="T197">IFERROR(INDEX('Temp Hisfa'!T$3:T$200, SMALL(IF(ISERROR('Temp Hisfa'!T$3:T$200), "", ROW('Temp Hisfa'!T$3:T$200)-MIN(ROW('Temp Hisfa'!T$3:T$200))+1), ROW(195:394))),"")</f>
        <v>0</v>
      </c>
      <c r="U197" s="22">
        <f t="array" ref="U197">IFERROR(INDEX('Temp Hisfa'!U$3:U$200, SMALL(IF(ISERROR('Temp Hisfa'!U$3:U$200), "", ROW('Temp Hisfa'!U$3:U$200)-MIN(ROW('Temp Hisfa'!U$3:U$200))+1), ROW(195:394))),"")</f>
        <v>0</v>
      </c>
      <c r="V197" s="22">
        <f t="array" ref="V197">IFERROR(INDEX('Temp Hisfa'!V$3:V$200, SMALL(IF(ISERROR('Temp Hisfa'!V$3:V$200), "", ROW('Temp Hisfa'!V$3:V$200)-MIN(ROW('Temp Hisfa'!V$3:V$200))+1), ROW(195:394))),"")</f>
        <v>0</v>
      </c>
      <c r="W197" s="22">
        <f t="array" ref="W197">IFERROR(INDEX('Temp Hisfa'!W$3:W$200, SMALL(IF(ISERROR('Temp Hisfa'!W$3:W$200), "", ROW('Temp Hisfa'!W$3:W$200)-MIN(ROW('Temp Hisfa'!W$3:W$200))+1), ROW(195:394))),"")</f>
        <v>0</v>
      </c>
      <c r="X197" s="22">
        <f t="array" ref="X197">IFERROR(INDEX('Temp Hisfa'!X$3:X$200, SMALL(IF(ISERROR('Temp Hisfa'!X$3:X$200), "", ROW('Temp Hisfa'!X$3:X$200)-MIN(ROW('Temp Hisfa'!X$3:X$200))+1), ROW(195:394))),"")</f>
        <v>0</v>
      </c>
      <c r="Y197" s="22">
        <f t="array" ref="Y197">IFERROR(INDEX('Temp Hisfa'!Y$3:Y$200, SMALL(IF(ISERROR('Temp Hisfa'!Y$3:Y$200), "", ROW('Temp Hisfa'!Y$3:Y$200)-MIN(ROW('Temp Hisfa'!Y$3:Y$200))+1), ROW(195:394))),"")</f>
        <v>0</v>
      </c>
      <c r="Z197" s="22">
        <f t="array" ref="Z197">IFERROR(INDEX('Temp Hisfa'!Z$3:Z$200, SMALL(IF(ISERROR('Temp Hisfa'!Z$3:Z$200), "", ROW('Temp Hisfa'!Z$3:Z$200)-MIN(ROW('Temp Hisfa'!Z$3:Z$200))+1), ROW(195:394))),"")</f>
        <v>0</v>
      </c>
      <c r="AA197" s="22">
        <f t="array" ref="AA197">IFERROR(INDEX('Temp Hisfa'!AA$3:AA$200, SMALL(IF(ISERROR('Temp Hisfa'!AA$3:AA$200), "", ROW('Temp Hisfa'!AA$3:AA$200)-MIN(ROW('Temp Hisfa'!AA$3:AA$200))+1), ROW(195:394))),"")</f>
        <v>0</v>
      </c>
      <c r="AB197" s="22">
        <f t="array" ref="AB197">IFERROR(INDEX('Temp Hisfa'!AB$3:AB$200, SMALL(IF(ISERROR('Temp Hisfa'!AB$3:AB$200), "", ROW('Temp Hisfa'!AB$3:AB$200)-MIN(ROW('Temp Hisfa'!AB$3:AB$200))+1), ROW(195:394))),"")</f>
        <v>0</v>
      </c>
    </row>
    <row r="198" spans="1:28" hidden="1" x14ac:dyDescent="0.3">
      <c r="A198" s="4">
        <f t="array" ref="A198">IFERROR(INDEX('Temp Hisfa'!A$3:A$200, SMALL(IF(ISERROR('Temp Hisfa'!A$3:A$200), "", ROW('Temp Hisfa'!A$3:A$200)-MIN(ROW('Temp Hisfa'!A$3:A$200))+1), ROW(196:394))),"")</f>
        <v>0</v>
      </c>
      <c r="B198" s="4">
        <f t="array" ref="B198">IFERROR(INDEX('Temp Hisfa'!B$3:B$200, SMALL(IF(ISERROR('Temp Hisfa'!B$3:B$200), "", ROW('Temp Hisfa'!B$3:B$200)-MIN(ROW('Temp Hisfa'!B$3:B$200))+1), ROW(196:394))),"")</f>
        <v>0</v>
      </c>
      <c r="C198" s="3">
        <f t="array" ref="C198">IFERROR(INDEX('Temp Hisfa'!C$3:C$200, SMALL(IF(ISERROR('Temp Hisfa'!C$3:C$200), "", ROW('Temp Hisfa'!C$3:C$200)-MIN(ROW('Temp Hisfa'!C$3:C$200))+1), ROW(196:394))),"")</f>
        <v>0</v>
      </c>
      <c r="D198" s="3">
        <f t="array" ref="D198">IFERROR(INDEX('Temp Hisfa'!D$3:D$200, SMALL(IF(ISERROR('Temp Hisfa'!D$3:D$200), "", ROW('Temp Hisfa'!D$3:D$200)-MIN(ROW('Temp Hisfa'!D$3:D$200))+1), ROW(196:394))),"")</f>
        <v>0</v>
      </c>
      <c r="E198" s="29">
        <f t="array" ref="E198">IFERROR(INDEX('Temp Hisfa'!E$3:E$200, SMALL(IF(ISERROR('Temp Hisfa'!E$3:E$200), "", ROW('Temp Hisfa'!E$3:E$200)-MIN(ROW('Temp Hisfa'!E$3:E$200))+1), ROW(196:395))),"")</f>
        <v>0</v>
      </c>
      <c r="F198" s="22" t="str">
        <f t="array" ref="F198">IFERROR(INDEX('Temp Hisfa'!F$3:F$200, SMALL(IF(ISERROR('Temp Hisfa'!F$3:F$200), "", ROW('Temp Hisfa'!F$3:F$200)-MIN(ROW('Temp Hisfa'!F$3:F$200))+1), ROW(196:395))),"")</f>
        <v/>
      </c>
      <c r="G198" s="30">
        <f t="array" ref="G198">IFERROR(INDEX('Temp Hisfa'!G$3:G$200, SMALL(IF(ISERROR('Temp Hisfa'!G$3:G$200), "", ROW('Temp Hisfa'!G$3:G$200)-MIN(ROW('Temp Hisfa'!G$3:G$200))+1), ROW(196:395))),"")</f>
        <v>0</v>
      </c>
      <c r="H198" s="22" t="str">
        <f t="array" ref="H198">IFERROR(INDEX('Temp Hisfa'!H$3:H$200, SMALL(IF(ISERROR('Temp Hisfa'!H$3:H$200), "", ROW('Temp Hisfa'!H$3:H$200)-MIN(ROW('Temp Hisfa'!H$3:H$200))+1), ROW(196:395))),"")</f>
        <v/>
      </c>
      <c r="I198" s="22">
        <f t="array" ref="I198">IFERROR(INDEX('Temp Hisfa'!I$3:I$200, SMALL(IF(ISERROR('Temp Hisfa'!I$3:I$200), "", ROW('Temp Hisfa'!I$3:I$200)-MIN(ROW('Temp Hisfa'!I$3:I$200))+1), ROW(196:395))),"")</f>
        <v>0</v>
      </c>
      <c r="J198" s="22">
        <f t="array" ref="J198">IFERROR(INDEX('Temp Hisfa'!J$3:J$200, SMALL(IF(ISERROR('Temp Hisfa'!J$3:J$200), "", ROW('Temp Hisfa'!J$3:J$200)-MIN(ROW('Temp Hisfa'!J$3:J$200))+1), ROW(196:395))),"")</f>
        <v>0</v>
      </c>
      <c r="K198" s="30">
        <f t="array" ref="K198">IFERROR(INDEX('Temp Hisfa'!K$3:K$200, SMALL(IF(ISERROR('Temp Hisfa'!K$3:K$200), "", ROW('Temp Hisfa'!K$3:K$200)-MIN(ROW('Temp Hisfa'!K$3:K$200))+1), ROW(196:395))),"")</f>
        <v>0</v>
      </c>
      <c r="L198" s="22">
        <f t="array" ref="L198">IFERROR(INDEX('Temp Hisfa'!L$3:L$200, SMALL(IF(ISERROR('Temp Hisfa'!L$3:L$200), "", ROW('Temp Hisfa'!L$3:L$200)-MIN(ROW('Temp Hisfa'!L$3:L$200))+1), ROW(196:395))),"")</f>
        <v>0</v>
      </c>
      <c r="M198" s="22">
        <f t="array" ref="M198">IFERROR(INDEX('Temp Hisfa'!M$3:M$200, SMALL(IF(ISERROR('Temp Hisfa'!M$3:M$200), "", ROW('Temp Hisfa'!M$3:M$200)-MIN(ROW('Temp Hisfa'!M$3:M$200))+1), ROW(196:395))),"")</f>
        <v>0</v>
      </c>
      <c r="N198" s="22">
        <f t="array" ref="N198">IFERROR(INDEX('Temp Hisfa'!N$3:N$200, SMALL(IF(ISERROR('Temp Hisfa'!N$3:N$200), "", ROW('Temp Hisfa'!N$3:N$200)-MIN(ROW('Temp Hisfa'!N$3:N$200))+1), ROW(196:395))),"")</f>
        <v>1900</v>
      </c>
      <c r="O198" s="22" t="str">
        <f t="array" ref="O198">IFERROR(INDEX('Temp Hisfa'!O$3:O$200, SMALL(IF(ISERROR('Temp Hisfa'!O$3:O$200), "", ROW('Temp Hisfa'!O$3:O$200)-MIN(ROW('Temp Hisfa'!O$3:O$200))+1), ROW(196:395))),"")</f>
        <v>enero</v>
      </c>
      <c r="P198" s="22">
        <f t="array" ref="P198">IFERROR(INDEX('Temp Hisfa'!P$3:P$200, SMALL(IF(ISERROR('Temp Hisfa'!P$3:P$200), "", ROW('Temp Hisfa'!P$3:P$200)-MIN(ROW('Temp Hisfa'!P$3:P$200))+1), ROW(196:395))),"")</f>
        <v>0</v>
      </c>
      <c r="Q198" s="22">
        <f t="array" ref="Q198">IFERROR(INDEX('Temp Hisfa'!Q$3:Q$200, SMALL(IF(ISERROR('Temp Hisfa'!Q$3:Q$200), "", ROW('Temp Hisfa'!Q$3:Q$200)-MIN(ROW('Temp Hisfa'!Q$3:Q$200))+1), ROW(196:395))),"")</f>
        <v>0</v>
      </c>
      <c r="R198" s="22">
        <f t="array" ref="R198">IFERROR(INDEX('Temp Hisfa'!R$3:R$200, SMALL(IF(ISERROR('Temp Hisfa'!R$3:R$200), "", ROW('Temp Hisfa'!R$3:R$200)-MIN(ROW('Temp Hisfa'!R$3:R$200))+1), ROW(196:395))),"")</f>
        <v>0</v>
      </c>
      <c r="S198" s="22">
        <f t="array" ref="S198">IFERROR(INDEX('Temp Hisfa'!S$3:S$200, SMALL(IF(ISERROR('Temp Hisfa'!S$3:S$200), "", ROW('Temp Hisfa'!S$3:S$200)-MIN(ROW('Temp Hisfa'!S$3:S$200))+1), ROW(196:395))),"")</f>
        <v>0</v>
      </c>
      <c r="T198" s="22">
        <f t="array" ref="T198">IFERROR(INDEX('Temp Hisfa'!T$3:T$200, SMALL(IF(ISERROR('Temp Hisfa'!T$3:T$200), "", ROW('Temp Hisfa'!T$3:T$200)-MIN(ROW('Temp Hisfa'!T$3:T$200))+1), ROW(196:395))),"")</f>
        <v>0</v>
      </c>
      <c r="U198" s="22">
        <f t="array" ref="U198">IFERROR(INDEX('Temp Hisfa'!U$3:U$200, SMALL(IF(ISERROR('Temp Hisfa'!U$3:U$200), "", ROW('Temp Hisfa'!U$3:U$200)-MIN(ROW('Temp Hisfa'!U$3:U$200))+1), ROW(196:395))),"")</f>
        <v>0</v>
      </c>
      <c r="V198" s="22">
        <f t="array" ref="V198">IFERROR(INDEX('Temp Hisfa'!V$3:V$200, SMALL(IF(ISERROR('Temp Hisfa'!V$3:V$200), "", ROW('Temp Hisfa'!V$3:V$200)-MIN(ROW('Temp Hisfa'!V$3:V$200))+1), ROW(196:395))),"")</f>
        <v>0</v>
      </c>
      <c r="W198" s="22">
        <f t="array" ref="W198">IFERROR(INDEX('Temp Hisfa'!W$3:W$200, SMALL(IF(ISERROR('Temp Hisfa'!W$3:W$200), "", ROW('Temp Hisfa'!W$3:W$200)-MIN(ROW('Temp Hisfa'!W$3:W$200))+1), ROW(196:395))),"")</f>
        <v>0</v>
      </c>
      <c r="X198" s="22">
        <f t="array" ref="X198">IFERROR(INDEX('Temp Hisfa'!X$3:X$200, SMALL(IF(ISERROR('Temp Hisfa'!X$3:X$200), "", ROW('Temp Hisfa'!X$3:X$200)-MIN(ROW('Temp Hisfa'!X$3:X$200))+1), ROW(196:395))),"")</f>
        <v>0</v>
      </c>
      <c r="Y198" s="22">
        <f t="array" ref="Y198">IFERROR(INDEX('Temp Hisfa'!Y$3:Y$200, SMALL(IF(ISERROR('Temp Hisfa'!Y$3:Y$200), "", ROW('Temp Hisfa'!Y$3:Y$200)-MIN(ROW('Temp Hisfa'!Y$3:Y$200))+1), ROW(196:395))),"")</f>
        <v>0</v>
      </c>
      <c r="Z198" s="22">
        <f t="array" ref="Z198">IFERROR(INDEX('Temp Hisfa'!Z$3:Z$200, SMALL(IF(ISERROR('Temp Hisfa'!Z$3:Z$200), "", ROW('Temp Hisfa'!Z$3:Z$200)-MIN(ROW('Temp Hisfa'!Z$3:Z$200))+1), ROW(196:395))),"")</f>
        <v>0</v>
      </c>
      <c r="AA198" s="22">
        <f t="array" ref="AA198">IFERROR(INDEX('Temp Hisfa'!AA$3:AA$200, SMALL(IF(ISERROR('Temp Hisfa'!AA$3:AA$200), "", ROW('Temp Hisfa'!AA$3:AA$200)-MIN(ROW('Temp Hisfa'!AA$3:AA$200))+1), ROW(196:395))),"")</f>
        <v>0</v>
      </c>
      <c r="AB198" s="22">
        <f t="array" ref="AB198">IFERROR(INDEX('Temp Hisfa'!AB$3:AB$200, SMALL(IF(ISERROR('Temp Hisfa'!AB$3:AB$200), "", ROW('Temp Hisfa'!AB$3:AB$200)-MIN(ROW('Temp Hisfa'!AB$3:AB$200))+1), ROW(196:395))),"")</f>
        <v>0</v>
      </c>
    </row>
    <row r="199" spans="1:28" hidden="1" x14ac:dyDescent="0.3">
      <c r="A199" s="4">
        <f t="array" ref="A199">IFERROR(INDEX('Temp Hisfa'!A$3:A$200, SMALL(IF(ISERROR('Temp Hisfa'!A$3:A$200), "", ROW('Temp Hisfa'!A$3:A$200)-MIN(ROW('Temp Hisfa'!A$3:A$200))+1), ROW(197:395))),"")</f>
        <v>0</v>
      </c>
      <c r="B199" s="4">
        <f t="array" ref="B199">IFERROR(INDEX('Temp Hisfa'!B$3:B$200, SMALL(IF(ISERROR('Temp Hisfa'!B$3:B$200), "", ROW('Temp Hisfa'!B$3:B$200)-MIN(ROW('Temp Hisfa'!B$3:B$200))+1), ROW(197:395))),"")</f>
        <v>0</v>
      </c>
      <c r="C199" s="3">
        <f t="array" ref="C199">IFERROR(INDEX('Temp Hisfa'!C$3:C$200, SMALL(IF(ISERROR('Temp Hisfa'!C$3:C$200), "", ROW('Temp Hisfa'!C$3:C$200)-MIN(ROW('Temp Hisfa'!C$3:C$200))+1), ROW(197:395))),"")</f>
        <v>0</v>
      </c>
      <c r="D199" s="3">
        <f t="array" ref="D199">IFERROR(INDEX('Temp Hisfa'!D$3:D$200, SMALL(IF(ISERROR('Temp Hisfa'!D$3:D$200), "", ROW('Temp Hisfa'!D$3:D$200)-MIN(ROW('Temp Hisfa'!D$3:D$200))+1), ROW(197:395))),"")</f>
        <v>0</v>
      </c>
      <c r="E199" s="29">
        <f t="array" ref="E199">IFERROR(INDEX('Temp Hisfa'!E$3:E$200, SMALL(IF(ISERROR('Temp Hisfa'!E$3:E$200), "", ROW('Temp Hisfa'!E$3:E$200)-MIN(ROW('Temp Hisfa'!E$3:E$200))+1), ROW(197:396))),"")</f>
        <v>0</v>
      </c>
      <c r="F199" s="22" t="str">
        <f t="array" ref="F199">IFERROR(INDEX('Temp Hisfa'!F$3:F$200, SMALL(IF(ISERROR('Temp Hisfa'!F$3:F$200), "", ROW('Temp Hisfa'!F$3:F$200)-MIN(ROW('Temp Hisfa'!F$3:F$200))+1), ROW(197:396))),"")</f>
        <v/>
      </c>
      <c r="G199" s="30">
        <f t="array" ref="G199">IFERROR(INDEX('Temp Hisfa'!G$3:G$200, SMALL(IF(ISERROR('Temp Hisfa'!G$3:G$200), "", ROW('Temp Hisfa'!G$3:G$200)-MIN(ROW('Temp Hisfa'!G$3:G$200))+1), ROW(197:396))),"")</f>
        <v>0</v>
      </c>
      <c r="H199" s="22" t="str">
        <f t="array" ref="H199">IFERROR(INDEX('Temp Hisfa'!H$3:H$200, SMALL(IF(ISERROR('Temp Hisfa'!H$3:H$200), "", ROW('Temp Hisfa'!H$3:H$200)-MIN(ROW('Temp Hisfa'!H$3:H$200))+1), ROW(197:396))),"")</f>
        <v/>
      </c>
      <c r="I199" s="22">
        <f t="array" ref="I199">IFERROR(INDEX('Temp Hisfa'!I$3:I$200, SMALL(IF(ISERROR('Temp Hisfa'!I$3:I$200), "", ROW('Temp Hisfa'!I$3:I$200)-MIN(ROW('Temp Hisfa'!I$3:I$200))+1), ROW(197:396))),"")</f>
        <v>0</v>
      </c>
      <c r="J199" s="22">
        <f t="array" ref="J199">IFERROR(INDEX('Temp Hisfa'!J$3:J$200, SMALL(IF(ISERROR('Temp Hisfa'!J$3:J$200), "", ROW('Temp Hisfa'!J$3:J$200)-MIN(ROW('Temp Hisfa'!J$3:J$200))+1), ROW(197:396))),"")</f>
        <v>0</v>
      </c>
      <c r="K199" s="30">
        <f t="array" ref="K199">IFERROR(INDEX('Temp Hisfa'!K$3:K$200, SMALL(IF(ISERROR('Temp Hisfa'!K$3:K$200), "", ROW('Temp Hisfa'!K$3:K$200)-MIN(ROW('Temp Hisfa'!K$3:K$200))+1), ROW(197:396))),"")</f>
        <v>0</v>
      </c>
      <c r="L199" s="22">
        <f t="array" ref="L199">IFERROR(INDEX('Temp Hisfa'!L$3:L$200, SMALL(IF(ISERROR('Temp Hisfa'!L$3:L$200), "", ROW('Temp Hisfa'!L$3:L$200)-MIN(ROW('Temp Hisfa'!L$3:L$200))+1), ROW(197:396))),"")</f>
        <v>0</v>
      </c>
      <c r="M199" s="22">
        <f t="array" ref="M199">IFERROR(INDEX('Temp Hisfa'!M$3:M$200, SMALL(IF(ISERROR('Temp Hisfa'!M$3:M$200), "", ROW('Temp Hisfa'!M$3:M$200)-MIN(ROW('Temp Hisfa'!M$3:M$200))+1), ROW(197:396))),"")</f>
        <v>0</v>
      </c>
      <c r="N199" s="22">
        <f t="array" ref="N199">IFERROR(INDEX('Temp Hisfa'!N$3:N$200, SMALL(IF(ISERROR('Temp Hisfa'!N$3:N$200), "", ROW('Temp Hisfa'!N$3:N$200)-MIN(ROW('Temp Hisfa'!N$3:N$200))+1), ROW(197:396))),"")</f>
        <v>1900</v>
      </c>
      <c r="O199" s="22" t="str">
        <f t="array" ref="O199">IFERROR(INDEX('Temp Hisfa'!O$3:O$200, SMALL(IF(ISERROR('Temp Hisfa'!O$3:O$200), "", ROW('Temp Hisfa'!O$3:O$200)-MIN(ROW('Temp Hisfa'!O$3:O$200))+1), ROW(197:396))),"")</f>
        <v>enero</v>
      </c>
      <c r="P199" s="22">
        <f t="array" ref="P199">IFERROR(INDEX('Temp Hisfa'!P$3:P$200, SMALL(IF(ISERROR('Temp Hisfa'!P$3:P$200), "", ROW('Temp Hisfa'!P$3:P$200)-MIN(ROW('Temp Hisfa'!P$3:P$200))+1), ROW(197:396))),"")</f>
        <v>0</v>
      </c>
      <c r="Q199" s="22">
        <f t="array" ref="Q199">IFERROR(INDEX('Temp Hisfa'!Q$3:Q$200, SMALL(IF(ISERROR('Temp Hisfa'!Q$3:Q$200), "", ROW('Temp Hisfa'!Q$3:Q$200)-MIN(ROW('Temp Hisfa'!Q$3:Q$200))+1), ROW(197:396))),"")</f>
        <v>0</v>
      </c>
      <c r="R199" s="22">
        <f t="array" ref="R199">IFERROR(INDEX('Temp Hisfa'!R$3:R$200, SMALL(IF(ISERROR('Temp Hisfa'!R$3:R$200), "", ROW('Temp Hisfa'!R$3:R$200)-MIN(ROW('Temp Hisfa'!R$3:R$200))+1), ROW(197:396))),"")</f>
        <v>0</v>
      </c>
      <c r="S199" s="22">
        <f t="array" ref="S199">IFERROR(INDEX('Temp Hisfa'!S$3:S$200, SMALL(IF(ISERROR('Temp Hisfa'!S$3:S$200), "", ROW('Temp Hisfa'!S$3:S$200)-MIN(ROW('Temp Hisfa'!S$3:S$200))+1), ROW(197:396))),"")</f>
        <v>0</v>
      </c>
      <c r="T199" s="22">
        <f t="array" ref="T199">IFERROR(INDEX('Temp Hisfa'!T$3:T$200, SMALL(IF(ISERROR('Temp Hisfa'!T$3:T$200), "", ROW('Temp Hisfa'!T$3:T$200)-MIN(ROW('Temp Hisfa'!T$3:T$200))+1), ROW(197:396))),"")</f>
        <v>0</v>
      </c>
      <c r="U199" s="22">
        <f t="array" ref="U199">IFERROR(INDEX('Temp Hisfa'!U$3:U$200, SMALL(IF(ISERROR('Temp Hisfa'!U$3:U$200), "", ROW('Temp Hisfa'!U$3:U$200)-MIN(ROW('Temp Hisfa'!U$3:U$200))+1), ROW(197:396))),"")</f>
        <v>0</v>
      </c>
      <c r="V199" s="22">
        <f t="array" ref="V199">IFERROR(INDEX('Temp Hisfa'!V$3:V$200, SMALL(IF(ISERROR('Temp Hisfa'!V$3:V$200), "", ROW('Temp Hisfa'!V$3:V$200)-MIN(ROW('Temp Hisfa'!V$3:V$200))+1), ROW(197:396))),"")</f>
        <v>0</v>
      </c>
      <c r="W199" s="22">
        <f t="array" ref="W199">IFERROR(INDEX('Temp Hisfa'!W$3:W$200, SMALL(IF(ISERROR('Temp Hisfa'!W$3:W$200), "", ROW('Temp Hisfa'!W$3:W$200)-MIN(ROW('Temp Hisfa'!W$3:W$200))+1), ROW(197:396))),"")</f>
        <v>0</v>
      </c>
      <c r="X199" s="22">
        <f t="array" ref="X199">IFERROR(INDEX('Temp Hisfa'!X$3:X$200, SMALL(IF(ISERROR('Temp Hisfa'!X$3:X$200), "", ROW('Temp Hisfa'!X$3:X$200)-MIN(ROW('Temp Hisfa'!X$3:X$200))+1), ROW(197:396))),"")</f>
        <v>0</v>
      </c>
      <c r="Y199" s="22">
        <f t="array" ref="Y199">IFERROR(INDEX('Temp Hisfa'!Y$3:Y$200, SMALL(IF(ISERROR('Temp Hisfa'!Y$3:Y$200), "", ROW('Temp Hisfa'!Y$3:Y$200)-MIN(ROW('Temp Hisfa'!Y$3:Y$200))+1), ROW(197:396))),"")</f>
        <v>0</v>
      </c>
      <c r="Z199" s="22">
        <f t="array" ref="Z199">IFERROR(INDEX('Temp Hisfa'!Z$3:Z$200, SMALL(IF(ISERROR('Temp Hisfa'!Z$3:Z$200), "", ROW('Temp Hisfa'!Z$3:Z$200)-MIN(ROW('Temp Hisfa'!Z$3:Z$200))+1), ROW(197:396))),"")</f>
        <v>0</v>
      </c>
      <c r="AA199" s="22">
        <f t="array" ref="AA199">IFERROR(INDEX('Temp Hisfa'!AA$3:AA$200, SMALL(IF(ISERROR('Temp Hisfa'!AA$3:AA$200), "", ROW('Temp Hisfa'!AA$3:AA$200)-MIN(ROW('Temp Hisfa'!AA$3:AA$200))+1), ROW(197:396))),"")</f>
        <v>0</v>
      </c>
      <c r="AB199" s="22">
        <f t="array" ref="AB199">IFERROR(INDEX('Temp Hisfa'!AB$3:AB$200, SMALL(IF(ISERROR('Temp Hisfa'!AB$3:AB$200), "", ROW('Temp Hisfa'!AB$3:AB$200)-MIN(ROW('Temp Hisfa'!AB$3:AB$200))+1), ROW(197:396))),"")</f>
        <v>0</v>
      </c>
    </row>
    <row r="200" spans="1:28" hidden="1" x14ac:dyDescent="0.3">
      <c r="A200" s="4">
        <f t="array" ref="A200">IFERROR(INDEX('Temp Hisfa'!A$3:A$200, SMALL(IF(ISERROR('Temp Hisfa'!A$3:A$200), "", ROW('Temp Hisfa'!A$3:A$200)-MIN(ROW('Temp Hisfa'!A$3:A$200))+1), ROW(198:396))),"")</f>
        <v>0</v>
      </c>
      <c r="B200" s="4">
        <f t="array" ref="B200">IFERROR(INDEX('Temp Hisfa'!B$3:B$200, SMALL(IF(ISERROR('Temp Hisfa'!B$3:B$200), "", ROW('Temp Hisfa'!B$3:B$200)-MIN(ROW('Temp Hisfa'!B$3:B$200))+1), ROW(198:396))),"")</f>
        <v>0</v>
      </c>
      <c r="C200" s="3">
        <f t="array" ref="C200">IFERROR(INDEX('Temp Hisfa'!C$3:C$200, SMALL(IF(ISERROR('Temp Hisfa'!C$3:C$200), "", ROW('Temp Hisfa'!C$3:C$200)-MIN(ROW('Temp Hisfa'!C$3:C$200))+1), ROW(198:396))),"")</f>
        <v>0</v>
      </c>
      <c r="D200" s="3">
        <f t="array" ref="D200">IFERROR(INDEX('Temp Hisfa'!D$3:D$200, SMALL(IF(ISERROR('Temp Hisfa'!D$3:D$200), "", ROW('Temp Hisfa'!D$3:D$200)-MIN(ROW('Temp Hisfa'!D$3:D$200))+1), ROW(198:396))),"")</f>
        <v>0</v>
      </c>
      <c r="E200" s="29">
        <f t="array" ref="E200">IFERROR(INDEX('Temp Hisfa'!E$3:E$200, SMALL(IF(ISERROR('Temp Hisfa'!E$3:E$200), "", ROW('Temp Hisfa'!E$3:E$200)-MIN(ROW('Temp Hisfa'!E$3:E$200))+1), ROW(198:397))),"")</f>
        <v>0</v>
      </c>
      <c r="F200" s="22" t="str">
        <f t="array" ref="F200">IFERROR(INDEX('Temp Hisfa'!F$3:F$200, SMALL(IF(ISERROR('Temp Hisfa'!F$3:F$200), "", ROW('Temp Hisfa'!F$3:F$200)-MIN(ROW('Temp Hisfa'!F$3:F$200))+1), ROW(198:397))),"")</f>
        <v/>
      </c>
      <c r="G200" s="30">
        <f t="array" ref="G200">IFERROR(INDEX('Temp Hisfa'!G$3:G$200, SMALL(IF(ISERROR('Temp Hisfa'!G$3:G$200), "", ROW('Temp Hisfa'!G$3:G$200)-MIN(ROW('Temp Hisfa'!G$3:G$200))+1), ROW(198:397))),"")</f>
        <v>0</v>
      </c>
      <c r="H200" s="22" t="str">
        <f t="array" ref="H200">IFERROR(INDEX('Temp Hisfa'!H$3:H$200, SMALL(IF(ISERROR('Temp Hisfa'!H$3:H$200), "", ROW('Temp Hisfa'!H$3:H$200)-MIN(ROW('Temp Hisfa'!H$3:H$200))+1), ROW(198:397))),"")</f>
        <v/>
      </c>
      <c r="I200" s="22">
        <f t="array" ref="I200">IFERROR(INDEX('Temp Hisfa'!I$3:I$200, SMALL(IF(ISERROR('Temp Hisfa'!I$3:I$200), "", ROW('Temp Hisfa'!I$3:I$200)-MIN(ROW('Temp Hisfa'!I$3:I$200))+1), ROW(198:397))),"")</f>
        <v>0</v>
      </c>
      <c r="J200" s="22">
        <f t="array" ref="J200">IFERROR(INDEX('Temp Hisfa'!J$3:J$200, SMALL(IF(ISERROR('Temp Hisfa'!J$3:J$200), "", ROW('Temp Hisfa'!J$3:J$200)-MIN(ROW('Temp Hisfa'!J$3:J$200))+1), ROW(198:397))),"")</f>
        <v>0</v>
      </c>
      <c r="K200" s="30">
        <f t="array" ref="K200">IFERROR(INDEX('Temp Hisfa'!K$3:K$200, SMALL(IF(ISERROR('Temp Hisfa'!K$3:K$200), "", ROW('Temp Hisfa'!K$3:K$200)-MIN(ROW('Temp Hisfa'!K$3:K$200))+1), ROW(198:397))),"")</f>
        <v>0</v>
      </c>
      <c r="L200" s="22">
        <f t="array" ref="L200">IFERROR(INDEX('Temp Hisfa'!L$3:L$200, SMALL(IF(ISERROR('Temp Hisfa'!L$3:L$200), "", ROW('Temp Hisfa'!L$3:L$200)-MIN(ROW('Temp Hisfa'!L$3:L$200))+1), ROW(198:397))),"")</f>
        <v>0</v>
      </c>
      <c r="M200" s="22">
        <f t="array" ref="M200">IFERROR(INDEX('Temp Hisfa'!M$3:M$200, SMALL(IF(ISERROR('Temp Hisfa'!M$3:M$200), "", ROW('Temp Hisfa'!M$3:M$200)-MIN(ROW('Temp Hisfa'!M$3:M$200))+1), ROW(198:397))),"")</f>
        <v>0</v>
      </c>
      <c r="N200" s="22">
        <f t="array" ref="N200">IFERROR(INDEX('Temp Hisfa'!N$3:N$200, SMALL(IF(ISERROR('Temp Hisfa'!N$3:N$200), "", ROW('Temp Hisfa'!N$3:N$200)-MIN(ROW('Temp Hisfa'!N$3:N$200))+1), ROW(198:397))),"")</f>
        <v>1900</v>
      </c>
      <c r="O200" s="22" t="str">
        <f t="array" ref="O200">IFERROR(INDEX('Temp Hisfa'!O$3:O$200, SMALL(IF(ISERROR('Temp Hisfa'!O$3:O$200), "", ROW('Temp Hisfa'!O$3:O$200)-MIN(ROW('Temp Hisfa'!O$3:O$200))+1), ROW(198:397))),"")</f>
        <v>enero</v>
      </c>
      <c r="P200" s="22">
        <f t="array" ref="P200">IFERROR(INDEX('Temp Hisfa'!P$3:P$200, SMALL(IF(ISERROR('Temp Hisfa'!P$3:P$200), "", ROW('Temp Hisfa'!P$3:P$200)-MIN(ROW('Temp Hisfa'!P$3:P$200))+1), ROW(198:397))),"")</f>
        <v>0</v>
      </c>
      <c r="Q200" s="22">
        <f t="array" ref="Q200">IFERROR(INDEX('Temp Hisfa'!Q$3:Q$200, SMALL(IF(ISERROR('Temp Hisfa'!Q$3:Q$200), "", ROW('Temp Hisfa'!Q$3:Q$200)-MIN(ROW('Temp Hisfa'!Q$3:Q$200))+1), ROW(198:397))),"")</f>
        <v>0</v>
      </c>
      <c r="R200" s="22">
        <f t="array" ref="R200">IFERROR(INDEX('Temp Hisfa'!R$3:R$200, SMALL(IF(ISERROR('Temp Hisfa'!R$3:R$200), "", ROW('Temp Hisfa'!R$3:R$200)-MIN(ROW('Temp Hisfa'!R$3:R$200))+1), ROW(198:397))),"")</f>
        <v>0</v>
      </c>
      <c r="S200" s="22">
        <f t="array" ref="S200">IFERROR(INDEX('Temp Hisfa'!S$3:S$200, SMALL(IF(ISERROR('Temp Hisfa'!S$3:S$200), "", ROW('Temp Hisfa'!S$3:S$200)-MIN(ROW('Temp Hisfa'!S$3:S$200))+1), ROW(198:397))),"")</f>
        <v>0</v>
      </c>
      <c r="T200" s="22">
        <f t="array" ref="T200">IFERROR(INDEX('Temp Hisfa'!T$3:T$200, SMALL(IF(ISERROR('Temp Hisfa'!T$3:T$200), "", ROW('Temp Hisfa'!T$3:T$200)-MIN(ROW('Temp Hisfa'!T$3:T$200))+1), ROW(198:397))),"")</f>
        <v>0</v>
      </c>
      <c r="U200" s="22">
        <f t="array" ref="U200">IFERROR(INDEX('Temp Hisfa'!U$3:U$200, SMALL(IF(ISERROR('Temp Hisfa'!U$3:U$200), "", ROW('Temp Hisfa'!U$3:U$200)-MIN(ROW('Temp Hisfa'!U$3:U$200))+1), ROW(198:397))),"")</f>
        <v>0</v>
      </c>
      <c r="V200" s="22">
        <f t="array" ref="V200">IFERROR(INDEX('Temp Hisfa'!V$3:V$200, SMALL(IF(ISERROR('Temp Hisfa'!V$3:V$200), "", ROW('Temp Hisfa'!V$3:V$200)-MIN(ROW('Temp Hisfa'!V$3:V$200))+1), ROW(198:397))),"")</f>
        <v>0</v>
      </c>
      <c r="W200" s="22">
        <f t="array" ref="W200">IFERROR(INDEX('Temp Hisfa'!W$3:W$200, SMALL(IF(ISERROR('Temp Hisfa'!W$3:W$200), "", ROW('Temp Hisfa'!W$3:W$200)-MIN(ROW('Temp Hisfa'!W$3:W$200))+1), ROW(198:397))),"")</f>
        <v>0</v>
      </c>
      <c r="X200" s="22">
        <f t="array" ref="X200">IFERROR(INDEX('Temp Hisfa'!X$3:X$200, SMALL(IF(ISERROR('Temp Hisfa'!X$3:X$200), "", ROW('Temp Hisfa'!X$3:X$200)-MIN(ROW('Temp Hisfa'!X$3:X$200))+1), ROW(198:397))),"")</f>
        <v>0</v>
      </c>
      <c r="Y200" s="22">
        <f t="array" ref="Y200">IFERROR(INDEX('Temp Hisfa'!Y$3:Y$200, SMALL(IF(ISERROR('Temp Hisfa'!Y$3:Y$200), "", ROW('Temp Hisfa'!Y$3:Y$200)-MIN(ROW('Temp Hisfa'!Y$3:Y$200))+1), ROW(198:397))),"")</f>
        <v>0</v>
      </c>
      <c r="Z200" s="22">
        <f t="array" ref="Z200">IFERROR(INDEX('Temp Hisfa'!Z$3:Z$200, SMALL(IF(ISERROR('Temp Hisfa'!Z$3:Z$200), "", ROW('Temp Hisfa'!Z$3:Z$200)-MIN(ROW('Temp Hisfa'!Z$3:Z$200))+1), ROW(198:397))),"")</f>
        <v>0</v>
      </c>
      <c r="AA200" s="22">
        <f t="array" ref="AA200">IFERROR(INDEX('Temp Hisfa'!AA$3:AA$200, SMALL(IF(ISERROR('Temp Hisfa'!AA$3:AA$200), "", ROW('Temp Hisfa'!AA$3:AA$200)-MIN(ROW('Temp Hisfa'!AA$3:AA$200))+1), ROW(198:397))),"")</f>
        <v>0</v>
      </c>
      <c r="AB200" s="22">
        <f t="array" ref="AB200">IFERROR(INDEX('Temp Hisfa'!AB$3:AB$200, SMALL(IF(ISERROR('Temp Hisfa'!AB$3:AB$200), "", ROW('Temp Hisfa'!AB$3:AB$200)-MIN(ROW('Temp Hisfa'!AB$3:AB$200))+1), ROW(198:397))),"")</f>
        <v>0</v>
      </c>
    </row>
    <row r="201" spans="1:28" hidden="1" x14ac:dyDescent="0.3">
      <c r="A201" s="54">
        <f>Resumen!D2</f>
        <v>0</v>
      </c>
    </row>
    <row r="202" spans="1:28" hidden="1" x14ac:dyDescent="0.3">
      <c r="A202" s="54">
        <f>MAX('Entrada datos'!C3:C200)</f>
        <v>0</v>
      </c>
    </row>
  </sheetData>
  <autoFilter ref="A2:AB202" xr:uid="{00000000-0009-0000-0000-000005000000}">
    <filterColumn colId="2">
      <filters>
        <dateGroupItem year="2024" dateTimeGrouping="year"/>
        <dateGroupItem year="2023" dateTimeGrouping="year"/>
        <dateGroupItem year="2022" dateTimeGrouping="year"/>
        <dateGroupItem year="2021" dateTimeGrouping="year"/>
        <dateGroupItem year="2020" dateTimeGrouping="year"/>
        <dateGroupItem year="2019" dateTimeGrouping="year"/>
        <dateGroupItem year="2018" dateTimeGrouping="year"/>
        <dateGroupItem year="2017" dateTimeGrouping="year"/>
        <dateGroupItem year="2016" dateTimeGrouping="year"/>
        <dateGroupItem year="2015" dateTimeGrouping="year"/>
        <dateGroupItem year="2014" dateTimeGrouping="year"/>
      </filters>
    </filterColumn>
  </autoFilter>
  <mergeCells count="7">
    <mergeCell ref="AD77:AE77"/>
    <mergeCell ref="AD81:AE81"/>
    <mergeCell ref="A1:B1"/>
    <mergeCell ref="AD61:AE61"/>
    <mergeCell ref="AD65:AE65"/>
    <mergeCell ref="AD69:AE69"/>
    <mergeCell ref="AD73:AE73"/>
  </mergeCells>
  <conditionalFormatting sqref="F1:F2 F201:F1048576 G2">
    <cfRule type="dataBar" priority="31">
      <dataBar>
        <cfvo type="min"/>
        <cfvo type="max"/>
        <color rgb="FF63C384"/>
      </dataBar>
    </cfRule>
    <cfRule type="cellIs" dxfId="7" priority="32" operator="lessThan">
      <formula>0</formula>
    </cfRule>
  </conditionalFormatting>
  <conditionalFormatting sqref="H1:H2 H201:H1048576">
    <cfRule type="dataBar" priority="30">
      <dataBar>
        <cfvo type="min"/>
        <cfvo type="max"/>
        <color rgb="FF008AEF"/>
      </dataBar>
    </cfRule>
  </conditionalFormatting>
  <conditionalFormatting sqref="K1:K2 K201:K1048576">
    <cfRule type="dataBar" priority="29">
      <dataBar>
        <cfvo type="min"/>
        <cfvo type="max"/>
        <color rgb="FFD6007B"/>
      </dataBar>
    </cfRule>
  </conditionalFormatting>
  <conditionalFormatting sqref="D1:D2 D201:D1048576 E2">
    <cfRule type="duplicateValues" dxfId="6" priority="27"/>
  </conditionalFormatting>
  <conditionalFormatting sqref="C1:D1048576">
    <cfRule type="duplicateValues" dxfId="5" priority="26"/>
  </conditionalFormatting>
  <conditionalFormatting sqref="C1:C1048576">
    <cfRule type="duplicateValues" dxfId="4" priority="25"/>
  </conditionalFormatting>
  <conditionalFormatting sqref="D1:D1048576">
    <cfRule type="duplicateValues" dxfId="3" priority="24"/>
  </conditionalFormatting>
  <conditionalFormatting sqref="F3:F200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{9E66E978-334F-4863-8505-451FAD7408B4}</x14:id>
        </ext>
      </extLst>
    </cfRule>
  </conditionalFormatting>
  <conditionalFormatting sqref="H3:H200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{B5E11793-E8F4-4416-A1A8-ADA72B9198A9}</x14:id>
        </ext>
      </extLst>
    </cfRule>
  </conditionalFormatting>
  <conditionalFormatting sqref="K1:K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{276F412E-1355-4F53-A0F6-716FBDE2526C}</x14:id>
        </ext>
      </extLst>
    </cfRule>
  </conditionalFormatting>
  <conditionalFormatting sqref="F1:F104857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{EDF7AF3F-3FF7-4AC0-BBD8-6B8D809ED1F7}</x14:id>
        </ext>
      </extLst>
    </cfRule>
  </conditionalFormatting>
  <conditionalFormatting sqref="H1:H10485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{EF1914FA-ECCA-4791-AAA3-2B98DF853780}</x14:id>
        </ext>
      </extLst>
    </cfRule>
  </conditionalFormatting>
  <conditionalFormatting sqref="A1:A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scale="55" orientation="portrait" r:id="rId1"/>
  <headerFooter>
    <oddHeader>&amp;C&amp;"Arial"&amp;8&amp;K000000INTERNAL&amp;1#</oddHead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E66E978-334F-4863-8505-451FAD7408B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F3:F200</xm:sqref>
        </x14:conditionalFormatting>
        <x14:conditionalFormatting xmlns:xm="http://schemas.microsoft.com/office/excel/2006/main">
          <x14:cfRule type="dataBar" id="{B5E11793-E8F4-4416-A1A8-ADA72B9198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H3:H200</xm:sqref>
        </x14:conditionalFormatting>
        <x14:conditionalFormatting xmlns:xm="http://schemas.microsoft.com/office/excel/2006/main">
          <x14:cfRule type="dataBar" id="{276F412E-1355-4F53-A0F6-716FBDE252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EDF7AF3F-3FF7-4AC0-BBD8-6B8D809ED1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  <x14:conditionalFormatting xmlns:xm="http://schemas.microsoft.com/office/excel/2006/main">
          <x14:cfRule type="dataBar" id="{EF1914FA-ECCA-4791-AAA3-2B98DF85378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P202"/>
  <sheetViews>
    <sheetView showGridLines="0" view="pageBreakPreview" zoomScaleNormal="100" zoomScaleSheetLayoutView="100" workbookViewId="0">
      <selection activeCell="D2" sqref="D2"/>
    </sheetView>
  </sheetViews>
  <sheetFormatPr baseColWidth="10" defaultColWidth="10.77734375" defaultRowHeight="14.4" x14ac:dyDescent="0.3"/>
  <cols>
    <col min="1" max="1" width="9.109375" customWidth="1"/>
    <col min="2" max="9" width="12.6640625" customWidth="1"/>
    <col min="10" max="11" width="10.77734375" customWidth="1"/>
    <col min="12" max="12" width="11.44140625" customWidth="1"/>
  </cols>
  <sheetData>
    <row r="1" spans="1:16" ht="26.4" thickBot="1" x14ac:dyDescent="0.55000000000000004">
      <c r="C1" s="114" t="s">
        <v>48</v>
      </c>
      <c r="D1" s="115"/>
      <c r="E1" s="55"/>
      <c r="F1" s="116">
        <f>MAX('Entrada datos'!C3:C200)</f>
        <v>0</v>
      </c>
      <c r="G1" s="116"/>
      <c r="H1" s="116"/>
      <c r="I1" s="117"/>
    </row>
    <row r="2" spans="1:16" ht="39" customHeight="1" x14ac:dyDescent="0.3">
      <c r="C2" s="53" t="s">
        <v>47</v>
      </c>
      <c r="D2" s="95"/>
      <c r="E2" s="33"/>
      <c r="F2" s="33"/>
      <c r="G2" s="33"/>
      <c r="H2" s="33"/>
      <c r="I2" s="33"/>
    </row>
    <row r="3" spans="1:16" x14ac:dyDescent="0.3">
      <c r="B3" s="96"/>
      <c r="C3" s="96" t="s">
        <v>5</v>
      </c>
      <c r="D3" s="96"/>
      <c r="E3" s="96"/>
      <c r="F3" s="96"/>
      <c r="G3" s="96"/>
      <c r="H3" s="96"/>
      <c r="I3" s="96"/>
      <c r="J3" s="96"/>
    </row>
    <row r="4" spans="1:16" ht="57.6" x14ac:dyDescent="0.3">
      <c r="B4" s="96" t="s">
        <v>8</v>
      </c>
      <c r="C4" s="102" t="s">
        <v>10</v>
      </c>
      <c r="D4" s="102" t="s">
        <v>9</v>
      </c>
      <c r="E4" s="102" t="s">
        <v>6</v>
      </c>
      <c r="F4" s="102" t="s">
        <v>7</v>
      </c>
      <c r="G4" s="102" t="s">
        <v>24</v>
      </c>
      <c r="H4" s="102" t="s">
        <v>27</v>
      </c>
      <c r="I4" s="102" t="s">
        <v>36</v>
      </c>
      <c r="J4" s="102" t="s">
        <v>46</v>
      </c>
    </row>
    <row r="6" spans="1:16" x14ac:dyDescent="0.3">
      <c r="P6" s="1"/>
    </row>
    <row r="16" spans="1:16" x14ac:dyDescent="0.3">
      <c r="A16" s="14"/>
    </row>
    <row r="17" spans="1:9" x14ac:dyDescent="0.3">
      <c r="A17" s="14"/>
      <c r="B17" s="19"/>
      <c r="C17" s="19"/>
      <c r="D17" s="14"/>
      <c r="E17" s="14"/>
      <c r="F17" s="21"/>
      <c r="G17" s="14"/>
      <c r="H17" s="14"/>
      <c r="I17" s="20"/>
    </row>
    <row r="38" spans="1:11" x14ac:dyDescent="0.3">
      <c r="A38" s="1"/>
      <c r="B38" s="10"/>
      <c r="C38" s="10"/>
      <c r="D38" s="10"/>
      <c r="E38" s="10"/>
      <c r="F38" s="10"/>
      <c r="G38" s="10"/>
      <c r="H38" s="10"/>
      <c r="I38" s="10"/>
      <c r="J38" s="10"/>
      <c r="K38" s="10"/>
    </row>
    <row r="39" spans="1:11" x14ac:dyDescent="0.3">
      <c r="A39" s="1"/>
      <c r="B39" s="10"/>
      <c r="C39" s="10"/>
      <c r="D39" s="10"/>
      <c r="E39" s="10"/>
      <c r="F39" s="10"/>
      <c r="G39" s="10"/>
      <c r="H39" s="10"/>
      <c r="I39" s="10"/>
      <c r="J39" s="10"/>
      <c r="K39" s="10"/>
    </row>
    <row r="40" spans="1:11" x14ac:dyDescent="0.3">
      <c r="A40" s="1"/>
      <c r="B40" s="10"/>
      <c r="C40" s="10"/>
      <c r="D40" s="10"/>
      <c r="E40" s="10"/>
      <c r="F40" s="10"/>
      <c r="G40" s="10"/>
      <c r="H40" s="10"/>
      <c r="I40" s="10"/>
      <c r="J40" s="10"/>
      <c r="K40" s="10"/>
    </row>
    <row r="41" spans="1:11" x14ac:dyDescent="0.3">
      <c r="A41" s="1"/>
      <c r="B41" s="10"/>
      <c r="C41" s="10"/>
      <c r="D41" s="10"/>
      <c r="E41" s="10"/>
      <c r="F41" s="10"/>
      <c r="G41" s="10"/>
      <c r="H41" s="10"/>
      <c r="I41" s="10"/>
      <c r="J41" s="10"/>
      <c r="K41" s="10"/>
    </row>
    <row r="42" spans="1:11" x14ac:dyDescent="0.3">
      <c r="A42" s="1"/>
      <c r="B42" s="10"/>
      <c r="C42" s="10"/>
      <c r="D42" s="10"/>
      <c r="E42" s="10"/>
      <c r="F42" s="10"/>
      <c r="G42" s="10"/>
      <c r="H42" s="10"/>
      <c r="I42" s="10"/>
      <c r="J42" s="10"/>
      <c r="K42" s="10"/>
    </row>
    <row r="43" spans="1:11" x14ac:dyDescent="0.3">
      <c r="A43" s="1"/>
      <c r="B43" s="10"/>
      <c r="C43" s="10"/>
      <c r="D43" s="10"/>
      <c r="E43" s="10"/>
      <c r="F43" s="10"/>
      <c r="G43" s="10"/>
      <c r="H43" s="10"/>
      <c r="I43" s="10"/>
      <c r="J43" s="10"/>
      <c r="K43" s="10"/>
    </row>
    <row r="44" spans="1:11" x14ac:dyDescent="0.3">
      <c r="A44" s="1"/>
      <c r="B44" s="10"/>
      <c r="C44" s="10"/>
      <c r="D44" s="10"/>
      <c r="E44" s="10"/>
      <c r="F44" s="10"/>
      <c r="G44" s="10"/>
      <c r="H44" s="10"/>
      <c r="I44" s="10"/>
      <c r="J44" s="10"/>
      <c r="K44" s="10"/>
    </row>
    <row r="45" spans="1:11" x14ac:dyDescent="0.3">
      <c r="A45" s="1"/>
      <c r="B45" s="10"/>
      <c r="C45" s="10"/>
      <c r="D45" s="10"/>
      <c r="E45" s="10"/>
      <c r="F45" s="10"/>
      <c r="G45" s="10"/>
      <c r="H45" s="10"/>
      <c r="I45" s="10"/>
      <c r="J45" s="10"/>
      <c r="K45" s="10"/>
    </row>
    <row r="46" spans="1:11" x14ac:dyDescent="0.3">
      <c r="A46" s="1"/>
      <c r="B46" s="10"/>
      <c r="C46" s="10"/>
      <c r="D46" s="10"/>
      <c r="E46" s="10"/>
      <c r="F46" s="10"/>
      <c r="G46" s="10"/>
      <c r="H46" s="10"/>
      <c r="I46" s="10"/>
      <c r="J46" s="10"/>
      <c r="K46" s="10"/>
    </row>
    <row r="55" spans="1:2" x14ac:dyDescent="0.3">
      <c r="A55" s="99" t="s">
        <v>6</v>
      </c>
      <c r="B55" s="99" t="s">
        <v>8</v>
      </c>
    </row>
    <row r="56" spans="1:2" x14ac:dyDescent="0.3">
      <c r="A56" s="99" t="s">
        <v>28</v>
      </c>
      <c r="B56" s="106"/>
    </row>
    <row r="57" spans="1:2" ht="28.8" x14ac:dyDescent="0.3">
      <c r="A57" s="100" t="s">
        <v>30</v>
      </c>
      <c r="B57" s="101"/>
    </row>
    <row r="71" spans="1:12" s="33" customFormat="1" ht="15" customHeight="1" x14ac:dyDescent="0.3">
      <c r="A71"/>
      <c r="B71"/>
      <c r="C71"/>
      <c r="D71"/>
      <c r="E71"/>
      <c r="F71"/>
      <c r="G71"/>
      <c r="H71"/>
      <c r="I71"/>
      <c r="J71"/>
      <c r="K71"/>
      <c r="L71"/>
    </row>
    <row r="73" spans="1:12" x14ac:dyDescent="0.3">
      <c r="A73" s="27" t="s">
        <v>37</v>
      </c>
    </row>
    <row r="201" spans="1:1" x14ac:dyDescent="0.3">
      <c r="A201">
        <f>D2</f>
        <v>0</v>
      </c>
    </row>
    <row r="202" spans="1:1" x14ac:dyDescent="0.3">
      <c r="A202">
        <f>MAX('Entrada datos'!C3:C200)</f>
        <v>0</v>
      </c>
    </row>
  </sheetData>
  <sheetProtection formatCells="0" formatColumns="0" formatRows="0" insertColumns="0" insertRows="0" insertHyperlinks="0" deleteColumns="0" deleteRows="0" sort="0" autoFilter="0" pivotTables="0"/>
  <mergeCells count="2">
    <mergeCell ref="C1:D1"/>
    <mergeCell ref="F1:I1"/>
  </mergeCells>
  <conditionalFormatting pivot="1" sqref="B57">
    <cfRule type="aboveAverage" dxfId="2" priority="14"/>
  </conditionalFormatting>
  <conditionalFormatting pivot="1" sqref="B5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{112DC481-FACA-4F55-A79E-4C3CF5E962A4}</x14:id>
        </ext>
      </extLst>
    </cfRule>
  </conditionalFormatting>
  <conditionalFormatting pivot="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{6292EC6A-C7FF-4C52-8793-0D294DFC8313}</x14:id>
        </ext>
      </extLst>
    </cfRule>
  </conditionalFormatting>
  <conditionalFormatting pivot="1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{AAA76D1C-E523-4486-BDE5-D8F5871043E8}</x14:id>
        </ext>
      </extLst>
    </cfRule>
  </conditionalFormatting>
  <conditionalFormatting sqref="I17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{113890F0-8FFF-4CE1-AB4D-4A6CDE420959}</x14:id>
        </ext>
      </extLst>
    </cfRule>
  </conditionalFormatting>
  <conditionalFormatting pivot="1">
    <cfRule type="cellIs" dxfId="1" priority="7" operator="lessThan">
      <formula>1</formula>
    </cfRule>
  </conditionalFormatting>
  <conditionalFormatting pivot="1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{9C37EDDB-5973-47BC-80EE-5C7486860ACA}</x14:id>
        </ext>
      </extLst>
    </cfRule>
  </conditionalFormatting>
  <pageMargins left="0.7" right="0.7" top="0.75" bottom="0.75" header="0.3" footer="0.3"/>
  <pageSetup paperSize="9" scale="59" orientation="portrait" r:id="rId3"/>
  <headerFooter>
    <oddHeader>&amp;C&amp;"Arial"&amp;8&amp;K000000INTERNAL&amp;1#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6" name="Option Button 8">
              <controlPr defaultSize="0" autoFill="0" autoLine="0" autoPict="0" macro="[0]!Campaña_Proactivo">
                <anchor moveWithCells="1">
                  <from>
                    <xdr:col>9</xdr:col>
                    <xdr:colOff>160020</xdr:colOff>
                    <xdr:row>0</xdr:row>
                    <xdr:rowOff>175260</xdr:rowOff>
                  </from>
                  <to>
                    <xdr:col>11</xdr:col>
                    <xdr:colOff>579120</xdr:colOff>
                    <xdr:row>1</xdr:row>
                    <xdr:rowOff>274320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112DC481-FACA-4F55-A79E-4C3CF5E962A4}">
            <x14:dataBar border="1" negativeBarColorSameAsPositive="1" negativeBarBorderColorSameAsPositive="0" axisPosition="none">
              <x14:cfvo type="min"/>
              <x14:cfvo type="max"/>
              <x14:borderColor rgb="FF638EC6"/>
              <x14:negativeBorderColor rgb="FF63C384"/>
            </x14:dataBar>
          </x14:cfRule>
        </x14:conditionalFormatting>
        <x14:conditionalFormatting xmlns:xm="http://schemas.microsoft.com/office/excel/2006/main" pivot="1">
          <x14:cfRule type="dataBar" id="{6292EC6A-C7FF-4C52-8793-0D294DFC83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 pivot="1">
          <x14:cfRule type="dataBar" id="{AAA76D1C-E523-4486-BDE5-D8F5871043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>
          <x14:cfRule type="dataBar" id="{113890F0-8FFF-4CE1-AB4D-4A6CDE420959}">
            <x14:dataBar border="1" negativeBarColorSameAsPositive="1" negativeBarBorderColorSameAsPositive="0" axisPosition="none">
              <x14:cfvo type="min"/>
              <x14:cfvo type="max"/>
              <x14:borderColor rgb="FFFFB628"/>
              <x14:negativeBorderColor rgb="FFFFB628"/>
            </x14:dataBar>
          </x14:cfRule>
          <xm:sqref>I17</xm:sqref>
        </x14:conditionalFormatting>
        <x14:conditionalFormatting xmlns:xm="http://schemas.microsoft.com/office/excel/2006/main" pivot="1">
          <x14:cfRule type="dataBar" id="{9C37EDDB-5973-47BC-80EE-5C7486860AC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 filterMode="1">
    <tabColor rgb="FFFFC000"/>
  </sheetPr>
  <dimension ref="A1:HQ200"/>
  <sheetViews>
    <sheetView zoomScaleNormal="100" workbookViewId="0">
      <pane ySplit="4" topLeftCell="A16" activePane="bottomLeft" state="frozen"/>
      <selection pane="bottomLeft" activeCell="C2" sqref="C2"/>
    </sheetView>
  </sheetViews>
  <sheetFormatPr baseColWidth="10" defaultColWidth="11.44140625" defaultRowHeight="14.4" x14ac:dyDescent="0.3"/>
  <cols>
    <col min="1" max="1" width="12" style="1" customWidth="1"/>
    <col min="2" max="2" width="7.77734375" style="1" customWidth="1"/>
    <col min="3" max="4" width="10.77734375" style="2" customWidth="1"/>
    <col min="5" max="5" width="7.6640625" style="1" customWidth="1"/>
    <col min="6" max="6" width="8.44140625" style="1" customWidth="1"/>
    <col min="7" max="7" width="8.5546875" style="1" customWidth="1"/>
    <col min="8" max="13" width="7.6640625" style="1" customWidth="1"/>
    <col min="14" max="14" width="8.44140625" style="1" customWidth="1"/>
    <col min="15" max="15" width="7.6640625" style="1" customWidth="1"/>
    <col min="16" max="18" width="9.6640625" style="1" customWidth="1"/>
    <col min="19" max="19" width="9" style="1" customWidth="1"/>
    <col min="20" max="21" width="11.44140625" style="1"/>
    <col min="22" max="22" width="5" style="1" hidden="1" customWidth="1"/>
    <col min="23" max="23" width="6" style="1" hidden="1" customWidth="1"/>
    <col min="24" max="26" width="11.44140625" style="1"/>
    <col min="27" max="27" width="11.88671875" style="1" bestFit="1" customWidth="1"/>
    <col min="28" max="16384" width="11.44140625" style="1"/>
  </cols>
  <sheetData>
    <row r="1" spans="1:225" ht="15" customHeight="1" thickBot="1" x14ac:dyDescent="0.35">
      <c r="A1" s="118"/>
      <c r="B1" s="69"/>
      <c r="C1" s="69" t="s">
        <v>14</v>
      </c>
      <c r="D1" s="69" t="s">
        <v>94</v>
      </c>
      <c r="E1" s="70" t="s">
        <v>51</v>
      </c>
      <c r="F1" s="70" t="s">
        <v>52</v>
      </c>
      <c r="G1" s="70" t="s">
        <v>83</v>
      </c>
      <c r="H1" s="70" t="s">
        <v>95</v>
      </c>
      <c r="I1" s="70" t="s">
        <v>53</v>
      </c>
      <c r="J1" s="122" t="s">
        <v>73</v>
      </c>
      <c r="K1" s="123"/>
      <c r="L1" s="122" t="s">
        <v>54</v>
      </c>
      <c r="M1" s="123"/>
      <c r="N1" s="122" t="s">
        <v>89</v>
      </c>
      <c r="O1" s="128"/>
      <c r="P1" s="86"/>
      <c r="Q1" s="84"/>
      <c r="R1" s="90" t="s">
        <v>100</v>
      </c>
      <c r="S1" s="120"/>
      <c r="AA1" s="1" t="s">
        <v>74</v>
      </c>
    </row>
    <row r="2" spans="1:225" ht="27.75" customHeight="1" thickBot="1" x14ac:dyDescent="0.35">
      <c r="A2" s="119"/>
      <c r="B2" s="71"/>
      <c r="C2" s="71">
        <f>C5</f>
        <v>0</v>
      </c>
      <c r="D2" s="71">
        <f>SUBTOTAL(4,D5:D200)</f>
        <v>0</v>
      </c>
      <c r="E2" s="72"/>
      <c r="F2" s="72"/>
      <c r="G2" s="73">
        <f>MAX(Listado!AE67,Listado!AE75)</f>
        <v>0</v>
      </c>
      <c r="H2" s="72">
        <f>Listado!AE86</f>
        <v>0</v>
      </c>
      <c r="I2" s="72">
        <f>D2-C2</f>
        <v>0</v>
      </c>
      <c r="J2" s="126">
        <f>SUBTOTAL(109,G5:L200)</f>
        <v>0</v>
      </c>
      <c r="K2" s="127"/>
      <c r="L2" s="124">
        <f>SUBTOTAL(109,M5:R200)</f>
        <v>0</v>
      </c>
      <c r="M2" s="125"/>
      <c r="N2" s="124">
        <f>J2+L2</f>
        <v>0</v>
      </c>
      <c r="O2" s="129"/>
      <c r="P2" s="87"/>
      <c r="Q2" s="85"/>
      <c r="R2" s="91" t="str">
        <f>ROMAN(MAX('Entrada datos'!O2:O200))</f>
        <v/>
      </c>
      <c r="S2" s="121"/>
      <c r="AA2" s="1" t="s">
        <v>98</v>
      </c>
    </row>
    <row r="3" spans="1:225" ht="11.25" customHeight="1" x14ac:dyDescent="0.3">
      <c r="A3" s="79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AA3" s="1" t="s">
        <v>99</v>
      </c>
    </row>
    <row r="4" spans="1:225" s="9" customFormat="1" ht="28.8" x14ac:dyDescent="0.3">
      <c r="A4" s="81" t="s">
        <v>12</v>
      </c>
      <c r="B4" s="81" t="s">
        <v>56</v>
      </c>
      <c r="C4" s="82" t="s">
        <v>57</v>
      </c>
      <c r="D4" s="82" t="s">
        <v>58</v>
      </c>
      <c r="E4" s="81" t="s">
        <v>59</v>
      </c>
      <c r="F4" s="81" t="s">
        <v>60</v>
      </c>
      <c r="G4" s="81" t="s">
        <v>61</v>
      </c>
      <c r="H4" s="81" t="s">
        <v>62</v>
      </c>
      <c r="I4" s="81" t="s">
        <v>63</v>
      </c>
      <c r="J4" s="81" t="s">
        <v>64</v>
      </c>
      <c r="K4" s="81" t="s">
        <v>65</v>
      </c>
      <c r="L4" s="81" t="s">
        <v>66</v>
      </c>
      <c r="M4" s="81" t="s">
        <v>67</v>
      </c>
      <c r="N4" s="81" t="s">
        <v>68</v>
      </c>
      <c r="O4" s="81" t="s">
        <v>69</v>
      </c>
      <c r="P4" s="81" t="s">
        <v>70</v>
      </c>
      <c r="Q4" s="81" t="s">
        <v>71</v>
      </c>
      <c r="R4" s="81" t="s">
        <v>72</v>
      </c>
      <c r="S4" s="83" t="s">
        <v>97</v>
      </c>
      <c r="AA4" s="92">
        <f>SUBTOTAL(5,C5:C200)</f>
        <v>0</v>
      </c>
    </row>
    <row r="5" spans="1:225" hidden="1" x14ac:dyDescent="0.3">
      <c r="A5" s="78">
        <f>'Entrada datos'!C2</f>
        <v>0</v>
      </c>
      <c r="B5" s="74">
        <f>'Entrada datos'!D2</f>
        <v>0</v>
      </c>
      <c r="C5" s="75">
        <f>'Entrada datos'!G2</f>
        <v>0</v>
      </c>
      <c r="D5" s="75">
        <f>'Entrada datos'!H2</f>
        <v>0</v>
      </c>
      <c r="E5" s="74">
        <f>D5-C5</f>
        <v>0</v>
      </c>
      <c r="F5" s="68" t="str">
        <f>IF(D5&lt;=$C$2,"no procede","Refacturar")</f>
        <v>no procede</v>
      </c>
      <c r="G5" s="74">
        <f>'Entrada datos'!P2</f>
        <v>0</v>
      </c>
      <c r="H5" s="74">
        <f>'Entrada datos'!Q2</f>
        <v>0</v>
      </c>
      <c r="I5" s="74">
        <f>'Entrada datos'!R2</f>
        <v>0</v>
      </c>
      <c r="J5" s="74">
        <f>'Entrada datos'!S2</f>
        <v>0</v>
      </c>
      <c r="K5" s="74">
        <f>'Entrada datos'!T2</f>
        <v>0</v>
      </c>
      <c r="L5" s="74">
        <f>'Entrada datos'!U2</f>
        <v>0</v>
      </c>
      <c r="M5" s="76"/>
      <c r="N5" s="76"/>
      <c r="O5" s="76"/>
      <c r="P5" s="76"/>
      <c r="Q5" s="76"/>
      <c r="R5" s="76"/>
      <c r="S5" s="77" t="s">
        <v>74</v>
      </c>
      <c r="T5" s="77"/>
      <c r="U5" s="77"/>
      <c r="V5" s="77">
        <f t="shared" ref="V5:V6" si="0">SUM(G5:I5)</f>
        <v>0</v>
      </c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77"/>
      <c r="BS5" s="77"/>
      <c r="BT5" s="77"/>
      <c r="BU5" s="77"/>
      <c r="BV5" s="77"/>
      <c r="BW5" s="77"/>
      <c r="BX5" s="77"/>
      <c r="BY5" s="77"/>
      <c r="BZ5" s="77"/>
      <c r="CA5" s="77"/>
      <c r="CB5" s="77"/>
      <c r="CC5" s="77"/>
      <c r="CD5" s="77"/>
      <c r="CE5" s="77"/>
      <c r="CF5" s="77"/>
      <c r="CG5" s="77"/>
      <c r="CH5" s="77"/>
      <c r="CI5" s="77"/>
      <c r="CJ5" s="77"/>
      <c r="CK5" s="77"/>
      <c r="CL5" s="77"/>
      <c r="CM5" s="77"/>
      <c r="CN5" s="77"/>
      <c r="CO5" s="77"/>
      <c r="CP5" s="77"/>
      <c r="CQ5" s="77"/>
      <c r="CR5" s="77"/>
      <c r="CS5" s="77"/>
      <c r="CT5" s="77"/>
      <c r="CU5" s="77"/>
      <c r="CV5" s="77"/>
      <c r="CW5" s="77"/>
      <c r="CX5" s="77"/>
      <c r="CY5" s="77"/>
      <c r="CZ5" s="77"/>
      <c r="DA5" s="77"/>
      <c r="DB5" s="77"/>
      <c r="DC5" s="77"/>
      <c r="DD5" s="77"/>
      <c r="DE5" s="77"/>
      <c r="DF5" s="77"/>
      <c r="DG5" s="77"/>
      <c r="DH5" s="77"/>
      <c r="DI5" s="77"/>
      <c r="DJ5" s="77"/>
      <c r="DK5" s="77"/>
      <c r="DL5" s="77"/>
      <c r="DM5" s="77"/>
      <c r="DN5" s="77"/>
      <c r="DO5" s="77"/>
      <c r="DP5" s="77"/>
      <c r="DQ5" s="77"/>
      <c r="DR5" s="77"/>
      <c r="DS5" s="77"/>
      <c r="DT5" s="77"/>
      <c r="DU5" s="77"/>
      <c r="DV5" s="77"/>
      <c r="DW5" s="77"/>
      <c r="DX5" s="77"/>
      <c r="DY5" s="77"/>
      <c r="DZ5" s="77"/>
      <c r="EA5" s="77"/>
      <c r="EB5" s="77"/>
      <c r="EC5" s="77"/>
      <c r="ED5" s="77"/>
      <c r="EE5" s="77"/>
      <c r="EF5" s="77"/>
      <c r="EG5" s="77"/>
      <c r="EH5" s="77"/>
      <c r="EI5" s="77"/>
      <c r="EJ5" s="77"/>
      <c r="EK5" s="77"/>
      <c r="EL5" s="77"/>
      <c r="EM5" s="77"/>
      <c r="EN5" s="77"/>
      <c r="EO5" s="77"/>
      <c r="EP5" s="77"/>
      <c r="EQ5" s="77"/>
      <c r="ER5" s="77"/>
      <c r="ES5" s="77"/>
      <c r="ET5" s="77"/>
      <c r="EU5" s="77"/>
      <c r="EV5" s="77"/>
      <c r="EW5" s="77"/>
      <c r="EX5" s="77"/>
      <c r="EY5" s="77"/>
      <c r="EZ5" s="77"/>
      <c r="FA5" s="77"/>
      <c r="FB5" s="77"/>
      <c r="FC5" s="77"/>
      <c r="FD5" s="77"/>
      <c r="FE5" s="77"/>
      <c r="FF5" s="77"/>
      <c r="FG5" s="77"/>
      <c r="FH5" s="77"/>
      <c r="FI5" s="77"/>
      <c r="FJ5" s="77"/>
      <c r="FK5" s="77"/>
      <c r="FL5" s="77"/>
      <c r="FM5" s="77"/>
      <c r="FN5" s="77"/>
      <c r="FO5" s="77"/>
      <c r="FP5" s="77"/>
      <c r="FQ5" s="77"/>
      <c r="FR5" s="77"/>
      <c r="FS5" s="77"/>
      <c r="FT5" s="77"/>
      <c r="FU5" s="77"/>
      <c r="FV5" s="77"/>
      <c r="FW5" s="77"/>
      <c r="FX5" s="77"/>
      <c r="FY5" s="77"/>
      <c r="FZ5" s="77"/>
      <c r="GA5" s="77"/>
      <c r="GB5" s="77"/>
      <c r="GC5" s="77"/>
      <c r="GD5" s="77"/>
      <c r="GE5" s="77"/>
      <c r="GF5" s="77"/>
      <c r="GG5" s="77"/>
      <c r="GH5" s="77"/>
      <c r="GI5" s="77"/>
      <c r="GJ5" s="77"/>
      <c r="GK5" s="77"/>
      <c r="GL5" s="77"/>
      <c r="GM5" s="77"/>
      <c r="GN5" s="77"/>
      <c r="GO5" s="77"/>
      <c r="GP5" s="77"/>
      <c r="GQ5" s="77"/>
      <c r="GR5" s="77"/>
      <c r="GS5" s="77"/>
      <c r="GT5" s="77"/>
      <c r="GU5" s="77"/>
      <c r="GV5" s="77"/>
      <c r="GW5" s="77"/>
      <c r="GX5" s="77"/>
      <c r="GY5" s="77"/>
      <c r="GZ5" s="77"/>
      <c r="HA5" s="77"/>
      <c r="HB5" s="77"/>
      <c r="HC5" s="77"/>
      <c r="HD5" s="77"/>
      <c r="HE5" s="77"/>
      <c r="HF5" s="77"/>
      <c r="HG5" s="77"/>
      <c r="HH5" s="77"/>
      <c r="HI5" s="77"/>
      <c r="HJ5" s="77"/>
      <c r="HK5" s="77"/>
      <c r="HL5" s="77"/>
      <c r="HM5" s="77"/>
      <c r="HN5" s="77"/>
      <c r="HO5" s="77"/>
      <c r="HP5" s="77"/>
      <c r="HQ5" s="77"/>
    </row>
    <row r="6" spans="1:225" hidden="1" x14ac:dyDescent="0.3">
      <c r="A6" s="78">
        <f>'Entrada datos'!C3</f>
        <v>0</v>
      </c>
      <c r="B6" s="74">
        <f>'Entrada datos'!D3</f>
        <v>0</v>
      </c>
      <c r="C6" s="75">
        <f>'Entrada datos'!G3</f>
        <v>0</v>
      </c>
      <c r="D6" s="75">
        <f>'Entrada datos'!H3</f>
        <v>0</v>
      </c>
      <c r="E6" s="74">
        <f t="shared" ref="E6:E69" si="1">D6-C6</f>
        <v>0</v>
      </c>
      <c r="F6" s="68" t="str">
        <f t="shared" ref="F6:F69" si="2">IF(D6&lt;=$C$2,"no procede","Refacturar")</f>
        <v>no procede</v>
      </c>
      <c r="G6" s="74">
        <f>'Entrada datos'!P3</f>
        <v>0</v>
      </c>
      <c r="H6" s="74">
        <f>'Entrada datos'!Q3</f>
        <v>0</v>
      </c>
      <c r="I6" s="74">
        <f>'Entrada datos'!R3</f>
        <v>0</v>
      </c>
      <c r="J6" s="74">
        <f>'Entrada datos'!S3</f>
        <v>0</v>
      </c>
      <c r="K6" s="74">
        <f>'Entrada datos'!T3</f>
        <v>0</v>
      </c>
      <c r="L6" s="74">
        <f>'Entrada datos'!U3</f>
        <v>0</v>
      </c>
      <c r="M6" s="76"/>
      <c r="N6" s="76"/>
      <c r="O6" s="76"/>
      <c r="P6" s="76"/>
      <c r="Q6" s="76"/>
      <c r="R6" s="76"/>
      <c r="S6" s="77" t="s">
        <v>74</v>
      </c>
      <c r="T6" s="77"/>
      <c r="U6" s="77"/>
      <c r="V6" s="77">
        <f t="shared" si="0"/>
        <v>0</v>
      </c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7"/>
      <c r="BZ6" s="77"/>
      <c r="CA6" s="77"/>
      <c r="CB6" s="77"/>
      <c r="CC6" s="77"/>
      <c r="CD6" s="77"/>
      <c r="CE6" s="77"/>
      <c r="CF6" s="77"/>
      <c r="CG6" s="77"/>
      <c r="CH6" s="77"/>
      <c r="CI6" s="77"/>
      <c r="CJ6" s="77"/>
      <c r="CK6" s="77"/>
      <c r="CL6" s="77"/>
      <c r="CM6" s="77"/>
      <c r="CN6" s="77"/>
      <c r="CO6" s="77"/>
      <c r="CP6" s="77"/>
      <c r="CQ6" s="77"/>
      <c r="CR6" s="77"/>
      <c r="CS6" s="77"/>
      <c r="CT6" s="77"/>
      <c r="CU6" s="77"/>
      <c r="CV6" s="77"/>
      <c r="CW6" s="77"/>
      <c r="CX6" s="77"/>
      <c r="CY6" s="77"/>
      <c r="CZ6" s="77"/>
      <c r="DA6" s="77"/>
      <c r="DB6" s="77"/>
      <c r="DC6" s="77"/>
      <c r="DD6" s="77"/>
      <c r="DE6" s="77"/>
      <c r="DF6" s="77"/>
      <c r="DG6" s="77"/>
      <c r="DH6" s="77"/>
      <c r="DI6" s="77"/>
      <c r="DJ6" s="77"/>
      <c r="DK6" s="77"/>
      <c r="DL6" s="77"/>
      <c r="DM6" s="77"/>
      <c r="DN6" s="77"/>
      <c r="DO6" s="77"/>
      <c r="DP6" s="77"/>
      <c r="DQ6" s="77"/>
      <c r="DR6" s="77"/>
      <c r="DS6" s="77"/>
      <c r="DT6" s="77"/>
      <c r="DU6" s="77"/>
      <c r="DV6" s="77"/>
      <c r="DW6" s="77"/>
      <c r="DX6" s="77"/>
      <c r="DY6" s="77"/>
      <c r="DZ6" s="77"/>
      <c r="EA6" s="77"/>
      <c r="EB6" s="77"/>
      <c r="EC6" s="77"/>
      <c r="ED6" s="77"/>
      <c r="EE6" s="77"/>
      <c r="EF6" s="77"/>
      <c r="EG6" s="77"/>
      <c r="EH6" s="77"/>
      <c r="EI6" s="77"/>
      <c r="EJ6" s="77"/>
      <c r="EK6" s="77"/>
      <c r="EL6" s="77"/>
      <c r="EM6" s="77"/>
      <c r="EN6" s="77"/>
      <c r="EO6" s="77"/>
      <c r="EP6" s="77"/>
      <c r="EQ6" s="77"/>
      <c r="ER6" s="77"/>
      <c r="ES6" s="77"/>
      <c r="ET6" s="77"/>
      <c r="EU6" s="77"/>
      <c r="EV6" s="77"/>
      <c r="EW6" s="77"/>
      <c r="EX6" s="77"/>
      <c r="EY6" s="77"/>
      <c r="EZ6" s="77"/>
      <c r="FA6" s="77"/>
      <c r="FB6" s="77"/>
      <c r="FC6" s="77"/>
      <c r="FD6" s="77"/>
      <c r="FE6" s="77"/>
      <c r="FF6" s="77"/>
      <c r="FG6" s="77"/>
      <c r="FH6" s="77"/>
      <c r="FI6" s="77"/>
      <c r="FJ6" s="77"/>
      <c r="FK6" s="77"/>
      <c r="FL6" s="77"/>
      <c r="FM6" s="77"/>
      <c r="FN6" s="77"/>
      <c r="FO6" s="77"/>
      <c r="FP6" s="77"/>
      <c r="FQ6" s="77"/>
      <c r="FR6" s="77"/>
      <c r="FS6" s="77"/>
      <c r="FT6" s="77"/>
      <c r="FU6" s="77"/>
      <c r="FV6" s="77"/>
      <c r="FW6" s="77"/>
      <c r="FX6" s="77"/>
      <c r="FY6" s="77"/>
      <c r="FZ6" s="77"/>
      <c r="GA6" s="77"/>
      <c r="GB6" s="77"/>
      <c r="GC6" s="77"/>
      <c r="GD6" s="77"/>
      <c r="GE6" s="77"/>
      <c r="GF6" s="77"/>
      <c r="GG6" s="77"/>
      <c r="GH6" s="77"/>
      <c r="GI6" s="77"/>
      <c r="GJ6" s="77"/>
      <c r="GK6" s="77"/>
      <c r="GL6" s="77"/>
      <c r="GM6" s="77"/>
      <c r="GN6" s="77"/>
      <c r="GO6" s="77"/>
      <c r="GP6" s="77"/>
      <c r="GQ6" s="77"/>
      <c r="GR6" s="77"/>
      <c r="GS6" s="77"/>
      <c r="GT6" s="77"/>
      <c r="GU6" s="77"/>
      <c r="GV6" s="77"/>
      <c r="GW6" s="77"/>
      <c r="GX6" s="77"/>
      <c r="GY6" s="77"/>
      <c r="GZ6" s="77"/>
      <c r="HA6" s="77"/>
      <c r="HB6" s="77"/>
      <c r="HC6" s="77"/>
      <c r="HD6" s="77"/>
      <c r="HE6" s="77"/>
      <c r="HF6" s="77"/>
      <c r="HG6" s="77"/>
      <c r="HH6" s="77"/>
      <c r="HI6" s="77"/>
      <c r="HJ6" s="77"/>
      <c r="HK6" s="77"/>
      <c r="HL6" s="77"/>
      <c r="HM6" s="77"/>
      <c r="HN6" s="77"/>
      <c r="HO6" s="77"/>
      <c r="HP6" s="77"/>
      <c r="HQ6" s="77"/>
    </row>
    <row r="7" spans="1:225" hidden="1" x14ac:dyDescent="0.3">
      <c r="A7" s="78">
        <f>'Entrada datos'!C4</f>
        <v>0</v>
      </c>
      <c r="B7" s="74">
        <f>'Entrada datos'!D4</f>
        <v>0</v>
      </c>
      <c r="C7" s="75">
        <f>'Entrada datos'!G4</f>
        <v>0</v>
      </c>
      <c r="D7" s="75">
        <f>'Entrada datos'!H4</f>
        <v>0</v>
      </c>
      <c r="E7" s="74">
        <f t="shared" si="1"/>
        <v>0</v>
      </c>
      <c r="F7" s="68" t="str">
        <f t="shared" si="2"/>
        <v>no procede</v>
      </c>
      <c r="G7" s="74">
        <f>'Entrada datos'!P4</f>
        <v>0</v>
      </c>
      <c r="H7" s="74">
        <f>'Entrada datos'!Q4</f>
        <v>0</v>
      </c>
      <c r="I7" s="74">
        <f>'Entrada datos'!R4</f>
        <v>0</v>
      </c>
      <c r="J7" s="74">
        <f>'Entrada datos'!S4</f>
        <v>0</v>
      </c>
      <c r="K7" s="74">
        <f>'Entrada datos'!T4</f>
        <v>0</v>
      </c>
      <c r="L7" s="74">
        <f>'Entrada datos'!U4</f>
        <v>0</v>
      </c>
      <c r="M7" s="76"/>
      <c r="N7" s="76"/>
      <c r="O7" s="76"/>
      <c r="P7" s="76"/>
      <c r="Q7" s="76"/>
      <c r="R7" s="76"/>
      <c r="S7" s="77" t="s">
        <v>74</v>
      </c>
      <c r="T7" s="77"/>
      <c r="U7" s="77"/>
      <c r="V7" s="77">
        <f>SUM(G7:I7)</f>
        <v>0</v>
      </c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77"/>
      <c r="BQ7" s="77"/>
      <c r="BR7" s="77"/>
      <c r="BS7" s="77"/>
      <c r="BT7" s="77"/>
      <c r="BU7" s="77"/>
      <c r="BV7" s="77"/>
      <c r="BW7" s="77"/>
      <c r="BX7" s="77"/>
      <c r="BY7" s="77"/>
      <c r="BZ7" s="77"/>
      <c r="CA7" s="77"/>
      <c r="CB7" s="77"/>
      <c r="CC7" s="77"/>
      <c r="CD7" s="77"/>
      <c r="CE7" s="77"/>
      <c r="CF7" s="77"/>
      <c r="CG7" s="77"/>
      <c r="CH7" s="77"/>
      <c r="CI7" s="77"/>
      <c r="CJ7" s="77"/>
      <c r="CK7" s="77"/>
      <c r="CL7" s="77"/>
      <c r="CM7" s="77"/>
      <c r="CN7" s="77"/>
      <c r="CO7" s="77"/>
      <c r="CP7" s="77"/>
      <c r="CQ7" s="77"/>
      <c r="CR7" s="77"/>
      <c r="CS7" s="77"/>
      <c r="CT7" s="77"/>
      <c r="CU7" s="77"/>
      <c r="CV7" s="77"/>
      <c r="CW7" s="77"/>
      <c r="CX7" s="77"/>
      <c r="CY7" s="77"/>
      <c r="CZ7" s="77"/>
      <c r="DA7" s="77"/>
      <c r="DB7" s="77"/>
      <c r="DC7" s="77"/>
      <c r="DD7" s="77"/>
      <c r="DE7" s="77"/>
      <c r="DF7" s="77"/>
      <c r="DG7" s="77"/>
      <c r="DH7" s="77"/>
      <c r="DI7" s="77"/>
      <c r="DJ7" s="77"/>
      <c r="DK7" s="77"/>
      <c r="DL7" s="77"/>
      <c r="DM7" s="77"/>
      <c r="DN7" s="77"/>
      <c r="DO7" s="77"/>
      <c r="DP7" s="77"/>
      <c r="DQ7" s="77"/>
      <c r="DR7" s="77"/>
      <c r="DS7" s="77"/>
      <c r="DT7" s="77"/>
      <c r="DU7" s="77"/>
      <c r="DV7" s="77"/>
      <c r="DW7" s="77"/>
      <c r="DX7" s="77"/>
      <c r="DY7" s="77"/>
      <c r="DZ7" s="77"/>
      <c r="EA7" s="77"/>
      <c r="EB7" s="77"/>
      <c r="EC7" s="77"/>
      <c r="ED7" s="77"/>
      <c r="EE7" s="77"/>
      <c r="EF7" s="77"/>
      <c r="EG7" s="77"/>
      <c r="EH7" s="77"/>
      <c r="EI7" s="77"/>
      <c r="EJ7" s="77"/>
      <c r="EK7" s="77"/>
      <c r="EL7" s="77"/>
      <c r="EM7" s="77"/>
      <c r="EN7" s="77"/>
      <c r="EO7" s="77"/>
      <c r="EP7" s="77"/>
      <c r="EQ7" s="77"/>
      <c r="ER7" s="77"/>
      <c r="ES7" s="77"/>
      <c r="ET7" s="77"/>
      <c r="EU7" s="77"/>
      <c r="EV7" s="77"/>
      <c r="EW7" s="77"/>
      <c r="EX7" s="77"/>
      <c r="EY7" s="77"/>
      <c r="EZ7" s="77"/>
      <c r="FA7" s="77"/>
      <c r="FB7" s="77"/>
      <c r="FC7" s="77"/>
      <c r="FD7" s="77"/>
      <c r="FE7" s="77"/>
      <c r="FF7" s="77"/>
      <c r="FG7" s="77"/>
      <c r="FH7" s="77"/>
      <c r="FI7" s="77"/>
      <c r="FJ7" s="77"/>
      <c r="FK7" s="77"/>
      <c r="FL7" s="77"/>
      <c r="FM7" s="77"/>
      <c r="FN7" s="77"/>
      <c r="FO7" s="77"/>
      <c r="FP7" s="77"/>
      <c r="FQ7" s="77"/>
      <c r="FR7" s="77"/>
      <c r="FS7" s="77"/>
      <c r="FT7" s="77"/>
      <c r="FU7" s="77"/>
      <c r="FV7" s="77"/>
      <c r="FW7" s="77"/>
      <c r="FX7" s="77"/>
      <c r="FY7" s="77"/>
      <c r="FZ7" s="77"/>
      <c r="GA7" s="77"/>
      <c r="GB7" s="77"/>
      <c r="GC7" s="77"/>
      <c r="GD7" s="77"/>
      <c r="GE7" s="77"/>
      <c r="GF7" s="77"/>
      <c r="GG7" s="77"/>
      <c r="GH7" s="77"/>
      <c r="GI7" s="77"/>
      <c r="GJ7" s="77"/>
      <c r="GK7" s="77"/>
      <c r="GL7" s="77"/>
      <c r="GM7" s="77"/>
      <c r="GN7" s="77"/>
      <c r="GO7" s="77"/>
      <c r="GP7" s="77"/>
      <c r="GQ7" s="77"/>
      <c r="GR7" s="77"/>
      <c r="GS7" s="77"/>
      <c r="GT7" s="77"/>
      <c r="GU7" s="77"/>
      <c r="GV7" s="77"/>
      <c r="GW7" s="77"/>
      <c r="GX7" s="77"/>
      <c r="GY7" s="77"/>
      <c r="GZ7" s="77"/>
      <c r="HA7" s="77"/>
      <c r="HB7" s="77"/>
      <c r="HC7" s="77"/>
      <c r="HD7" s="77"/>
      <c r="HE7" s="77"/>
      <c r="HF7" s="77"/>
      <c r="HG7" s="77"/>
      <c r="HH7" s="77"/>
      <c r="HI7" s="77"/>
      <c r="HJ7" s="77"/>
      <c r="HK7" s="77"/>
      <c r="HL7" s="77"/>
      <c r="HM7" s="77"/>
      <c r="HN7" s="77"/>
      <c r="HO7" s="77"/>
      <c r="HP7" s="77"/>
      <c r="HQ7" s="77"/>
    </row>
    <row r="8" spans="1:225" hidden="1" x14ac:dyDescent="0.3">
      <c r="A8" s="78">
        <f>'Entrada datos'!C5</f>
        <v>0</v>
      </c>
      <c r="B8" s="74">
        <f>'Entrada datos'!D5</f>
        <v>0</v>
      </c>
      <c r="C8" s="75">
        <f>'Entrada datos'!G5</f>
        <v>0</v>
      </c>
      <c r="D8" s="75">
        <f>'Entrada datos'!H5</f>
        <v>0</v>
      </c>
      <c r="E8" s="74">
        <f t="shared" si="1"/>
        <v>0</v>
      </c>
      <c r="F8" s="68" t="str">
        <f t="shared" si="2"/>
        <v>no procede</v>
      </c>
      <c r="G8" s="74">
        <f>'Entrada datos'!P5</f>
        <v>0</v>
      </c>
      <c r="H8" s="74">
        <f>'Entrada datos'!Q5</f>
        <v>0</v>
      </c>
      <c r="I8" s="74">
        <f>'Entrada datos'!R5</f>
        <v>0</v>
      </c>
      <c r="J8" s="74">
        <f>'Entrada datos'!S5</f>
        <v>0</v>
      </c>
      <c r="K8" s="74">
        <f>'Entrada datos'!T5</f>
        <v>0</v>
      </c>
      <c r="L8" s="74">
        <f>'Entrada datos'!U5</f>
        <v>0</v>
      </c>
      <c r="M8" s="76"/>
      <c r="N8" s="76"/>
      <c r="O8" s="76"/>
      <c r="P8" s="76"/>
      <c r="Q8" s="76"/>
      <c r="R8" s="76"/>
      <c r="S8" s="77" t="s">
        <v>74</v>
      </c>
      <c r="T8" s="77"/>
      <c r="U8" s="77"/>
      <c r="V8" s="77">
        <f t="shared" ref="V8:V71" si="3">SUM(G8:I8)</f>
        <v>0</v>
      </c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7"/>
      <c r="BD8" s="77"/>
      <c r="BE8" s="77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77"/>
      <c r="BS8" s="77"/>
      <c r="BT8" s="77"/>
      <c r="BU8" s="77"/>
      <c r="BV8" s="77"/>
      <c r="BW8" s="77"/>
      <c r="BX8" s="77"/>
      <c r="BY8" s="77"/>
      <c r="BZ8" s="77"/>
      <c r="CA8" s="77"/>
      <c r="CB8" s="77"/>
      <c r="CC8" s="77"/>
      <c r="CD8" s="77"/>
      <c r="CE8" s="77"/>
      <c r="CF8" s="77"/>
      <c r="CG8" s="77"/>
      <c r="CH8" s="77"/>
      <c r="CI8" s="77"/>
      <c r="CJ8" s="77"/>
      <c r="CK8" s="77"/>
      <c r="CL8" s="77"/>
      <c r="CM8" s="77"/>
      <c r="CN8" s="77"/>
      <c r="CO8" s="77"/>
      <c r="CP8" s="77"/>
      <c r="CQ8" s="77"/>
      <c r="CR8" s="77"/>
      <c r="CS8" s="77"/>
      <c r="CT8" s="77"/>
      <c r="CU8" s="77"/>
      <c r="CV8" s="77"/>
      <c r="CW8" s="77"/>
      <c r="CX8" s="77"/>
      <c r="CY8" s="77"/>
      <c r="CZ8" s="77"/>
      <c r="DA8" s="77"/>
      <c r="DB8" s="77"/>
      <c r="DC8" s="77"/>
      <c r="DD8" s="77"/>
      <c r="DE8" s="77"/>
      <c r="DF8" s="77"/>
      <c r="DG8" s="77"/>
      <c r="DH8" s="77"/>
      <c r="DI8" s="77"/>
      <c r="DJ8" s="77"/>
      <c r="DK8" s="77"/>
      <c r="DL8" s="77"/>
      <c r="DM8" s="77"/>
      <c r="DN8" s="77"/>
      <c r="DO8" s="77"/>
      <c r="DP8" s="77"/>
      <c r="DQ8" s="77"/>
      <c r="DR8" s="77"/>
      <c r="DS8" s="77"/>
      <c r="DT8" s="77"/>
      <c r="DU8" s="77"/>
      <c r="DV8" s="77"/>
      <c r="DW8" s="77"/>
      <c r="DX8" s="77"/>
      <c r="DY8" s="77"/>
      <c r="DZ8" s="77"/>
      <c r="EA8" s="77"/>
      <c r="EB8" s="77"/>
      <c r="EC8" s="77"/>
      <c r="ED8" s="77"/>
      <c r="EE8" s="77"/>
      <c r="EF8" s="77"/>
      <c r="EG8" s="77"/>
      <c r="EH8" s="77"/>
      <c r="EI8" s="77"/>
      <c r="EJ8" s="77"/>
      <c r="EK8" s="77"/>
      <c r="EL8" s="77"/>
      <c r="EM8" s="77"/>
      <c r="EN8" s="77"/>
      <c r="EO8" s="77"/>
      <c r="EP8" s="77"/>
      <c r="EQ8" s="77"/>
      <c r="ER8" s="77"/>
      <c r="ES8" s="77"/>
      <c r="ET8" s="77"/>
      <c r="EU8" s="77"/>
      <c r="EV8" s="77"/>
      <c r="EW8" s="77"/>
      <c r="EX8" s="77"/>
      <c r="EY8" s="77"/>
      <c r="EZ8" s="77"/>
      <c r="FA8" s="77"/>
      <c r="FB8" s="77"/>
      <c r="FC8" s="77"/>
      <c r="FD8" s="77"/>
      <c r="FE8" s="77"/>
      <c r="FF8" s="77"/>
      <c r="FG8" s="77"/>
      <c r="FH8" s="77"/>
      <c r="FI8" s="77"/>
      <c r="FJ8" s="77"/>
      <c r="FK8" s="77"/>
      <c r="FL8" s="77"/>
      <c r="FM8" s="77"/>
      <c r="FN8" s="77"/>
      <c r="FO8" s="77"/>
      <c r="FP8" s="77"/>
      <c r="FQ8" s="77"/>
      <c r="FR8" s="77"/>
      <c r="FS8" s="77"/>
      <c r="FT8" s="77"/>
      <c r="FU8" s="77"/>
      <c r="FV8" s="77"/>
      <c r="FW8" s="77"/>
      <c r="FX8" s="77"/>
      <c r="FY8" s="77"/>
      <c r="FZ8" s="77"/>
      <c r="GA8" s="77"/>
      <c r="GB8" s="77"/>
      <c r="GC8" s="77"/>
      <c r="GD8" s="77"/>
      <c r="GE8" s="77"/>
      <c r="GF8" s="77"/>
      <c r="GG8" s="77"/>
      <c r="GH8" s="77"/>
      <c r="GI8" s="77"/>
      <c r="GJ8" s="77"/>
      <c r="GK8" s="77"/>
      <c r="GL8" s="77"/>
      <c r="GM8" s="77"/>
      <c r="GN8" s="77"/>
      <c r="GO8" s="77"/>
      <c r="GP8" s="77"/>
      <c r="GQ8" s="77"/>
      <c r="GR8" s="77"/>
      <c r="GS8" s="77"/>
      <c r="GT8" s="77"/>
      <c r="GU8" s="77"/>
      <c r="GV8" s="77"/>
      <c r="GW8" s="77"/>
      <c r="GX8" s="77"/>
      <c r="GY8" s="77"/>
      <c r="GZ8" s="77"/>
      <c r="HA8" s="77"/>
      <c r="HB8" s="77"/>
      <c r="HC8" s="77"/>
      <c r="HD8" s="77"/>
      <c r="HE8" s="77"/>
      <c r="HF8" s="77"/>
      <c r="HG8" s="77"/>
      <c r="HH8" s="77"/>
      <c r="HI8" s="77"/>
      <c r="HJ8" s="77"/>
      <c r="HK8" s="77"/>
      <c r="HL8" s="77"/>
      <c r="HM8" s="77"/>
      <c r="HN8" s="77"/>
      <c r="HO8" s="77"/>
      <c r="HP8" s="77"/>
      <c r="HQ8" s="77"/>
    </row>
    <row r="9" spans="1:225" hidden="1" x14ac:dyDescent="0.3">
      <c r="A9" s="78">
        <f>'Entrada datos'!C6</f>
        <v>0</v>
      </c>
      <c r="B9" s="74">
        <f>'Entrada datos'!D6</f>
        <v>0</v>
      </c>
      <c r="C9" s="75">
        <f>'Entrada datos'!G6</f>
        <v>0</v>
      </c>
      <c r="D9" s="75">
        <f>'Entrada datos'!H6</f>
        <v>0</v>
      </c>
      <c r="E9" s="74">
        <f t="shared" si="1"/>
        <v>0</v>
      </c>
      <c r="F9" s="68" t="str">
        <f t="shared" si="2"/>
        <v>no procede</v>
      </c>
      <c r="G9" s="74">
        <f>'Entrada datos'!P6</f>
        <v>0</v>
      </c>
      <c r="H9" s="74">
        <f>'Entrada datos'!Q6</f>
        <v>0</v>
      </c>
      <c r="I9" s="74">
        <f>'Entrada datos'!R6</f>
        <v>0</v>
      </c>
      <c r="J9" s="74">
        <f>'Entrada datos'!S6</f>
        <v>0</v>
      </c>
      <c r="K9" s="74">
        <f>'Entrada datos'!T6</f>
        <v>0</v>
      </c>
      <c r="L9" s="74">
        <f>'Entrada datos'!U6</f>
        <v>0</v>
      </c>
      <c r="M9" s="76"/>
      <c r="N9" s="76"/>
      <c r="O9" s="76"/>
      <c r="P9" s="76"/>
      <c r="Q9" s="76"/>
      <c r="R9" s="76"/>
      <c r="S9" s="77" t="s">
        <v>74</v>
      </c>
      <c r="T9" s="77"/>
      <c r="U9" s="77"/>
      <c r="V9" s="77">
        <f t="shared" si="3"/>
        <v>0</v>
      </c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  <c r="BK9" s="77"/>
      <c r="BL9" s="77"/>
      <c r="BM9" s="77"/>
      <c r="BN9" s="77"/>
      <c r="BO9" s="77"/>
      <c r="BP9" s="77"/>
      <c r="BQ9" s="77"/>
      <c r="BR9" s="77"/>
      <c r="BS9" s="77"/>
      <c r="BT9" s="77"/>
      <c r="BU9" s="77"/>
      <c r="BV9" s="77"/>
      <c r="BW9" s="77"/>
      <c r="BX9" s="77"/>
      <c r="BY9" s="77"/>
      <c r="BZ9" s="77"/>
      <c r="CA9" s="77"/>
      <c r="CB9" s="77"/>
      <c r="CC9" s="77"/>
      <c r="CD9" s="77"/>
      <c r="CE9" s="77"/>
      <c r="CF9" s="77"/>
      <c r="CG9" s="77"/>
      <c r="CH9" s="77"/>
      <c r="CI9" s="77"/>
      <c r="CJ9" s="77"/>
      <c r="CK9" s="77"/>
      <c r="CL9" s="77"/>
      <c r="CM9" s="77"/>
      <c r="CN9" s="77"/>
      <c r="CO9" s="77"/>
      <c r="CP9" s="77"/>
      <c r="CQ9" s="77"/>
      <c r="CR9" s="77"/>
      <c r="CS9" s="77"/>
      <c r="CT9" s="77"/>
      <c r="CU9" s="77"/>
      <c r="CV9" s="77"/>
      <c r="CW9" s="77"/>
      <c r="CX9" s="77"/>
      <c r="CY9" s="77"/>
      <c r="CZ9" s="77"/>
      <c r="DA9" s="77"/>
      <c r="DB9" s="77"/>
      <c r="DC9" s="77"/>
      <c r="DD9" s="77"/>
      <c r="DE9" s="77"/>
      <c r="DF9" s="77"/>
      <c r="DG9" s="77"/>
      <c r="DH9" s="77"/>
      <c r="DI9" s="77"/>
      <c r="DJ9" s="77"/>
      <c r="DK9" s="77"/>
      <c r="DL9" s="77"/>
      <c r="DM9" s="77"/>
      <c r="DN9" s="77"/>
      <c r="DO9" s="77"/>
      <c r="DP9" s="77"/>
      <c r="DQ9" s="77"/>
      <c r="DR9" s="77"/>
      <c r="DS9" s="77"/>
      <c r="DT9" s="77"/>
      <c r="DU9" s="77"/>
      <c r="DV9" s="77"/>
      <c r="DW9" s="77"/>
      <c r="DX9" s="77"/>
      <c r="DY9" s="77"/>
      <c r="DZ9" s="77"/>
      <c r="EA9" s="77"/>
      <c r="EB9" s="77"/>
      <c r="EC9" s="77"/>
      <c r="ED9" s="77"/>
      <c r="EE9" s="77"/>
      <c r="EF9" s="77"/>
      <c r="EG9" s="77"/>
      <c r="EH9" s="77"/>
      <c r="EI9" s="77"/>
      <c r="EJ9" s="77"/>
      <c r="EK9" s="77"/>
      <c r="EL9" s="77"/>
      <c r="EM9" s="77"/>
      <c r="EN9" s="77"/>
      <c r="EO9" s="77"/>
      <c r="EP9" s="77"/>
      <c r="EQ9" s="77"/>
      <c r="ER9" s="77"/>
      <c r="ES9" s="77"/>
      <c r="ET9" s="77"/>
      <c r="EU9" s="77"/>
      <c r="EV9" s="77"/>
      <c r="EW9" s="77"/>
      <c r="EX9" s="77"/>
      <c r="EY9" s="77"/>
      <c r="EZ9" s="77"/>
      <c r="FA9" s="77"/>
      <c r="FB9" s="77"/>
      <c r="FC9" s="77"/>
      <c r="FD9" s="77"/>
      <c r="FE9" s="77"/>
      <c r="FF9" s="77"/>
      <c r="FG9" s="77"/>
      <c r="FH9" s="77"/>
      <c r="FI9" s="77"/>
      <c r="FJ9" s="77"/>
      <c r="FK9" s="77"/>
      <c r="FL9" s="77"/>
      <c r="FM9" s="77"/>
      <c r="FN9" s="77"/>
      <c r="FO9" s="77"/>
      <c r="FP9" s="77"/>
      <c r="FQ9" s="77"/>
      <c r="FR9" s="77"/>
      <c r="FS9" s="77"/>
      <c r="FT9" s="77"/>
      <c r="FU9" s="77"/>
      <c r="FV9" s="77"/>
      <c r="FW9" s="77"/>
      <c r="FX9" s="77"/>
      <c r="FY9" s="77"/>
      <c r="FZ9" s="77"/>
      <c r="GA9" s="77"/>
      <c r="GB9" s="77"/>
      <c r="GC9" s="77"/>
      <c r="GD9" s="77"/>
      <c r="GE9" s="77"/>
      <c r="GF9" s="77"/>
      <c r="GG9" s="77"/>
      <c r="GH9" s="77"/>
      <c r="GI9" s="77"/>
      <c r="GJ9" s="77"/>
      <c r="GK9" s="77"/>
      <c r="GL9" s="77"/>
      <c r="GM9" s="77"/>
      <c r="GN9" s="77"/>
      <c r="GO9" s="77"/>
      <c r="GP9" s="77"/>
      <c r="GQ9" s="77"/>
      <c r="GR9" s="77"/>
      <c r="GS9" s="77"/>
      <c r="GT9" s="77"/>
      <c r="GU9" s="77"/>
      <c r="GV9" s="77"/>
      <c r="GW9" s="77"/>
      <c r="GX9" s="77"/>
      <c r="GY9" s="77"/>
      <c r="GZ9" s="77"/>
      <c r="HA9" s="77"/>
      <c r="HB9" s="77"/>
      <c r="HC9" s="77"/>
      <c r="HD9" s="77"/>
      <c r="HE9" s="77"/>
      <c r="HF9" s="77"/>
      <c r="HG9" s="77"/>
      <c r="HH9" s="77"/>
      <c r="HI9" s="77"/>
      <c r="HJ9" s="77"/>
      <c r="HK9" s="77"/>
      <c r="HL9" s="77"/>
      <c r="HM9" s="77"/>
      <c r="HN9" s="77"/>
      <c r="HO9" s="77"/>
      <c r="HP9" s="77"/>
      <c r="HQ9" s="77"/>
    </row>
    <row r="10" spans="1:225" hidden="1" x14ac:dyDescent="0.3">
      <c r="A10" s="78">
        <f>'Entrada datos'!C7</f>
        <v>0</v>
      </c>
      <c r="B10" s="74">
        <f>'Entrada datos'!D7</f>
        <v>0</v>
      </c>
      <c r="C10" s="75">
        <f>'Entrada datos'!G7</f>
        <v>0</v>
      </c>
      <c r="D10" s="75">
        <f>'Entrada datos'!H7</f>
        <v>0</v>
      </c>
      <c r="E10" s="74">
        <f t="shared" si="1"/>
        <v>0</v>
      </c>
      <c r="F10" s="68" t="str">
        <f t="shared" si="2"/>
        <v>no procede</v>
      </c>
      <c r="G10" s="74">
        <f>'Entrada datos'!P7</f>
        <v>0</v>
      </c>
      <c r="H10" s="74">
        <f>'Entrada datos'!Q7</f>
        <v>0</v>
      </c>
      <c r="I10" s="74">
        <f>'Entrada datos'!R7</f>
        <v>0</v>
      </c>
      <c r="J10" s="74">
        <f>'Entrada datos'!S7</f>
        <v>0</v>
      </c>
      <c r="K10" s="74">
        <f>'Entrada datos'!T7</f>
        <v>0</v>
      </c>
      <c r="L10" s="74">
        <f>'Entrada datos'!U7</f>
        <v>0</v>
      </c>
      <c r="M10" s="76"/>
      <c r="N10" s="76"/>
      <c r="O10" s="76"/>
      <c r="P10" s="76"/>
      <c r="Q10" s="76"/>
      <c r="R10" s="76"/>
      <c r="S10" s="77" t="s">
        <v>74</v>
      </c>
      <c r="T10" s="77"/>
      <c r="U10" s="77"/>
      <c r="V10" s="77">
        <f t="shared" si="3"/>
        <v>0</v>
      </c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77"/>
      <c r="BS10" s="77"/>
      <c r="BT10" s="77"/>
      <c r="BU10" s="77"/>
      <c r="BV10" s="77"/>
      <c r="BW10" s="77"/>
      <c r="BX10" s="77"/>
      <c r="BY10" s="77"/>
      <c r="BZ10" s="77"/>
      <c r="CA10" s="77"/>
      <c r="CB10" s="77"/>
      <c r="CC10" s="77"/>
      <c r="CD10" s="77"/>
      <c r="CE10" s="77"/>
      <c r="CF10" s="77"/>
      <c r="CG10" s="77"/>
      <c r="CH10" s="77"/>
      <c r="CI10" s="77"/>
      <c r="CJ10" s="77"/>
      <c r="CK10" s="77"/>
      <c r="CL10" s="77"/>
      <c r="CM10" s="77"/>
      <c r="CN10" s="77"/>
      <c r="CO10" s="77"/>
      <c r="CP10" s="77"/>
      <c r="CQ10" s="77"/>
      <c r="CR10" s="77"/>
      <c r="CS10" s="77"/>
      <c r="CT10" s="77"/>
      <c r="CU10" s="77"/>
      <c r="CV10" s="77"/>
      <c r="CW10" s="77"/>
      <c r="CX10" s="77"/>
      <c r="CY10" s="77"/>
      <c r="CZ10" s="77"/>
      <c r="DA10" s="77"/>
      <c r="DB10" s="77"/>
      <c r="DC10" s="77"/>
      <c r="DD10" s="77"/>
      <c r="DE10" s="77"/>
      <c r="DF10" s="77"/>
      <c r="DG10" s="77"/>
      <c r="DH10" s="77"/>
      <c r="DI10" s="77"/>
      <c r="DJ10" s="77"/>
      <c r="DK10" s="77"/>
      <c r="DL10" s="77"/>
      <c r="DM10" s="77"/>
      <c r="DN10" s="77"/>
      <c r="DO10" s="77"/>
      <c r="DP10" s="77"/>
      <c r="DQ10" s="77"/>
      <c r="DR10" s="77"/>
      <c r="DS10" s="77"/>
      <c r="DT10" s="77"/>
      <c r="DU10" s="77"/>
      <c r="DV10" s="77"/>
      <c r="DW10" s="77"/>
      <c r="DX10" s="77"/>
      <c r="DY10" s="77"/>
      <c r="DZ10" s="77"/>
      <c r="EA10" s="77"/>
      <c r="EB10" s="77"/>
      <c r="EC10" s="77"/>
      <c r="ED10" s="77"/>
      <c r="EE10" s="77"/>
      <c r="EF10" s="77"/>
      <c r="EG10" s="77"/>
      <c r="EH10" s="77"/>
      <c r="EI10" s="77"/>
      <c r="EJ10" s="77"/>
      <c r="EK10" s="77"/>
      <c r="EL10" s="77"/>
      <c r="EM10" s="77"/>
      <c r="EN10" s="77"/>
      <c r="EO10" s="77"/>
      <c r="EP10" s="77"/>
      <c r="EQ10" s="77"/>
      <c r="ER10" s="77"/>
      <c r="ES10" s="77"/>
      <c r="ET10" s="77"/>
      <c r="EU10" s="77"/>
      <c r="EV10" s="77"/>
      <c r="EW10" s="77"/>
      <c r="EX10" s="77"/>
      <c r="EY10" s="77"/>
      <c r="EZ10" s="77"/>
      <c r="FA10" s="77"/>
      <c r="FB10" s="77"/>
      <c r="FC10" s="77"/>
      <c r="FD10" s="77"/>
      <c r="FE10" s="77"/>
      <c r="FF10" s="77"/>
      <c r="FG10" s="77"/>
      <c r="FH10" s="77"/>
      <c r="FI10" s="77"/>
      <c r="FJ10" s="77"/>
      <c r="FK10" s="77"/>
      <c r="FL10" s="77"/>
      <c r="FM10" s="77"/>
      <c r="FN10" s="77"/>
      <c r="FO10" s="77"/>
      <c r="FP10" s="77"/>
      <c r="FQ10" s="77"/>
      <c r="FR10" s="77"/>
      <c r="FS10" s="77"/>
      <c r="FT10" s="77"/>
      <c r="FU10" s="77"/>
      <c r="FV10" s="77"/>
      <c r="FW10" s="77"/>
      <c r="FX10" s="77"/>
      <c r="FY10" s="77"/>
      <c r="FZ10" s="77"/>
      <c r="GA10" s="77"/>
      <c r="GB10" s="77"/>
      <c r="GC10" s="77"/>
      <c r="GD10" s="77"/>
      <c r="GE10" s="77"/>
      <c r="GF10" s="77"/>
      <c r="GG10" s="77"/>
      <c r="GH10" s="77"/>
      <c r="GI10" s="77"/>
      <c r="GJ10" s="77"/>
      <c r="GK10" s="77"/>
      <c r="GL10" s="77"/>
      <c r="GM10" s="77"/>
      <c r="GN10" s="77"/>
      <c r="GO10" s="77"/>
      <c r="GP10" s="77"/>
      <c r="GQ10" s="77"/>
      <c r="GR10" s="77"/>
      <c r="GS10" s="77"/>
      <c r="GT10" s="77"/>
      <c r="GU10" s="77"/>
      <c r="GV10" s="77"/>
      <c r="GW10" s="77"/>
      <c r="GX10" s="77"/>
      <c r="GY10" s="77"/>
      <c r="GZ10" s="77"/>
      <c r="HA10" s="77"/>
      <c r="HB10" s="77"/>
      <c r="HC10" s="77"/>
      <c r="HD10" s="77"/>
      <c r="HE10" s="77"/>
      <c r="HF10" s="77"/>
      <c r="HG10" s="77"/>
      <c r="HH10" s="77"/>
      <c r="HI10" s="77"/>
      <c r="HJ10" s="77"/>
      <c r="HK10" s="77"/>
      <c r="HL10" s="77"/>
      <c r="HM10" s="77"/>
      <c r="HN10" s="77"/>
      <c r="HO10" s="77"/>
      <c r="HP10" s="77"/>
      <c r="HQ10" s="77"/>
    </row>
    <row r="11" spans="1:225" hidden="1" x14ac:dyDescent="0.3">
      <c r="A11" s="78">
        <f>'Entrada datos'!C8</f>
        <v>0</v>
      </c>
      <c r="B11" s="74">
        <f>'Entrada datos'!D8</f>
        <v>0</v>
      </c>
      <c r="C11" s="75">
        <f>'Entrada datos'!G8</f>
        <v>0</v>
      </c>
      <c r="D11" s="75">
        <f>'Entrada datos'!H8</f>
        <v>0</v>
      </c>
      <c r="E11" s="74">
        <f t="shared" si="1"/>
        <v>0</v>
      </c>
      <c r="F11" s="68" t="str">
        <f t="shared" si="2"/>
        <v>no procede</v>
      </c>
      <c r="G11" s="74">
        <f>'Entrada datos'!P8</f>
        <v>0</v>
      </c>
      <c r="H11" s="74">
        <f>'Entrada datos'!Q8</f>
        <v>0</v>
      </c>
      <c r="I11" s="74">
        <f>'Entrada datos'!R8</f>
        <v>0</v>
      </c>
      <c r="J11" s="74">
        <f>'Entrada datos'!S8</f>
        <v>0</v>
      </c>
      <c r="K11" s="74">
        <f>'Entrada datos'!T8</f>
        <v>0</v>
      </c>
      <c r="L11" s="74">
        <f>'Entrada datos'!U8</f>
        <v>0</v>
      </c>
      <c r="M11" s="76"/>
      <c r="N11" s="76"/>
      <c r="O11" s="76"/>
      <c r="P11" s="76"/>
      <c r="Q11" s="76"/>
      <c r="R11" s="76"/>
      <c r="S11" s="77" t="s">
        <v>74</v>
      </c>
      <c r="T11" s="77"/>
      <c r="U11" s="77"/>
      <c r="V11" s="77">
        <f t="shared" si="3"/>
        <v>0</v>
      </c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  <c r="BP11" s="77"/>
      <c r="BQ11" s="77"/>
      <c r="BR11" s="77"/>
      <c r="BS11" s="77"/>
      <c r="BT11" s="77"/>
      <c r="BU11" s="77"/>
      <c r="BV11" s="77"/>
      <c r="BW11" s="77"/>
      <c r="BX11" s="77"/>
      <c r="BY11" s="77"/>
      <c r="BZ11" s="77"/>
      <c r="CA11" s="77"/>
      <c r="CB11" s="77"/>
      <c r="CC11" s="77"/>
      <c r="CD11" s="77"/>
      <c r="CE11" s="77"/>
      <c r="CF11" s="77"/>
      <c r="CG11" s="77"/>
      <c r="CH11" s="77"/>
      <c r="CI11" s="77"/>
      <c r="CJ11" s="77"/>
      <c r="CK11" s="77"/>
      <c r="CL11" s="77"/>
      <c r="CM11" s="77"/>
      <c r="CN11" s="77"/>
      <c r="CO11" s="77"/>
      <c r="CP11" s="77"/>
      <c r="CQ11" s="77"/>
      <c r="CR11" s="77"/>
      <c r="CS11" s="77"/>
      <c r="CT11" s="77"/>
      <c r="CU11" s="77"/>
      <c r="CV11" s="77"/>
      <c r="CW11" s="77"/>
      <c r="CX11" s="77"/>
      <c r="CY11" s="77"/>
      <c r="CZ11" s="77"/>
      <c r="DA11" s="77"/>
      <c r="DB11" s="77"/>
      <c r="DC11" s="77"/>
      <c r="DD11" s="77"/>
      <c r="DE11" s="77"/>
      <c r="DF11" s="77"/>
      <c r="DG11" s="77"/>
      <c r="DH11" s="77"/>
      <c r="DI11" s="77"/>
      <c r="DJ11" s="77"/>
      <c r="DK11" s="77"/>
      <c r="DL11" s="77"/>
      <c r="DM11" s="77"/>
      <c r="DN11" s="77"/>
      <c r="DO11" s="77"/>
      <c r="DP11" s="77"/>
      <c r="DQ11" s="77"/>
      <c r="DR11" s="77"/>
      <c r="DS11" s="77"/>
      <c r="DT11" s="77"/>
      <c r="DU11" s="77"/>
      <c r="DV11" s="77"/>
      <c r="DW11" s="77"/>
      <c r="DX11" s="77"/>
      <c r="DY11" s="77"/>
      <c r="DZ11" s="77"/>
      <c r="EA11" s="77"/>
      <c r="EB11" s="77"/>
      <c r="EC11" s="77"/>
      <c r="ED11" s="77"/>
      <c r="EE11" s="77"/>
      <c r="EF11" s="77"/>
      <c r="EG11" s="77"/>
      <c r="EH11" s="77"/>
      <c r="EI11" s="77"/>
      <c r="EJ11" s="77"/>
      <c r="EK11" s="77"/>
      <c r="EL11" s="77"/>
      <c r="EM11" s="77"/>
      <c r="EN11" s="77"/>
      <c r="EO11" s="77"/>
      <c r="EP11" s="77"/>
      <c r="EQ11" s="77"/>
      <c r="ER11" s="77"/>
      <c r="ES11" s="77"/>
      <c r="ET11" s="77"/>
      <c r="EU11" s="77"/>
      <c r="EV11" s="77"/>
      <c r="EW11" s="77"/>
      <c r="EX11" s="77"/>
      <c r="EY11" s="77"/>
      <c r="EZ11" s="77"/>
      <c r="FA11" s="77"/>
      <c r="FB11" s="77"/>
      <c r="FC11" s="77"/>
      <c r="FD11" s="77"/>
      <c r="FE11" s="77"/>
      <c r="FF11" s="77"/>
      <c r="FG11" s="77"/>
      <c r="FH11" s="77"/>
      <c r="FI11" s="77"/>
      <c r="FJ11" s="77"/>
      <c r="FK11" s="77"/>
      <c r="FL11" s="77"/>
      <c r="FM11" s="77"/>
      <c r="FN11" s="77"/>
      <c r="FO11" s="77"/>
      <c r="FP11" s="77"/>
      <c r="FQ11" s="77"/>
      <c r="FR11" s="77"/>
      <c r="FS11" s="77"/>
      <c r="FT11" s="77"/>
      <c r="FU11" s="77"/>
      <c r="FV11" s="77"/>
      <c r="FW11" s="77"/>
      <c r="FX11" s="77"/>
      <c r="FY11" s="77"/>
      <c r="FZ11" s="77"/>
      <c r="GA11" s="77"/>
      <c r="GB11" s="77"/>
      <c r="GC11" s="77"/>
      <c r="GD11" s="77"/>
      <c r="GE11" s="77"/>
      <c r="GF11" s="77"/>
      <c r="GG11" s="77"/>
      <c r="GH11" s="77"/>
      <c r="GI11" s="77"/>
      <c r="GJ11" s="77"/>
      <c r="GK11" s="77"/>
      <c r="GL11" s="77"/>
      <c r="GM11" s="77"/>
      <c r="GN11" s="77"/>
      <c r="GO11" s="77"/>
      <c r="GP11" s="77"/>
      <c r="GQ11" s="77"/>
      <c r="GR11" s="77"/>
      <c r="GS11" s="77"/>
      <c r="GT11" s="77"/>
      <c r="GU11" s="77"/>
      <c r="GV11" s="77"/>
      <c r="GW11" s="77"/>
      <c r="GX11" s="77"/>
      <c r="GY11" s="77"/>
      <c r="GZ11" s="77"/>
      <c r="HA11" s="77"/>
      <c r="HB11" s="77"/>
      <c r="HC11" s="77"/>
      <c r="HD11" s="77"/>
      <c r="HE11" s="77"/>
      <c r="HF11" s="77"/>
      <c r="HG11" s="77"/>
      <c r="HH11" s="77"/>
      <c r="HI11" s="77"/>
      <c r="HJ11" s="77"/>
      <c r="HK11" s="77"/>
      <c r="HL11" s="77"/>
      <c r="HM11" s="77"/>
      <c r="HN11" s="77"/>
      <c r="HO11" s="77"/>
      <c r="HP11" s="77"/>
      <c r="HQ11" s="77"/>
    </row>
    <row r="12" spans="1:225" hidden="1" x14ac:dyDescent="0.3">
      <c r="A12" s="78">
        <f>'Entrada datos'!C9</f>
        <v>0</v>
      </c>
      <c r="B12" s="74">
        <f>'Entrada datos'!D9</f>
        <v>0</v>
      </c>
      <c r="C12" s="75">
        <f>'Entrada datos'!G9</f>
        <v>0</v>
      </c>
      <c r="D12" s="75">
        <f>'Entrada datos'!H9</f>
        <v>0</v>
      </c>
      <c r="E12" s="74">
        <f t="shared" si="1"/>
        <v>0</v>
      </c>
      <c r="F12" s="68" t="str">
        <f t="shared" si="2"/>
        <v>no procede</v>
      </c>
      <c r="G12" s="74">
        <f>'Entrada datos'!P9</f>
        <v>0</v>
      </c>
      <c r="H12" s="74">
        <f>'Entrada datos'!Q9</f>
        <v>0</v>
      </c>
      <c r="I12" s="74">
        <f>'Entrada datos'!R9</f>
        <v>0</v>
      </c>
      <c r="J12" s="74">
        <f>'Entrada datos'!S9</f>
        <v>0</v>
      </c>
      <c r="K12" s="74">
        <f>'Entrada datos'!T9</f>
        <v>0</v>
      </c>
      <c r="L12" s="74">
        <f>'Entrada datos'!U9</f>
        <v>0</v>
      </c>
      <c r="M12" s="76"/>
      <c r="N12" s="76"/>
      <c r="O12" s="76"/>
      <c r="P12" s="76"/>
      <c r="Q12" s="76"/>
      <c r="R12" s="76"/>
      <c r="S12" s="77" t="s">
        <v>74</v>
      </c>
      <c r="T12" s="77"/>
      <c r="U12" s="77"/>
      <c r="V12" s="77">
        <f t="shared" si="3"/>
        <v>0</v>
      </c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  <c r="AW12" s="77"/>
      <c r="AX12" s="77"/>
      <c r="AY12" s="77"/>
      <c r="AZ12" s="77"/>
      <c r="BA12" s="77"/>
      <c r="BB12" s="77"/>
      <c r="BC12" s="77"/>
      <c r="BD12" s="77"/>
      <c r="BE12" s="77"/>
      <c r="BF12" s="77"/>
      <c r="BG12" s="77"/>
      <c r="BH12" s="77"/>
      <c r="BI12" s="77"/>
      <c r="BJ12" s="77"/>
      <c r="BK12" s="77"/>
      <c r="BL12" s="77"/>
      <c r="BM12" s="77"/>
      <c r="BN12" s="77"/>
      <c r="BO12" s="77"/>
      <c r="BP12" s="77"/>
      <c r="BQ12" s="77"/>
      <c r="BR12" s="77"/>
      <c r="BS12" s="77"/>
      <c r="BT12" s="77"/>
      <c r="BU12" s="77"/>
      <c r="BV12" s="77"/>
      <c r="BW12" s="77"/>
      <c r="BX12" s="77"/>
      <c r="BY12" s="77"/>
      <c r="BZ12" s="77"/>
      <c r="CA12" s="77"/>
      <c r="CB12" s="77"/>
      <c r="CC12" s="77"/>
      <c r="CD12" s="77"/>
      <c r="CE12" s="77"/>
      <c r="CF12" s="77"/>
      <c r="CG12" s="77"/>
      <c r="CH12" s="77"/>
      <c r="CI12" s="77"/>
      <c r="CJ12" s="77"/>
      <c r="CK12" s="77"/>
      <c r="CL12" s="77"/>
      <c r="CM12" s="77"/>
      <c r="CN12" s="77"/>
      <c r="CO12" s="77"/>
      <c r="CP12" s="77"/>
      <c r="CQ12" s="77"/>
      <c r="CR12" s="77"/>
      <c r="CS12" s="77"/>
      <c r="CT12" s="77"/>
      <c r="CU12" s="77"/>
      <c r="CV12" s="77"/>
      <c r="CW12" s="77"/>
      <c r="CX12" s="77"/>
      <c r="CY12" s="77"/>
      <c r="CZ12" s="77"/>
      <c r="DA12" s="77"/>
      <c r="DB12" s="77"/>
      <c r="DC12" s="77"/>
      <c r="DD12" s="77"/>
      <c r="DE12" s="77"/>
      <c r="DF12" s="77"/>
      <c r="DG12" s="77"/>
      <c r="DH12" s="77"/>
      <c r="DI12" s="77"/>
      <c r="DJ12" s="77"/>
      <c r="DK12" s="77"/>
      <c r="DL12" s="77"/>
      <c r="DM12" s="77"/>
      <c r="DN12" s="77"/>
      <c r="DO12" s="77"/>
      <c r="DP12" s="77"/>
      <c r="DQ12" s="77"/>
      <c r="DR12" s="77"/>
      <c r="DS12" s="77"/>
      <c r="DT12" s="77"/>
      <c r="DU12" s="77"/>
      <c r="DV12" s="77"/>
      <c r="DW12" s="77"/>
      <c r="DX12" s="77"/>
      <c r="DY12" s="77"/>
      <c r="DZ12" s="77"/>
      <c r="EA12" s="77"/>
      <c r="EB12" s="77"/>
      <c r="EC12" s="77"/>
      <c r="ED12" s="77"/>
      <c r="EE12" s="77"/>
      <c r="EF12" s="77"/>
      <c r="EG12" s="77"/>
      <c r="EH12" s="77"/>
      <c r="EI12" s="77"/>
      <c r="EJ12" s="77"/>
      <c r="EK12" s="77"/>
      <c r="EL12" s="77"/>
      <c r="EM12" s="77"/>
      <c r="EN12" s="77"/>
      <c r="EO12" s="77"/>
      <c r="EP12" s="77"/>
      <c r="EQ12" s="77"/>
      <c r="ER12" s="77"/>
      <c r="ES12" s="77"/>
      <c r="ET12" s="77"/>
      <c r="EU12" s="77"/>
      <c r="EV12" s="77"/>
      <c r="EW12" s="77"/>
      <c r="EX12" s="77"/>
      <c r="EY12" s="77"/>
      <c r="EZ12" s="77"/>
      <c r="FA12" s="77"/>
      <c r="FB12" s="77"/>
      <c r="FC12" s="77"/>
      <c r="FD12" s="77"/>
      <c r="FE12" s="77"/>
      <c r="FF12" s="77"/>
      <c r="FG12" s="77"/>
      <c r="FH12" s="77"/>
      <c r="FI12" s="77"/>
      <c r="FJ12" s="77"/>
      <c r="FK12" s="77"/>
      <c r="FL12" s="77"/>
      <c r="FM12" s="77"/>
      <c r="FN12" s="77"/>
      <c r="FO12" s="77"/>
      <c r="FP12" s="77"/>
      <c r="FQ12" s="77"/>
      <c r="FR12" s="77"/>
      <c r="FS12" s="77"/>
      <c r="FT12" s="77"/>
      <c r="FU12" s="77"/>
      <c r="FV12" s="77"/>
      <c r="FW12" s="77"/>
      <c r="FX12" s="77"/>
      <c r="FY12" s="77"/>
      <c r="FZ12" s="77"/>
      <c r="GA12" s="77"/>
      <c r="GB12" s="77"/>
      <c r="GC12" s="77"/>
      <c r="GD12" s="77"/>
      <c r="GE12" s="77"/>
      <c r="GF12" s="77"/>
      <c r="GG12" s="77"/>
      <c r="GH12" s="77"/>
      <c r="GI12" s="77"/>
      <c r="GJ12" s="77"/>
      <c r="GK12" s="77"/>
      <c r="GL12" s="77"/>
      <c r="GM12" s="77"/>
      <c r="GN12" s="77"/>
      <c r="GO12" s="77"/>
      <c r="GP12" s="77"/>
      <c r="GQ12" s="77"/>
      <c r="GR12" s="77"/>
      <c r="GS12" s="77"/>
      <c r="GT12" s="77"/>
      <c r="GU12" s="77"/>
      <c r="GV12" s="77"/>
      <c r="GW12" s="77"/>
      <c r="GX12" s="77"/>
      <c r="GY12" s="77"/>
      <c r="GZ12" s="77"/>
      <c r="HA12" s="77"/>
      <c r="HB12" s="77"/>
      <c r="HC12" s="77"/>
      <c r="HD12" s="77"/>
      <c r="HE12" s="77"/>
      <c r="HF12" s="77"/>
      <c r="HG12" s="77"/>
      <c r="HH12" s="77"/>
      <c r="HI12" s="77"/>
      <c r="HJ12" s="77"/>
      <c r="HK12" s="77"/>
      <c r="HL12" s="77"/>
      <c r="HM12" s="77"/>
      <c r="HN12" s="77"/>
      <c r="HO12" s="77"/>
      <c r="HP12" s="77"/>
      <c r="HQ12" s="77"/>
    </row>
    <row r="13" spans="1:225" hidden="1" x14ac:dyDescent="0.3">
      <c r="A13" s="78">
        <f>'Entrada datos'!C10</f>
        <v>0</v>
      </c>
      <c r="B13" s="74">
        <f>'Entrada datos'!D10</f>
        <v>0</v>
      </c>
      <c r="C13" s="75">
        <f>'Entrada datos'!G10</f>
        <v>0</v>
      </c>
      <c r="D13" s="75">
        <f>'Entrada datos'!H10</f>
        <v>0</v>
      </c>
      <c r="E13" s="74">
        <f t="shared" si="1"/>
        <v>0</v>
      </c>
      <c r="F13" s="68" t="str">
        <f t="shared" si="2"/>
        <v>no procede</v>
      </c>
      <c r="G13" s="74">
        <f>'Entrada datos'!P10</f>
        <v>0</v>
      </c>
      <c r="H13" s="74">
        <f>'Entrada datos'!Q10</f>
        <v>0</v>
      </c>
      <c r="I13" s="74">
        <f>'Entrada datos'!R10</f>
        <v>0</v>
      </c>
      <c r="J13" s="74">
        <f>'Entrada datos'!S10</f>
        <v>0</v>
      </c>
      <c r="K13" s="74">
        <f>'Entrada datos'!T10</f>
        <v>0</v>
      </c>
      <c r="L13" s="74">
        <f>'Entrada datos'!U10</f>
        <v>0</v>
      </c>
      <c r="M13" s="76"/>
      <c r="N13" s="76"/>
      <c r="O13" s="76"/>
      <c r="P13" s="76"/>
      <c r="Q13" s="76"/>
      <c r="R13" s="76"/>
      <c r="S13" s="77" t="s">
        <v>74</v>
      </c>
      <c r="T13" s="77"/>
      <c r="U13" s="77"/>
      <c r="V13" s="77">
        <f t="shared" si="3"/>
        <v>0</v>
      </c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7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7"/>
      <c r="BZ13" s="77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7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7"/>
      <c r="CW13" s="77"/>
      <c r="CX13" s="77"/>
      <c r="CY13" s="77"/>
      <c r="CZ13" s="77"/>
      <c r="DA13" s="77"/>
      <c r="DB13" s="77"/>
      <c r="DC13" s="77"/>
      <c r="DD13" s="77"/>
      <c r="DE13" s="77"/>
      <c r="DF13" s="77"/>
      <c r="DG13" s="77"/>
      <c r="DH13" s="77"/>
      <c r="DI13" s="77"/>
      <c r="DJ13" s="77"/>
      <c r="DK13" s="77"/>
      <c r="DL13" s="77"/>
      <c r="DM13" s="77"/>
      <c r="DN13" s="77"/>
      <c r="DO13" s="77"/>
      <c r="DP13" s="77"/>
      <c r="DQ13" s="77"/>
      <c r="DR13" s="77"/>
      <c r="DS13" s="77"/>
      <c r="DT13" s="77"/>
      <c r="DU13" s="77"/>
      <c r="DV13" s="77"/>
      <c r="DW13" s="77"/>
      <c r="DX13" s="77"/>
      <c r="DY13" s="77"/>
      <c r="DZ13" s="77"/>
      <c r="EA13" s="77"/>
      <c r="EB13" s="77"/>
      <c r="EC13" s="77"/>
      <c r="ED13" s="77"/>
      <c r="EE13" s="77"/>
      <c r="EF13" s="77"/>
      <c r="EG13" s="77"/>
      <c r="EH13" s="77"/>
      <c r="EI13" s="77"/>
      <c r="EJ13" s="77"/>
      <c r="EK13" s="77"/>
      <c r="EL13" s="77"/>
      <c r="EM13" s="77"/>
      <c r="EN13" s="77"/>
      <c r="EO13" s="77"/>
      <c r="EP13" s="77"/>
      <c r="EQ13" s="77"/>
      <c r="ER13" s="77"/>
      <c r="ES13" s="77"/>
      <c r="ET13" s="77"/>
      <c r="EU13" s="77"/>
      <c r="EV13" s="77"/>
      <c r="EW13" s="77"/>
      <c r="EX13" s="77"/>
      <c r="EY13" s="77"/>
      <c r="EZ13" s="77"/>
      <c r="FA13" s="77"/>
      <c r="FB13" s="77"/>
      <c r="FC13" s="77"/>
      <c r="FD13" s="77"/>
      <c r="FE13" s="77"/>
      <c r="FF13" s="77"/>
      <c r="FG13" s="77"/>
      <c r="FH13" s="77"/>
      <c r="FI13" s="77"/>
      <c r="FJ13" s="77"/>
      <c r="FK13" s="77"/>
      <c r="FL13" s="77"/>
      <c r="FM13" s="77"/>
      <c r="FN13" s="77"/>
      <c r="FO13" s="77"/>
      <c r="FP13" s="77"/>
      <c r="FQ13" s="77"/>
      <c r="FR13" s="77"/>
      <c r="FS13" s="77"/>
      <c r="FT13" s="77"/>
      <c r="FU13" s="77"/>
      <c r="FV13" s="77"/>
      <c r="FW13" s="77"/>
      <c r="FX13" s="77"/>
      <c r="FY13" s="77"/>
      <c r="FZ13" s="77"/>
      <c r="GA13" s="77"/>
      <c r="GB13" s="77"/>
      <c r="GC13" s="77"/>
      <c r="GD13" s="77"/>
      <c r="GE13" s="77"/>
      <c r="GF13" s="77"/>
      <c r="GG13" s="77"/>
      <c r="GH13" s="77"/>
      <c r="GI13" s="77"/>
      <c r="GJ13" s="77"/>
      <c r="GK13" s="77"/>
      <c r="GL13" s="77"/>
      <c r="GM13" s="77"/>
      <c r="GN13" s="77"/>
      <c r="GO13" s="77"/>
      <c r="GP13" s="77"/>
      <c r="GQ13" s="77"/>
      <c r="GR13" s="77"/>
      <c r="GS13" s="77"/>
      <c r="GT13" s="77"/>
      <c r="GU13" s="77"/>
      <c r="GV13" s="77"/>
      <c r="GW13" s="77"/>
      <c r="GX13" s="77"/>
      <c r="GY13" s="77"/>
      <c r="GZ13" s="77"/>
      <c r="HA13" s="77"/>
      <c r="HB13" s="77"/>
      <c r="HC13" s="77"/>
      <c r="HD13" s="77"/>
      <c r="HE13" s="77"/>
      <c r="HF13" s="77"/>
      <c r="HG13" s="77"/>
      <c r="HH13" s="77"/>
      <c r="HI13" s="77"/>
      <c r="HJ13" s="77"/>
      <c r="HK13" s="77"/>
      <c r="HL13" s="77"/>
      <c r="HM13" s="77"/>
      <c r="HN13" s="77"/>
      <c r="HO13" s="77"/>
      <c r="HP13" s="77"/>
      <c r="HQ13" s="77"/>
    </row>
    <row r="14" spans="1:225" hidden="1" x14ac:dyDescent="0.3">
      <c r="A14" s="78">
        <f>'Entrada datos'!C11</f>
        <v>0</v>
      </c>
      <c r="B14" s="74">
        <f>'Entrada datos'!D11</f>
        <v>0</v>
      </c>
      <c r="C14" s="75">
        <f>'Entrada datos'!G11</f>
        <v>0</v>
      </c>
      <c r="D14" s="75">
        <f>'Entrada datos'!H11</f>
        <v>0</v>
      </c>
      <c r="E14" s="74">
        <f t="shared" si="1"/>
        <v>0</v>
      </c>
      <c r="F14" s="68" t="str">
        <f t="shared" si="2"/>
        <v>no procede</v>
      </c>
      <c r="G14" s="74">
        <f>'Entrada datos'!P11</f>
        <v>0</v>
      </c>
      <c r="H14" s="74">
        <f>'Entrada datos'!Q11</f>
        <v>0</v>
      </c>
      <c r="I14" s="74">
        <f>'Entrada datos'!R11</f>
        <v>0</v>
      </c>
      <c r="J14" s="74">
        <f>'Entrada datos'!S11</f>
        <v>0</v>
      </c>
      <c r="K14" s="74">
        <f>'Entrada datos'!T11</f>
        <v>0</v>
      </c>
      <c r="L14" s="74">
        <f>'Entrada datos'!U11</f>
        <v>0</v>
      </c>
      <c r="M14" s="76"/>
      <c r="N14" s="76"/>
      <c r="O14" s="76"/>
      <c r="P14" s="76"/>
      <c r="Q14" s="76"/>
      <c r="R14" s="76"/>
      <c r="S14" s="77" t="s">
        <v>74</v>
      </c>
      <c r="T14" s="77"/>
      <c r="U14" s="77"/>
      <c r="V14" s="77">
        <f t="shared" si="3"/>
        <v>0</v>
      </c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77"/>
      <c r="BQ14" s="77"/>
      <c r="BR14" s="77"/>
      <c r="BS14" s="77"/>
      <c r="BT14" s="77"/>
      <c r="BU14" s="77"/>
      <c r="BV14" s="77"/>
      <c r="BW14" s="77"/>
      <c r="BX14" s="77"/>
      <c r="BY14" s="77"/>
      <c r="BZ14" s="77"/>
      <c r="CA14" s="77"/>
      <c r="CB14" s="77"/>
      <c r="CC14" s="77"/>
      <c r="CD14" s="77"/>
      <c r="CE14" s="77"/>
      <c r="CF14" s="77"/>
      <c r="CG14" s="77"/>
      <c r="CH14" s="77"/>
      <c r="CI14" s="77"/>
      <c r="CJ14" s="77"/>
      <c r="CK14" s="77"/>
      <c r="CL14" s="77"/>
      <c r="CM14" s="77"/>
      <c r="CN14" s="77"/>
      <c r="CO14" s="77"/>
      <c r="CP14" s="77"/>
      <c r="CQ14" s="77"/>
      <c r="CR14" s="77"/>
      <c r="CS14" s="77"/>
      <c r="CT14" s="77"/>
      <c r="CU14" s="77"/>
      <c r="CV14" s="77"/>
      <c r="CW14" s="77"/>
      <c r="CX14" s="77"/>
      <c r="CY14" s="77"/>
      <c r="CZ14" s="77"/>
      <c r="DA14" s="77"/>
      <c r="DB14" s="77"/>
      <c r="DC14" s="77"/>
      <c r="DD14" s="77"/>
      <c r="DE14" s="77"/>
      <c r="DF14" s="77"/>
      <c r="DG14" s="77"/>
      <c r="DH14" s="77"/>
      <c r="DI14" s="77"/>
      <c r="DJ14" s="77"/>
      <c r="DK14" s="77"/>
      <c r="DL14" s="77"/>
      <c r="DM14" s="77"/>
      <c r="DN14" s="77"/>
      <c r="DO14" s="77"/>
      <c r="DP14" s="77"/>
      <c r="DQ14" s="77"/>
      <c r="DR14" s="77"/>
      <c r="DS14" s="77"/>
      <c r="DT14" s="77"/>
      <c r="DU14" s="77"/>
      <c r="DV14" s="77"/>
      <c r="DW14" s="77"/>
      <c r="DX14" s="77"/>
      <c r="DY14" s="77"/>
      <c r="DZ14" s="77"/>
      <c r="EA14" s="77"/>
      <c r="EB14" s="77"/>
      <c r="EC14" s="77"/>
      <c r="ED14" s="77"/>
      <c r="EE14" s="77"/>
      <c r="EF14" s="77"/>
      <c r="EG14" s="77"/>
      <c r="EH14" s="77"/>
      <c r="EI14" s="77"/>
      <c r="EJ14" s="77"/>
      <c r="EK14" s="77"/>
      <c r="EL14" s="77"/>
      <c r="EM14" s="77"/>
      <c r="EN14" s="77"/>
      <c r="EO14" s="77"/>
      <c r="EP14" s="77"/>
      <c r="EQ14" s="77"/>
      <c r="ER14" s="77"/>
      <c r="ES14" s="77"/>
      <c r="ET14" s="77"/>
      <c r="EU14" s="77"/>
      <c r="EV14" s="77"/>
      <c r="EW14" s="77"/>
      <c r="EX14" s="77"/>
      <c r="EY14" s="77"/>
      <c r="EZ14" s="77"/>
      <c r="FA14" s="77"/>
      <c r="FB14" s="77"/>
      <c r="FC14" s="77"/>
      <c r="FD14" s="77"/>
      <c r="FE14" s="77"/>
      <c r="FF14" s="77"/>
      <c r="FG14" s="77"/>
      <c r="FH14" s="77"/>
      <c r="FI14" s="77"/>
      <c r="FJ14" s="77"/>
      <c r="FK14" s="77"/>
      <c r="FL14" s="77"/>
      <c r="FM14" s="77"/>
      <c r="FN14" s="77"/>
      <c r="FO14" s="77"/>
      <c r="FP14" s="77"/>
      <c r="FQ14" s="77"/>
      <c r="FR14" s="77"/>
      <c r="FS14" s="77"/>
      <c r="FT14" s="77"/>
      <c r="FU14" s="77"/>
      <c r="FV14" s="77"/>
      <c r="FW14" s="77"/>
      <c r="FX14" s="77"/>
      <c r="FY14" s="77"/>
      <c r="FZ14" s="77"/>
      <c r="GA14" s="77"/>
      <c r="GB14" s="77"/>
      <c r="GC14" s="77"/>
      <c r="GD14" s="77"/>
      <c r="GE14" s="77"/>
      <c r="GF14" s="77"/>
      <c r="GG14" s="77"/>
      <c r="GH14" s="77"/>
      <c r="GI14" s="77"/>
      <c r="GJ14" s="77"/>
      <c r="GK14" s="77"/>
      <c r="GL14" s="77"/>
      <c r="GM14" s="77"/>
      <c r="GN14" s="77"/>
      <c r="GO14" s="77"/>
      <c r="GP14" s="77"/>
      <c r="GQ14" s="77"/>
      <c r="GR14" s="77"/>
      <c r="GS14" s="77"/>
      <c r="GT14" s="77"/>
      <c r="GU14" s="77"/>
      <c r="GV14" s="77"/>
      <c r="GW14" s="77"/>
      <c r="GX14" s="77"/>
      <c r="GY14" s="77"/>
      <c r="GZ14" s="77"/>
      <c r="HA14" s="77"/>
      <c r="HB14" s="77"/>
      <c r="HC14" s="77"/>
      <c r="HD14" s="77"/>
      <c r="HE14" s="77"/>
      <c r="HF14" s="77"/>
      <c r="HG14" s="77"/>
      <c r="HH14" s="77"/>
      <c r="HI14" s="77"/>
      <c r="HJ14" s="77"/>
      <c r="HK14" s="77"/>
      <c r="HL14" s="77"/>
      <c r="HM14" s="77"/>
      <c r="HN14" s="77"/>
      <c r="HO14" s="77"/>
      <c r="HP14" s="77"/>
      <c r="HQ14" s="77"/>
    </row>
    <row r="15" spans="1:225" hidden="1" x14ac:dyDescent="0.3">
      <c r="A15" s="78">
        <f>'Entrada datos'!C12</f>
        <v>0</v>
      </c>
      <c r="B15" s="74">
        <f>'Entrada datos'!D12</f>
        <v>0</v>
      </c>
      <c r="C15" s="75">
        <f>'Entrada datos'!G12</f>
        <v>0</v>
      </c>
      <c r="D15" s="75">
        <f>'Entrada datos'!H12</f>
        <v>0</v>
      </c>
      <c r="E15" s="74">
        <f t="shared" si="1"/>
        <v>0</v>
      </c>
      <c r="F15" s="68" t="str">
        <f t="shared" si="2"/>
        <v>no procede</v>
      </c>
      <c r="G15" s="74">
        <f>'Entrada datos'!P12</f>
        <v>0</v>
      </c>
      <c r="H15" s="74">
        <f>'Entrada datos'!Q12</f>
        <v>0</v>
      </c>
      <c r="I15" s="74">
        <f>'Entrada datos'!R12</f>
        <v>0</v>
      </c>
      <c r="J15" s="74">
        <f>'Entrada datos'!S12</f>
        <v>0</v>
      </c>
      <c r="K15" s="74">
        <f>'Entrada datos'!T12</f>
        <v>0</v>
      </c>
      <c r="L15" s="74">
        <f>'Entrada datos'!U12</f>
        <v>0</v>
      </c>
      <c r="M15" s="76"/>
      <c r="N15" s="76"/>
      <c r="O15" s="76"/>
      <c r="P15" s="76"/>
      <c r="Q15" s="76"/>
      <c r="R15" s="76"/>
      <c r="S15" s="77" t="s">
        <v>74</v>
      </c>
      <c r="T15" s="77"/>
      <c r="U15" s="77"/>
      <c r="V15" s="77">
        <f t="shared" si="3"/>
        <v>0</v>
      </c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7"/>
      <c r="BE15" s="77"/>
      <c r="BF15" s="77"/>
      <c r="BG15" s="77"/>
      <c r="BH15" s="77"/>
      <c r="BI15" s="77"/>
      <c r="BJ15" s="77"/>
      <c r="BK15" s="77"/>
      <c r="BL15" s="77"/>
      <c r="BM15" s="77"/>
      <c r="BN15" s="77"/>
      <c r="BO15" s="77"/>
      <c r="BP15" s="77"/>
      <c r="BQ15" s="77"/>
      <c r="BR15" s="77"/>
      <c r="BS15" s="77"/>
      <c r="BT15" s="77"/>
      <c r="BU15" s="77"/>
      <c r="BV15" s="77"/>
      <c r="BW15" s="77"/>
      <c r="BX15" s="77"/>
      <c r="BY15" s="77"/>
      <c r="BZ15" s="77"/>
      <c r="CA15" s="77"/>
      <c r="CB15" s="77"/>
      <c r="CC15" s="77"/>
      <c r="CD15" s="77"/>
      <c r="CE15" s="77"/>
      <c r="CF15" s="77"/>
      <c r="CG15" s="77"/>
      <c r="CH15" s="77"/>
      <c r="CI15" s="77"/>
      <c r="CJ15" s="77"/>
      <c r="CK15" s="77"/>
      <c r="CL15" s="77"/>
      <c r="CM15" s="77"/>
      <c r="CN15" s="77"/>
      <c r="CO15" s="77"/>
      <c r="CP15" s="77"/>
      <c r="CQ15" s="77"/>
      <c r="CR15" s="77"/>
      <c r="CS15" s="77"/>
      <c r="CT15" s="77"/>
      <c r="CU15" s="77"/>
      <c r="CV15" s="77"/>
      <c r="CW15" s="77"/>
      <c r="CX15" s="77"/>
      <c r="CY15" s="77"/>
      <c r="CZ15" s="77"/>
      <c r="DA15" s="77"/>
      <c r="DB15" s="77"/>
      <c r="DC15" s="77"/>
      <c r="DD15" s="77"/>
      <c r="DE15" s="77"/>
      <c r="DF15" s="77"/>
      <c r="DG15" s="77"/>
      <c r="DH15" s="77"/>
      <c r="DI15" s="77"/>
      <c r="DJ15" s="77"/>
      <c r="DK15" s="77"/>
      <c r="DL15" s="77"/>
      <c r="DM15" s="77"/>
      <c r="DN15" s="77"/>
      <c r="DO15" s="77"/>
      <c r="DP15" s="77"/>
      <c r="DQ15" s="77"/>
      <c r="DR15" s="77"/>
      <c r="DS15" s="77"/>
      <c r="DT15" s="77"/>
      <c r="DU15" s="77"/>
      <c r="DV15" s="77"/>
      <c r="DW15" s="77"/>
      <c r="DX15" s="77"/>
      <c r="DY15" s="77"/>
      <c r="DZ15" s="77"/>
      <c r="EA15" s="77"/>
      <c r="EB15" s="77"/>
      <c r="EC15" s="77"/>
      <c r="ED15" s="77"/>
      <c r="EE15" s="77"/>
      <c r="EF15" s="77"/>
      <c r="EG15" s="77"/>
      <c r="EH15" s="77"/>
      <c r="EI15" s="77"/>
      <c r="EJ15" s="77"/>
      <c r="EK15" s="77"/>
      <c r="EL15" s="77"/>
      <c r="EM15" s="77"/>
      <c r="EN15" s="77"/>
      <c r="EO15" s="77"/>
      <c r="EP15" s="77"/>
      <c r="EQ15" s="77"/>
      <c r="ER15" s="77"/>
      <c r="ES15" s="77"/>
      <c r="ET15" s="77"/>
      <c r="EU15" s="77"/>
      <c r="EV15" s="77"/>
      <c r="EW15" s="77"/>
      <c r="EX15" s="77"/>
      <c r="EY15" s="77"/>
      <c r="EZ15" s="77"/>
      <c r="FA15" s="77"/>
      <c r="FB15" s="77"/>
      <c r="FC15" s="77"/>
      <c r="FD15" s="77"/>
      <c r="FE15" s="77"/>
      <c r="FF15" s="77"/>
      <c r="FG15" s="77"/>
      <c r="FH15" s="77"/>
      <c r="FI15" s="77"/>
      <c r="FJ15" s="77"/>
      <c r="FK15" s="77"/>
      <c r="FL15" s="77"/>
      <c r="FM15" s="77"/>
      <c r="FN15" s="77"/>
      <c r="FO15" s="77"/>
      <c r="FP15" s="77"/>
      <c r="FQ15" s="77"/>
      <c r="FR15" s="77"/>
      <c r="FS15" s="77"/>
      <c r="FT15" s="77"/>
      <c r="FU15" s="77"/>
      <c r="FV15" s="77"/>
      <c r="FW15" s="77"/>
      <c r="FX15" s="77"/>
      <c r="FY15" s="77"/>
      <c r="FZ15" s="77"/>
      <c r="GA15" s="77"/>
      <c r="GB15" s="77"/>
      <c r="GC15" s="77"/>
      <c r="GD15" s="77"/>
      <c r="GE15" s="77"/>
      <c r="GF15" s="77"/>
      <c r="GG15" s="77"/>
      <c r="GH15" s="77"/>
      <c r="GI15" s="77"/>
      <c r="GJ15" s="77"/>
      <c r="GK15" s="77"/>
      <c r="GL15" s="77"/>
      <c r="GM15" s="77"/>
      <c r="GN15" s="77"/>
      <c r="GO15" s="77"/>
      <c r="GP15" s="77"/>
      <c r="GQ15" s="77"/>
      <c r="GR15" s="77"/>
      <c r="GS15" s="77"/>
      <c r="GT15" s="77"/>
      <c r="GU15" s="77"/>
      <c r="GV15" s="77"/>
      <c r="GW15" s="77"/>
      <c r="GX15" s="77"/>
      <c r="GY15" s="77"/>
      <c r="GZ15" s="77"/>
      <c r="HA15" s="77"/>
      <c r="HB15" s="77"/>
      <c r="HC15" s="77"/>
      <c r="HD15" s="77"/>
      <c r="HE15" s="77"/>
      <c r="HF15" s="77"/>
      <c r="HG15" s="77"/>
      <c r="HH15" s="77"/>
      <c r="HI15" s="77"/>
      <c r="HJ15" s="77"/>
      <c r="HK15" s="77"/>
      <c r="HL15" s="77"/>
      <c r="HM15" s="77"/>
      <c r="HN15" s="77"/>
      <c r="HO15" s="77"/>
      <c r="HP15" s="77"/>
      <c r="HQ15" s="77"/>
    </row>
    <row r="16" spans="1:225" x14ac:dyDescent="0.3">
      <c r="A16" s="78">
        <f>'Entrada datos'!C13</f>
        <v>0</v>
      </c>
      <c r="B16" s="74">
        <f>'Entrada datos'!D13</f>
        <v>0</v>
      </c>
      <c r="C16" s="75">
        <f>'Entrada datos'!G13</f>
        <v>0</v>
      </c>
      <c r="D16" s="75">
        <f>'Entrada datos'!H13</f>
        <v>0</v>
      </c>
      <c r="E16" s="74">
        <f t="shared" si="1"/>
        <v>0</v>
      </c>
      <c r="F16" s="68" t="str">
        <f t="shared" si="2"/>
        <v>no procede</v>
      </c>
      <c r="G16" s="74">
        <f>'Entrada datos'!P13</f>
        <v>0</v>
      </c>
      <c r="H16" s="74">
        <f>'Entrada datos'!Q13</f>
        <v>0</v>
      </c>
      <c r="I16" s="74">
        <f>'Entrada datos'!R13</f>
        <v>0</v>
      </c>
      <c r="J16" s="74">
        <f>'Entrada datos'!S13</f>
        <v>0</v>
      </c>
      <c r="K16" s="74">
        <f>'Entrada datos'!T13</f>
        <v>0</v>
      </c>
      <c r="L16" s="74">
        <f>'Entrada datos'!U13</f>
        <v>0</v>
      </c>
      <c r="M16" s="76"/>
      <c r="N16" s="76"/>
      <c r="O16" s="76"/>
      <c r="P16" s="76"/>
      <c r="Q16" s="76"/>
      <c r="R16" s="76"/>
      <c r="S16" s="77" t="s">
        <v>74</v>
      </c>
      <c r="T16" s="77"/>
      <c r="U16" s="77"/>
      <c r="V16" s="77">
        <f t="shared" si="3"/>
        <v>0</v>
      </c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7"/>
      <c r="BE16" s="77"/>
      <c r="BF16" s="77"/>
      <c r="BG16" s="77"/>
      <c r="BH16" s="77"/>
      <c r="BI16" s="77"/>
      <c r="BJ16" s="77"/>
      <c r="BK16" s="77"/>
      <c r="BL16" s="77"/>
      <c r="BM16" s="77"/>
      <c r="BN16" s="77"/>
      <c r="BO16" s="77"/>
      <c r="BP16" s="77"/>
      <c r="BQ16" s="77"/>
      <c r="BR16" s="77"/>
      <c r="BS16" s="77"/>
      <c r="BT16" s="77"/>
      <c r="BU16" s="77"/>
      <c r="BV16" s="77"/>
      <c r="BW16" s="77"/>
      <c r="BX16" s="77"/>
      <c r="BY16" s="77"/>
      <c r="BZ16" s="77"/>
      <c r="CA16" s="77"/>
      <c r="CB16" s="77"/>
      <c r="CC16" s="77"/>
      <c r="CD16" s="77"/>
      <c r="CE16" s="77"/>
      <c r="CF16" s="77"/>
      <c r="CG16" s="77"/>
      <c r="CH16" s="77"/>
      <c r="CI16" s="77"/>
      <c r="CJ16" s="77"/>
      <c r="CK16" s="77"/>
      <c r="CL16" s="77"/>
      <c r="CM16" s="77"/>
      <c r="CN16" s="77"/>
      <c r="CO16" s="77"/>
      <c r="CP16" s="77"/>
      <c r="CQ16" s="77"/>
      <c r="CR16" s="77"/>
      <c r="CS16" s="77"/>
      <c r="CT16" s="77"/>
      <c r="CU16" s="77"/>
      <c r="CV16" s="77"/>
      <c r="CW16" s="77"/>
      <c r="CX16" s="77"/>
      <c r="CY16" s="77"/>
      <c r="CZ16" s="77"/>
      <c r="DA16" s="77"/>
      <c r="DB16" s="77"/>
      <c r="DC16" s="77"/>
      <c r="DD16" s="77"/>
      <c r="DE16" s="77"/>
      <c r="DF16" s="77"/>
      <c r="DG16" s="77"/>
      <c r="DH16" s="77"/>
      <c r="DI16" s="77"/>
      <c r="DJ16" s="77"/>
      <c r="DK16" s="77"/>
      <c r="DL16" s="77"/>
      <c r="DM16" s="77"/>
      <c r="DN16" s="77"/>
      <c r="DO16" s="77"/>
      <c r="DP16" s="77"/>
      <c r="DQ16" s="77"/>
      <c r="DR16" s="77"/>
      <c r="DS16" s="77"/>
      <c r="DT16" s="77"/>
      <c r="DU16" s="77"/>
      <c r="DV16" s="77"/>
      <c r="DW16" s="77"/>
      <c r="DX16" s="77"/>
      <c r="DY16" s="77"/>
      <c r="DZ16" s="77"/>
      <c r="EA16" s="77"/>
      <c r="EB16" s="77"/>
      <c r="EC16" s="77"/>
      <c r="ED16" s="77"/>
      <c r="EE16" s="77"/>
      <c r="EF16" s="77"/>
      <c r="EG16" s="77"/>
      <c r="EH16" s="77"/>
      <c r="EI16" s="77"/>
      <c r="EJ16" s="77"/>
      <c r="EK16" s="77"/>
      <c r="EL16" s="77"/>
      <c r="EM16" s="77"/>
      <c r="EN16" s="77"/>
      <c r="EO16" s="77"/>
      <c r="EP16" s="77"/>
      <c r="EQ16" s="77"/>
      <c r="ER16" s="77"/>
      <c r="ES16" s="77"/>
      <c r="ET16" s="77"/>
      <c r="EU16" s="77"/>
      <c r="EV16" s="77"/>
      <c r="EW16" s="77"/>
      <c r="EX16" s="77"/>
      <c r="EY16" s="77"/>
      <c r="EZ16" s="77"/>
      <c r="FA16" s="77"/>
      <c r="FB16" s="77"/>
      <c r="FC16" s="77"/>
      <c r="FD16" s="77"/>
      <c r="FE16" s="77"/>
      <c r="FF16" s="77"/>
      <c r="FG16" s="77"/>
      <c r="FH16" s="77"/>
      <c r="FI16" s="77"/>
      <c r="FJ16" s="77"/>
      <c r="FK16" s="77"/>
      <c r="FL16" s="77"/>
      <c r="FM16" s="77"/>
      <c r="FN16" s="77"/>
      <c r="FO16" s="77"/>
      <c r="FP16" s="77"/>
      <c r="FQ16" s="77"/>
      <c r="FR16" s="77"/>
      <c r="FS16" s="77"/>
      <c r="FT16" s="77"/>
      <c r="FU16" s="77"/>
      <c r="FV16" s="77"/>
      <c r="FW16" s="77"/>
      <c r="FX16" s="77"/>
      <c r="FY16" s="77"/>
      <c r="FZ16" s="77"/>
      <c r="GA16" s="77"/>
      <c r="GB16" s="77"/>
      <c r="GC16" s="77"/>
      <c r="GD16" s="77"/>
      <c r="GE16" s="77"/>
      <c r="GF16" s="77"/>
      <c r="GG16" s="77"/>
      <c r="GH16" s="77"/>
      <c r="GI16" s="77"/>
      <c r="GJ16" s="77"/>
      <c r="GK16" s="77"/>
      <c r="GL16" s="77"/>
      <c r="GM16" s="77"/>
      <c r="GN16" s="77"/>
      <c r="GO16" s="77"/>
      <c r="GP16" s="77"/>
      <c r="GQ16" s="77"/>
      <c r="GR16" s="77"/>
      <c r="GS16" s="77"/>
      <c r="GT16" s="77"/>
      <c r="GU16" s="77"/>
      <c r="GV16" s="77"/>
      <c r="GW16" s="77"/>
      <c r="GX16" s="77"/>
      <c r="GY16" s="77"/>
      <c r="GZ16" s="77"/>
      <c r="HA16" s="77"/>
      <c r="HB16" s="77"/>
      <c r="HC16" s="77"/>
      <c r="HD16" s="77"/>
      <c r="HE16" s="77"/>
      <c r="HF16" s="77"/>
      <c r="HG16" s="77"/>
      <c r="HH16" s="77"/>
      <c r="HI16" s="77"/>
      <c r="HJ16" s="77"/>
      <c r="HK16" s="77"/>
      <c r="HL16" s="77"/>
      <c r="HM16" s="77"/>
      <c r="HN16" s="77"/>
      <c r="HO16" s="77"/>
      <c r="HP16" s="77"/>
      <c r="HQ16" s="77"/>
    </row>
    <row r="17" spans="1:225" x14ac:dyDescent="0.3">
      <c r="A17" s="78">
        <f>'Entrada datos'!C14</f>
        <v>0</v>
      </c>
      <c r="B17" s="74">
        <f>'Entrada datos'!D14</f>
        <v>0</v>
      </c>
      <c r="C17" s="75">
        <f>'Entrada datos'!G14</f>
        <v>0</v>
      </c>
      <c r="D17" s="75">
        <f>'Entrada datos'!H14</f>
        <v>0</v>
      </c>
      <c r="E17" s="74">
        <f t="shared" si="1"/>
        <v>0</v>
      </c>
      <c r="F17" s="68" t="str">
        <f t="shared" si="2"/>
        <v>no procede</v>
      </c>
      <c r="G17" s="74">
        <f>'Entrada datos'!P14</f>
        <v>0</v>
      </c>
      <c r="H17" s="74">
        <f>'Entrada datos'!Q14</f>
        <v>0</v>
      </c>
      <c r="I17" s="74">
        <f>'Entrada datos'!R14</f>
        <v>0</v>
      </c>
      <c r="J17" s="74">
        <f>'Entrada datos'!S14</f>
        <v>0</v>
      </c>
      <c r="K17" s="74">
        <f>'Entrada datos'!T14</f>
        <v>0</v>
      </c>
      <c r="L17" s="74">
        <f>'Entrada datos'!U14</f>
        <v>0</v>
      </c>
      <c r="M17" s="76"/>
      <c r="N17" s="76"/>
      <c r="O17" s="76"/>
      <c r="P17" s="76"/>
      <c r="Q17" s="76"/>
      <c r="R17" s="76"/>
      <c r="S17" s="77" t="s">
        <v>74</v>
      </c>
      <c r="T17" s="77"/>
      <c r="U17" s="77"/>
      <c r="V17" s="77">
        <f t="shared" si="3"/>
        <v>0</v>
      </c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7"/>
      <c r="BE17" s="77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77"/>
      <c r="BS17" s="77"/>
      <c r="BT17" s="77"/>
      <c r="BU17" s="77"/>
      <c r="BV17" s="77"/>
      <c r="BW17" s="77"/>
      <c r="BX17" s="77"/>
      <c r="BY17" s="77"/>
      <c r="BZ17" s="77"/>
      <c r="CA17" s="77"/>
      <c r="CB17" s="77"/>
      <c r="CC17" s="77"/>
      <c r="CD17" s="77"/>
      <c r="CE17" s="77"/>
      <c r="CF17" s="77"/>
      <c r="CG17" s="77"/>
      <c r="CH17" s="77"/>
      <c r="CI17" s="77"/>
      <c r="CJ17" s="77"/>
      <c r="CK17" s="77"/>
      <c r="CL17" s="77"/>
      <c r="CM17" s="77"/>
      <c r="CN17" s="77"/>
      <c r="CO17" s="77"/>
      <c r="CP17" s="77"/>
      <c r="CQ17" s="77"/>
      <c r="CR17" s="77"/>
      <c r="CS17" s="77"/>
      <c r="CT17" s="77"/>
      <c r="CU17" s="77"/>
      <c r="CV17" s="77"/>
      <c r="CW17" s="77"/>
      <c r="CX17" s="77"/>
      <c r="CY17" s="77"/>
      <c r="CZ17" s="77"/>
      <c r="DA17" s="77"/>
      <c r="DB17" s="77"/>
      <c r="DC17" s="77"/>
      <c r="DD17" s="77"/>
      <c r="DE17" s="77"/>
      <c r="DF17" s="77"/>
      <c r="DG17" s="77"/>
      <c r="DH17" s="77"/>
      <c r="DI17" s="77"/>
      <c r="DJ17" s="77"/>
      <c r="DK17" s="77"/>
      <c r="DL17" s="77"/>
      <c r="DM17" s="77"/>
      <c r="DN17" s="77"/>
      <c r="DO17" s="77"/>
      <c r="DP17" s="77"/>
      <c r="DQ17" s="77"/>
      <c r="DR17" s="77"/>
      <c r="DS17" s="77"/>
      <c r="DT17" s="77"/>
      <c r="DU17" s="77"/>
      <c r="DV17" s="77"/>
      <c r="DW17" s="77"/>
      <c r="DX17" s="77"/>
      <c r="DY17" s="77"/>
      <c r="DZ17" s="77"/>
      <c r="EA17" s="77"/>
      <c r="EB17" s="77"/>
      <c r="EC17" s="77"/>
      <c r="ED17" s="77"/>
      <c r="EE17" s="77"/>
      <c r="EF17" s="77"/>
      <c r="EG17" s="77"/>
      <c r="EH17" s="77"/>
      <c r="EI17" s="77"/>
      <c r="EJ17" s="77"/>
      <c r="EK17" s="77"/>
      <c r="EL17" s="77"/>
      <c r="EM17" s="77"/>
      <c r="EN17" s="77"/>
      <c r="EO17" s="77"/>
      <c r="EP17" s="77"/>
      <c r="EQ17" s="77"/>
      <c r="ER17" s="77"/>
      <c r="ES17" s="77"/>
      <c r="ET17" s="77"/>
      <c r="EU17" s="77"/>
      <c r="EV17" s="77"/>
      <c r="EW17" s="77"/>
      <c r="EX17" s="77"/>
      <c r="EY17" s="77"/>
      <c r="EZ17" s="77"/>
      <c r="FA17" s="77"/>
      <c r="FB17" s="77"/>
      <c r="FC17" s="77"/>
      <c r="FD17" s="77"/>
      <c r="FE17" s="77"/>
      <c r="FF17" s="77"/>
      <c r="FG17" s="77"/>
      <c r="FH17" s="77"/>
      <c r="FI17" s="77"/>
      <c r="FJ17" s="77"/>
      <c r="FK17" s="77"/>
      <c r="FL17" s="77"/>
      <c r="FM17" s="77"/>
      <c r="FN17" s="77"/>
      <c r="FO17" s="77"/>
      <c r="FP17" s="77"/>
      <c r="FQ17" s="77"/>
      <c r="FR17" s="77"/>
      <c r="FS17" s="77"/>
      <c r="FT17" s="77"/>
      <c r="FU17" s="77"/>
      <c r="FV17" s="77"/>
      <c r="FW17" s="77"/>
      <c r="FX17" s="77"/>
      <c r="FY17" s="77"/>
      <c r="FZ17" s="77"/>
      <c r="GA17" s="77"/>
      <c r="GB17" s="77"/>
      <c r="GC17" s="77"/>
      <c r="GD17" s="77"/>
      <c r="GE17" s="77"/>
      <c r="GF17" s="77"/>
      <c r="GG17" s="77"/>
      <c r="GH17" s="77"/>
      <c r="GI17" s="77"/>
      <c r="GJ17" s="77"/>
      <c r="GK17" s="77"/>
      <c r="GL17" s="77"/>
      <c r="GM17" s="77"/>
      <c r="GN17" s="77"/>
      <c r="GO17" s="77"/>
      <c r="GP17" s="77"/>
      <c r="GQ17" s="77"/>
      <c r="GR17" s="77"/>
      <c r="GS17" s="77"/>
      <c r="GT17" s="77"/>
      <c r="GU17" s="77"/>
      <c r="GV17" s="77"/>
      <c r="GW17" s="77"/>
      <c r="GX17" s="77"/>
      <c r="GY17" s="77"/>
      <c r="GZ17" s="77"/>
      <c r="HA17" s="77"/>
      <c r="HB17" s="77"/>
      <c r="HC17" s="77"/>
      <c r="HD17" s="77"/>
      <c r="HE17" s="77"/>
      <c r="HF17" s="77"/>
      <c r="HG17" s="77"/>
      <c r="HH17" s="77"/>
      <c r="HI17" s="77"/>
      <c r="HJ17" s="77"/>
      <c r="HK17" s="77"/>
      <c r="HL17" s="77"/>
      <c r="HM17" s="77"/>
      <c r="HN17" s="77"/>
      <c r="HO17" s="77"/>
      <c r="HP17" s="77"/>
      <c r="HQ17" s="77"/>
    </row>
    <row r="18" spans="1:225" x14ac:dyDescent="0.3">
      <c r="A18" s="78">
        <f>'Entrada datos'!C15</f>
        <v>0</v>
      </c>
      <c r="B18" s="74">
        <f>'Entrada datos'!D15</f>
        <v>0</v>
      </c>
      <c r="C18" s="75">
        <f>'Entrada datos'!G15</f>
        <v>0</v>
      </c>
      <c r="D18" s="75">
        <f>'Entrada datos'!H15</f>
        <v>0</v>
      </c>
      <c r="E18" s="74">
        <f t="shared" si="1"/>
        <v>0</v>
      </c>
      <c r="F18" s="68" t="str">
        <f t="shared" si="2"/>
        <v>no procede</v>
      </c>
      <c r="G18" s="74">
        <f>'Entrada datos'!P15</f>
        <v>0</v>
      </c>
      <c r="H18" s="74">
        <f>'Entrada datos'!Q15</f>
        <v>0</v>
      </c>
      <c r="I18" s="74">
        <f>'Entrada datos'!R15</f>
        <v>0</v>
      </c>
      <c r="J18" s="74">
        <f>'Entrada datos'!S15</f>
        <v>0</v>
      </c>
      <c r="K18" s="74">
        <f>'Entrada datos'!T15</f>
        <v>0</v>
      </c>
      <c r="L18" s="74">
        <f>'Entrada datos'!U15</f>
        <v>0</v>
      </c>
      <c r="M18" s="76"/>
      <c r="N18" s="76"/>
      <c r="O18" s="76"/>
      <c r="P18" s="76"/>
      <c r="Q18" s="76"/>
      <c r="R18" s="76"/>
      <c r="S18" s="77" t="s">
        <v>74</v>
      </c>
      <c r="T18" s="77"/>
      <c r="U18" s="77"/>
      <c r="V18" s="77">
        <f t="shared" si="3"/>
        <v>0</v>
      </c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7"/>
      <c r="BE18" s="77"/>
      <c r="BF18" s="77"/>
      <c r="BG18" s="77"/>
      <c r="BH18" s="77"/>
      <c r="BI18" s="77"/>
      <c r="BJ18" s="77"/>
      <c r="BK18" s="77"/>
      <c r="BL18" s="77"/>
      <c r="BM18" s="77"/>
      <c r="BN18" s="77"/>
      <c r="BO18" s="77"/>
      <c r="BP18" s="77"/>
      <c r="BQ18" s="77"/>
      <c r="BR18" s="77"/>
      <c r="BS18" s="77"/>
      <c r="BT18" s="77"/>
      <c r="BU18" s="77"/>
      <c r="BV18" s="77"/>
      <c r="BW18" s="77"/>
      <c r="BX18" s="77"/>
      <c r="BY18" s="77"/>
      <c r="BZ18" s="77"/>
      <c r="CA18" s="77"/>
      <c r="CB18" s="77"/>
      <c r="CC18" s="77"/>
      <c r="CD18" s="77"/>
      <c r="CE18" s="77"/>
      <c r="CF18" s="77"/>
      <c r="CG18" s="77"/>
      <c r="CH18" s="77"/>
      <c r="CI18" s="77"/>
      <c r="CJ18" s="77"/>
      <c r="CK18" s="77"/>
      <c r="CL18" s="77"/>
      <c r="CM18" s="77"/>
      <c r="CN18" s="77"/>
      <c r="CO18" s="77"/>
      <c r="CP18" s="77"/>
      <c r="CQ18" s="77"/>
      <c r="CR18" s="77"/>
      <c r="CS18" s="77"/>
      <c r="CT18" s="77"/>
      <c r="CU18" s="77"/>
      <c r="CV18" s="77"/>
      <c r="CW18" s="77"/>
      <c r="CX18" s="77"/>
      <c r="CY18" s="77"/>
      <c r="CZ18" s="77"/>
      <c r="DA18" s="77"/>
      <c r="DB18" s="77"/>
      <c r="DC18" s="77"/>
      <c r="DD18" s="77"/>
      <c r="DE18" s="77"/>
      <c r="DF18" s="77"/>
      <c r="DG18" s="77"/>
      <c r="DH18" s="77"/>
      <c r="DI18" s="77"/>
      <c r="DJ18" s="77"/>
      <c r="DK18" s="77"/>
      <c r="DL18" s="77"/>
      <c r="DM18" s="77"/>
      <c r="DN18" s="77"/>
      <c r="DO18" s="77"/>
      <c r="DP18" s="77"/>
      <c r="DQ18" s="77"/>
      <c r="DR18" s="77"/>
      <c r="DS18" s="77"/>
      <c r="DT18" s="77"/>
      <c r="DU18" s="77"/>
      <c r="DV18" s="77"/>
      <c r="DW18" s="77"/>
      <c r="DX18" s="77"/>
      <c r="DY18" s="77"/>
      <c r="DZ18" s="77"/>
      <c r="EA18" s="77"/>
      <c r="EB18" s="77"/>
      <c r="EC18" s="77"/>
      <c r="ED18" s="77"/>
      <c r="EE18" s="77"/>
      <c r="EF18" s="77"/>
      <c r="EG18" s="77"/>
      <c r="EH18" s="77"/>
      <c r="EI18" s="77"/>
      <c r="EJ18" s="77"/>
      <c r="EK18" s="77"/>
      <c r="EL18" s="77"/>
      <c r="EM18" s="77"/>
      <c r="EN18" s="77"/>
      <c r="EO18" s="77"/>
      <c r="EP18" s="77"/>
      <c r="EQ18" s="77"/>
      <c r="ER18" s="77"/>
      <c r="ES18" s="77"/>
      <c r="ET18" s="77"/>
      <c r="EU18" s="77"/>
      <c r="EV18" s="77"/>
      <c r="EW18" s="77"/>
      <c r="EX18" s="77"/>
      <c r="EY18" s="77"/>
      <c r="EZ18" s="77"/>
      <c r="FA18" s="77"/>
      <c r="FB18" s="77"/>
      <c r="FC18" s="77"/>
      <c r="FD18" s="77"/>
      <c r="FE18" s="77"/>
      <c r="FF18" s="77"/>
      <c r="FG18" s="77"/>
      <c r="FH18" s="77"/>
      <c r="FI18" s="77"/>
      <c r="FJ18" s="77"/>
      <c r="FK18" s="77"/>
      <c r="FL18" s="77"/>
      <c r="FM18" s="77"/>
      <c r="FN18" s="77"/>
      <c r="FO18" s="77"/>
      <c r="FP18" s="77"/>
      <c r="FQ18" s="77"/>
      <c r="FR18" s="77"/>
      <c r="FS18" s="77"/>
      <c r="FT18" s="77"/>
      <c r="FU18" s="77"/>
      <c r="FV18" s="77"/>
      <c r="FW18" s="77"/>
      <c r="FX18" s="77"/>
      <c r="FY18" s="77"/>
      <c r="FZ18" s="77"/>
      <c r="GA18" s="77"/>
      <c r="GB18" s="77"/>
      <c r="GC18" s="77"/>
      <c r="GD18" s="77"/>
      <c r="GE18" s="77"/>
      <c r="GF18" s="77"/>
      <c r="GG18" s="77"/>
      <c r="GH18" s="77"/>
      <c r="GI18" s="77"/>
      <c r="GJ18" s="77"/>
      <c r="GK18" s="77"/>
      <c r="GL18" s="77"/>
      <c r="GM18" s="77"/>
      <c r="GN18" s="77"/>
      <c r="GO18" s="77"/>
      <c r="GP18" s="77"/>
      <c r="GQ18" s="77"/>
      <c r="GR18" s="77"/>
      <c r="GS18" s="77"/>
      <c r="GT18" s="77"/>
      <c r="GU18" s="77"/>
      <c r="GV18" s="77"/>
      <c r="GW18" s="77"/>
      <c r="GX18" s="77"/>
      <c r="GY18" s="77"/>
      <c r="GZ18" s="77"/>
      <c r="HA18" s="77"/>
      <c r="HB18" s="77"/>
      <c r="HC18" s="77"/>
      <c r="HD18" s="77"/>
      <c r="HE18" s="77"/>
      <c r="HF18" s="77"/>
      <c r="HG18" s="77"/>
      <c r="HH18" s="77"/>
      <c r="HI18" s="77"/>
      <c r="HJ18" s="77"/>
      <c r="HK18" s="77"/>
      <c r="HL18" s="77"/>
      <c r="HM18" s="77"/>
      <c r="HN18" s="77"/>
      <c r="HO18" s="77"/>
      <c r="HP18" s="77"/>
      <c r="HQ18" s="77"/>
    </row>
    <row r="19" spans="1:225" x14ac:dyDescent="0.3">
      <c r="A19" s="78">
        <f>'Entrada datos'!C16</f>
        <v>0</v>
      </c>
      <c r="B19" s="74">
        <f>'Entrada datos'!D16</f>
        <v>0</v>
      </c>
      <c r="C19" s="75">
        <f>'Entrada datos'!G16</f>
        <v>0</v>
      </c>
      <c r="D19" s="75">
        <f>'Entrada datos'!H16</f>
        <v>0</v>
      </c>
      <c r="E19" s="74">
        <f t="shared" si="1"/>
        <v>0</v>
      </c>
      <c r="F19" s="68" t="str">
        <f t="shared" si="2"/>
        <v>no procede</v>
      </c>
      <c r="G19" s="74">
        <f>'Entrada datos'!P16</f>
        <v>0</v>
      </c>
      <c r="H19" s="74">
        <f>'Entrada datos'!Q16</f>
        <v>0</v>
      </c>
      <c r="I19" s="74">
        <f>'Entrada datos'!R16</f>
        <v>0</v>
      </c>
      <c r="J19" s="74">
        <f>'Entrada datos'!S16</f>
        <v>0</v>
      </c>
      <c r="K19" s="74">
        <f>'Entrada datos'!T16</f>
        <v>0</v>
      </c>
      <c r="L19" s="74">
        <f>'Entrada datos'!U16</f>
        <v>0</v>
      </c>
      <c r="M19" s="76"/>
      <c r="N19" s="76"/>
      <c r="O19" s="76"/>
      <c r="P19" s="76"/>
      <c r="Q19" s="76"/>
      <c r="R19" s="76"/>
      <c r="S19" s="77" t="s">
        <v>74</v>
      </c>
      <c r="T19" s="77"/>
      <c r="U19" s="77"/>
      <c r="V19" s="77">
        <f t="shared" si="3"/>
        <v>0</v>
      </c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7"/>
      <c r="BE19" s="77"/>
      <c r="BF19" s="77"/>
      <c r="BG19" s="77"/>
      <c r="BH19" s="77"/>
      <c r="BI19" s="77"/>
      <c r="BJ19" s="77"/>
      <c r="BK19" s="77"/>
      <c r="BL19" s="77"/>
      <c r="BM19" s="77"/>
      <c r="BN19" s="77"/>
      <c r="BO19" s="77"/>
      <c r="BP19" s="77"/>
      <c r="BQ19" s="77"/>
      <c r="BR19" s="77"/>
      <c r="BS19" s="77"/>
      <c r="BT19" s="77"/>
      <c r="BU19" s="77"/>
      <c r="BV19" s="77"/>
      <c r="BW19" s="77"/>
      <c r="BX19" s="77"/>
      <c r="BY19" s="77"/>
      <c r="BZ19" s="77"/>
      <c r="CA19" s="77"/>
      <c r="CB19" s="77"/>
      <c r="CC19" s="77"/>
      <c r="CD19" s="77"/>
      <c r="CE19" s="77"/>
      <c r="CF19" s="77"/>
      <c r="CG19" s="77"/>
      <c r="CH19" s="77"/>
      <c r="CI19" s="77"/>
      <c r="CJ19" s="77"/>
      <c r="CK19" s="77"/>
      <c r="CL19" s="77"/>
      <c r="CM19" s="77"/>
      <c r="CN19" s="77"/>
      <c r="CO19" s="77"/>
      <c r="CP19" s="77"/>
      <c r="CQ19" s="77"/>
      <c r="CR19" s="77"/>
      <c r="CS19" s="77"/>
      <c r="CT19" s="77"/>
      <c r="CU19" s="77"/>
      <c r="CV19" s="77"/>
      <c r="CW19" s="77"/>
      <c r="CX19" s="77"/>
      <c r="CY19" s="77"/>
      <c r="CZ19" s="77"/>
      <c r="DA19" s="77"/>
      <c r="DB19" s="77"/>
      <c r="DC19" s="77"/>
      <c r="DD19" s="77"/>
      <c r="DE19" s="77"/>
      <c r="DF19" s="77"/>
      <c r="DG19" s="77"/>
      <c r="DH19" s="77"/>
      <c r="DI19" s="77"/>
      <c r="DJ19" s="77"/>
      <c r="DK19" s="77"/>
      <c r="DL19" s="77"/>
      <c r="DM19" s="77"/>
      <c r="DN19" s="77"/>
      <c r="DO19" s="77"/>
      <c r="DP19" s="77"/>
      <c r="DQ19" s="77"/>
      <c r="DR19" s="77"/>
      <c r="DS19" s="77"/>
      <c r="DT19" s="77"/>
      <c r="DU19" s="77"/>
      <c r="DV19" s="77"/>
      <c r="DW19" s="77"/>
      <c r="DX19" s="77"/>
      <c r="DY19" s="77"/>
      <c r="DZ19" s="77"/>
      <c r="EA19" s="77"/>
      <c r="EB19" s="77"/>
      <c r="EC19" s="77"/>
      <c r="ED19" s="77"/>
      <c r="EE19" s="77"/>
      <c r="EF19" s="77"/>
      <c r="EG19" s="77"/>
      <c r="EH19" s="77"/>
      <c r="EI19" s="77"/>
      <c r="EJ19" s="77"/>
      <c r="EK19" s="77"/>
      <c r="EL19" s="77"/>
      <c r="EM19" s="77"/>
      <c r="EN19" s="77"/>
      <c r="EO19" s="77"/>
      <c r="EP19" s="77"/>
      <c r="EQ19" s="77"/>
      <c r="ER19" s="77"/>
      <c r="ES19" s="77"/>
      <c r="ET19" s="77"/>
      <c r="EU19" s="77"/>
      <c r="EV19" s="77"/>
      <c r="EW19" s="77"/>
      <c r="EX19" s="77"/>
      <c r="EY19" s="77"/>
      <c r="EZ19" s="77"/>
      <c r="FA19" s="77"/>
      <c r="FB19" s="77"/>
      <c r="FC19" s="77"/>
      <c r="FD19" s="77"/>
      <c r="FE19" s="77"/>
      <c r="FF19" s="77"/>
      <c r="FG19" s="77"/>
      <c r="FH19" s="77"/>
      <c r="FI19" s="77"/>
      <c r="FJ19" s="77"/>
      <c r="FK19" s="77"/>
      <c r="FL19" s="77"/>
      <c r="FM19" s="77"/>
      <c r="FN19" s="77"/>
      <c r="FO19" s="77"/>
      <c r="FP19" s="77"/>
      <c r="FQ19" s="77"/>
      <c r="FR19" s="77"/>
      <c r="FS19" s="77"/>
      <c r="FT19" s="77"/>
      <c r="FU19" s="77"/>
      <c r="FV19" s="77"/>
      <c r="FW19" s="77"/>
      <c r="FX19" s="77"/>
      <c r="FY19" s="77"/>
      <c r="FZ19" s="77"/>
      <c r="GA19" s="77"/>
      <c r="GB19" s="77"/>
      <c r="GC19" s="77"/>
      <c r="GD19" s="77"/>
      <c r="GE19" s="77"/>
      <c r="GF19" s="77"/>
      <c r="GG19" s="77"/>
      <c r="GH19" s="77"/>
      <c r="GI19" s="77"/>
      <c r="GJ19" s="77"/>
      <c r="GK19" s="77"/>
      <c r="GL19" s="77"/>
      <c r="GM19" s="77"/>
      <c r="GN19" s="77"/>
      <c r="GO19" s="77"/>
      <c r="GP19" s="77"/>
      <c r="GQ19" s="77"/>
      <c r="GR19" s="77"/>
      <c r="GS19" s="77"/>
      <c r="GT19" s="77"/>
      <c r="GU19" s="77"/>
      <c r="GV19" s="77"/>
      <c r="GW19" s="77"/>
      <c r="GX19" s="77"/>
      <c r="GY19" s="77"/>
      <c r="GZ19" s="77"/>
      <c r="HA19" s="77"/>
      <c r="HB19" s="77"/>
      <c r="HC19" s="77"/>
      <c r="HD19" s="77"/>
      <c r="HE19" s="77"/>
      <c r="HF19" s="77"/>
      <c r="HG19" s="77"/>
      <c r="HH19" s="77"/>
      <c r="HI19" s="77"/>
      <c r="HJ19" s="77"/>
      <c r="HK19" s="77"/>
      <c r="HL19" s="77"/>
      <c r="HM19" s="77"/>
      <c r="HN19" s="77"/>
      <c r="HO19" s="77"/>
      <c r="HP19" s="77"/>
      <c r="HQ19" s="77"/>
    </row>
    <row r="20" spans="1:225" x14ac:dyDescent="0.3">
      <c r="A20" s="78">
        <f>'Entrada datos'!C17</f>
        <v>0</v>
      </c>
      <c r="B20" s="74">
        <f>'Entrada datos'!D17</f>
        <v>0</v>
      </c>
      <c r="C20" s="75">
        <f>'Entrada datos'!G17</f>
        <v>0</v>
      </c>
      <c r="D20" s="75">
        <f>'Entrada datos'!H17</f>
        <v>0</v>
      </c>
      <c r="E20" s="74">
        <f t="shared" si="1"/>
        <v>0</v>
      </c>
      <c r="F20" s="68" t="str">
        <f t="shared" si="2"/>
        <v>no procede</v>
      </c>
      <c r="G20" s="74">
        <f>'Entrada datos'!P17</f>
        <v>0</v>
      </c>
      <c r="H20" s="74">
        <f>'Entrada datos'!Q17</f>
        <v>0</v>
      </c>
      <c r="I20" s="74">
        <f>'Entrada datos'!R17</f>
        <v>0</v>
      </c>
      <c r="J20" s="74">
        <f>'Entrada datos'!S17</f>
        <v>0</v>
      </c>
      <c r="K20" s="74">
        <f>'Entrada datos'!T17</f>
        <v>0</v>
      </c>
      <c r="L20" s="74">
        <f>'Entrada datos'!U17</f>
        <v>0</v>
      </c>
      <c r="M20" s="76"/>
      <c r="N20" s="76"/>
      <c r="O20" s="76"/>
      <c r="P20" s="76"/>
      <c r="Q20" s="76"/>
      <c r="R20" s="76"/>
      <c r="S20" s="77" t="s">
        <v>74</v>
      </c>
      <c r="T20" s="77"/>
      <c r="U20" s="77"/>
      <c r="V20" s="77">
        <f t="shared" si="3"/>
        <v>0</v>
      </c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7"/>
      <c r="AZ20" s="77"/>
      <c r="BA20" s="77"/>
      <c r="BB20" s="77"/>
      <c r="BC20" s="77"/>
      <c r="BD20" s="77"/>
      <c r="BE20" s="77"/>
      <c r="BF20" s="77"/>
      <c r="BG20" s="77"/>
      <c r="BH20" s="77"/>
      <c r="BI20" s="77"/>
      <c r="BJ20" s="77"/>
      <c r="BK20" s="77"/>
      <c r="BL20" s="77"/>
      <c r="BM20" s="77"/>
      <c r="BN20" s="77"/>
      <c r="BO20" s="77"/>
      <c r="BP20" s="77"/>
      <c r="BQ20" s="77"/>
      <c r="BR20" s="77"/>
      <c r="BS20" s="77"/>
      <c r="BT20" s="77"/>
      <c r="BU20" s="77"/>
      <c r="BV20" s="77"/>
      <c r="BW20" s="77"/>
      <c r="BX20" s="77"/>
      <c r="BY20" s="77"/>
      <c r="BZ20" s="77"/>
      <c r="CA20" s="77"/>
      <c r="CB20" s="77"/>
      <c r="CC20" s="77"/>
      <c r="CD20" s="77"/>
      <c r="CE20" s="77"/>
      <c r="CF20" s="77"/>
      <c r="CG20" s="77"/>
      <c r="CH20" s="77"/>
      <c r="CI20" s="77"/>
      <c r="CJ20" s="77"/>
      <c r="CK20" s="77"/>
      <c r="CL20" s="77"/>
      <c r="CM20" s="77"/>
      <c r="CN20" s="77"/>
      <c r="CO20" s="77"/>
      <c r="CP20" s="77"/>
      <c r="CQ20" s="77"/>
      <c r="CR20" s="77"/>
      <c r="CS20" s="77"/>
      <c r="CT20" s="77"/>
      <c r="CU20" s="77"/>
      <c r="CV20" s="77"/>
      <c r="CW20" s="77"/>
      <c r="CX20" s="77"/>
      <c r="CY20" s="77"/>
      <c r="CZ20" s="77"/>
      <c r="DA20" s="77"/>
      <c r="DB20" s="77"/>
      <c r="DC20" s="77"/>
      <c r="DD20" s="77"/>
      <c r="DE20" s="77"/>
      <c r="DF20" s="77"/>
      <c r="DG20" s="77"/>
      <c r="DH20" s="77"/>
      <c r="DI20" s="77"/>
      <c r="DJ20" s="77"/>
      <c r="DK20" s="77"/>
      <c r="DL20" s="77"/>
      <c r="DM20" s="77"/>
      <c r="DN20" s="77"/>
      <c r="DO20" s="77"/>
      <c r="DP20" s="77"/>
      <c r="DQ20" s="77"/>
      <c r="DR20" s="77"/>
      <c r="DS20" s="77"/>
      <c r="DT20" s="77"/>
      <c r="DU20" s="77"/>
      <c r="DV20" s="77"/>
      <c r="DW20" s="77"/>
      <c r="DX20" s="77"/>
      <c r="DY20" s="77"/>
      <c r="DZ20" s="77"/>
      <c r="EA20" s="77"/>
      <c r="EB20" s="77"/>
      <c r="EC20" s="77"/>
      <c r="ED20" s="77"/>
      <c r="EE20" s="77"/>
      <c r="EF20" s="77"/>
      <c r="EG20" s="77"/>
      <c r="EH20" s="77"/>
      <c r="EI20" s="77"/>
      <c r="EJ20" s="77"/>
      <c r="EK20" s="77"/>
      <c r="EL20" s="77"/>
      <c r="EM20" s="77"/>
      <c r="EN20" s="77"/>
      <c r="EO20" s="77"/>
      <c r="EP20" s="77"/>
      <c r="EQ20" s="77"/>
      <c r="ER20" s="77"/>
      <c r="ES20" s="77"/>
      <c r="ET20" s="77"/>
      <c r="EU20" s="77"/>
      <c r="EV20" s="77"/>
      <c r="EW20" s="77"/>
      <c r="EX20" s="77"/>
      <c r="EY20" s="77"/>
      <c r="EZ20" s="77"/>
      <c r="FA20" s="77"/>
      <c r="FB20" s="77"/>
      <c r="FC20" s="77"/>
      <c r="FD20" s="77"/>
      <c r="FE20" s="77"/>
      <c r="FF20" s="77"/>
      <c r="FG20" s="77"/>
      <c r="FH20" s="77"/>
      <c r="FI20" s="77"/>
      <c r="FJ20" s="77"/>
      <c r="FK20" s="77"/>
      <c r="FL20" s="77"/>
      <c r="FM20" s="77"/>
      <c r="FN20" s="77"/>
      <c r="FO20" s="77"/>
      <c r="FP20" s="77"/>
      <c r="FQ20" s="77"/>
      <c r="FR20" s="77"/>
      <c r="FS20" s="77"/>
      <c r="FT20" s="77"/>
      <c r="FU20" s="77"/>
      <c r="FV20" s="77"/>
      <c r="FW20" s="77"/>
      <c r="FX20" s="77"/>
      <c r="FY20" s="77"/>
      <c r="FZ20" s="77"/>
      <c r="GA20" s="77"/>
      <c r="GB20" s="77"/>
      <c r="GC20" s="77"/>
      <c r="GD20" s="77"/>
      <c r="GE20" s="77"/>
      <c r="GF20" s="77"/>
      <c r="GG20" s="77"/>
      <c r="GH20" s="77"/>
      <c r="GI20" s="77"/>
      <c r="GJ20" s="77"/>
      <c r="GK20" s="77"/>
      <c r="GL20" s="77"/>
      <c r="GM20" s="77"/>
      <c r="GN20" s="77"/>
      <c r="GO20" s="77"/>
      <c r="GP20" s="77"/>
      <c r="GQ20" s="77"/>
      <c r="GR20" s="77"/>
      <c r="GS20" s="77"/>
      <c r="GT20" s="77"/>
      <c r="GU20" s="77"/>
      <c r="GV20" s="77"/>
      <c r="GW20" s="77"/>
      <c r="GX20" s="77"/>
      <c r="GY20" s="77"/>
      <c r="GZ20" s="77"/>
      <c r="HA20" s="77"/>
      <c r="HB20" s="77"/>
      <c r="HC20" s="77"/>
      <c r="HD20" s="77"/>
      <c r="HE20" s="77"/>
      <c r="HF20" s="77"/>
      <c r="HG20" s="77"/>
      <c r="HH20" s="77"/>
      <c r="HI20" s="77"/>
      <c r="HJ20" s="77"/>
      <c r="HK20" s="77"/>
      <c r="HL20" s="77"/>
      <c r="HM20" s="77"/>
      <c r="HN20" s="77"/>
      <c r="HO20" s="77"/>
      <c r="HP20" s="77"/>
      <c r="HQ20" s="77"/>
    </row>
    <row r="21" spans="1:225" x14ac:dyDescent="0.3">
      <c r="A21" s="78">
        <f>'Entrada datos'!C18</f>
        <v>0</v>
      </c>
      <c r="B21" s="74">
        <f>'Entrada datos'!D18</f>
        <v>0</v>
      </c>
      <c r="C21" s="75">
        <f>'Entrada datos'!G18</f>
        <v>0</v>
      </c>
      <c r="D21" s="75">
        <f>'Entrada datos'!H18</f>
        <v>0</v>
      </c>
      <c r="E21" s="74">
        <f t="shared" si="1"/>
        <v>0</v>
      </c>
      <c r="F21" s="68" t="str">
        <f t="shared" si="2"/>
        <v>no procede</v>
      </c>
      <c r="G21" s="74">
        <f>'Entrada datos'!P18</f>
        <v>0</v>
      </c>
      <c r="H21" s="74">
        <f>'Entrada datos'!Q18</f>
        <v>0</v>
      </c>
      <c r="I21" s="74">
        <f>'Entrada datos'!R18</f>
        <v>0</v>
      </c>
      <c r="J21" s="74">
        <f>'Entrada datos'!S18</f>
        <v>0</v>
      </c>
      <c r="K21" s="74">
        <f>'Entrada datos'!T18</f>
        <v>0</v>
      </c>
      <c r="L21" s="74">
        <f>'Entrada datos'!U18</f>
        <v>0</v>
      </c>
      <c r="M21" s="76"/>
      <c r="N21" s="76"/>
      <c r="O21" s="76"/>
      <c r="P21" s="76"/>
      <c r="Q21" s="76"/>
      <c r="R21" s="76"/>
      <c r="S21" s="77" t="s">
        <v>74</v>
      </c>
      <c r="T21" s="77"/>
      <c r="U21" s="77"/>
      <c r="V21" s="77">
        <f t="shared" si="3"/>
        <v>0</v>
      </c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7"/>
      <c r="AY21" s="77"/>
      <c r="AZ21" s="77"/>
      <c r="BA21" s="77"/>
      <c r="BB21" s="77"/>
      <c r="BC21" s="77"/>
      <c r="BD21" s="77"/>
      <c r="BE21" s="77"/>
      <c r="BF21" s="77"/>
      <c r="BG21" s="77"/>
      <c r="BH21" s="77"/>
      <c r="BI21" s="77"/>
      <c r="BJ21" s="77"/>
      <c r="BK21" s="77"/>
      <c r="BL21" s="77"/>
      <c r="BM21" s="77"/>
      <c r="BN21" s="77"/>
      <c r="BO21" s="77"/>
      <c r="BP21" s="77"/>
      <c r="BQ21" s="77"/>
      <c r="BR21" s="77"/>
      <c r="BS21" s="77"/>
      <c r="BT21" s="77"/>
      <c r="BU21" s="77"/>
      <c r="BV21" s="77"/>
      <c r="BW21" s="77"/>
      <c r="BX21" s="77"/>
      <c r="BY21" s="77"/>
      <c r="BZ21" s="77"/>
      <c r="CA21" s="77"/>
      <c r="CB21" s="77"/>
      <c r="CC21" s="77"/>
      <c r="CD21" s="77"/>
      <c r="CE21" s="77"/>
      <c r="CF21" s="77"/>
      <c r="CG21" s="77"/>
      <c r="CH21" s="77"/>
      <c r="CI21" s="77"/>
      <c r="CJ21" s="77"/>
      <c r="CK21" s="77"/>
      <c r="CL21" s="77"/>
      <c r="CM21" s="77"/>
      <c r="CN21" s="77"/>
      <c r="CO21" s="77"/>
      <c r="CP21" s="77"/>
      <c r="CQ21" s="77"/>
      <c r="CR21" s="77"/>
      <c r="CS21" s="77"/>
      <c r="CT21" s="77"/>
      <c r="CU21" s="77"/>
      <c r="CV21" s="77"/>
      <c r="CW21" s="77"/>
      <c r="CX21" s="77"/>
      <c r="CY21" s="77"/>
      <c r="CZ21" s="77"/>
      <c r="DA21" s="77"/>
      <c r="DB21" s="77"/>
      <c r="DC21" s="77"/>
      <c r="DD21" s="77"/>
      <c r="DE21" s="77"/>
      <c r="DF21" s="77"/>
      <c r="DG21" s="77"/>
      <c r="DH21" s="77"/>
      <c r="DI21" s="77"/>
      <c r="DJ21" s="77"/>
      <c r="DK21" s="77"/>
      <c r="DL21" s="77"/>
      <c r="DM21" s="77"/>
      <c r="DN21" s="77"/>
      <c r="DO21" s="77"/>
      <c r="DP21" s="77"/>
      <c r="DQ21" s="77"/>
      <c r="DR21" s="77"/>
      <c r="DS21" s="77"/>
      <c r="DT21" s="77"/>
      <c r="DU21" s="77"/>
      <c r="DV21" s="77"/>
      <c r="DW21" s="77"/>
      <c r="DX21" s="77"/>
      <c r="DY21" s="77"/>
      <c r="DZ21" s="77"/>
      <c r="EA21" s="77"/>
      <c r="EB21" s="77"/>
      <c r="EC21" s="77"/>
      <c r="ED21" s="77"/>
      <c r="EE21" s="77"/>
      <c r="EF21" s="77"/>
      <c r="EG21" s="77"/>
      <c r="EH21" s="77"/>
      <c r="EI21" s="77"/>
      <c r="EJ21" s="77"/>
      <c r="EK21" s="77"/>
      <c r="EL21" s="77"/>
      <c r="EM21" s="77"/>
      <c r="EN21" s="77"/>
      <c r="EO21" s="77"/>
      <c r="EP21" s="77"/>
      <c r="EQ21" s="77"/>
      <c r="ER21" s="77"/>
      <c r="ES21" s="77"/>
      <c r="ET21" s="77"/>
      <c r="EU21" s="77"/>
      <c r="EV21" s="77"/>
      <c r="EW21" s="77"/>
      <c r="EX21" s="77"/>
      <c r="EY21" s="77"/>
      <c r="EZ21" s="77"/>
      <c r="FA21" s="77"/>
      <c r="FB21" s="77"/>
      <c r="FC21" s="77"/>
      <c r="FD21" s="77"/>
      <c r="FE21" s="77"/>
      <c r="FF21" s="77"/>
      <c r="FG21" s="77"/>
      <c r="FH21" s="77"/>
      <c r="FI21" s="77"/>
      <c r="FJ21" s="77"/>
      <c r="FK21" s="77"/>
      <c r="FL21" s="77"/>
      <c r="FM21" s="77"/>
      <c r="FN21" s="77"/>
      <c r="FO21" s="77"/>
      <c r="FP21" s="77"/>
      <c r="FQ21" s="77"/>
      <c r="FR21" s="77"/>
      <c r="FS21" s="77"/>
      <c r="FT21" s="77"/>
      <c r="FU21" s="77"/>
      <c r="FV21" s="77"/>
      <c r="FW21" s="77"/>
      <c r="FX21" s="77"/>
      <c r="FY21" s="77"/>
      <c r="FZ21" s="77"/>
      <c r="GA21" s="77"/>
      <c r="GB21" s="77"/>
      <c r="GC21" s="77"/>
      <c r="GD21" s="77"/>
      <c r="GE21" s="77"/>
      <c r="GF21" s="77"/>
      <c r="GG21" s="77"/>
      <c r="GH21" s="77"/>
      <c r="GI21" s="77"/>
      <c r="GJ21" s="77"/>
      <c r="GK21" s="77"/>
      <c r="GL21" s="77"/>
      <c r="GM21" s="77"/>
      <c r="GN21" s="77"/>
      <c r="GO21" s="77"/>
      <c r="GP21" s="77"/>
      <c r="GQ21" s="77"/>
      <c r="GR21" s="77"/>
      <c r="GS21" s="77"/>
      <c r="GT21" s="77"/>
      <c r="GU21" s="77"/>
      <c r="GV21" s="77"/>
      <c r="GW21" s="77"/>
      <c r="GX21" s="77"/>
      <c r="GY21" s="77"/>
      <c r="GZ21" s="77"/>
      <c r="HA21" s="77"/>
      <c r="HB21" s="77"/>
      <c r="HC21" s="77"/>
      <c r="HD21" s="77"/>
      <c r="HE21" s="77"/>
      <c r="HF21" s="77"/>
      <c r="HG21" s="77"/>
      <c r="HH21" s="77"/>
      <c r="HI21" s="77"/>
      <c r="HJ21" s="77"/>
      <c r="HK21" s="77"/>
      <c r="HL21" s="77"/>
      <c r="HM21" s="77"/>
      <c r="HN21" s="77"/>
      <c r="HO21" s="77"/>
      <c r="HP21" s="77"/>
      <c r="HQ21" s="77"/>
    </row>
    <row r="22" spans="1:225" x14ac:dyDescent="0.3">
      <c r="A22" s="78">
        <f>'Entrada datos'!C19</f>
        <v>0</v>
      </c>
      <c r="B22" s="74">
        <f>'Entrada datos'!D19</f>
        <v>0</v>
      </c>
      <c r="C22" s="75">
        <f>'Entrada datos'!G19</f>
        <v>0</v>
      </c>
      <c r="D22" s="75">
        <f>'Entrada datos'!H19</f>
        <v>0</v>
      </c>
      <c r="E22" s="74">
        <f t="shared" si="1"/>
        <v>0</v>
      </c>
      <c r="F22" s="68" t="str">
        <f t="shared" si="2"/>
        <v>no procede</v>
      </c>
      <c r="G22" s="74">
        <f>'Entrada datos'!P19</f>
        <v>0</v>
      </c>
      <c r="H22" s="74">
        <f>'Entrada datos'!Q19</f>
        <v>0</v>
      </c>
      <c r="I22" s="74">
        <f>'Entrada datos'!R19</f>
        <v>0</v>
      </c>
      <c r="J22" s="74">
        <f>'Entrada datos'!S19</f>
        <v>0</v>
      </c>
      <c r="K22" s="74">
        <f>'Entrada datos'!T19</f>
        <v>0</v>
      </c>
      <c r="L22" s="74">
        <f>'Entrada datos'!U19</f>
        <v>0</v>
      </c>
      <c r="M22" s="76"/>
      <c r="N22" s="76"/>
      <c r="O22" s="76"/>
      <c r="P22" s="76"/>
      <c r="Q22" s="76"/>
      <c r="R22" s="76"/>
      <c r="S22" s="77" t="s">
        <v>74</v>
      </c>
      <c r="T22" s="77"/>
      <c r="U22" s="77"/>
      <c r="V22" s="77">
        <f t="shared" si="3"/>
        <v>0</v>
      </c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7"/>
      <c r="BE22" s="77"/>
      <c r="BF22" s="77"/>
      <c r="BG22" s="77"/>
      <c r="BH22" s="77"/>
      <c r="BI22" s="77"/>
      <c r="BJ22" s="77"/>
      <c r="BK22" s="77"/>
      <c r="BL22" s="77"/>
      <c r="BM22" s="77"/>
      <c r="BN22" s="77"/>
      <c r="BO22" s="77"/>
      <c r="BP22" s="77"/>
      <c r="BQ22" s="77"/>
      <c r="BR22" s="77"/>
      <c r="BS22" s="77"/>
      <c r="BT22" s="77"/>
      <c r="BU22" s="77"/>
      <c r="BV22" s="77"/>
      <c r="BW22" s="77"/>
      <c r="BX22" s="77"/>
      <c r="BY22" s="77"/>
      <c r="BZ22" s="77"/>
      <c r="CA22" s="77"/>
      <c r="CB22" s="77"/>
      <c r="CC22" s="77"/>
      <c r="CD22" s="77"/>
      <c r="CE22" s="77"/>
      <c r="CF22" s="77"/>
      <c r="CG22" s="77"/>
      <c r="CH22" s="77"/>
      <c r="CI22" s="77"/>
      <c r="CJ22" s="77"/>
      <c r="CK22" s="77"/>
      <c r="CL22" s="77"/>
      <c r="CM22" s="77"/>
      <c r="CN22" s="77"/>
      <c r="CO22" s="77"/>
      <c r="CP22" s="77"/>
      <c r="CQ22" s="77"/>
      <c r="CR22" s="77"/>
      <c r="CS22" s="77"/>
      <c r="CT22" s="77"/>
      <c r="CU22" s="77"/>
      <c r="CV22" s="77"/>
      <c r="CW22" s="77"/>
      <c r="CX22" s="77"/>
      <c r="CY22" s="77"/>
      <c r="CZ22" s="77"/>
      <c r="DA22" s="77"/>
      <c r="DB22" s="77"/>
      <c r="DC22" s="77"/>
      <c r="DD22" s="77"/>
      <c r="DE22" s="77"/>
      <c r="DF22" s="77"/>
      <c r="DG22" s="77"/>
      <c r="DH22" s="77"/>
      <c r="DI22" s="77"/>
      <c r="DJ22" s="77"/>
      <c r="DK22" s="77"/>
      <c r="DL22" s="77"/>
      <c r="DM22" s="77"/>
      <c r="DN22" s="77"/>
      <c r="DO22" s="77"/>
      <c r="DP22" s="77"/>
      <c r="DQ22" s="77"/>
      <c r="DR22" s="77"/>
      <c r="DS22" s="77"/>
      <c r="DT22" s="77"/>
      <c r="DU22" s="77"/>
      <c r="DV22" s="77"/>
      <c r="DW22" s="77"/>
      <c r="DX22" s="77"/>
      <c r="DY22" s="77"/>
      <c r="DZ22" s="77"/>
      <c r="EA22" s="77"/>
      <c r="EB22" s="77"/>
      <c r="EC22" s="77"/>
      <c r="ED22" s="77"/>
      <c r="EE22" s="77"/>
      <c r="EF22" s="77"/>
      <c r="EG22" s="77"/>
      <c r="EH22" s="77"/>
      <c r="EI22" s="77"/>
      <c r="EJ22" s="77"/>
      <c r="EK22" s="77"/>
      <c r="EL22" s="77"/>
      <c r="EM22" s="77"/>
      <c r="EN22" s="77"/>
      <c r="EO22" s="77"/>
      <c r="EP22" s="77"/>
      <c r="EQ22" s="77"/>
      <c r="ER22" s="77"/>
      <c r="ES22" s="77"/>
      <c r="ET22" s="77"/>
      <c r="EU22" s="77"/>
      <c r="EV22" s="77"/>
      <c r="EW22" s="77"/>
      <c r="EX22" s="77"/>
      <c r="EY22" s="77"/>
      <c r="EZ22" s="77"/>
      <c r="FA22" s="77"/>
      <c r="FB22" s="77"/>
      <c r="FC22" s="77"/>
      <c r="FD22" s="77"/>
      <c r="FE22" s="77"/>
      <c r="FF22" s="77"/>
      <c r="FG22" s="77"/>
      <c r="FH22" s="77"/>
      <c r="FI22" s="77"/>
      <c r="FJ22" s="77"/>
      <c r="FK22" s="77"/>
      <c r="FL22" s="77"/>
      <c r="FM22" s="77"/>
      <c r="FN22" s="77"/>
      <c r="FO22" s="77"/>
      <c r="FP22" s="77"/>
      <c r="FQ22" s="77"/>
      <c r="FR22" s="77"/>
      <c r="FS22" s="77"/>
      <c r="FT22" s="77"/>
      <c r="FU22" s="77"/>
      <c r="FV22" s="77"/>
      <c r="FW22" s="77"/>
      <c r="FX22" s="77"/>
      <c r="FY22" s="77"/>
      <c r="FZ22" s="77"/>
      <c r="GA22" s="77"/>
      <c r="GB22" s="77"/>
      <c r="GC22" s="77"/>
      <c r="GD22" s="77"/>
      <c r="GE22" s="77"/>
      <c r="GF22" s="77"/>
      <c r="GG22" s="77"/>
      <c r="GH22" s="77"/>
      <c r="GI22" s="77"/>
      <c r="GJ22" s="77"/>
      <c r="GK22" s="77"/>
      <c r="GL22" s="77"/>
      <c r="GM22" s="77"/>
      <c r="GN22" s="77"/>
      <c r="GO22" s="77"/>
      <c r="GP22" s="77"/>
      <c r="GQ22" s="77"/>
      <c r="GR22" s="77"/>
      <c r="GS22" s="77"/>
      <c r="GT22" s="77"/>
      <c r="GU22" s="77"/>
      <c r="GV22" s="77"/>
      <c r="GW22" s="77"/>
      <c r="GX22" s="77"/>
      <c r="GY22" s="77"/>
      <c r="GZ22" s="77"/>
      <c r="HA22" s="77"/>
      <c r="HB22" s="77"/>
      <c r="HC22" s="77"/>
      <c r="HD22" s="77"/>
      <c r="HE22" s="77"/>
      <c r="HF22" s="77"/>
      <c r="HG22" s="77"/>
      <c r="HH22" s="77"/>
      <c r="HI22" s="77"/>
      <c r="HJ22" s="77"/>
      <c r="HK22" s="77"/>
      <c r="HL22" s="77"/>
      <c r="HM22" s="77"/>
      <c r="HN22" s="77"/>
      <c r="HO22" s="77"/>
      <c r="HP22" s="77"/>
      <c r="HQ22" s="77"/>
    </row>
    <row r="23" spans="1:225" x14ac:dyDescent="0.3">
      <c r="A23" s="78">
        <f>'Entrada datos'!C20</f>
        <v>0</v>
      </c>
      <c r="B23" s="74">
        <f>'Entrada datos'!D20</f>
        <v>0</v>
      </c>
      <c r="C23" s="75">
        <f>'Entrada datos'!G20</f>
        <v>0</v>
      </c>
      <c r="D23" s="75">
        <f>'Entrada datos'!H20</f>
        <v>0</v>
      </c>
      <c r="E23" s="74">
        <f t="shared" si="1"/>
        <v>0</v>
      </c>
      <c r="F23" s="68" t="str">
        <f t="shared" si="2"/>
        <v>no procede</v>
      </c>
      <c r="G23" s="74">
        <f>'Entrada datos'!P20</f>
        <v>0</v>
      </c>
      <c r="H23" s="74">
        <f>'Entrada datos'!Q20</f>
        <v>0</v>
      </c>
      <c r="I23" s="74">
        <f>'Entrada datos'!R20</f>
        <v>0</v>
      </c>
      <c r="J23" s="74">
        <f>'Entrada datos'!S20</f>
        <v>0</v>
      </c>
      <c r="K23" s="74">
        <f>'Entrada datos'!T20</f>
        <v>0</v>
      </c>
      <c r="L23" s="74">
        <f>'Entrada datos'!U20</f>
        <v>0</v>
      </c>
      <c r="M23" s="76"/>
      <c r="N23" s="76"/>
      <c r="O23" s="76"/>
      <c r="P23" s="76"/>
      <c r="Q23" s="76"/>
      <c r="R23" s="76"/>
      <c r="S23" s="77" t="s">
        <v>74</v>
      </c>
      <c r="T23" s="77"/>
      <c r="U23" s="77"/>
      <c r="V23" s="77">
        <f t="shared" si="3"/>
        <v>0</v>
      </c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7"/>
      <c r="BE23" s="77"/>
      <c r="BF23" s="77"/>
      <c r="BG23" s="77"/>
      <c r="BH23" s="77"/>
      <c r="BI23" s="77"/>
      <c r="BJ23" s="77"/>
      <c r="BK23" s="77"/>
      <c r="BL23" s="77"/>
      <c r="BM23" s="77"/>
      <c r="BN23" s="77"/>
      <c r="BO23" s="77"/>
      <c r="BP23" s="77"/>
      <c r="BQ23" s="77"/>
      <c r="BR23" s="77"/>
      <c r="BS23" s="77"/>
      <c r="BT23" s="77"/>
      <c r="BU23" s="77"/>
      <c r="BV23" s="77"/>
      <c r="BW23" s="77"/>
      <c r="BX23" s="77"/>
      <c r="BY23" s="77"/>
      <c r="BZ23" s="77"/>
      <c r="CA23" s="77"/>
      <c r="CB23" s="77"/>
      <c r="CC23" s="77"/>
      <c r="CD23" s="77"/>
      <c r="CE23" s="77"/>
      <c r="CF23" s="77"/>
      <c r="CG23" s="77"/>
      <c r="CH23" s="77"/>
      <c r="CI23" s="77"/>
      <c r="CJ23" s="77"/>
      <c r="CK23" s="77"/>
      <c r="CL23" s="77"/>
      <c r="CM23" s="77"/>
      <c r="CN23" s="77"/>
      <c r="CO23" s="77"/>
      <c r="CP23" s="77"/>
      <c r="CQ23" s="77"/>
      <c r="CR23" s="77"/>
      <c r="CS23" s="77"/>
      <c r="CT23" s="77"/>
      <c r="CU23" s="77"/>
      <c r="CV23" s="77"/>
      <c r="CW23" s="77"/>
      <c r="CX23" s="77"/>
      <c r="CY23" s="77"/>
      <c r="CZ23" s="77"/>
      <c r="DA23" s="77"/>
      <c r="DB23" s="77"/>
      <c r="DC23" s="77"/>
      <c r="DD23" s="77"/>
      <c r="DE23" s="77"/>
      <c r="DF23" s="77"/>
      <c r="DG23" s="77"/>
      <c r="DH23" s="77"/>
      <c r="DI23" s="77"/>
      <c r="DJ23" s="77"/>
      <c r="DK23" s="77"/>
      <c r="DL23" s="77"/>
      <c r="DM23" s="77"/>
      <c r="DN23" s="77"/>
      <c r="DO23" s="77"/>
      <c r="DP23" s="77"/>
      <c r="DQ23" s="77"/>
      <c r="DR23" s="77"/>
      <c r="DS23" s="77"/>
      <c r="DT23" s="77"/>
      <c r="DU23" s="77"/>
      <c r="DV23" s="77"/>
      <c r="DW23" s="77"/>
      <c r="DX23" s="77"/>
      <c r="DY23" s="77"/>
      <c r="DZ23" s="77"/>
      <c r="EA23" s="77"/>
      <c r="EB23" s="77"/>
      <c r="EC23" s="77"/>
      <c r="ED23" s="77"/>
      <c r="EE23" s="77"/>
      <c r="EF23" s="77"/>
      <c r="EG23" s="77"/>
      <c r="EH23" s="77"/>
      <c r="EI23" s="77"/>
      <c r="EJ23" s="77"/>
      <c r="EK23" s="77"/>
      <c r="EL23" s="77"/>
      <c r="EM23" s="77"/>
      <c r="EN23" s="77"/>
      <c r="EO23" s="77"/>
      <c r="EP23" s="77"/>
      <c r="EQ23" s="77"/>
      <c r="ER23" s="77"/>
      <c r="ES23" s="77"/>
      <c r="ET23" s="77"/>
      <c r="EU23" s="77"/>
      <c r="EV23" s="77"/>
      <c r="EW23" s="77"/>
      <c r="EX23" s="77"/>
      <c r="EY23" s="77"/>
      <c r="EZ23" s="77"/>
      <c r="FA23" s="77"/>
      <c r="FB23" s="77"/>
      <c r="FC23" s="77"/>
      <c r="FD23" s="77"/>
      <c r="FE23" s="77"/>
      <c r="FF23" s="77"/>
      <c r="FG23" s="77"/>
      <c r="FH23" s="77"/>
      <c r="FI23" s="77"/>
      <c r="FJ23" s="77"/>
      <c r="FK23" s="77"/>
      <c r="FL23" s="77"/>
      <c r="FM23" s="77"/>
      <c r="FN23" s="77"/>
      <c r="FO23" s="77"/>
      <c r="FP23" s="77"/>
      <c r="FQ23" s="77"/>
      <c r="FR23" s="77"/>
      <c r="FS23" s="77"/>
      <c r="FT23" s="77"/>
      <c r="FU23" s="77"/>
      <c r="FV23" s="77"/>
      <c r="FW23" s="77"/>
      <c r="FX23" s="77"/>
      <c r="FY23" s="77"/>
      <c r="FZ23" s="77"/>
      <c r="GA23" s="77"/>
      <c r="GB23" s="77"/>
      <c r="GC23" s="77"/>
      <c r="GD23" s="77"/>
      <c r="GE23" s="77"/>
      <c r="GF23" s="77"/>
      <c r="GG23" s="77"/>
      <c r="GH23" s="77"/>
      <c r="GI23" s="77"/>
      <c r="GJ23" s="77"/>
      <c r="GK23" s="77"/>
      <c r="GL23" s="77"/>
      <c r="GM23" s="77"/>
      <c r="GN23" s="77"/>
      <c r="GO23" s="77"/>
      <c r="GP23" s="77"/>
      <c r="GQ23" s="77"/>
      <c r="GR23" s="77"/>
      <c r="GS23" s="77"/>
      <c r="GT23" s="77"/>
      <c r="GU23" s="77"/>
      <c r="GV23" s="77"/>
      <c r="GW23" s="77"/>
      <c r="GX23" s="77"/>
      <c r="GY23" s="77"/>
      <c r="GZ23" s="77"/>
      <c r="HA23" s="77"/>
      <c r="HB23" s="77"/>
      <c r="HC23" s="77"/>
      <c r="HD23" s="77"/>
      <c r="HE23" s="77"/>
      <c r="HF23" s="77"/>
      <c r="HG23" s="77"/>
      <c r="HH23" s="77"/>
      <c r="HI23" s="77"/>
      <c r="HJ23" s="77"/>
      <c r="HK23" s="77"/>
      <c r="HL23" s="77"/>
      <c r="HM23" s="77"/>
      <c r="HN23" s="77"/>
      <c r="HO23" s="77"/>
      <c r="HP23" s="77"/>
      <c r="HQ23" s="77"/>
    </row>
    <row r="24" spans="1:225" x14ac:dyDescent="0.3">
      <c r="A24" s="78">
        <f>'Entrada datos'!C21</f>
        <v>0</v>
      </c>
      <c r="B24" s="74">
        <f>'Entrada datos'!D21</f>
        <v>0</v>
      </c>
      <c r="C24" s="75">
        <f>'Entrada datos'!G21</f>
        <v>0</v>
      </c>
      <c r="D24" s="75">
        <f>'Entrada datos'!H21</f>
        <v>0</v>
      </c>
      <c r="E24" s="74">
        <f t="shared" si="1"/>
        <v>0</v>
      </c>
      <c r="F24" s="68" t="str">
        <f t="shared" si="2"/>
        <v>no procede</v>
      </c>
      <c r="G24" s="74">
        <f>'Entrada datos'!P21</f>
        <v>0</v>
      </c>
      <c r="H24" s="74">
        <f>'Entrada datos'!Q21</f>
        <v>0</v>
      </c>
      <c r="I24" s="74">
        <f>'Entrada datos'!R21</f>
        <v>0</v>
      </c>
      <c r="J24" s="74">
        <f>'Entrada datos'!S21</f>
        <v>0</v>
      </c>
      <c r="K24" s="74">
        <f>'Entrada datos'!T21</f>
        <v>0</v>
      </c>
      <c r="L24" s="74">
        <f>'Entrada datos'!U21</f>
        <v>0</v>
      </c>
      <c r="M24" s="76"/>
      <c r="N24" s="76"/>
      <c r="O24" s="76"/>
      <c r="P24" s="76"/>
      <c r="Q24" s="76"/>
      <c r="R24" s="76"/>
      <c r="S24" s="77" t="s">
        <v>74</v>
      </c>
      <c r="T24" s="77"/>
      <c r="U24" s="77"/>
      <c r="V24" s="77">
        <f t="shared" si="3"/>
        <v>0</v>
      </c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7"/>
      <c r="BE24" s="77"/>
      <c r="BF24" s="77"/>
      <c r="BG24" s="77"/>
      <c r="BH24" s="77"/>
      <c r="BI24" s="77"/>
      <c r="BJ24" s="77"/>
      <c r="BK24" s="77"/>
      <c r="BL24" s="77"/>
      <c r="BM24" s="77"/>
      <c r="BN24" s="77"/>
      <c r="BO24" s="77"/>
      <c r="BP24" s="77"/>
      <c r="BQ24" s="77"/>
      <c r="BR24" s="77"/>
      <c r="BS24" s="77"/>
      <c r="BT24" s="77"/>
      <c r="BU24" s="77"/>
      <c r="BV24" s="77"/>
      <c r="BW24" s="77"/>
      <c r="BX24" s="77"/>
      <c r="BY24" s="77"/>
      <c r="BZ24" s="77"/>
      <c r="CA24" s="77"/>
      <c r="CB24" s="77"/>
      <c r="CC24" s="77"/>
      <c r="CD24" s="77"/>
      <c r="CE24" s="77"/>
      <c r="CF24" s="77"/>
      <c r="CG24" s="77"/>
      <c r="CH24" s="77"/>
      <c r="CI24" s="77"/>
      <c r="CJ24" s="77"/>
      <c r="CK24" s="77"/>
      <c r="CL24" s="77"/>
      <c r="CM24" s="77"/>
      <c r="CN24" s="77"/>
      <c r="CO24" s="77"/>
      <c r="CP24" s="77"/>
      <c r="CQ24" s="77"/>
      <c r="CR24" s="77"/>
      <c r="CS24" s="77"/>
      <c r="CT24" s="77"/>
      <c r="CU24" s="77"/>
      <c r="CV24" s="77"/>
      <c r="CW24" s="77"/>
      <c r="CX24" s="77"/>
      <c r="CY24" s="77"/>
      <c r="CZ24" s="77"/>
      <c r="DA24" s="77"/>
      <c r="DB24" s="77"/>
      <c r="DC24" s="77"/>
      <c r="DD24" s="77"/>
      <c r="DE24" s="77"/>
      <c r="DF24" s="77"/>
      <c r="DG24" s="77"/>
      <c r="DH24" s="77"/>
      <c r="DI24" s="77"/>
      <c r="DJ24" s="77"/>
      <c r="DK24" s="77"/>
      <c r="DL24" s="77"/>
      <c r="DM24" s="77"/>
      <c r="DN24" s="77"/>
      <c r="DO24" s="77"/>
      <c r="DP24" s="77"/>
      <c r="DQ24" s="77"/>
      <c r="DR24" s="77"/>
      <c r="DS24" s="77"/>
      <c r="DT24" s="77"/>
      <c r="DU24" s="77"/>
      <c r="DV24" s="77"/>
      <c r="DW24" s="77"/>
      <c r="DX24" s="77"/>
      <c r="DY24" s="77"/>
      <c r="DZ24" s="77"/>
      <c r="EA24" s="77"/>
      <c r="EB24" s="77"/>
      <c r="EC24" s="77"/>
      <c r="ED24" s="77"/>
      <c r="EE24" s="77"/>
      <c r="EF24" s="77"/>
      <c r="EG24" s="77"/>
      <c r="EH24" s="77"/>
      <c r="EI24" s="77"/>
      <c r="EJ24" s="77"/>
      <c r="EK24" s="77"/>
      <c r="EL24" s="77"/>
      <c r="EM24" s="77"/>
      <c r="EN24" s="77"/>
      <c r="EO24" s="77"/>
      <c r="EP24" s="77"/>
      <c r="EQ24" s="77"/>
      <c r="ER24" s="77"/>
      <c r="ES24" s="77"/>
      <c r="ET24" s="77"/>
      <c r="EU24" s="77"/>
      <c r="EV24" s="77"/>
      <c r="EW24" s="77"/>
      <c r="EX24" s="77"/>
      <c r="EY24" s="77"/>
      <c r="EZ24" s="77"/>
      <c r="FA24" s="77"/>
      <c r="FB24" s="77"/>
      <c r="FC24" s="77"/>
      <c r="FD24" s="77"/>
      <c r="FE24" s="77"/>
      <c r="FF24" s="77"/>
      <c r="FG24" s="77"/>
      <c r="FH24" s="77"/>
      <c r="FI24" s="77"/>
      <c r="FJ24" s="77"/>
      <c r="FK24" s="77"/>
      <c r="FL24" s="77"/>
      <c r="FM24" s="77"/>
      <c r="FN24" s="77"/>
      <c r="FO24" s="77"/>
      <c r="FP24" s="77"/>
      <c r="FQ24" s="77"/>
      <c r="FR24" s="77"/>
      <c r="FS24" s="77"/>
      <c r="FT24" s="77"/>
      <c r="FU24" s="77"/>
      <c r="FV24" s="77"/>
      <c r="FW24" s="77"/>
      <c r="FX24" s="77"/>
      <c r="FY24" s="77"/>
      <c r="FZ24" s="77"/>
      <c r="GA24" s="77"/>
      <c r="GB24" s="77"/>
      <c r="GC24" s="77"/>
      <c r="GD24" s="77"/>
      <c r="GE24" s="77"/>
      <c r="GF24" s="77"/>
      <c r="GG24" s="77"/>
      <c r="GH24" s="77"/>
      <c r="GI24" s="77"/>
      <c r="GJ24" s="77"/>
      <c r="GK24" s="77"/>
      <c r="GL24" s="77"/>
      <c r="GM24" s="77"/>
      <c r="GN24" s="77"/>
      <c r="GO24" s="77"/>
      <c r="GP24" s="77"/>
      <c r="GQ24" s="77"/>
      <c r="GR24" s="77"/>
      <c r="GS24" s="77"/>
      <c r="GT24" s="77"/>
      <c r="GU24" s="77"/>
      <c r="GV24" s="77"/>
      <c r="GW24" s="77"/>
      <c r="GX24" s="77"/>
      <c r="GY24" s="77"/>
      <c r="GZ24" s="77"/>
      <c r="HA24" s="77"/>
      <c r="HB24" s="77"/>
      <c r="HC24" s="77"/>
      <c r="HD24" s="77"/>
      <c r="HE24" s="77"/>
      <c r="HF24" s="77"/>
      <c r="HG24" s="77"/>
      <c r="HH24" s="77"/>
      <c r="HI24" s="77"/>
      <c r="HJ24" s="77"/>
      <c r="HK24" s="77"/>
      <c r="HL24" s="77"/>
      <c r="HM24" s="77"/>
      <c r="HN24" s="77"/>
      <c r="HO24" s="77"/>
      <c r="HP24" s="77"/>
      <c r="HQ24" s="77"/>
    </row>
    <row r="25" spans="1:225" x14ac:dyDescent="0.3">
      <c r="A25" s="78">
        <f>'Entrada datos'!C22</f>
        <v>0</v>
      </c>
      <c r="B25" s="74">
        <f>'Entrada datos'!D22</f>
        <v>0</v>
      </c>
      <c r="C25" s="75">
        <f>'Entrada datos'!G22</f>
        <v>0</v>
      </c>
      <c r="D25" s="75">
        <f>'Entrada datos'!H22</f>
        <v>0</v>
      </c>
      <c r="E25" s="74">
        <f t="shared" si="1"/>
        <v>0</v>
      </c>
      <c r="F25" s="68" t="str">
        <f t="shared" si="2"/>
        <v>no procede</v>
      </c>
      <c r="G25" s="74">
        <f>'Entrada datos'!P22</f>
        <v>0</v>
      </c>
      <c r="H25" s="74">
        <f>'Entrada datos'!Q22</f>
        <v>0</v>
      </c>
      <c r="I25" s="74">
        <f>'Entrada datos'!R22</f>
        <v>0</v>
      </c>
      <c r="J25" s="74">
        <f>'Entrada datos'!S22</f>
        <v>0</v>
      </c>
      <c r="K25" s="74">
        <f>'Entrada datos'!T22</f>
        <v>0</v>
      </c>
      <c r="L25" s="74">
        <f>'Entrada datos'!U22</f>
        <v>0</v>
      </c>
      <c r="M25" s="76"/>
      <c r="N25" s="76"/>
      <c r="O25" s="76"/>
      <c r="P25" s="76"/>
      <c r="Q25" s="76"/>
      <c r="R25" s="76"/>
      <c r="S25" s="77" t="s">
        <v>74</v>
      </c>
      <c r="T25" s="77"/>
      <c r="U25" s="77"/>
      <c r="V25" s="77">
        <f t="shared" si="3"/>
        <v>0</v>
      </c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7"/>
      <c r="BE25" s="77"/>
      <c r="BF25" s="77"/>
      <c r="BG25" s="77"/>
      <c r="BH25" s="77"/>
      <c r="BI25" s="77"/>
      <c r="BJ25" s="77"/>
      <c r="BK25" s="77"/>
      <c r="BL25" s="77"/>
      <c r="BM25" s="77"/>
      <c r="BN25" s="77"/>
      <c r="BO25" s="77"/>
      <c r="BP25" s="77"/>
      <c r="BQ25" s="77"/>
      <c r="BR25" s="77"/>
      <c r="BS25" s="77"/>
      <c r="BT25" s="77"/>
      <c r="BU25" s="77"/>
      <c r="BV25" s="77"/>
      <c r="BW25" s="77"/>
      <c r="BX25" s="77"/>
      <c r="BY25" s="77"/>
      <c r="BZ25" s="77"/>
      <c r="CA25" s="77"/>
      <c r="CB25" s="77"/>
      <c r="CC25" s="77"/>
      <c r="CD25" s="77"/>
      <c r="CE25" s="77"/>
      <c r="CF25" s="77"/>
      <c r="CG25" s="77"/>
      <c r="CH25" s="77"/>
      <c r="CI25" s="77"/>
      <c r="CJ25" s="77"/>
      <c r="CK25" s="77"/>
      <c r="CL25" s="77"/>
      <c r="CM25" s="77"/>
      <c r="CN25" s="77"/>
      <c r="CO25" s="77"/>
      <c r="CP25" s="77"/>
      <c r="CQ25" s="77"/>
      <c r="CR25" s="77"/>
      <c r="CS25" s="77"/>
      <c r="CT25" s="77"/>
      <c r="CU25" s="77"/>
      <c r="CV25" s="77"/>
      <c r="CW25" s="77"/>
      <c r="CX25" s="77"/>
      <c r="CY25" s="77"/>
      <c r="CZ25" s="77"/>
      <c r="DA25" s="77"/>
      <c r="DB25" s="77"/>
      <c r="DC25" s="77"/>
      <c r="DD25" s="77"/>
      <c r="DE25" s="77"/>
      <c r="DF25" s="77"/>
      <c r="DG25" s="77"/>
      <c r="DH25" s="77"/>
      <c r="DI25" s="77"/>
      <c r="DJ25" s="77"/>
      <c r="DK25" s="77"/>
      <c r="DL25" s="77"/>
      <c r="DM25" s="77"/>
      <c r="DN25" s="77"/>
      <c r="DO25" s="77"/>
      <c r="DP25" s="77"/>
      <c r="DQ25" s="77"/>
      <c r="DR25" s="77"/>
      <c r="DS25" s="77"/>
      <c r="DT25" s="77"/>
      <c r="DU25" s="77"/>
      <c r="DV25" s="77"/>
      <c r="DW25" s="77"/>
      <c r="DX25" s="77"/>
      <c r="DY25" s="77"/>
      <c r="DZ25" s="77"/>
      <c r="EA25" s="77"/>
      <c r="EB25" s="77"/>
      <c r="EC25" s="77"/>
      <c r="ED25" s="77"/>
      <c r="EE25" s="77"/>
      <c r="EF25" s="77"/>
      <c r="EG25" s="77"/>
      <c r="EH25" s="77"/>
      <c r="EI25" s="77"/>
      <c r="EJ25" s="77"/>
      <c r="EK25" s="77"/>
      <c r="EL25" s="77"/>
      <c r="EM25" s="77"/>
      <c r="EN25" s="77"/>
      <c r="EO25" s="77"/>
      <c r="EP25" s="77"/>
      <c r="EQ25" s="77"/>
      <c r="ER25" s="77"/>
      <c r="ES25" s="77"/>
      <c r="ET25" s="77"/>
      <c r="EU25" s="77"/>
      <c r="EV25" s="77"/>
      <c r="EW25" s="77"/>
      <c r="EX25" s="77"/>
      <c r="EY25" s="77"/>
      <c r="EZ25" s="77"/>
      <c r="FA25" s="77"/>
      <c r="FB25" s="77"/>
      <c r="FC25" s="77"/>
      <c r="FD25" s="77"/>
      <c r="FE25" s="77"/>
      <c r="FF25" s="77"/>
      <c r="FG25" s="77"/>
      <c r="FH25" s="77"/>
      <c r="FI25" s="77"/>
      <c r="FJ25" s="77"/>
      <c r="FK25" s="77"/>
      <c r="FL25" s="77"/>
      <c r="FM25" s="77"/>
      <c r="FN25" s="77"/>
      <c r="FO25" s="77"/>
      <c r="FP25" s="77"/>
      <c r="FQ25" s="77"/>
      <c r="FR25" s="77"/>
      <c r="FS25" s="77"/>
      <c r="FT25" s="77"/>
      <c r="FU25" s="77"/>
      <c r="FV25" s="77"/>
      <c r="FW25" s="77"/>
      <c r="FX25" s="77"/>
      <c r="FY25" s="77"/>
      <c r="FZ25" s="77"/>
      <c r="GA25" s="77"/>
      <c r="GB25" s="77"/>
      <c r="GC25" s="77"/>
      <c r="GD25" s="77"/>
      <c r="GE25" s="77"/>
      <c r="GF25" s="77"/>
      <c r="GG25" s="77"/>
      <c r="GH25" s="77"/>
      <c r="GI25" s="77"/>
      <c r="GJ25" s="77"/>
      <c r="GK25" s="77"/>
      <c r="GL25" s="77"/>
      <c r="GM25" s="77"/>
      <c r="GN25" s="77"/>
      <c r="GO25" s="77"/>
      <c r="GP25" s="77"/>
      <c r="GQ25" s="77"/>
      <c r="GR25" s="77"/>
      <c r="GS25" s="77"/>
      <c r="GT25" s="77"/>
      <c r="GU25" s="77"/>
      <c r="GV25" s="77"/>
      <c r="GW25" s="77"/>
      <c r="GX25" s="77"/>
      <c r="GY25" s="77"/>
      <c r="GZ25" s="77"/>
      <c r="HA25" s="77"/>
      <c r="HB25" s="77"/>
      <c r="HC25" s="77"/>
      <c r="HD25" s="77"/>
      <c r="HE25" s="77"/>
      <c r="HF25" s="77"/>
      <c r="HG25" s="77"/>
      <c r="HH25" s="77"/>
      <c r="HI25" s="77"/>
      <c r="HJ25" s="77"/>
      <c r="HK25" s="77"/>
      <c r="HL25" s="77"/>
      <c r="HM25" s="77"/>
      <c r="HN25" s="77"/>
      <c r="HO25" s="77"/>
      <c r="HP25" s="77"/>
      <c r="HQ25" s="77"/>
    </row>
    <row r="26" spans="1:225" x14ac:dyDescent="0.3">
      <c r="A26" s="78">
        <f>'Entrada datos'!C23</f>
        <v>0</v>
      </c>
      <c r="B26" s="74">
        <f>'Entrada datos'!D23</f>
        <v>0</v>
      </c>
      <c r="C26" s="75">
        <f>'Entrada datos'!G23</f>
        <v>0</v>
      </c>
      <c r="D26" s="75">
        <f>'Entrada datos'!H23</f>
        <v>0</v>
      </c>
      <c r="E26" s="74">
        <f t="shared" si="1"/>
        <v>0</v>
      </c>
      <c r="F26" s="68" t="str">
        <f t="shared" si="2"/>
        <v>no procede</v>
      </c>
      <c r="G26" s="74">
        <f>'Entrada datos'!P23</f>
        <v>0</v>
      </c>
      <c r="H26" s="74">
        <f>'Entrada datos'!Q23</f>
        <v>0</v>
      </c>
      <c r="I26" s="74">
        <f>'Entrada datos'!R23</f>
        <v>0</v>
      </c>
      <c r="J26" s="74">
        <f>'Entrada datos'!S23</f>
        <v>0</v>
      </c>
      <c r="K26" s="74">
        <f>'Entrada datos'!T23</f>
        <v>0</v>
      </c>
      <c r="L26" s="74">
        <f>'Entrada datos'!U23</f>
        <v>0</v>
      </c>
      <c r="M26" s="76"/>
      <c r="N26" s="76"/>
      <c r="O26" s="76"/>
      <c r="P26" s="76"/>
      <c r="Q26" s="76"/>
      <c r="R26" s="76"/>
      <c r="S26" s="77" t="s">
        <v>74</v>
      </c>
      <c r="T26" s="77"/>
      <c r="U26" s="77"/>
      <c r="V26" s="77">
        <f t="shared" si="3"/>
        <v>0</v>
      </c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7"/>
      <c r="BZ26" s="77"/>
      <c r="CA26" s="77"/>
      <c r="CB26" s="77"/>
      <c r="CC26" s="77"/>
      <c r="CD26" s="77"/>
      <c r="CE26" s="77"/>
      <c r="CF26" s="77"/>
      <c r="CG26" s="77"/>
      <c r="CH26" s="77"/>
      <c r="CI26" s="77"/>
      <c r="CJ26" s="77"/>
      <c r="CK26" s="77"/>
      <c r="CL26" s="77"/>
      <c r="CM26" s="77"/>
      <c r="CN26" s="77"/>
      <c r="CO26" s="77"/>
      <c r="CP26" s="77"/>
      <c r="CQ26" s="77"/>
      <c r="CR26" s="77"/>
      <c r="CS26" s="77"/>
      <c r="CT26" s="77"/>
      <c r="CU26" s="77"/>
      <c r="CV26" s="77"/>
      <c r="CW26" s="77"/>
      <c r="CX26" s="77"/>
      <c r="CY26" s="77"/>
      <c r="CZ26" s="77"/>
      <c r="DA26" s="77"/>
      <c r="DB26" s="77"/>
      <c r="DC26" s="77"/>
      <c r="DD26" s="77"/>
      <c r="DE26" s="77"/>
      <c r="DF26" s="77"/>
      <c r="DG26" s="77"/>
      <c r="DH26" s="77"/>
      <c r="DI26" s="77"/>
      <c r="DJ26" s="77"/>
      <c r="DK26" s="77"/>
      <c r="DL26" s="77"/>
      <c r="DM26" s="77"/>
      <c r="DN26" s="77"/>
      <c r="DO26" s="77"/>
      <c r="DP26" s="77"/>
      <c r="DQ26" s="77"/>
      <c r="DR26" s="77"/>
      <c r="DS26" s="77"/>
      <c r="DT26" s="77"/>
      <c r="DU26" s="77"/>
      <c r="DV26" s="77"/>
      <c r="DW26" s="77"/>
      <c r="DX26" s="77"/>
      <c r="DY26" s="77"/>
      <c r="DZ26" s="77"/>
      <c r="EA26" s="77"/>
      <c r="EB26" s="77"/>
      <c r="EC26" s="77"/>
      <c r="ED26" s="77"/>
      <c r="EE26" s="77"/>
      <c r="EF26" s="77"/>
      <c r="EG26" s="77"/>
      <c r="EH26" s="77"/>
      <c r="EI26" s="77"/>
      <c r="EJ26" s="77"/>
      <c r="EK26" s="77"/>
      <c r="EL26" s="77"/>
      <c r="EM26" s="77"/>
      <c r="EN26" s="77"/>
      <c r="EO26" s="77"/>
      <c r="EP26" s="77"/>
      <c r="EQ26" s="77"/>
      <c r="ER26" s="77"/>
      <c r="ES26" s="77"/>
      <c r="ET26" s="77"/>
      <c r="EU26" s="77"/>
      <c r="EV26" s="77"/>
      <c r="EW26" s="77"/>
      <c r="EX26" s="77"/>
      <c r="EY26" s="77"/>
      <c r="EZ26" s="77"/>
      <c r="FA26" s="77"/>
      <c r="FB26" s="77"/>
      <c r="FC26" s="77"/>
      <c r="FD26" s="77"/>
      <c r="FE26" s="77"/>
      <c r="FF26" s="77"/>
      <c r="FG26" s="77"/>
      <c r="FH26" s="77"/>
      <c r="FI26" s="77"/>
      <c r="FJ26" s="77"/>
      <c r="FK26" s="77"/>
      <c r="FL26" s="77"/>
      <c r="FM26" s="77"/>
      <c r="FN26" s="77"/>
      <c r="FO26" s="77"/>
      <c r="FP26" s="77"/>
      <c r="FQ26" s="77"/>
      <c r="FR26" s="77"/>
      <c r="FS26" s="77"/>
      <c r="FT26" s="77"/>
      <c r="FU26" s="77"/>
      <c r="FV26" s="77"/>
      <c r="FW26" s="77"/>
      <c r="FX26" s="77"/>
      <c r="FY26" s="77"/>
      <c r="FZ26" s="77"/>
      <c r="GA26" s="77"/>
      <c r="GB26" s="77"/>
      <c r="GC26" s="77"/>
      <c r="GD26" s="77"/>
      <c r="GE26" s="77"/>
      <c r="GF26" s="77"/>
      <c r="GG26" s="77"/>
      <c r="GH26" s="77"/>
      <c r="GI26" s="77"/>
      <c r="GJ26" s="77"/>
      <c r="GK26" s="77"/>
      <c r="GL26" s="77"/>
      <c r="GM26" s="77"/>
      <c r="GN26" s="77"/>
      <c r="GO26" s="77"/>
      <c r="GP26" s="77"/>
      <c r="GQ26" s="77"/>
      <c r="GR26" s="77"/>
      <c r="GS26" s="77"/>
      <c r="GT26" s="77"/>
      <c r="GU26" s="77"/>
      <c r="GV26" s="77"/>
      <c r="GW26" s="77"/>
      <c r="GX26" s="77"/>
      <c r="GY26" s="77"/>
      <c r="GZ26" s="77"/>
      <c r="HA26" s="77"/>
      <c r="HB26" s="77"/>
      <c r="HC26" s="77"/>
      <c r="HD26" s="77"/>
      <c r="HE26" s="77"/>
      <c r="HF26" s="77"/>
      <c r="HG26" s="77"/>
      <c r="HH26" s="77"/>
      <c r="HI26" s="77"/>
      <c r="HJ26" s="77"/>
      <c r="HK26" s="77"/>
      <c r="HL26" s="77"/>
      <c r="HM26" s="77"/>
      <c r="HN26" s="77"/>
      <c r="HO26" s="77"/>
      <c r="HP26" s="77"/>
      <c r="HQ26" s="77"/>
    </row>
    <row r="27" spans="1:225" x14ac:dyDescent="0.3">
      <c r="A27" s="78">
        <f>'Entrada datos'!C24</f>
        <v>0</v>
      </c>
      <c r="B27" s="74">
        <f>'Entrada datos'!D24</f>
        <v>0</v>
      </c>
      <c r="C27" s="75">
        <f>'Entrada datos'!G24</f>
        <v>0</v>
      </c>
      <c r="D27" s="75">
        <f>'Entrada datos'!H24</f>
        <v>0</v>
      </c>
      <c r="E27" s="74">
        <f t="shared" si="1"/>
        <v>0</v>
      </c>
      <c r="F27" s="68" t="str">
        <f t="shared" si="2"/>
        <v>no procede</v>
      </c>
      <c r="G27" s="74">
        <f>'Entrada datos'!P24</f>
        <v>0</v>
      </c>
      <c r="H27" s="74">
        <f>'Entrada datos'!Q24</f>
        <v>0</v>
      </c>
      <c r="I27" s="74">
        <f>'Entrada datos'!R24</f>
        <v>0</v>
      </c>
      <c r="J27" s="74">
        <f>'Entrada datos'!S24</f>
        <v>0</v>
      </c>
      <c r="K27" s="74">
        <f>'Entrada datos'!T24</f>
        <v>0</v>
      </c>
      <c r="L27" s="74">
        <f>'Entrada datos'!U24</f>
        <v>0</v>
      </c>
      <c r="M27" s="76"/>
      <c r="N27" s="76"/>
      <c r="O27" s="76"/>
      <c r="P27" s="76"/>
      <c r="Q27" s="76"/>
      <c r="R27" s="76"/>
      <c r="S27" s="77" t="s">
        <v>74</v>
      </c>
      <c r="T27" s="77"/>
      <c r="U27" s="77"/>
      <c r="V27" s="77">
        <f t="shared" si="3"/>
        <v>0</v>
      </c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7"/>
      <c r="BE27" s="77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77"/>
      <c r="BS27" s="77"/>
      <c r="BT27" s="77"/>
      <c r="BU27" s="77"/>
      <c r="BV27" s="77"/>
      <c r="BW27" s="77"/>
      <c r="BX27" s="77"/>
      <c r="BY27" s="77"/>
      <c r="BZ27" s="77"/>
      <c r="CA27" s="77"/>
      <c r="CB27" s="77"/>
      <c r="CC27" s="77"/>
      <c r="CD27" s="77"/>
      <c r="CE27" s="77"/>
      <c r="CF27" s="77"/>
      <c r="CG27" s="77"/>
      <c r="CH27" s="77"/>
      <c r="CI27" s="77"/>
      <c r="CJ27" s="77"/>
      <c r="CK27" s="77"/>
      <c r="CL27" s="77"/>
      <c r="CM27" s="77"/>
      <c r="CN27" s="77"/>
      <c r="CO27" s="77"/>
      <c r="CP27" s="77"/>
      <c r="CQ27" s="77"/>
      <c r="CR27" s="77"/>
      <c r="CS27" s="77"/>
      <c r="CT27" s="77"/>
      <c r="CU27" s="77"/>
      <c r="CV27" s="77"/>
      <c r="CW27" s="77"/>
      <c r="CX27" s="77"/>
      <c r="CY27" s="77"/>
      <c r="CZ27" s="77"/>
      <c r="DA27" s="77"/>
      <c r="DB27" s="77"/>
      <c r="DC27" s="77"/>
      <c r="DD27" s="77"/>
      <c r="DE27" s="77"/>
      <c r="DF27" s="77"/>
      <c r="DG27" s="77"/>
      <c r="DH27" s="77"/>
      <c r="DI27" s="77"/>
      <c r="DJ27" s="77"/>
      <c r="DK27" s="77"/>
      <c r="DL27" s="77"/>
      <c r="DM27" s="77"/>
      <c r="DN27" s="77"/>
      <c r="DO27" s="77"/>
      <c r="DP27" s="77"/>
      <c r="DQ27" s="77"/>
      <c r="DR27" s="77"/>
      <c r="DS27" s="77"/>
      <c r="DT27" s="77"/>
      <c r="DU27" s="77"/>
      <c r="DV27" s="77"/>
      <c r="DW27" s="77"/>
      <c r="DX27" s="77"/>
      <c r="DY27" s="77"/>
      <c r="DZ27" s="77"/>
      <c r="EA27" s="77"/>
      <c r="EB27" s="77"/>
      <c r="EC27" s="77"/>
      <c r="ED27" s="77"/>
      <c r="EE27" s="77"/>
      <c r="EF27" s="77"/>
      <c r="EG27" s="77"/>
      <c r="EH27" s="77"/>
      <c r="EI27" s="77"/>
      <c r="EJ27" s="77"/>
      <c r="EK27" s="77"/>
      <c r="EL27" s="77"/>
      <c r="EM27" s="77"/>
      <c r="EN27" s="77"/>
      <c r="EO27" s="77"/>
      <c r="EP27" s="77"/>
      <c r="EQ27" s="77"/>
      <c r="ER27" s="77"/>
      <c r="ES27" s="77"/>
      <c r="ET27" s="77"/>
      <c r="EU27" s="77"/>
      <c r="EV27" s="77"/>
      <c r="EW27" s="77"/>
      <c r="EX27" s="77"/>
      <c r="EY27" s="77"/>
      <c r="EZ27" s="77"/>
      <c r="FA27" s="77"/>
      <c r="FB27" s="77"/>
      <c r="FC27" s="77"/>
      <c r="FD27" s="77"/>
      <c r="FE27" s="77"/>
      <c r="FF27" s="77"/>
      <c r="FG27" s="77"/>
      <c r="FH27" s="77"/>
      <c r="FI27" s="77"/>
      <c r="FJ27" s="77"/>
      <c r="FK27" s="77"/>
      <c r="FL27" s="77"/>
      <c r="FM27" s="77"/>
      <c r="FN27" s="77"/>
      <c r="FO27" s="77"/>
      <c r="FP27" s="77"/>
      <c r="FQ27" s="77"/>
      <c r="FR27" s="77"/>
      <c r="FS27" s="77"/>
      <c r="FT27" s="77"/>
      <c r="FU27" s="77"/>
      <c r="FV27" s="77"/>
      <c r="FW27" s="77"/>
      <c r="FX27" s="77"/>
      <c r="FY27" s="77"/>
      <c r="FZ27" s="77"/>
      <c r="GA27" s="77"/>
      <c r="GB27" s="77"/>
      <c r="GC27" s="77"/>
      <c r="GD27" s="77"/>
      <c r="GE27" s="77"/>
      <c r="GF27" s="77"/>
      <c r="GG27" s="77"/>
      <c r="GH27" s="77"/>
      <c r="GI27" s="77"/>
      <c r="GJ27" s="77"/>
      <c r="GK27" s="77"/>
      <c r="GL27" s="77"/>
      <c r="GM27" s="77"/>
      <c r="GN27" s="77"/>
      <c r="GO27" s="77"/>
      <c r="GP27" s="77"/>
      <c r="GQ27" s="77"/>
      <c r="GR27" s="77"/>
      <c r="GS27" s="77"/>
      <c r="GT27" s="77"/>
      <c r="GU27" s="77"/>
      <c r="GV27" s="77"/>
      <c r="GW27" s="77"/>
      <c r="GX27" s="77"/>
      <c r="GY27" s="77"/>
      <c r="GZ27" s="77"/>
      <c r="HA27" s="77"/>
      <c r="HB27" s="77"/>
      <c r="HC27" s="77"/>
      <c r="HD27" s="77"/>
      <c r="HE27" s="77"/>
      <c r="HF27" s="77"/>
      <c r="HG27" s="77"/>
      <c r="HH27" s="77"/>
      <c r="HI27" s="77"/>
      <c r="HJ27" s="77"/>
      <c r="HK27" s="77"/>
      <c r="HL27" s="77"/>
      <c r="HM27" s="77"/>
      <c r="HN27" s="77"/>
      <c r="HO27" s="77"/>
      <c r="HP27" s="77"/>
      <c r="HQ27" s="77"/>
    </row>
    <row r="28" spans="1:225" x14ac:dyDescent="0.3">
      <c r="A28" s="78">
        <f>'Entrada datos'!C25</f>
        <v>0</v>
      </c>
      <c r="B28" s="74">
        <f>'Entrada datos'!D25</f>
        <v>0</v>
      </c>
      <c r="C28" s="75">
        <f>'Entrada datos'!G25</f>
        <v>0</v>
      </c>
      <c r="D28" s="75">
        <f>'Entrada datos'!H25</f>
        <v>0</v>
      </c>
      <c r="E28" s="74">
        <f t="shared" si="1"/>
        <v>0</v>
      </c>
      <c r="F28" s="68" t="str">
        <f t="shared" si="2"/>
        <v>no procede</v>
      </c>
      <c r="G28" s="74">
        <f>'Entrada datos'!P25</f>
        <v>0</v>
      </c>
      <c r="H28" s="74">
        <f>'Entrada datos'!Q25</f>
        <v>0</v>
      </c>
      <c r="I28" s="74">
        <f>'Entrada datos'!R25</f>
        <v>0</v>
      </c>
      <c r="J28" s="74">
        <f>'Entrada datos'!S25</f>
        <v>0</v>
      </c>
      <c r="K28" s="74">
        <f>'Entrada datos'!T25</f>
        <v>0</v>
      </c>
      <c r="L28" s="74">
        <f>'Entrada datos'!U25</f>
        <v>0</v>
      </c>
      <c r="M28" s="76"/>
      <c r="N28" s="76"/>
      <c r="O28" s="76"/>
      <c r="P28" s="76"/>
      <c r="Q28" s="76"/>
      <c r="R28" s="76"/>
      <c r="S28" s="77" t="s">
        <v>74</v>
      </c>
      <c r="T28" s="77"/>
      <c r="U28" s="77"/>
      <c r="V28" s="77">
        <f t="shared" si="3"/>
        <v>0</v>
      </c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  <c r="BU28" s="77"/>
      <c r="BV28" s="77"/>
      <c r="BW28" s="77"/>
      <c r="BX28" s="77"/>
      <c r="BY28" s="77"/>
      <c r="BZ28" s="77"/>
      <c r="CA28" s="77"/>
      <c r="CB28" s="77"/>
      <c r="CC28" s="77"/>
      <c r="CD28" s="77"/>
      <c r="CE28" s="77"/>
      <c r="CF28" s="77"/>
      <c r="CG28" s="77"/>
      <c r="CH28" s="77"/>
      <c r="CI28" s="77"/>
      <c r="CJ28" s="77"/>
      <c r="CK28" s="77"/>
      <c r="CL28" s="77"/>
      <c r="CM28" s="77"/>
      <c r="CN28" s="77"/>
      <c r="CO28" s="77"/>
      <c r="CP28" s="77"/>
      <c r="CQ28" s="77"/>
      <c r="CR28" s="77"/>
      <c r="CS28" s="77"/>
      <c r="CT28" s="77"/>
      <c r="CU28" s="77"/>
      <c r="CV28" s="77"/>
      <c r="CW28" s="77"/>
      <c r="CX28" s="77"/>
      <c r="CY28" s="77"/>
      <c r="CZ28" s="77"/>
      <c r="DA28" s="77"/>
      <c r="DB28" s="77"/>
      <c r="DC28" s="77"/>
      <c r="DD28" s="77"/>
      <c r="DE28" s="77"/>
      <c r="DF28" s="77"/>
      <c r="DG28" s="77"/>
      <c r="DH28" s="77"/>
      <c r="DI28" s="77"/>
      <c r="DJ28" s="77"/>
      <c r="DK28" s="77"/>
      <c r="DL28" s="77"/>
      <c r="DM28" s="77"/>
      <c r="DN28" s="77"/>
      <c r="DO28" s="77"/>
      <c r="DP28" s="77"/>
      <c r="DQ28" s="77"/>
      <c r="DR28" s="77"/>
      <c r="DS28" s="77"/>
      <c r="DT28" s="77"/>
      <c r="DU28" s="77"/>
      <c r="DV28" s="77"/>
      <c r="DW28" s="77"/>
      <c r="DX28" s="77"/>
      <c r="DY28" s="77"/>
      <c r="DZ28" s="77"/>
      <c r="EA28" s="77"/>
      <c r="EB28" s="77"/>
      <c r="EC28" s="77"/>
      <c r="ED28" s="77"/>
      <c r="EE28" s="77"/>
      <c r="EF28" s="77"/>
      <c r="EG28" s="77"/>
      <c r="EH28" s="77"/>
      <c r="EI28" s="77"/>
      <c r="EJ28" s="77"/>
      <c r="EK28" s="77"/>
      <c r="EL28" s="77"/>
      <c r="EM28" s="77"/>
      <c r="EN28" s="77"/>
      <c r="EO28" s="77"/>
      <c r="EP28" s="77"/>
      <c r="EQ28" s="77"/>
      <c r="ER28" s="77"/>
      <c r="ES28" s="77"/>
      <c r="ET28" s="77"/>
      <c r="EU28" s="77"/>
      <c r="EV28" s="77"/>
      <c r="EW28" s="77"/>
      <c r="EX28" s="77"/>
      <c r="EY28" s="77"/>
      <c r="EZ28" s="77"/>
      <c r="FA28" s="77"/>
      <c r="FB28" s="77"/>
      <c r="FC28" s="77"/>
      <c r="FD28" s="77"/>
      <c r="FE28" s="77"/>
      <c r="FF28" s="77"/>
      <c r="FG28" s="77"/>
      <c r="FH28" s="77"/>
      <c r="FI28" s="77"/>
      <c r="FJ28" s="77"/>
      <c r="FK28" s="77"/>
      <c r="FL28" s="77"/>
      <c r="FM28" s="77"/>
      <c r="FN28" s="77"/>
      <c r="FO28" s="77"/>
      <c r="FP28" s="77"/>
      <c r="FQ28" s="77"/>
      <c r="FR28" s="77"/>
      <c r="FS28" s="77"/>
      <c r="FT28" s="77"/>
      <c r="FU28" s="77"/>
      <c r="FV28" s="77"/>
      <c r="FW28" s="77"/>
      <c r="FX28" s="77"/>
      <c r="FY28" s="77"/>
      <c r="FZ28" s="77"/>
      <c r="GA28" s="77"/>
      <c r="GB28" s="77"/>
      <c r="GC28" s="77"/>
      <c r="GD28" s="77"/>
      <c r="GE28" s="77"/>
      <c r="GF28" s="77"/>
      <c r="GG28" s="77"/>
      <c r="GH28" s="77"/>
      <c r="GI28" s="77"/>
      <c r="GJ28" s="77"/>
      <c r="GK28" s="77"/>
      <c r="GL28" s="77"/>
      <c r="GM28" s="77"/>
      <c r="GN28" s="77"/>
      <c r="GO28" s="77"/>
      <c r="GP28" s="77"/>
      <c r="GQ28" s="77"/>
      <c r="GR28" s="77"/>
      <c r="GS28" s="77"/>
      <c r="GT28" s="77"/>
      <c r="GU28" s="77"/>
      <c r="GV28" s="77"/>
      <c r="GW28" s="77"/>
      <c r="GX28" s="77"/>
      <c r="GY28" s="77"/>
      <c r="GZ28" s="77"/>
      <c r="HA28" s="77"/>
      <c r="HB28" s="77"/>
      <c r="HC28" s="77"/>
      <c r="HD28" s="77"/>
      <c r="HE28" s="77"/>
      <c r="HF28" s="77"/>
      <c r="HG28" s="77"/>
      <c r="HH28" s="77"/>
      <c r="HI28" s="77"/>
      <c r="HJ28" s="77"/>
      <c r="HK28" s="77"/>
      <c r="HL28" s="77"/>
      <c r="HM28" s="77"/>
      <c r="HN28" s="77"/>
      <c r="HO28" s="77"/>
      <c r="HP28" s="77"/>
      <c r="HQ28" s="77"/>
    </row>
    <row r="29" spans="1:225" x14ac:dyDescent="0.3">
      <c r="A29" s="78">
        <f>'Entrada datos'!C26</f>
        <v>0</v>
      </c>
      <c r="B29" s="74">
        <f>'Entrada datos'!D26</f>
        <v>0</v>
      </c>
      <c r="C29" s="75">
        <f>'Entrada datos'!G26</f>
        <v>0</v>
      </c>
      <c r="D29" s="75">
        <f>'Entrada datos'!H26</f>
        <v>0</v>
      </c>
      <c r="E29" s="74">
        <f t="shared" si="1"/>
        <v>0</v>
      </c>
      <c r="F29" s="68" t="str">
        <f t="shared" si="2"/>
        <v>no procede</v>
      </c>
      <c r="G29" s="74">
        <f>'Entrada datos'!P26</f>
        <v>0</v>
      </c>
      <c r="H29" s="74">
        <f>'Entrada datos'!Q26</f>
        <v>0</v>
      </c>
      <c r="I29" s="74">
        <f>'Entrada datos'!R26</f>
        <v>0</v>
      </c>
      <c r="J29" s="74">
        <f>'Entrada datos'!S26</f>
        <v>0</v>
      </c>
      <c r="K29" s="74">
        <f>'Entrada datos'!T26</f>
        <v>0</v>
      </c>
      <c r="L29" s="74">
        <f>'Entrada datos'!U26</f>
        <v>0</v>
      </c>
      <c r="M29" s="76"/>
      <c r="N29" s="76"/>
      <c r="O29" s="76"/>
      <c r="P29" s="76"/>
      <c r="Q29" s="76"/>
      <c r="R29" s="76"/>
      <c r="S29" s="77" t="s">
        <v>74</v>
      </c>
      <c r="T29" s="77"/>
      <c r="U29" s="77"/>
      <c r="V29" s="77">
        <f t="shared" si="3"/>
        <v>0</v>
      </c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7"/>
      <c r="BE29" s="77"/>
      <c r="BF29" s="77"/>
      <c r="BG29" s="77"/>
      <c r="BH29" s="77"/>
      <c r="BI29" s="77"/>
      <c r="BJ29" s="77"/>
      <c r="BK29" s="77"/>
      <c r="BL29" s="77"/>
      <c r="BM29" s="77"/>
      <c r="BN29" s="77"/>
      <c r="BO29" s="77"/>
      <c r="BP29" s="77"/>
      <c r="BQ29" s="77"/>
      <c r="BR29" s="77"/>
      <c r="BS29" s="77"/>
      <c r="BT29" s="77"/>
      <c r="BU29" s="77"/>
      <c r="BV29" s="77"/>
      <c r="BW29" s="77"/>
      <c r="BX29" s="77"/>
      <c r="BY29" s="77"/>
      <c r="BZ29" s="77"/>
      <c r="CA29" s="77"/>
      <c r="CB29" s="77"/>
      <c r="CC29" s="77"/>
      <c r="CD29" s="77"/>
      <c r="CE29" s="77"/>
      <c r="CF29" s="77"/>
      <c r="CG29" s="77"/>
      <c r="CH29" s="77"/>
      <c r="CI29" s="77"/>
      <c r="CJ29" s="77"/>
      <c r="CK29" s="77"/>
      <c r="CL29" s="77"/>
      <c r="CM29" s="77"/>
      <c r="CN29" s="77"/>
      <c r="CO29" s="77"/>
      <c r="CP29" s="77"/>
      <c r="CQ29" s="77"/>
      <c r="CR29" s="77"/>
      <c r="CS29" s="77"/>
      <c r="CT29" s="77"/>
      <c r="CU29" s="77"/>
      <c r="CV29" s="77"/>
      <c r="CW29" s="77"/>
      <c r="CX29" s="77"/>
      <c r="CY29" s="77"/>
      <c r="CZ29" s="77"/>
      <c r="DA29" s="77"/>
      <c r="DB29" s="77"/>
      <c r="DC29" s="77"/>
      <c r="DD29" s="77"/>
      <c r="DE29" s="77"/>
      <c r="DF29" s="77"/>
      <c r="DG29" s="77"/>
      <c r="DH29" s="77"/>
      <c r="DI29" s="77"/>
      <c r="DJ29" s="77"/>
      <c r="DK29" s="77"/>
      <c r="DL29" s="77"/>
      <c r="DM29" s="77"/>
      <c r="DN29" s="77"/>
      <c r="DO29" s="77"/>
      <c r="DP29" s="77"/>
      <c r="DQ29" s="77"/>
      <c r="DR29" s="77"/>
      <c r="DS29" s="77"/>
      <c r="DT29" s="77"/>
      <c r="DU29" s="77"/>
      <c r="DV29" s="77"/>
      <c r="DW29" s="77"/>
      <c r="DX29" s="77"/>
      <c r="DY29" s="77"/>
      <c r="DZ29" s="77"/>
      <c r="EA29" s="77"/>
      <c r="EB29" s="77"/>
      <c r="EC29" s="77"/>
      <c r="ED29" s="77"/>
      <c r="EE29" s="77"/>
      <c r="EF29" s="77"/>
      <c r="EG29" s="77"/>
      <c r="EH29" s="77"/>
      <c r="EI29" s="77"/>
      <c r="EJ29" s="77"/>
      <c r="EK29" s="77"/>
      <c r="EL29" s="77"/>
      <c r="EM29" s="77"/>
      <c r="EN29" s="77"/>
      <c r="EO29" s="77"/>
      <c r="EP29" s="77"/>
      <c r="EQ29" s="77"/>
      <c r="ER29" s="77"/>
      <c r="ES29" s="77"/>
      <c r="ET29" s="77"/>
      <c r="EU29" s="77"/>
      <c r="EV29" s="77"/>
      <c r="EW29" s="77"/>
      <c r="EX29" s="77"/>
      <c r="EY29" s="77"/>
      <c r="EZ29" s="77"/>
      <c r="FA29" s="77"/>
      <c r="FB29" s="77"/>
      <c r="FC29" s="77"/>
      <c r="FD29" s="77"/>
      <c r="FE29" s="77"/>
      <c r="FF29" s="77"/>
      <c r="FG29" s="77"/>
      <c r="FH29" s="77"/>
      <c r="FI29" s="77"/>
      <c r="FJ29" s="77"/>
      <c r="FK29" s="77"/>
      <c r="FL29" s="77"/>
      <c r="FM29" s="77"/>
      <c r="FN29" s="77"/>
      <c r="FO29" s="77"/>
      <c r="FP29" s="77"/>
      <c r="FQ29" s="77"/>
      <c r="FR29" s="77"/>
      <c r="FS29" s="77"/>
      <c r="FT29" s="77"/>
      <c r="FU29" s="77"/>
      <c r="FV29" s="77"/>
      <c r="FW29" s="77"/>
      <c r="FX29" s="77"/>
      <c r="FY29" s="77"/>
      <c r="FZ29" s="77"/>
      <c r="GA29" s="77"/>
      <c r="GB29" s="77"/>
      <c r="GC29" s="77"/>
      <c r="GD29" s="77"/>
      <c r="GE29" s="77"/>
      <c r="GF29" s="77"/>
      <c r="GG29" s="77"/>
      <c r="GH29" s="77"/>
      <c r="GI29" s="77"/>
      <c r="GJ29" s="77"/>
      <c r="GK29" s="77"/>
      <c r="GL29" s="77"/>
      <c r="GM29" s="77"/>
      <c r="GN29" s="77"/>
      <c r="GO29" s="77"/>
      <c r="GP29" s="77"/>
      <c r="GQ29" s="77"/>
      <c r="GR29" s="77"/>
      <c r="GS29" s="77"/>
      <c r="GT29" s="77"/>
      <c r="GU29" s="77"/>
      <c r="GV29" s="77"/>
      <c r="GW29" s="77"/>
      <c r="GX29" s="77"/>
      <c r="GY29" s="77"/>
      <c r="GZ29" s="77"/>
      <c r="HA29" s="77"/>
      <c r="HB29" s="77"/>
      <c r="HC29" s="77"/>
      <c r="HD29" s="77"/>
      <c r="HE29" s="77"/>
      <c r="HF29" s="77"/>
      <c r="HG29" s="77"/>
      <c r="HH29" s="77"/>
      <c r="HI29" s="77"/>
      <c r="HJ29" s="77"/>
      <c r="HK29" s="77"/>
      <c r="HL29" s="77"/>
      <c r="HM29" s="77"/>
      <c r="HN29" s="77"/>
      <c r="HO29" s="77"/>
      <c r="HP29" s="77"/>
      <c r="HQ29" s="77"/>
    </row>
    <row r="30" spans="1:225" x14ac:dyDescent="0.3">
      <c r="A30" s="78">
        <f>'Entrada datos'!C27</f>
        <v>0</v>
      </c>
      <c r="B30" s="74">
        <f>'Entrada datos'!D27</f>
        <v>0</v>
      </c>
      <c r="C30" s="75">
        <f>'Entrada datos'!G27</f>
        <v>0</v>
      </c>
      <c r="D30" s="75">
        <f>'Entrada datos'!H27</f>
        <v>0</v>
      </c>
      <c r="E30" s="74">
        <f t="shared" si="1"/>
        <v>0</v>
      </c>
      <c r="F30" s="68" t="str">
        <f t="shared" si="2"/>
        <v>no procede</v>
      </c>
      <c r="G30" s="74">
        <f>'Entrada datos'!P27</f>
        <v>0</v>
      </c>
      <c r="H30" s="74">
        <f>'Entrada datos'!Q27</f>
        <v>0</v>
      </c>
      <c r="I30" s="74">
        <f>'Entrada datos'!R27</f>
        <v>0</v>
      </c>
      <c r="J30" s="74">
        <f>'Entrada datos'!S27</f>
        <v>0</v>
      </c>
      <c r="K30" s="74">
        <f>'Entrada datos'!T27</f>
        <v>0</v>
      </c>
      <c r="L30" s="74">
        <f>'Entrada datos'!U27</f>
        <v>0</v>
      </c>
      <c r="M30" s="76"/>
      <c r="N30" s="76"/>
      <c r="O30" s="76"/>
      <c r="P30" s="76"/>
      <c r="Q30" s="76"/>
      <c r="R30" s="76"/>
      <c r="S30" s="77" t="s">
        <v>74</v>
      </c>
      <c r="T30" s="77"/>
      <c r="U30" s="77"/>
      <c r="V30" s="77">
        <f t="shared" si="3"/>
        <v>0</v>
      </c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7"/>
      <c r="BE30" s="77"/>
      <c r="BF30" s="77"/>
      <c r="BG30" s="77"/>
      <c r="BH30" s="77"/>
      <c r="BI30" s="77"/>
      <c r="BJ30" s="77"/>
      <c r="BK30" s="77"/>
      <c r="BL30" s="77"/>
      <c r="BM30" s="77"/>
      <c r="BN30" s="77"/>
      <c r="BO30" s="77"/>
      <c r="BP30" s="77"/>
      <c r="BQ30" s="77"/>
      <c r="BR30" s="77"/>
      <c r="BS30" s="77"/>
      <c r="BT30" s="77"/>
      <c r="BU30" s="77"/>
      <c r="BV30" s="77"/>
      <c r="BW30" s="77"/>
      <c r="BX30" s="77"/>
      <c r="BY30" s="77"/>
      <c r="BZ30" s="77"/>
      <c r="CA30" s="77"/>
      <c r="CB30" s="77"/>
      <c r="CC30" s="77"/>
      <c r="CD30" s="77"/>
      <c r="CE30" s="77"/>
      <c r="CF30" s="77"/>
      <c r="CG30" s="77"/>
      <c r="CH30" s="77"/>
      <c r="CI30" s="77"/>
      <c r="CJ30" s="77"/>
      <c r="CK30" s="77"/>
      <c r="CL30" s="77"/>
      <c r="CM30" s="77"/>
      <c r="CN30" s="77"/>
      <c r="CO30" s="77"/>
      <c r="CP30" s="77"/>
      <c r="CQ30" s="77"/>
      <c r="CR30" s="77"/>
      <c r="CS30" s="77"/>
      <c r="CT30" s="77"/>
      <c r="CU30" s="77"/>
      <c r="CV30" s="77"/>
      <c r="CW30" s="77"/>
      <c r="CX30" s="77"/>
      <c r="CY30" s="77"/>
      <c r="CZ30" s="77"/>
      <c r="DA30" s="77"/>
      <c r="DB30" s="77"/>
      <c r="DC30" s="77"/>
      <c r="DD30" s="77"/>
      <c r="DE30" s="77"/>
      <c r="DF30" s="77"/>
      <c r="DG30" s="77"/>
      <c r="DH30" s="77"/>
      <c r="DI30" s="77"/>
      <c r="DJ30" s="77"/>
      <c r="DK30" s="77"/>
      <c r="DL30" s="77"/>
      <c r="DM30" s="77"/>
      <c r="DN30" s="77"/>
      <c r="DO30" s="77"/>
      <c r="DP30" s="77"/>
      <c r="DQ30" s="77"/>
      <c r="DR30" s="77"/>
      <c r="DS30" s="77"/>
      <c r="DT30" s="77"/>
      <c r="DU30" s="77"/>
      <c r="DV30" s="77"/>
      <c r="DW30" s="77"/>
      <c r="DX30" s="77"/>
      <c r="DY30" s="77"/>
      <c r="DZ30" s="77"/>
      <c r="EA30" s="77"/>
      <c r="EB30" s="77"/>
      <c r="EC30" s="77"/>
      <c r="ED30" s="77"/>
      <c r="EE30" s="77"/>
      <c r="EF30" s="77"/>
      <c r="EG30" s="77"/>
      <c r="EH30" s="77"/>
      <c r="EI30" s="77"/>
      <c r="EJ30" s="77"/>
      <c r="EK30" s="77"/>
      <c r="EL30" s="77"/>
      <c r="EM30" s="77"/>
      <c r="EN30" s="77"/>
      <c r="EO30" s="77"/>
      <c r="EP30" s="77"/>
      <c r="EQ30" s="77"/>
      <c r="ER30" s="77"/>
      <c r="ES30" s="77"/>
      <c r="ET30" s="77"/>
      <c r="EU30" s="77"/>
      <c r="EV30" s="77"/>
      <c r="EW30" s="77"/>
      <c r="EX30" s="77"/>
      <c r="EY30" s="77"/>
      <c r="EZ30" s="77"/>
      <c r="FA30" s="77"/>
      <c r="FB30" s="77"/>
      <c r="FC30" s="77"/>
      <c r="FD30" s="77"/>
      <c r="FE30" s="77"/>
      <c r="FF30" s="77"/>
      <c r="FG30" s="77"/>
      <c r="FH30" s="77"/>
      <c r="FI30" s="77"/>
      <c r="FJ30" s="77"/>
      <c r="FK30" s="77"/>
      <c r="FL30" s="77"/>
      <c r="FM30" s="77"/>
      <c r="FN30" s="77"/>
      <c r="FO30" s="77"/>
      <c r="FP30" s="77"/>
      <c r="FQ30" s="77"/>
      <c r="FR30" s="77"/>
      <c r="FS30" s="77"/>
      <c r="FT30" s="77"/>
      <c r="FU30" s="77"/>
      <c r="FV30" s="77"/>
      <c r="FW30" s="77"/>
      <c r="FX30" s="77"/>
      <c r="FY30" s="77"/>
      <c r="FZ30" s="77"/>
      <c r="GA30" s="77"/>
      <c r="GB30" s="77"/>
      <c r="GC30" s="77"/>
      <c r="GD30" s="77"/>
      <c r="GE30" s="77"/>
      <c r="GF30" s="77"/>
      <c r="GG30" s="77"/>
      <c r="GH30" s="77"/>
      <c r="GI30" s="77"/>
      <c r="GJ30" s="77"/>
      <c r="GK30" s="77"/>
      <c r="GL30" s="77"/>
      <c r="GM30" s="77"/>
      <c r="GN30" s="77"/>
      <c r="GO30" s="77"/>
      <c r="GP30" s="77"/>
      <c r="GQ30" s="77"/>
      <c r="GR30" s="77"/>
      <c r="GS30" s="77"/>
      <c r="GT30" s="77"/>
      <c r="GU30" s="77"/>
      <c r="GV30" s="77"/>
      <c r="GW30" s="77"/>
      <c r="GX30" s="77"/>
      <c r="GY30" s="77"/>
      <c r="GZ30" s="77"/>
      <c r="HA30" s="77"/>
      <c r="HB30" s="77"/>
      <c r="HC30" s="77"/>
      <c r="HD30" s="77"/>
      <c r="HE30" s="77"/>
      <c r="HF30" s="77"/>
      <c r="HG30" s="77"/>
      <c r="HH30" s="77"/>
      <c r="HI30" s="77"/>
      <c r="HJ30" s="77"/>
      <c r="HK30" s="77"/>
      <c r="HL30" s="77"/>
      <c r="HM30" s="77"/>
      <c r="HN30" s="77"/>
      <c r="HO30" s="77"/>
      <c r="HP30" s="77"/>
      <c r="HQ30" s="77"/>
    </row>
    <row r="31" spans="1:225" x14ac:dyDescent="0.3">
      <c r="A31" s="78">
        <f>'Entrada datos'!C28</f>
        <v>0</v>
      </c>
      <c r="B31" s="74">
        <f>'Entrada datos'!D28</f>
        <v>0</v>
      </c>
      <c r="C31" s="75">
        <f>'Entrada datos'!G28</f>
        <v>0</v>
      </c>
      <c r="D31" s="75">
        <f>'Entrada datos'!H28</f>
        <v>0</v>
      </c>
      <c r="E31" s="74">
        <f t="shared" si="1"/>
        <v>0</v>
      </c>
      <c r="F31" s="68" t="str">
        <f t="shared" si="2"/>
        <v>no procede</v>
      </c>
      <c r="G31" s="74">
        <f>'Entrada datos'!P28</f>
        <v>0</v>
      </c>
      <c r="H31" s="74">
        <f>'Entrada datos'!Q28</f>
        <v>0</v>
      </c>
      <c r="I31" s="74">
        <f>'Entrada datos'!R28</f>
        <v>0</v>
      </c>
      <c r="J31" s="74">
        <f>'Entrada datos'!S28</f>
        <v>0</v>
      </c>
      <c r="K31" s="74">
        <f>'Entrada datos'!T28</f>
        <v>0</v>
      </c>
      <c r="L31" s="74">
        <f>'Entrada datos'!U28</f>
        <v>0</v>
      </c>
      <c r="M31" s="76"/>
      <c r="N31" s="76"/>
      <c r="O31" s="76"/>
      <c r="P31" s="76"/>
      <c r="Q31" s="76"/>
      <c r="R31" s="76"/>
      <c r="S31" s="77" t="s">
        <v>74</v>
      </c>
      <c r="T31" s="77"/>
      <c r="U31" s="77"/>
      <c r="V31" s="77">
        <f t="shared" si="3"/>
        <v>0</v>
      </c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  <c r="AW31" s="77"/>
      <c r="AX31" s="77"/>
      <c r="AY31" s="77"/>
      <c r="AZ31" s="77"/>
      <c r="BA31" s="77"/>
      <c r="BB31" s="77"/>
      <c r="BC31" s="77"/>
      <c r="BD31" s="77"/>
      <c r="BE31" s="77"/>
      <c r="BF31" s="77"/>
      <c r="BG31" s="77"/>
      <c r="BH31" s="77"/>
      <c r="BI31" s="77"/>
      <c r="BJ31" s="77"/>
      <c r="BK31" s="77"/>
      <c r="BL31" s="77"/>
      <c r="BM31" s="77"/>
      <c r="BN31" s="77"/>
      <c r="BO31" s="77"/>
      <c r="BP31" s="77"/>
      <c r="BQ31" s="77"/>
      <c r="BR31" s="77"/>
      <c r="BS31" s="77"/>
      <c r="BT31" s="77"/>
      <c r="BU31" s="77"/>
      <c r="BV31" s="77"/>
      <c r="BW31" s="77"/>
      <c r="BX31" s="77"/>
      <c r="BY31" s="77"/>
      <c r="BZ31" s="77"/>
      <c r="CA31" s="77"/>
      <c r="CB31" s="77"/>
      <c r="CC31" s="77"/>
      <c r="CD31" s="77"/>
      <c r="CE31" s="77"/>
      <c r="CF31" s="77"/>
      <c r="CG31" s="77"/>
      <c r="CH31" s="77"/>
      <c r="CI31" s="77"/>
      <c r="CJ31" s="77"/>
      <c r="CK31" s="77"/>
      <c r="CL31" s="77"/>
      <c r="CM31" s="77"/>
      <c r="CN31" s="77"/>
      <c r="CO31" s="77"/>
      <c r="CP31" s="77"/>
      <c r="CQ31" s="77"/>
      <c r="CR31" s="77"/>
      <c r="CS31" s="77"/>
      <c r="CT31" s="77"/>
      <c r="CU31" s="77"/>
      <c r="CV31" s="77"/>
      <c r="CW31" s="77"/>
      <c r="CX31" s="77"/>
      <c r="CY31" s="77"/>
      <c r="CZ31" s="77"/>
      <c r="DA31" s="77"/>
      <c r="DB31" s="77"/>
      <c r="DC31" s="77"/>
      <c r="DD31" s="77"/>
      <c r="DE31" s="77"/>
      <c r="DF31" s="77"/>
      <c r="DG31" s="77"/>
      <c r="DH31" s="77"/>
      <c r="DI31" s="77"/>
      <c r="DJ31" s="77"/>
      <c r="DK31" s="77"/>
      <c r="DL31" s="77"/>
      <c r="DM31" s="77"/>
      <c r="DN31" s="77"/>
      <c r="DO31" s="77"/>
      <c r="DP31" s="77"/>
      <c r="DQ31" s="77"/>
      <c r="DR31" s="77"/>
      <c r="DS31" s="77"/>
      <c r="DT31" s="77"/>
      <c r="DU31" s="77"/>
      <c r="DV31" s="77"/>
      <c r="DW31" s="77"/>
      <c r="DX31" s="77"/>
      <c r="DY31" s="77"/>
      <c r="DZ31" s="77"/>
      <c r="EA31" s="77"/>
      <c r="EB31" s="77"/>
      <c r="EC31" s="77"/>
      <c r="ED31" s="77"/>
      <c r="EE31" s="77"/>
      <c r="EF31" s="77"/>
      <c r="EG31" s="77"/>
      <c r="EH31" s="77"/>
      <c r="EI31" s="77"/>
      <c r="EJ31" s="77"/>
      <c r="EK31" s="77"/>
      <c r="EL31" s="77"/>
      <c r="EM31" s="77"/>
      <c r="EN31" s="77"/>
      <c r="EO31" s="77"/>
      <c r="EP31" s="77"/>
      <c r="EQ31" s="77"/>
      <c r="ER31" s="77"/>
      <c r="ES31" s="77"/>
      <c r="ET31" s="77"/>
      <c r="EU31" s="77"/>
      <c r="EV31" s="77"/>
      <c r="EW31" s="77"/>
      <c r="EX31" s="77"/>
      <c r="EY31" s="77"/>
      <c r="EZ31" s="77"/>
      <c r="FA31" s="77"/>
      <c r="FB31" s="77"/>
      <c r="FC31" s="77"/>
      <c r="FD31" s="77"/>
      <c r="FE31" s="77"/>
      <c r="FF31" s="77"/>
      <c r="FG31" s="77"/>
      <c r="FH31" s="77"/>
      <c r="FI31" s="77"/>
      <c r="FJ31" s="77"/>
      <c r="FK31" s="77"/>
      <c r="FL31" s="77"/>
      <c r="FM31" s="77"/>
      <c r="FN31" s="77"/>
      <c r="FO31" s="77"/>
      <c r="FP31" s="77"/>
      <c r="FQ31" s="77"/>
      <c r="FR31" s="77"/>
      <c r="FS31" s="77"/>
      <c r="FT31" s="77"/>
      <c r="FU31" s="77"/>
      <c r="FV31" s="77"/>
      <c r="FW31" s="77"/>
      <c r="FX31" s="77"/>
      <c r="FY31" s="77"/>
      <c r="FZ31" s="77"/>
      <c r="GA31" s="77"/>
      <c r="GB31" s="77"/>
      <c r="GC31" s="77"/>
      <c r="GD31" s="77"/>
      <c r="GE31" s="77"/>
      <c r="GF31" s="77"/>
      <c r="GG31" s="77"/>
      <c r="GH31" s="77"/>
      <c r="GI31" s="77"/>
      <c r="GJ31" s="77"/>
      <c r="GK31" s="77"/>
      <c r="GL31" s="77"/>
      <c r="GM31" s="77"/>
      <c r="GN31" s="77"/>
      <c r="GO31" s="77"/>
      <c r="GP31" s="77"/>
      <c r="GQ31" s="77"/>
      <c r="GR31" s="77"/>
      <c r="GS31" s="77"/>
      <c r="GT31" s="77"/>
      <c r="GU31" s="77"/>
      <c r="GV31" s="77"/>
      <c r="GW31" s="77"/>
      <c r="GX31" s="77"/>
      <c r="GY31" s="77"/>
      <c r="GZ31" s="77"/>
      <c r="HA31" s="77"/>
      <c r="HB31" s="77"/>
      <c r="HC31" s="77"/>
      <c r="HD31" s="77"/>
      <c r="HE31" s="77"/>
      <c r="HF31" s="77"/>
      <c r="HG31" s="77"/>
      <c r="HH31" s="77"/>
      <c r="HI31" s="77"/>
      <c r="HJ31" s="77"/>
      <c r="HK31" s="77"/>
      <c r="HL31" s="77"/>
      <c r="HM31" s="77"/>
      <c r="HN31" s="77"/>
      <c r="HO31" s="77"/>
      <c r="HP31" s="77"/>
      <c r="HQ31" s="77"/>
    </row>
    <row r="32" spans="1:225" x14ac:dyDescent="0.3">
      <c r="A32" s="78">
        <f>'Entrada datos'!C29</f>
        <v>0</v>
      </c>
      <c r="B32" s="74">
        <f>'Entrada datos'!D29</f>
        <v>0</v>
      </c>
      <c r="C32" s="75">
        <f>'Entrada datos'!G29</f>
        <v>0</v>
      </c>
      <c r="D32" s="75">
        <f>'Entrada datos'!H29</f>
        <v>0</v>
      </c>
      <c r="E32" s="74">
        <f t="shared" si="1"/>
        <v>0</v>
      </c>
      <c r="F32" s="68" t="str">
        <f t="shared" si="2"/>
        <v>no procede</v>
      </c>
      <c r="G32" s="74">
        <f>'Entrada datos'!P29</f>
        <v>0</v>
      </c>
      <c r="H32" s="74">
        <f>'Entrada datos'!Q29</f>
        <v>0</v>
      </c>
      <c r="I32" s="74">
        <f>'Entrada datos'!R29</f>
        <v>0</v>
      </c>
      <c r="J32" s="74">
        <f>'Entrada datos'!S29</f>
        <v>0</v>
      </c>
      <c r="K32" s="74">
        <f>'Entrada datos'!T29</f>
        <v>0</v>
      </c>
      <c r="L32" s="74">
        <f>'Entrada datos'!U29</f>
        <v>0</v>
      </c>
      <c r="M32" s="76"/>
      <c r="N32" s="76"/>
      <c r="O32" s="76"/>
      <c r="P32" s="76"/>
      <c r="Q32" s="76"/>
      <c r="R32" s="76"/>
      <c r="S32" s="77" t="s">
        <v>74</v>
      </c>
      <c r="T32" s="77"/>
      <c r="U32" s="77"/>
      <c r="V32" s="77">
        <f t="shared" si="3"/>
        <v>0</v>
      </c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/>
      <c r="BX32" s="77"/>
      <c r="BY32" s="77"/>
      <c r="BZ32" s="77"/>
      <c r="CA32" s="77"/>
      <c r="CB32" s="77"/>
      <c r="CC32" s="77"/>
      <c r="CD32" s="77"/>
      <c r="CE32" s="77"/>
      <c r="CF32" s="77"/>
      <c r="CG32" s="77"/>
      <c r="CH32" s="77"/>
      <c r="CI32" s="77"/>
      <c r="CJ32" s="77"/>
      <c r="CK32" s="77"/>
      <c r="CL32" s="77"/>
      <c r="CM32" s="77"/>
      <c r="CN32" s="77"/>
      <c r="CO32" s="77"/>
      <c r="CP32" s="77"/>
      <c r="CQ32" s="77"/>
      <c r="CR32" s="77"/>
      <c r="CS32" s="77"/>
      <c r="CT32" s="77"/>
      <c r="CU32" s="77"/>
      <c r="CV32" s="77"/>
      <c r="CW32" s="77"/>
      <c r="CX32" s="77"/>
      <c r="CY32" s="77"/>
      <c r="CZ32" s="77"/>
      <c r="DA32" s="77"/>
      <c r="DB32" s="77"/>
      <c r="DC32" s="77"/>
      <c r="DD32" s="77"/>
      <c r="DE32" s="77"/>
      <c r="DF32" s="77"/>
      <c r="DG32" s="77"/>
      <c r="DH32" s="77"/>
      <c r="DI32" s="77"/>
      <c r="DJ32" s="77"/>
      <c r="DK32" s="77"/>
      <c r="DL32" s="77"/>
      <c r="DM32" s="77"/>
      <c r="DN32" s="77"/>
      <c r="DO32" s="77"/>
      <c r="DP32" s="77"/>
      <c r="DQ32" s="77"/>
      <c r="DR32" s="77"/>
      <c r="DS32" s="77"/>
      <c r="DT32" s="77"/>
      <c r="DU32" s="77"/>
      <c r="DV32" s="77"/>
      <c r="DW32" s="77"/>
      <c r="DX32" s="77"/>
      <c r="DY32" s="77"/>
      <c r="DZ32" s="77"/>
      <c r="EA32" s="77"/>
      <c r="EB32" s="77"/>
      <c r="EC32" s="77"/>
      <c r="ED32" s="77"/>
      <c r="EE32" s="77"/>
      <c r="EF32" s="77"/>
      <c r="EG32" s="77"/>
      <c r="EH32" s="77"/>
      <c r="EI32" s="77"/>
      <c r="EJ32" s="77"/>
      <c r="EK32" s="77"/>
      <c r="EL32" s="77"/>
      <c r="EM32" s="77"/>
      <c r="EN32" s="77"/>
      <c r="EO32" s="77"/>
      <c r="EP32" s="77"/>
      <c r="EQ32" s="77"/>
      <c r="ER32" s="77"/>
      <c r="ES32" s="77"/>
      <c r="ET32" s="77"/>
      <c r="EU32" s="77"/>
      <c r="EV32" s="77"/>
      <c r="EW32" s="77"/>
      <c r="EX32" s="77"/>
      <c r="EY32" s="77"/>
      <c r="EZ32" s="77"/>
      <c r="FA32" s="77"/>
      <c r="FB32" s="77"/>
      <c r="FC32" s="77"/>
      <c r="FD32" s="77"/>
      <c r="FE32" s="77"/>
      <c r="FF32" s="77"/>
      <c r="FG32" s="77"/>
      <c r="FH32" s="77"/>
      <c r="FI32" s="77"/>
      <c r="FJ32" s="77"/>
      <c r="FK32" s="77"/>
      <c r="FL32" s="77"/>
      <c r="FM32" s="77"/>
      <c r="FN32" s="77"/>
      <c r="FO32" s="77"/>
      <c r="FP32" s="77"/>
      <c r="FQ32" s="77"/>
      <c r="FR32" s="77"/>
      <c r="FS32" s="77"/>
      <c r="FT32" s="77"/>
      <c r="FU32" s="77"/>
      <c r="FV32" s="77"/>
      <c r="FW32" s="77"/>
      <c r="FX32" s="77"/>
      <c r="FY32" s="77"/>
      <c r="FZ32" s="77"/>
      <c r="GA32" s="77"/>
      <c r="GB32" s="77"/>
      <c r="GC32" s="77"/>
      <c r="GD32" s="77"/>
      <c r="GE32" s="77"/>
      <c r="GF32" s="77"/>
      <c r="GG32" s="77"/>
      <c r="GH32" s="77"/>
      <c r="GI32" s="77"/>
      <c r="GJ32" s="77"/>
      <c r="GK32" s="77"/>
      <c r="GL32" s="77"/>
      <c r="GM32" s="77"/>
      <c r="GN32" s="77"/>
      <c r="GO32" s="77"/>
      <c r="GP32" s="77"/>
      <c r="GQ32" s="77"/>
      <c r="GR32" s="77"/>
      <c r="GS32" s="77"/>
      <c r="GT32" s="77"/>
      <c r="GU32" s="77"/>
      <c r="GV32" s="77"/>
      <c r="GW32" s="77"/>
      <c r="GX32" s="77"/>
      <c r="GY32" s="77"/>
      <c r="GZ32" s="77"/>
      <c r="HA32" s="77"/>
      <c r="HB32" s="77"/>
      <c r="HC32" s="77"/>
      <c r="HD32" s="77"/>
      <c r="HE32" s="77"/>
      <c r="HF32" s="77"/>
      <c r="HG32" s="77"/>
      <c r="HH32" s="77"/>
      <c r="HI32" s="77"/>
      <c r="HJ32" s="77"/>
      <c r="HK32" s="77"/>
      <c r="HL32" s="77"/>
      <c r="HM32" s="77"/>
      <c r="HN32" s="77"/>
      <c r="HO32" s="77"/>
      <c r="HP32" s="77"/>
      <c r="HQ32" s="77"/>
    </row>
    <row r="33" spans="1:225" x14ac:dyDescent="0.3">
      <c r="A33" s="78">
        <f>'Entrada datos'!C30</f>
        <v>0</v>
      </c>
      <c r="B33" s="74">
        <f>'Entrada datos'!D30</f>
        <v>0</v>
      </c>
      <c r="C33" s="75">
        <f>'Entrada datos'!G30</f>
        <v>0</v>
      </c>
      <c r="D33" s="75">
        <f>'Entrada datos'!H30</f>
        <v>0</v>
      </c>
      <c r="E33" s="74">
        <f t="shared" si="1"/>
        <v>0</v>
      </c>
      <c r="F33" s="68" t="str">
        <f t="shared" si="2"/>
        <v>no procede</v>
      </c>
      <c r="G33" s="74">
        <f>'Entrada datos'!P30</f>
        <v>0</v>
      </c>
      <c r="H33" s="74">
        <f>'Entrada datos'!Q30</f>
        <v>0</v>
      </c>
      <c r="I33" s="74">
        <f>'Entrada datos'!R30</f>
        <v>0</v>
      </c>
      <c r="J33" s="74">
        <f>'Entrada datos'!S30</f>
        <v>0</v>
      </c>
      <c r="K33" s="74">
        <f>'Entrada datos'!T30</f>
        <v>0</v>
      </c>
      <c r="L33" s="74">
        <f>'Entrada datos'!U30</f>
        <v>0</v>
      </c>
      <c r="M33" s="76"/>
      <c r="N33" s="76"/>
      <c r="O33" s="76"/>
      <c r="P33" s="76"/>
      <c r="Q33" s="76"/>
      <c r="R33" s="76"/>
      <c r="S33" s="77" t="s">
        <v>74</v>
      </c>
      <c r="T33" s="77"/>
      <c r="U33" s="77"/>
      <c r="V33" s="77">
        <f t="shared" si="3"/>
        <v>0</v>
      </c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7"/>
      <c r="BE33" s="77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77"/>
      <c r="BS33" s="77"/>
      <c r="BT33" s="77"/>
      <c r="BU33" s="77"/>
      <c r="BV33" s="77"/>
      <c r="BW33" s="77"/>
      <c r="BX33" s="77"/>
      <c r="BY33" s="77"/>
      <c r="BZ33" s="77"/>
      <c r="CA33" s="77"/>
      <c r="CB33" s="77"/>
      <c r="CC33" s="77"/>
      <c r="CD33" s="77"/>
      <c r="CE33" s="77"/>
      <c r="CF33" s="77"/>
      <c r="CG33" s="77"/>
      <c r="CH33" s="77"/>
      <c r="CI33" s="77"/>
      <c r="CJ33" s="77"/>
      <c r="CK33" s="77"/>
      <c r="CL33" s="77"/>
      <c r="CM33" s="77"/>
      <c r="CN33" s="77"/>
      <c r="CO33" s="77"/>
      <c r="CP33" s="77"/>
      <c r="CQ33" s="77"/>
      <c r="CR33" s="77"/>
      <c r="CS33" s="77"/>
      <c r="CT33" s="77"/>
      <c r="CU33" s="77"/>
      <c r="CV33" s="77"/>
      <c r="CW33" s="77"/>
      <c r="CX33" s="77"/>
      <c r="CY33" s="77"/>
      <c r="CZ33" s="77"/>
      <c r="DA33" s="77"/>
      <c r="DB33" s="77"/>
      <c r="DC33" s="77"/>
      <c r="DD33" s="77"/>
      <c r="DE33" s="77"/>
      <c r="DF33" s="77"/>
      <c r="DG33" s="77"/>
      <c r="DH33" s="77"/>
      <c r="DI33" s="77"/>
      <c r="DJ33" s="77"/>
      <c r="DK33" s="77"/>
      <c r="DL33" s="77"/>
      <c r="DM33" s="77"/>
      <c r="DN33" s="77"/>
      <c r="DO33" s="77"/>
      <c r="DP33" s="77"/>
      <c r="DQ33" s="77"/>
      <c r="DR33" s="77"/>
      <c r="DS33" s="77"/>
      <c r="DT33" s="77"/>
      <c r="DU33" s="77"/>
      <c r="DV33" s="77"/>
      <c r="DW33" s="77"/>
      <c r="DX33" s="77"/>
      <c r="DY33" s="77"/>
      <c r="DZ33" s="77"/>
      <c r="EA33" s="77"/>
      <c r="EB33" s="77"/>
      <c r="EC33" s="77"/>
      <c r="ED33" s="77"/>
      <c r="EE33" s="77"/>
      <c r="EF33" s="77"/>
      <c r="EG33" s="77"/>
      <c r="EH33" s="77"/>
      <c r="EI33" s="77"/>
      <c r="EJ33" s="77"/>
      <c r="EK33" s="77"/>
      <c r="EL33" s="77"/>
      <c r="EM33" s="77"/>
      <c r="EN33" s="77"/>
      <c r="EO33" s="77"/>
      <c r="EP33" s="77"/>
      <c r="EQ33" s="77"/>
      <c r="ER33" s="77"/>
      <c r="ES33" s="77"/>
      <c r="ET33" s="77"/>
      <c r="EU33" s="77"/>
      <c r="EV33" s="77"/>
      <c r="EW33" s="77"/>
      <c r="EX33" s="77"/>
      <c r="EY33" s="77"/>
      <c r="EZ33" s="77"/>
      <c r="FA33" s="77"/>
      <c r="FB33" s="77"/>
      <c r="FC33" s="77"/>
      <c r="FD33" s="77"/>
      <c r="FE33" s="77"/>
      <c r="FF33" s="77"/>
      <c r="FG33" s="77"/>
      <c r="FH33" s="77"/>
      <c r="FI33" s="77"/>
      <c r="FJ33" s="77"/>
      <c r="FK33" s="77"/>
      <c r="FL33" s="77"/>
      <c r="FM33" s="77"/>
      <c r="FN33" s="77"/>
      <c r="FO33" s="77"/>
      <c r="FP33" s="77"/>
      <c r="FQ33" s="77"/>
      <c r="FR33" s="77"/>
      <c r="FS33" s="77"/>
      <c r="FT33" s="77"/>
      <c r="FU33" s="77"/>
      <c r="FV33" s="77"/>
      <c r="FW33" s="77"/>
      <c r="FX33" s="77"/>
      <c r="FY33" s="77"/>
      <c r="FZ33" s="77"/>
      <c r="GA33" s="77"/>
      <c r="GB33" s="77"/>
      <c r="GC33" s="77"/>
      <c r="GD33" s="77"/>
      <c r="GE33" s="77"/>
      <c r="GF33" s="77"/>
      <c r="GG33" s="77"/>
      <c r="GH33" s="77"/>
      <c r="GI33" s="77"/>
      <c r="GJ33" s="77"/>
      <c r="GK33" s="77"/>
      <c r="GL33" s="77"/>
      <c r="GM33" s="77"/>
      <c r="GN33" s="77"/>
      <c r="GO33" s="77"/>
      <c r="GP33" s="77"/>
      <c r="GQ33" s="77"/>
      <c r="GR33" s="77"/>
      <c r="GS33" s="77"/>
      <c r="GT33" s="77"/>
      <c r="GU33" s="77"/>
      <c r="GV33" s="77"/>
      <c r="GW33" s="77"/>
      <c r="GX33" s="77"/>
      <c r="GY33" s="77"/>
      <c r="GZ33" s="77"/>
      <c r="HA33" s="77"/>
      <c r="HB33" s="77"/>
      <c r="HC33" s="77"/>
      <c r="HD33" s="77"/>
      <c r="HE33" s="77"/>
      <c r="HF33" s="77"/>
      <c r="HG33" s="77"/>
      <c r="HH33" s="77"/>
      <c r="HI33" s="77"/>
      <c r="HJ33" s="77"/>
      <c r="HK33" s="77"/>
      <c r="HL33" s="77"/>
      <c r="HM33" s="77"/>
      <c r="HN33" s="77"/>
      <c r="HO33" s="77"/>
      <c r="HP33" s="77"/>
      <c r="HQ33" s="77"/>
    </row>
    <row r="34" spans="1:225" x14ac:dyDescent="0.3">
      <c r="A34" s="78">
        <f>'Entrada datos'!C31</f>
        <v>0</v>
      </c>
      <c r="B34" s="74">
        <f>'Entrada datos'!D31</f>
        <v>0</v>
      </c>
      <c r="C34" s="75">
        <f>'Entrada datos'!G31</f>
        <v>0</v>
      </c>
      <c r="D34" s="75">
        <f>'Entrada datos'!H31</f>
        <v>0</v>
      </c>
      <c r="E34" s="74">
        <f t="shared" si="1"/>
        <v>0</v>
      </c>
      <c r="F34" s="68" t="str">
        <f t="shared" si="2"/>
        <v>no procede</v>
      </c>
      <c r="G34" s="74">
        <f>'Entrada datos'!P31</f>
        <v>0</v>
      </c>
      <c r="H34" s="74">
        <f>'Entrada datos'!Q31</f>
        <v>0</v>
      </c>
      <c r="I34" s="74">
        <f>'Entrada datos'!R31</f>
        <v>0</v>
      </c>
      <c r="J34" s="74">
        <f>'Entrada datos'!S31</f>
        <v>0</v>
      </c>
      <c r="K34" s="74">
        <f>'Entrada datos'!T31</f>
        <v>0</v>
      </c>
      <c r="L34" s="74">
        <f>'Entrada datos'!U31</f>
        <v>0</v>
      </c>
      <c r="M34" s="76"/>
      <c r="N34" s="76"/>
      <c r="O34" s="76"/>
      <c r="P34" s="76"/>
      <c r="Q34" s="76"/>
      <c r="R34" s="76"/>
      <c r="S34" s="77" t="s">
        <v>74</v>
      </c>
      <c r="T34" s="77"/>
      <c r="U34" s="77"/>
      <c r="V34" s="77">
        <f t="shared" si="3"/>
        <v>0</v>
      </c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77"/>
      <c r="AY34" s="77"/>
      <c r="AZ34" s="77"/>
      <c r="BA34" s="77"/>
      <c r="BB34" s="77"/>
      <c r="BC34" s="77"/>
      <c r="BD34" s="77"/>
      <c r="BE34" s="77"/>
      <c r="BF34" s="77"/>
      <c r="BG34" s="77"/>
      <c r="BH34" s="77"/>
      <c r="BI34" s="77"/>
      <c r="BJ34" s="77"/>
      <c r="BK34" s="77"/>
      <c r="BL34" s="77"/>
      <c r="BM34" s="77"/>
      <c r="BN34" s="77"/>
      <c r="BO34" s="77"/>
      <c r="BP34" s="77"/>
      <c r="BQ34" s="77"/>
      <c r="BR34" s="77"/>
      <c r="BS34" s="77"/>
      <c r="BT34" s="77"/>
      <c r="BU34" s="77"/>
      <c r="BV34" s="77"/>
      <c r="BW34" s="77"/>
      <c r="BX34" s="77"/>
      <c r="BY34" s="77"/>
      <c r="BZ34" s="77"/>
      <c r="CA34" s="77"/>
      <c r="CB34" s="77"/>
      <c r="CC34" s="77"/>
      <c r="CD34" s="77"/>
      <c r="CE34" s="77"/>
      <c r="CF34" s="77"/>
      <c r="CG34" s="77"/>
      <c r="CH34" s="77"/>
      <c r="CI34" s="77"/>
      <c r="CJ34" s="77"/>
      <c r="CK34" s="77"/>
      <c r="CL34" s="77"/>
      <c r="CM34" s="77"/>
      <c r="CN34" s="77"/>
      <c r="CO34" s="77"/>
      <c r="CP34" s="77"/>
      <c r="CQ34" s="77"/>
      <c r="CR34" s="77"/>
      <c r="CS34" s="77"/>
      <c r="CT34" s="77"/>
      <c r="CU34" s="77"/>
      <c r="CV34" s="77"/>
      <c r="CW34" s="77"/>
      <c r="CX34" s="77"/>
      <c r="CY34" s="77"/>
      <c r="CZ34" s="77"/>
      <c r="DA34" s="77"/>
      <c r="DB34" s="77"/>
      <c r="DC34" s="77"/>
      <c r="DD34" s="77"/>
      <c r="DE34" s="77"/>
      <c r="DF34" s="77"/>
      <c r="DG34" s="77"/>
      <c r="DH34" s="77"/>
      <c r="DI34" s="77"/>
      <c r="DJ34" s="77"/>
      <c r="DK34" s="77"/>
      <c r="DL34" s="77"/>
      <c r="DM34" s="77"/>
      <c r="DN34" s="77"/>
      <c r="DO34" s="77"/>
      <c r="DP34" s="77"/>
      <c r="DQ34" s="77"/>
      <c r="DR34" s="77"/>
      <c r="DS34" s="77"/>
      <c r="DT34" s="77"/>
      <c r="DU34" s="77"/>
      <c r="DV34" s="77"/>
      <c r="DW34" s="77"/>
      <c r="DX34" s="77"/>
      <c r="DY34" s="77"/>
      <c r="DZ34" s="77"/>
      <c r="EA34" s="77"/>
      <c r="EB34" s="77"/>
      <c r="EC34" s="77"/>
      <c r="ED34" s="77"/>
      <c r="EE34" s="77"/>
      <c r="EF34" s="77"/>
      <c r="EG34" s="77"/>
      <c r="EH34" s="77"/>
      <c r="EI34" s="77"/>
      <c r="EJ34" s="77"/>
      <c r="EK34" s="77"/>
      <c r="EL34" s="77"/>
      <c r="EM34" s="77"/>
      <c r="EN34" s="77"/>
      <c r="EO34" s="77"/>
      <c r="EP34" s="77"/>
      <c r="EQ34" s="77"/>
      <c r="ER34" s="77"/>
      <c r="ES34" s="77"/>
      <c r="ET34" s="77"/>
      <c r="EU34" s="77"/>
      <c r="EV34" s="77"/>
      <c r="EW34" s="77"/>
      <c r="EX34" s="77"/>
      <c r="EY34" s="77"/>
      <c r="EZ34" s="77"/>
      <c r="FA34" s="77"/>
      <c r="FB34" s="77"/>
      <c r="FC34" s="77"/>
      <c r="FD34" s="77"/>
      <c r="FE34" s="77"/>
      <c r="FF34" s="77"/>
      <c r="FG34" s="77"/>
      <c r="FH34" s="77"/>
      <c r="FI34" s="77"/>
      <c r="FJ34" s="77"/>
      <c r="FK34" s="77"/>
      <c r="FL34" s="77"/>
      <c r="FM34" s="77"/>
      <c r="FN34" s="77"/>
      <c r="FO34" s="77"/>
      <c r="FP34" s="77"/>
      <c r="FQ34" s="77"/>
      <c r="FR34" s="77"/>
      <c r="FS34" s="77"/>
      <c r="FT34" s="77"/>
      <c r="FU34" s="77"/>
      <c r="FV34" s="77"/>
      <c r="FW34" s="77"/>
      <c r="FX34" s="77"/>
      <c r="FY34" s="77"/>
      <c r="FZ34" s="77"/>
      <c r="GA34" s="77"/>
      <c r="GB34" s="77"/>
      <c r="GC34" s="77"/>
      <c r="GD34" s="77"/>
      <c r="GE34" s="77"/>
      <c r="GF34" s="77"/>
      <c r="GG34" s="77"/>
      <c r="GH34" s="77"/>
      <c r="GI34" s="77"/>
      <c r="GJ34" s="77"/>
      <c r="GK34" s="77"/>
      <c r="GL34" s="77"/>
      <c r="GM34" s="77"/>
      <c r="GN34" s="77"/>
      <c r="GO34" s="77"/>
      <c r="GP34" s="77"/>
      <c r="GQ34" s="77"/>
      <c r="GR34" s="77"/>
      <c r="GS34" s="77"/>
      <c r="GT34" s="77"/>
      <c r="GU34" s="77"/>
      <c r="GV34" s="77"/>
      <c r="GW34" s="77"/>
      <c r="GX34" s="77"/>
      <c r="GY34" s="77"/>
      <c r="GZ34" s="77"/>
      <c r="HA34" s="77"/>
      <c r="HB34" s="77"/>
      <c r="HC34" s="77"/>
      <c r="HD34" s="77"/>
      <c r="HE34" s="77"/>
      <c r="HF34" s="77"/>
      <c r="HG34" s="77"/>
      <c r="HH34" s="77"/>
      <c r="HI34" s="77"/>
      <c r="HJ34" s="77"/>
      <c r="HK34" s="77"/>
      <c r="HL34" s="77"/>
      <c r="HM34" s="77"/>
      <c r="HN34" s="77"/>
      <c r="HO34" s="77"/>
      <c r="HP34" s="77"/>
      <c r="HQ34" s="77"/>
    </row>
    <row r="35" spans="1:225" x14ac:dyDescent="0.3">
      <c r="A35" s="78">
        <f>'Entrada datos'!C32</f>
        <v>0</v>
      </c>
      <c r="B35" s="74">
        <f>'Entrada datos'!D32</f>
        <v>0</v>
      </c>
      <c r="C35" s="75">
        <f>'Entrada datos'!G32</f>
        <v>0</v>
      </c>
      <c r="D35" s="75">
        <f>'Entrada datos'!H32</f>
        <v>0</v>
      </c>
      <c r="E35" s="74">
        <f t="shared" si="1"/>
        <v>0</v>
      </c>
      <c r="F35" s="68" t="str">
        <f t="shared" si="2"/>
        <v>no procede</v>
      </c>
      <c r="G35" s="74">
        <f>'Entrada datos'!P32</f>
        <v>0</v>
      </c>
      <c r="H35" s="74">
        <f>'Entrada datos'!Q32</f>
        <v>0</v>
      </c>
      <c r="I35" s="74">
        <f>'Entrada datos'!R32</f>
        <v>0</v>
      </c>
      <c r="J35" s="74">
        <f>'Entrada datos'!S32</f>
        <v>0</v>
      </c>
      <c r="K35" s="74">
        <f>'Entrada datos'!T32</f>
        <v>0</v>
      </c>
      <c r="L35" s="74">
        <f>'Entrada datos'!U32</f>
        <v>0</v>
      </c>
      <c r="M35" s="76"/>
      <c r="N35" s="76"/>
      <c r="O35" s="76"/>
      <c r="P35" s="76"/>
      <c r="Q35" s="76"/>
      <c r="R35" s="76"/>
      <c r="S35" s="77" t="s">
        <v>74</v>
      </c>
      <c r="T35" s="77"/>
      <c r="U35" s="77"/>
      <c r="V35" s="77">
        <f t="shared" si="3"/>
        <v>0</v>
      </c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  <c r="AW35" s="77"/>
      <c r="AX35" s="77"/>
      <c r="AY35" s="77"/>
      <c r="AZ35" s="77"/>
      <c r="BA35" s="77"/>
      <c r="BB35" s="77"/>
      <c r="BC35" s="77"/>
      <c r="BD35" s="77"/>
      <c r="BE35" s="77"/>
      <c r="BF35" s="77"/>
      <c r="BG35" s="77"/>
      <c r="BH35" s="77"/>
      <c r="BI35" s="77"/>
      <c r="BJ35" s="77"/>
      <c r="BK35" s="77"/>
      <c r="BL35" s="77"/>
      <c r="BM35" s="77"/>
      <c r="BN35" s="77"/>
      <c r="BO35" s="77"/>
      <c r="BP35" s="77"/>
      <c r="BQ35" s="77"/>
      <c r="BR35" s="77"/>
      <c r="BS35" s="77"/>
      <c r="BT35" s="77"/>
      <c r="BU35" s="77"/>
      <c r="BV35" s="77"/>
      <c r="BW35" s="77"/>
      <c r="BX35" s="77"/>
      <c r="BY35" s="77"/>
      <c r="BZ35" s="77"/>
      <c r="CA35" s="77"/>
      <c r="CB35" s="77"/>
      <c r="CC35" s="77"/>
      <c r="CD35" s="77"/>
      <c r="CE35" s="77"/>
      <c r="CF35" s="77"/>
      <c r="CG35" s="77"/>
      <c r="CH35" s="77"/>
      <c r="CI35" s="77"/>
      <c r="CJ35" s="77"/>
      <c r="CK35" s="77"/>
      <c r="CL35" s="77"/>
      <c r="CM35" s="77"/>
      <c r="CN35" s="77"/>
      <c r="CO35" s="77"/>
      <c r="CP35" s="77"/>
      <c r="CQ35" s="77"/>
      <c r="CR35" s="77"/>
      <c r="CS35" s="77"/>
      <c r="CT35" s="77"/>
      <c r="CU35" s="77"/>
      <c r="CV35" s="77"/>
      <c r="CW35" s="77"/>
      <c r="CX35" s="77"/>
      <c r="CY35" s="77"/>
      <c r="CZ35" s="77"/>
      <c r="DA35" s="77"/>
      <c r="DB35" s="77"/>
      <c r="DC35" s="77"/>
      <c r="DD35" s="77"/>
      <c r="DE35" s="77"/>
      <c r="DF35" s="77"/>
      <c r="DG35" s="77"/>
      <c r="DH35" s="77"/>
      <c r="DI35" s="77"/>
      <c r="DJ35" s="77"/>
      <c r="DK35" s="77"/>
      <c r="DL35" s="77"/>
      <c r="DM35" s="77"/>
      <c r="DN35" s="77"/>
      <c r="DO35" s="77"/>
      <c r="DP35" s="77"/>
      <c r="DQ35" s="77"/>
      <c r="DR35" s="77"/>
      <c r="DS35" s="77"/>
      <c r="DT35" s="77"/>
      <c r="DU35" s="77"/>
      <c r="DV35" s="77"/>
      <c r="DW35" s="77"/>
      <c r="DX35" s="77"/>
      <c r="DY35" s="77"/>
      <c r="DZ35" s="77"/>
      <c r="EA35" s="77"/>
      <c r="EB35" s="77"/>
      <c r="EC35" s="77"/>
      <c r="ED35" s="77"/>
      <c r="EE35" s="77"/>
      <c r="EF35" s="77"/>
      <c r="EG35" s="77"/>
      <c r="EH35" s="77"/>
      <c r="EI35" s="77"/>
      <c r="EJ35" s="77"/>
      <c r="EK35" s="77"/>
      <c r="EL35" s="77"/>
      <c r="EM35" s="77"/>
      <c r="EN35" s="77"/>
      <c r="EO35" s="77"/>
      <c r="EP35" s="77"/>
      <c r="EQ35" s="77"/>
      <c r="ER35" s="77"/>
      <c r="ES35" s="77"/>
      <c r="ET35" s="77"/>
      <c r="EU35" s="77"/>
      <c r="EV35" s="77"/>
      <c r="EW35" s="77"/>
      <c r="EX35" s="77"/>
      <c r="EY35" s="77"/>
      <c r="EZ35" s="77"/>
      <c r="FA35" s="77"/>
      <c r="FB35" s="77"/>
      <c r="FC35" s="77"/>
      <c r="FD35" s="77"/>
      <c r="FE35" s="77"/>
      <c r="FF35" s="77"/>
      <c r="FG35" s="77"/>
      <c r="FH35" s="77"/>
      <c r="FI35" s="77"/>
      <c r="FJ35" s="77"/>
      <c r="FK35" s="77"/>
      <c r="FL35" s="77"/>
      <c r="FM35" s="77"/>
      <c r="FN35" s="77"/>
      <c r="FO35" s="77"/>
      <c r="FP35" s="77"/>
      <c r="FQ35" s="77"/>
      <c r="FR35" s="77"/>
      <c r="FS35" s="77"/>
      <c r="FT35" s="77"/>
      <c r="FU35" s="77"/>
      <c r="FV35" s="77"/>
      <c r="FW35" s="77"/>
      <c r="FX35" s="77"/>
      <c r="FY35" s="77"/>
      <c r="FZ35" s="77"/>
      <c r="GA35" s="77"/>
      <c r="GB35" s="77"/>
      <c r="GC35" s="77"/>
      <c r="GD35" s="77"/>
      <c r="GE35" s="77"/>
      <c r="GF35" s="77"/>
      <c r="GG35" s="77"/>
      <c r="GH35" s="77"/>
      <c r="GI35" s="77"/>
      <c r="GJ35" s="77"/>
      <c r="GK35" s="77"/>
      <c r="GL35" s="77"/>
      <c r="GM35" s="77"/>
      <c r="GN35" s="77"/>
      <c r="GO35" s="77"/>
      <c r="GP35" s="77"/>
      <c r="GQ35" s="77"/>
      <c r="GR35" s="77"/>
      <c r="GS35" s="77"/>
      <c r="GT35" s="77"/>
      <c r="GU35" s="77"/>
      <c r="GV35" s="77"/>
      <c r="GW35" s="77"/>
      <c r="GX35" s="77"/>
      <c r="GY35" s="77"/>
      <c r="GZ35" s="77"/>
      <c r="HA35" s="77"/>
      <c r="HB35" s="77"/>
      <c r="HC35" s="77"/>
      <c r="HD35" s="77"/>
      <c r="HE35" s="77"/>
      <c r="HF35" s="77"/>
      <c r="HG35" s="77"/>
      <c r="HH35" s="77"/>
      <c r="HI35" s="77"/>
      <c r="HJ35" s="77"/>
      <c r="HK35" s="77"/>
      <c r="HL35" s="77"/>
      <c r="HM35" s="77"/>
      <c r="HN35" s="77"/>
      <c r="HO35" s="77"/>
      <c r="HP35" s="77"/>
      <c r="HQ35" s="77"/>
    </row>
    <row r="36" spans="1:225" x14ac:dyDescent="0.3">
      <c r="A36" s="78">
        <f>'Entrada datos'!C33</f>
        <v>0</v>
      </c>
      <c r="B36" s="74">
        <f>'Entrada datos'!D33</f>
        <v>0</v>
      </c>
      <c r="C36" s="75">
        <f>'Entrada datos'!G33</f>
        <v>0</v>
      </c>
      <c r="D36" s="75">
        <f>'Entrada datos'!H33</f>
        <v>0</v>
      </c>
      <c r="E36" s="74">
        <f t="shared" si="1"/>
        <v>0</v>
      </c>
      <c r="F36" s="68" t="str">
        <f t="shared" si="2"/>
        <v>no procede</v>
      </c>
      <c r="G36" s="74">
        <f>'Entrada datos'!P33</f>
        <v>0</v>
      </c>
      <c r="H36" s="74">
        <f>'Entrada datos'!Q33</f>
        <v>0</v>
      </c>
      <c r="I36" s="74">
        <f>'Entrada datos'!R33</f>
        <v>0</v>
      </c>
      <c r="J36" s="74">
        <f>'Entrada datos'!S33</f>
        <v>0</v>
      </c>
      <c r="K36" s="74">
        <f>'Entrada datos'!T33</f>
        <v>0</v>
      </c>
      <c r="L36" s="74">
        <f>'Entrada datos'!U33</f>
        <v>0</v>
      </c>
      <c r="M36" s="76"/>
      <c r="N36" s="76"/>
      <c r="O36" s="76"/>
      <c r="P36" s="76"/>
      <c r="Q36" s="76"/>
      <c r="R36" s="76"/>
      <c r="S36" s="77" t="s">
        <v>74</v>
      </c>
      <c r="T36" s="77"/>
      <c r="U36" s="77"/>
      <c r="V36" s="77">
        <f t="shared" si="3"/>
        <v>0</v>
      </c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  <c r="AW36" s="77"/>
      <c r="AX36" s="77"/>
      <c r="AY36" s="77"/>
      <c r="AZ36" s="77"/>
      <c r="BA36" s="77"/>
      <c r="BB36" s="77"/>
      <c r="BC36" s="77"/>
      <c r="BD36" s="77"/>
      <c r="BE36" s="77"/>
      <c r="BF36" s="77"/>
      <c r="BG36" s="77"/>
      <c r="BH36" s="77"/>
      <c r="BI36" s="77"/>
      <c r="BJ36" s="77"/>
      <c r="BK36" s="77"/>
      <c r="BL36" s="77"/>
      <c r="BM36" s="77"/>
      <c r="BN36" s="77"/>
      <c r="BO36" s="77"/>
      <c r="BP36" s="77"/>
      <c r="BQ36" s="77"/>
      <c r="BR36" s="77"/>
      <c r="BS36" s="77"/>
      <c r="BT36" s="77"/>
      <c r="BU36" s="77"/>
      <c r="BV36" s="77"/>
      <c r="BW36" s="77"/>
      <c r="BX36" s="77"/>
      <c r="BY36" s="77"/>
      <c r="BZ36" s="77"/>
      <c r="CA36" s="77"/>
      <c r="CB36" s="77"/>
      <c r="CC36" s="77"/>
      <c r="CD36" s="77"/>
      <c r="CE36" s="77"/>
      <c r="CF36" s="77"/>
      <c r="CG36" s="77"/>
      <c r="CH36" s="77"/>
      <c r="CI36" s="77"/>
      <c r="CJ36" s="77"/>
      <c r="CK36" s="77"/>
      <c r="CL36" s="77"/>
      <c r="CM36" s="77"/>
      <c r="CN36" s="77"/>
      <c r="CO36" s="77"/>
      <c r="CP36" s="77"/>
      <c r="CQ36" s="77"/>
      <c r="CR36" s="77"/>
      <c r="CS36" s="77"/>
      <c r="CT36" s="77"/>
      <c r="CU36" s="77"/>
      <c r="CV36" s="77"/>
      <c r="CW36" s="77"/>
      <c r="CX36" s="77"/>
      <c r="CY36" s="77"/>
      <c r="CZ36" s="77"/>
      <c r="DA36" s="77"/>
      <c r="DB36" s="77"/>
      <c r="DC36" s="77"/>
      <c r="DD36" s="77"/>
      <c r="DE36" s="77"/>
      <c r="DF36" s="77"/>
      <c r="DG36" s="77"/>
      <c r="DH36" s="77"/>
      <c r="DI36" s="77"/>
      <c r="DJ36" s="77"/>
      <c r="DK36" s="77"/>
      <c r="DL36" s="77"/>
      <c r="DM36" s="77"/>
      <c r="DN36" s="77"/>
      <c r="DO36" s="77"/>
      <c r="DP36" s="77"/>
      <c r="DQ36" s="77"/>
      <c r="DR36" s="77"/>
      <c r="DS36" s="77"/>
      <c r="DT36" s="77"/>
      <c r="DU36" s="77"/>
      <c r="DV36" s="77"/>
      <c r="DW36" s="77"/>
      <c r="DX36" s="77"/>
      <c r="DY36" s="77"/>
      <c r="DZ36" s="77"/>
      <c r="EA36" s="77"/>
      <c r="EB36" s="77"/>
      <c r="EC36" s="77"/>
      <c r="ED36" s="77"/>
      <c r="EE36" s="77"/>
      <c r="EF36" s="77"/>
      <c r="EG36" s="77"/>
      <c r="EH36" s="77"/>
      <c r="EI36" s="77"/>
      <c r="EJ36" s="77"/>
      <c r="EK36" s="77"/>
      <c r="EL36" s="77"/>
      <c r="EM36" s="77"/>
      <c r="EN36" s="77"/>
      <c r="EO36" s="77"/>
      <c r="EP36" s="77"/>
      <c r="EQ36" s="77"/>
      <c r="ER36" s="77"/>
      <c r="ES36" s="77"/>
      <c r="ET36" s="77"/>
      <c r="EU36" s="77"/>
      <c r="EV36" s="77"/>
      <c r="EW36" s="77"/>
      <c r="EX36" s="77"/>
      <c r="EY36" s="77"/>
      <c r="EZ36" s="77"/>
      <c r="FA36" s="77"/>
      <c r="FB36" s="77"/>
      <c r="FC36" s="77"/>
      <c r="FD36" s="77"/>
      <c r="FE36" s="77"/>
      <c r="FF36" s="77"/>
      <c r="FG36" s="77"/>
      <c r="FH36" s="77"/>
      <c r="FI36" s="77"/>
      <c r="FJ36" s="77"/>
      <c r="FK36" s="77"/>
      <c r="FL36" s="77"/>
      <c r="FM36" s="77"/>
      <c r="FN36" s="77"/>
      <c r="FO36" s="77"/>
      <c r="FP36" s="77"/>
      <c r="FQ36" s="77"/>
      <c r="FR36" s="77"/>
      <c r="FS36" s="77"/>
      <c r="FT36" s="77"/>
      <c r="FU36" s="77"/>
      <c r="FV36" s="77"/>
      <c r="FW36" s="77"/>
      <c r="FX36" s="77"/>
      <c r="FY36" s="77"/>
      <c r="FZ36" s="77"/>
      <c r="GA36" s="77"/>
      <c r="GB36" s="77"/>
      <c r="GC36" s="77"/>
      <c r="GD36" s="77"/>
      <c r="GE36" s="77"/>
      <c r="GF36" s="77"/>
      <c r="GG36" s="77"/>
      <c r="GH36" s="77"/>
      <c r="GI36" s="77"/>
      <c r="GJ36" s="77"/>
      <c r="GK36" s="77"/>
      <c r="GL36" s="77"/>
      <c r="GM36" s="77"/>
      <c r="GN36" s="77"/>
      <c r="GO36" s="77"/>
      <c r="GP36" s="77"/>
      <c r="GQ36" s="77"/>
      <c r="GR36" s="77"/>
      <c r="GS36" s="77"/>
      <c r="GT36" s="77"/>
      <c r="GU36" s="77"/>
      <c r="GV36" s="77"/>
      <c r="GW36" s="77"/>
      <c r="GX36" s="77"/>
      <c r="GY36" s="77"/>
      <c r="GZ36" s="77"/>
      <c r="HA36" s="77"/>
      <c r="HB36" s="77"/>
      <c r="HC36" s="77"/>
      <c r="HD36" s="77"/>
      <c r="HE36" s="77"/>
      <c r="HF36" s="77"/>
      <c r="HG36" s="77"/>
      <c r="HH36" s="77"/>
      <c r="HI36" s="77"/>
      <c r="HJ36" s="77"/>
      <c r="HK36" s="77"/>
      <c r="HL36" s="77"/>
      <c r="HM36" s="77"/>
      <c r="HN36" s="77"/>
      <c r="HO36" s="77"/>
      <c r="HP36" s="77"/>
      <c r="HQ36" s="77"/>
    </row>
    <row r="37" spans="1:225" x14ac:dyDescent="0.3">
      <c r="A37" s="78">
        <f>'Entrada datos'!C34</f>
        <v>0</v>
      </c>
      <c r="B37" s="74">
        <f>'Entrada datos'!D34</f>
        <v>0</v>
      </c>
      <c r="C37" s="75">
        <f>'Entrada datos'!G34</f>
        <v>0</v>
      </c>
      <c r="D37" s="75">
        <f>'Entrada datos'!H34</f>
        <v>0</v>
      </c>
      <c r="E37" s="74">
        <f t="shared" si="1"/>
        <v>0</v>
      </c>
      <c r="F37" s="68" t="str">
        <f t="shared" si="2"/>
        <v>no procede</v>
      </c>
      <c r="G37" s="74">
        <f>'Entrada datos'!P34</f>
        <v>0</v>
      </c>
      <c r="H37" s="74">
        <f>'Entrada datos'!Q34</f>
        <v>0</v>
      </c>
      <c r="I37" s="74">
        <f>'Entrada datos'!R34</f>
        <v>0</v>
      </c>
      <c r="J37" s="74">
        <f>'Entrada datos'!S34</f>
        <v>0</v>
      </c>
      <c r="K37" s="74">
        <f>'Entrada datos'!T34</f>
        <v>0</v>
      </c>
      <c r="L37" s="74">
        <f>'Entrada datos'!U34</f>
        <v>0</v>
      </c>
      <c r="M37" s="76"/>
      <c r="N37" s="76"/>
      <c r="O37" s="76"/>
      <c r="P37" s="76"/>
      <c r="Q37" s="76"/>
      <c r="R37" s="76"/>
      <c r="S37" s="77" t="s">
        <v>74</v>
      </c>
      <c r="T37" s="77"/>
      <c r="U37" s="77"/>
      <c r="V37" s="77">
        <f t="shared" si="3"/>
        <v>0</v>
      </c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  <c r="AW37" s="77"/>
      <c r="AX37" s="77"/>
      <c r="AY37" s="77"/>
      <c r="AZ37" s="77"/>
      <c r="BA37" s="77"/>
      <c r="BB37" s="77"/>
      <c r="BC37" s="77"/>
      <c r="BD37" s="77"/>
      <c r="BE37" s="77"/>
      <c r="BF37" s="77"/>
      <c r="BG37" s="77"/>
      <c r="BH37" s="77"/>
      <c r="BI37" s="77"/>
      <c r="BJ37" s="77"/>
      <c r="BK37" s="77"/>
      <c r="BL37" s="77"/>
      <c r="BM37" s="77"/>
      <c r="BN37" s="77"/>
      <c r="BO37" s="77"/>
      <c r="BP37" s="77"/>
      <c r="BQ37" s="77"/>
      <c r="BR37" s="77"/>
      <c r="BS37" s="77"/>
      <c r="BT37" s="77"/>
      <c r="BU37" s="77"/>
      <c r="BV37" s="77"/>
      <c r="BW37" s="77"/>
      <c r="BX37" s="77"/>
      <c r="BY37" s="77"/>
      <c r="BZ37" s="77"/>
      <c r="CA37" s="77"/>
      <c r="CB37" s="77"/>
      <c r="CC37" s="77"/>
      <c r="CD37" s="77"/>
      <c r="CE37" s="77"/>
      <c r="CF37" s="77"/>
      <c r="CG37" s="77"/>
      <c r="CH37" s="77"/>
      <c r="CI37" s="77"/>
      <c r="CJ37" s="77"/>
      <c r="CK37" s="77"/>
      <c r="CL37" s="77"/>
      <c r="CM37" s="77"/>
      <c r="CN37" s="77"/>
      <c r="CO37" s="77"/>
      <c r="CP37" s="77"/>
      <c r="CQ37" s="77"/>
      <c r="CR37" s="77"/>
      <c r="CS37" s="77"/>
      <c r="CT37" s="77"/>
      <c r="CU37" s="77"/>
      <c r="CV37" s="77"/>
      <c r="CW37" s="77"/>
      <c r="CX37" s="77"/>
      <c r="CY37" s="77"/>
      <c r="CZ37" s="77"/>
      <c r="DA37" s="77"/>
      <c r="DB37" s="77"/>
      <c r="DC37" s="77"/>
      <c r="DD37" s="77"/>
      <c r="DE37" s="77"/>
      <c r="DF37" s="77"/>
      <c r="DG37" s="77"/>
      <c r="DH37" s="77"/>
      <c r="DI37" s="77"/>
      <c r="DJ37" s="77"/>
      <c r="DK37" s="77"/>
      <c r="DL37" s="77"/>
      <c r="DM37" s="77"/>
      <c r="DN37" s="77"/>
      <c r="DO37" s="77"/>
      <c r="DP37" s="77"/>
      <c r="DQ37" s="77"/>
      <c r="DR37" s="77"/>
      <c r="DS37" s="77"/>
      <c r="DT37" s="77"/>
      <c r="DU37" s="77"/>
      <c r="DV37" s="77"/>
      <c r="DW37" s="77"/>
      <c r="DX37" s="77"/>
      <c r="DY37" s="77"/>
      <c r="DZ37" s="77"/>
      <c r="EA37" s="77"/>
      <c r="EB37" s="77"/>
      <c r="EC37" s="77"/>
      <c r="ED37" s="77"/>
      <c r="EE37" s="77"/>
      <c r="EF37" s="77"/>
      <c r="EG37" s="77"/>
      <c r="EH37" s="77"/>
      <c r="EI37" s="77"/>
      <c r="EJ37" s="77"/>
      <c r="EK37" s="77"/>
      <c r="EL37" s="77"/>
      <c r="EM37" s="77"/>
      <c r="EN37" s="77"/>
      <c r="EO37" s="77"/>
      <c r="EP37" s="77"/>
      <c r="EQ37" s="77"/>
      <c r="ER37" s="77"/>
      <c r="ES37" s="77"/>
      <c r="ET37" s="77"/>
      <c r="EU37" s="77"/>
      <c r="EV37" s="77"/>
      <c r="EW37" s="77"/>
      <c r="EX37" s="77"/>
      <c r="EY37" s="77"/>
      <c r="EZ37" s="77"/>
      <c r="FA37" s="77"/>
      <c r="FB37" s="77"/>
      <c r="FC37" s="77"/>
      <c r="FD37" s="77"/>
      <c r="FE37" s="77"/>
      <c r="FF37" s="77"/>
      <c r="FG37" s="77"/>
      <c r="FH37" s="77"/>
      <c r="FI37" s="77"/>
      <c r="FJ37" s="77"/>
      <c r="FK37" s="77"/>
      <c r="FL37" s="77"/>
      <c r="FM37" s="77"/>
      <c r="FN37" s="77"/>
      <c r="FO37" s="77"/>
      <c r="FP37" s="77"/>
      <c r="FQ37" s="77"/>
      <c r="FR37" s="77"/>
      <c r="FS37" s="77"/>
      <c r="FT37" s="77"/>
      <c r="FU37" s="77"/>
      <c r="FV37" s="77"/>
      <c r="FW37" s="77"/>
      <c r="FX37" s="77"/>
      <c r="FY37" s="77"/>
      <c r="FZ37" s="77"/>
      <c r="GA37" s="77"/>
      <c r="GB37" s="77"/>
      <c r="GC37" s="77"/>
      <c r="GD37" s="77"/>
      <c r="GE37" s="77"/>
      <c r="GF37" s="77"/>
      <c r="GG37" s="77"/>
      <c r="GH37" s="77"/>
      <c r="GI37" s="77"/>
      <c r="GJ37" s="77"/>
      <c r="GK37" s="77"/>
      <c r="GL37" s="77"/>
      <c r="GM37" s="77"/>
      <c r="GN37" s="77"/>
      <c r="GO37" s="77"/>
      <c r="GP37" s="77"/>
      <c r="GQ37" s="77"/>
      <c r="GR37" s="77"/>
      <c r="GS37" s="77"/>
      <c r="GT37" s="77"/>
      <c r="GU37" s="77"/>
      <c r="GV37" s="77"/>
      <c r="GW37" s="77"/>
      <c r="GX37" s="77"/>
      <c r="GY37" s="77"/>
      <c r="GZ37" s="77"/>
      <c r="HA37" s="77"/>
      <c r="HB37" s="77"/>
      <c r="HC37" s="77"/>
      <c r="HD37" s="77"/>
      <c r="HE37" s="77"/>
      <c r="HF37" s="77"/>
      <c r="HG37" s="77"/>
      <c r="HH37" s="77"/>
      <c r="HI37" s="77"/>
      <c r="HJ37" s="77"/>
      <c r="HK37" s="77"/>
      <c r="HL37" s="77"/>
      <c r="HM37" s="77"/>
      <c r="HN37" s="77"/>
      <c r="HO37" s="77"/>
      <c r="HP37" s="77"/>
      <c r="HQ37" s="77"/>
    </row>
    <row r="38" spans="1:225" x14ac:dyDescent="0.3">
      <c r="A38" s="78">
        <f>'Entrada datos'!C35</f>
        <v>0</v>
      </c>
      <c r="B38" s="74">
        <f>'Entrada datos'!D35</f>
        <v>0</v>
      </c>
      <c r="C38" s="75">
        <f>'Entrada datos'!G35</f>
        <v>0</v>
      </c>
      <c r="D38" s="75">
        <f>'Entrada datos'!H35</f>
        <v>0</v>
      </c>
      <c r="E38" s="74">
        <f t="shared" si="1"/>
        <v>0</v>
      </c>
      <c r="F38" s="68" t="str">
        <f t="shared" si="2"/>
        <v>no procede</v>
      </c>
      <c r="G38" s="74">
        <f>'Entrada datos'!P35</f>
        <v>0</v>
      </c>
      <c r="H38" s="74">
        <f>'Entrada datos'!Q35</f>
        <v>0</v>
      </c>
      <c r="I38" s="74">
        <f>'Entrada datos'!R35</f>
        <v>0</v>
      </c>
      <c r="J38" s="74">
        <f>'Entrada datos'!S35</f>
        <v>0</v>
      </c>
      <c r="K38" s="74">
        <f>'Entrada datos'!T35</f>
        <v>0</v>
      </c>
      <c r="L38" s="74">
        <f>'Entrada datos'!U35</f>
        <v>0</v>
      </c>
      <c r="M38" s="76"/>
      <c r="N38" s="76"/>
      <c r="O38" s="76"/>
      <c r="P38" s="76"/>
      <c r="Q38" s="76"/>
      <c r="R38" s="76"/>
      <c r="S38" s="77" t="s">
        <v>74</v>
      </c>
      <c r="T38" s="77"/>
      <c r="U38" s="77"/>
      <c r="V38" s="77">
        <f t="shared" si="3"/>
        <v>0</v>
      </c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  <c r="AW38" s="77"/>
      <c r="AX38" s="77"/>
      <c r="AY38" s="77"/>
      <c r="AZ38" s="77"/>
      <c r="BA38" s="77"/>
      <c r="BB38" s="77"/>
      <c r="BC38" s="77"/>
      <c r="BD38" s="77"/>
      <c r="BE38" s="77"/>
      <c r="BF38" s="77"/>
      <c r="BG38" s="77"/>
      <c r="BH38" s="77"/>
      <c r="BI38" s="77"/>
      <c r="BJ38" s="77"/>
      <c r="BK38" s="77"/>
      <c r="BL38" s="77"/>
      <c r="BM38" s="77"/>
      <c r="BN38" s="77"/>
      <c r="BO38" s="77"/>
      <c r="BP38" s="77"/>
      <c r="BQ38" s="77"/>
      <c r="BR38" s="77"/>
      <c r="BS38" s="77"/>
      <c r="BT38" s="77"/>
      <c r="BU38" s="77"/>
      <c r="BV38" s="77"/>
      <c r="BW38" s="77"/>
      <c r="BX38" s="77"/>
      <c r="BY38" s="77"/>
      <c r="BZ38" s="77"/>
      <c r="CA38" s="77"/>
      <c r="CB38" s="77"/>
      <c r="CC38" s="77"/>
      <c r="CD38" s="77"/>
      <c r="CE38" s="77"/>
      <c r="CF38" s="77"/>
      <c r="CG38" s="77"/>
      <c r="CH38" s="77"/>
      <c r="CI38" s="77"/>
      <c r="CJ38" s="77"/>
      <c r="CK38" s="77"/>
      <c r="CL38" s="77"/>
      <c r="CM38" s="77"/>
      <c r="CN38" s="77"/>
      <c r="CO38" s="77"/>
      <c r="CP38" s="77"/>
      <c r="CQ38" s="77"/>
      <c r="CR38" s="77"/>
      <c r="CS38" s="77"/>
      <c r="CT38" s="77"/>
      <c r="CU38" s="77"/>
      <c r="CV38" s="77"/>
      <c r="CW38" s="77"/>
      <c r="CX38" s="77"/>
      <c r="CY38" s="77"/>
      <c r="CZ38" s="77"/>
      <c r="DA38" s="77"/>
      <c r="DB38" s="77"/>
      <c r="DC38" s="77"/>
      <c r="DD38" s="77"/>
      <c r="DE38" s="77"/>
      <c r="DF38" s="77"/>
      <c r="DG38" s="77"/>
      <c r="DH38" s="77"/>
      <c r="DI38" s="77"/>
      <c r="DJ38" s="77"/>
      <c r="DK38" s="77"/>
      <c r="DL38" s="77"/>
      <c r="DM38" s="77"/>
      <c r="DN38" s="77"/>
      <c r="DO38" s="77"/>
      <c r="DP38" s="77"/>
      <c r="DQ38" s="77"/>
      <c r="DR38" s="77"/>
      <c r="DS38" s="77"/>
      <c r="DT38" s="77"/>
      <c r="DU38" s="77"/>
      <c r="DV38" s="77"/>
      <c r="DW38" s="77"/>
      <c r="DX38" s="77"/>
      <c r="DY38" s="77"/>
      <c r="DZ38" s="77"/>
      <c r="EA38" s="77"/>
      <c r="EB38" s="77"/>
      <c r="EC38" s="77"/>
      <c r="ED38" s="77"/>
      <c r="EE38" s="77"/>
      <c r="EF38" s="77"/>
      <c r="EG38" s="77"/>
      <c r="EH38" s="77"/>
      <c r="EI38" s="77"/>
      <c r="EJ38" s="77"/>
      <c r="EK38" s="77"/>
      <c r="EL38" s="77"/>
      <c r="EM38" s="77"/>
      <c r="EN38" s="77"/>
      <c r="EO38" s="77"/>
      <c r="EP38" s="77"/>
      <c r="EQ38" s="77"/>
      <c r="ER38" s="77"/>
      <c r="ES38" s="77"/>
      <c r="ET38" s="77"/>
      <c r="EU38" s="77"/>
      <c r="EV38" s="77"/>
      <c r="EW38" s="77"/>
      <c r="EX38" s="77"/>
      <c r="EY38" s="77"/>
      <c r="EZ38" s="77"/>
      <c r="FA38" s="77"/>
      <c r="FB38" s="77"/>
      <c r="FC38" s="77"/>
      <c r="FD38" s="77"/>
      <c r="FE38" s="77"/>
      <c r="FF38" s="77"/>
      <c r="FG38" s="77"/>
      <c r="FH38" s="77"/>
      <c r="FI38" s="77"/>
      <c r="FJ38" s="77"/>
      <c r="FK38" s="77"/>
      <c r="FL38" s="77"/>
      <c r="FM38" s="77"/>
      <c r="FN38" s="77"/>
      <c r="FO38" s="77"/>
      <c r="FP38" s="77"/>
      <c r="FQ38" s="77"/>
      <c r="FR38" s="77"/>
      <c r="FS38" s="77"/>
      <c r="FT38" s="77"/>
      <c r="FU38" s="77"/>
      <c r="FV38" s="77"/>
      <c r="FW38" s="77"/>
      <c r="FX38" s="77"/>
      <c r="FY38" s="77"/>
      <c r="FZ38" s="77"/>
      <c r="GA38" s="77"/>
      <c r="GB38" s="77"/>
      <c r="GC38" s="77"/>
      <c r="GD38" s="77"/>
      <c r="GE38" s="77"/>
      <c r="GF38" s="77"/>
      <c r="GG38" s="77"/>
      <c r="GH38" s="77"/>
      <c r="GI38" s="77"/>
      <c r="GJ38" s="77"/>
      <c r="GK38" s="77"/>
      <c r="GL38" s="77"/>
      <c r="GM38" s="77"/>
      <c r="GN38" s="77"/>
      <c r="GO38" s="77"/>
      <c r="GP38" s="77"/>
      <c r="GQ38" s="77"/>
      <c r="GR38" s="77"/>
      <c r="GS38" s="77"/>
      <c r="GT38" s="77"/>
      <c r="GU38" s="77"/>
      <c r="GV38" s="77"/>
      <c r="GW38" s="77"/>
      <c r="GX38" s="77"/>
      <c r="GY38" s="77"/>
      <c r="GZ38" s="77"/>
      <c r="HA38" s="77"/>
      <c r="HB38" s="77"/>
      <c r="HC38" s="77"/>
      <c r="HD38" s="77"/>
      <c r="HE38" s="77"/>
      <c r="HF38" s="77"/>
      <c r="HG38" s="77"/>
      <c r="HH38" s="77"/>
      <c r="HI38" s="77"/>
      <c r="HJ38" s="77"/>
      <c r="HK38" s="77"/>
      <c r="HL38" s="77"/>
      <c r="HM38" s="77"/>
      <c r="HN38" s="77"/>
      <c r="HO38" s="77"/>
      <c r="HP38" s="77"/>
      <c r="HQ38" s="77"/>
    </row>
    <row r="39" spans="1:225" x14ac:dyDescent="0.3">
      <c r="A39" s="78">
        <f>'Entrada datos'!C36</f>
        <v>0</v>
      </c>
      <c r="B39" s="74">
        <f>'Entrada datos'!D36</f>
        <v>0</v>
      </c>
      <c r="C39" s="75">
        <f>'Entrada datos'!G36</f>
        <v>0</v>
      </c>
      <c r="D39" s="75">
        <f>'Entrada datos'!H36</f>
        <v>0</v>
      </c>
      <c r="E39" s="74">
        <f t="shared" si="1"/>
        <v>0</v>
      </c>
      <c r="F39" s="68" t="str">
        <f t="shared" si="2"/>
        <v>no procede</v>
      </c>
      <c r="G39" s="74">
        <f>'Entrada datos'!P36</f>
        <v>0</v>
      </c>
      <c r="H39" s="74">
        <f>'Entrada datos'!Q36</f>
        <v>0</v>
      </c>
      <c r="I39" s="74">
        <f>'Entrada datos'!R36</f>
        <v>0</v>
      </c>
      <c r="J39" s="74">
        <f>'Entrada datos'!S36</f>
        <v>0</v>
      </c>
      <c r="K39" s="74">
        <f>'Entrada datos'!T36</f>
        <v>0</v>
      </c>
      <c r="L39" s="74">
        <f>'Entrada datos'!U36</f>
        <v>0</v>
      </c>
      <c r="M39" s="76"/>
      <c r="N39" s="76"/>
      <c r="O39" s="76"/>
      <c r="P39" s="76"/>
      <c r="Q39" s="76"/>
      <c r="R39" s="76"/>
      <c r="S39" s="77" t="s">
        <v>74</v>
      </c>
      <c r="T39" s="77"/>
      <c r="U39" s="77"/>
      <c r="V39" s="77">
        <f t="shared" si="3"/>
        <v>0</v>
      </c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  <c r="AW39" s="77"/>
      <c r="AX39" s="77"/>
      <c r="AY39" s="77"/>
      <c r="AZ39" s="77"/>
      <c r="BA39" s="77"/>
      <c r="BB39" s="77"/>
      <c r="BC39" s="77"/>
      <c r="BD39" s="77"/>
      <c r="BE39" s="77"/>
      <c r="BF39" s="77"/>
      <c r="BG39" s="77"/>
      <c r="BH39" s="77"/>
      <c r="BI39" s="77"/>
      <c r="BJ39" s="77"/>
      <c r="BK39" s="77"/>
      <c r="BL39" s="77"/>
      <c r="BM39" s="77"/>
      <c r="BN39" s="77"/>
      <c r="BO39" s="77"/>
      <c r="BP39" s="77"/>
      <c r="BQ39" s="77"/>
      <c r="BR39" s="77"/>
      <c r="BS39" s="77"/>
      <c r="BT39" s="77"/>
      <c r="BU39" s="77"/>
      <c r="BV39" s="77"/>
      <c r="BW39" s="77"/>
      <c r="BX39" s="77"/>
      <c r="BY39" s="77"/>
      <c r="BZ39" s="77"/>
      <c r="CA39" s="77"/>
      <c r="CB39" s="77"/>
      <c r="CC39" s="77"/>
      <c r="CD39" s="77"/>
      <c r="CE39" s="77"/>
      <c r="CF39" s="77"/>
      <c r="CG39" s="77"/>
      <c r="CH39" s="77"/>
      <c r="CI39" s="77"/>
      <c r="CJ39" s="77"/>
      <c r="CK39" s="77"/>
      <c r="CL39" s="77"/>
      <c r="CM39" s="77"/>
      <c r="CN39" s="77"/>
      <c r="CO39" s="77"/>
      <c r="CP39" s="77"/>
      <c r="CQ39" s="77"/>
      <c r="CR39" s="77"/>
      <c r="CS39" s="77"/>
      <c r="CT39" s="77"/>
      <c r="CU39" s="77"/>
      <c r="CV39" s="77"/>
      <c r="CW39" s="77"/>
      <c r="CX39" s="77"/>
      <c r="CY39" s="77"/>
      <c r="CZ39" s="77"/>
      <c r="DA39" s="77"/>
      <c r="DB39" s="77"/>
      <c r="DC39" s="77"/>
      <c r="DD39" s="77"/>
      <c r="DE39" s="77"/>
      <c r="DF39" s="77"/>
      <c r="DG39" s="77"/>
      <c r="DH39" s="77"/>
      <c r="DI39" s="77"/>
      <c r="DJ39" s="77"/>
      <c r="DK39" s="77"/>
      <c r="DL39" s="77"/>
      <c r="DM39" s="77"/>
      <c r="DN39" s="77"/>
      <c r="DO39" s="77"/>
      <c r="DP39" s="77"/>
      <c r="DQ39" s="77"/>
      <c r="DR39" s="77"/>
      <c r="DS39" s="77"/>
      <c r="DT39" s="77"/>
      <c r="DU39" s="77"/>
      <c r="DV39" s="77"/>
      <c r="DW39" s="77"/>
      <c r="DX39" s="77"/>
      <c r="DY39" s="77"/>
      <c r="DZ39" s="77"/>
      <c r="EA39" s="77"/>
      <c r="EB39" s="77"/>
      <c r="EC39" s="77"/>
      <c r="ED39" s="77"/>
      <c r="EE39" s="77"/>
      <c r="EF39" s="77"/>
      <c r="EG39" s="77"/>
      <c r="EH39" s="77"/>
      <c r="EI39" s="77"/>
      <c r="EJ39" s="77"/>
      <c r="EK39" s="77"/>
      <c r="EL39" s="77"/>
      <c r="EM39" s="77"/>
      <c r="EN39" s="77"/>
      <c r="EO39" s="77"/>
      <c r="EP39" s="77"/>
      <c r="EQ39" s="77"/>
      <c r="ER39" s="77"/>
      <c r="ES39" s="77"/>
      <c r="ET39" s="77"/>
      <c r="EU39" s="77"/>
      <c r="EV39" s="77"/>
      <c r="EW39" s="77"/>
      <c r="EX39" s="77"/>
      <c r="EY39" s="77"/>
      <c r="EZ39" s="77"/>
      <c r="FA39" s="77"/>
      <c r="FB39" s="77"/>
      <c r="FC39" s="77"/>
      <c r="FD39" s="77"/>
      <c r="FE39" s="77"/>
      <c r="FF39" s="77"/>
      <c r="FG39" s="77"/>
      <c r="FH39" s="77"/>
      <c r="FI39" s="77"/>
      <c r="FJ39" s="77"/>
      <c r="FK39" s="77"/>
      <c r="FL39" s="77"/>
      <c r="FM39" s="77"/>
      <c r="FN39" s="77"/>
      <c r="FO39" s="77"/>
      <c r="FP39" s="77"/>
      <c r="FQ39" s="77"/>
      <c r="FR39" s="77"/>
      <c r="FS39" s="77"/>
      <c r="FT39" s="77"/>
      <c r="FU39" s="77"/>
      <c r="FV39" s="77"/>
      <c r="FW39" s="77"/>
      <c r="FX39" s="77"/>
      <c r="FY39" s="77"/>
      <c r="FZ39" s="77"/>
      <c r="GA39" s="77"/>
      <c r="GB39" s="77"/>
      <c r="GC39" s="77"/>
      <c r="GD39" s="77"/>
      <c r="GE39" s="77"/>
      <c r="GF39" s="77"/>
      <c r="GG39" s="77"/>
      <c r="GH39" s="77"/>
      <c r="GI39" s="77"/>
      <c r="GJ39" s="77"/>
      <c r="GK39" s="77"/>
      <c r="GL39" s="77"/>
      <c r="GM39" s="77"/>
      <c r="GN39" s="77"/>
      <c r="GO39" s="77"/>
      <c r="GP39" s="77"/>
      <c r="GQ39" s="77"/>
      <c r="GR39" s="77"/>
      <c r="GS39" s="77"/>
      <c r="GT39" s="77"/>
      <c r="GU39" s="77"/>
      <c r="GV39" s="77"/>
      <c r="GW39" s="77"/>
      <c r="GX39" s="77"/>
      <c r="GY39" s="77"/>
      <c r="GZ39" s="77"/>
      <c r="HA39" s="77"/>
      <c r="HB39" s="77"/>
      <c r="HC39" s="77"/>
      <c r="HD39" s="77"/>
      <c r="HE39" s="77"/>
      <c r="HF39" s="77"/>
      <c r="HG39" s="77"/>
      <c r="HH39" s="77"/>
      <c r="HI39" s="77"/>
      <c r="HJ39" s="77"/>
      <c r="HK39" s="77"/>
      <c r="HL39" s="77"/>
      <c r="HM39" s="77"/>
      <c r="HN39" s="77"/>
      <c r="HO39" s="77"/>
      <c r="HP39" s="77"/>
      <c r="HQ39" s="77"/>
    </row>
    <row r="40" spans="1:225" x14ac:dyDescent="0.3">
      <c r="A40" s="78">
        <f>'Entrada datos'!C37</f>
        <v>0</v>
      </c>
      <c r="B40" s="74">
        <f>'Entrada datos'!D37</f>
        <v>0</v>
      </c>
      <c r="C40" s="75">
        <f>'Entrada datos'!G37</f>
        <v>0</v>
      </c>
      <c r="D40" s="75">
        <f>'Entrada datos'!H37</f>
        <v>0</v>
      </c>
      <c r="E40" s="74">
        <f t="shared" si="1"/>
        <v>0</v>
      </c>
      <c r="F40" s="68" t="str">
        <f t="shared" si="2"/>
        <v>no procede</v>
      </c>
      <c r="G40" s="74">
        <f>'Entrada datos'!P37</f>
        <v>0</v>
      </c>
      <c r="H40" s="74">
        <f>'Entrada datos'!Q37</f>
        <v>0</v>
      </c>
      <c r="I40" s="74">
        <f>'Entrada datos'!R37</f>
        <v>0</v>
      </c>
      <c r="J40" s="74">
        <f>'Entrada datos'!S37</f>
        <v>0</v>
      </c>
      <c r="K40" s="74">
        <f>'Entrada datos'!T37</f>
        <v>0</v>
      </c>
      <c r="L40" s="74">
        <f>'Entrada datos'!U37</f>
        <v>0</v>
      </c>
      <c r="M40" s="76"/>
      <c r="N40" s="76"/>
      <c r="O40" s="76"/>
      <c r="P40" s="76"/>
      <c r="Q40" s="76"/>
      <c r="R40" s="76"/>
      <c r="S40" s="77" t="s">
        <v>74</v>
      </c>
      <c r="T40" s="77"/>
      <c r="U40" s="77"/>
      <c r="V40" s="77">
        <f t="shared" si="3"/>
        <v>0</v>
      </c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  <c r="AW40" s="77"/>
      <c r="AX40" s="77"/>
      <c r="AY40" s="77"/>
      <c r="AZ40" s="77"/>
      <c r="BA40" s="77"/>
      <c r="BB40" s="77"/>
      <c r="BC40" s="77"/>
      <c r="BD40" s="77"/>
      <c r="BE40" s="77"/>
      <c r="BF40" s="77"/>
      <c r="BG40" s="77"/>
      <c r="BH40" s="77"/>
      <c r="BI40" s="77"/>
      <c r="BJ40" s="77"/>
      <c r="BK40" s="77"/>
      <c r="BL40" s="77"/>
      <c r="BM40" s="77"/>
      <c r="BN40" s="77"/>
      <c r="BO40" s="77"/>
      <c r="BP40" s="77"/>
      <c r="BQ40" s="77"/>
      <c r="BR40" s="77"/>
      <c r="BS40" s="77"/>
      <c r="BT40" s="77"/>
      <c r="BU40" s="77"/>
      <c r="BV40" s="77"/>
      <c r="BW40" s="77"/>
      <c r="BX40" s="77"/>
      <c r="BY40" s="77"/>
      <c r="BZ40" s="77"/>
      <c r="CA40" s="77"/>
      <c r="CB40" s="77"/>
      <c r="CC40" s="77"/>
      <c r="CD40" s="77"/>
      <c r="CE40" s="77"/>
      <c r="CF40" s="77"/>
      <c r="CG40" s="77"/>
      <c r="CH40" s="77"/>
      <c r="CI40" s="77"/>
      <c r="CJ40" s="77"/>
      <c r="CK40" s="77"/>
      <c r="CL40" s="77"/>
      <c r="CM40" s="77"/>
      <c r="CN40" s="77"/>
      <c r="CO40" s="77"/>
      <c r="CP40" s="77"/>
      <c r="CQ40" s="77"/>
      <c r="CR40" s="77"/>
      <c r="CS40" s="77"/>
      <c r="CT40" s="77"/>
      <c r="CU40" s="77"/>
      <c r="CV40" s="77"/>
      <c r="CW40" s="77"/>
      <c r="CX40" s="77"/>
      <c r="CY40" s="77"/>
      <c r="CZ40" s="77"/>
      <c r="DA40" s="77"/>
      <c r="DB40" s="77"/>
      <c r="DC40" s="77"/>
      <c r="DD40" s="77"/>
      <c r="DE40" s="77"/>
      <c r="DF40" s="77"/>
      <c r="DG40" s="77"/>
      <c r="DH40" s="77"/>
      <c r="DI40" s="77"/>
      <c r="DJ40" s="77"/>
      <c r="DK40" s="77"/>
      <c r="DL40" s="77"/>
      <c r="DM40" s="77"/>
      <c r="DN40" s="77"/>
      <c r="DO40" s="77"/>
      <c r="DP40" s="77"/>
      <c r="DQ40" s="77"/>
      <c r="DR40" s="77"/>
      <c r="DS40" s="77"/>
      <c r="DT40" s="77"/>
      <c r="DU40" s="77"/>
      <c r="DV40" s="77"/>
      <c r="DW40" s="77"/>
      <c r="DX40" s="77"/>
      <c r="DY40" s="77"/>
      <c r="DZ40" s="77"/>
      <c r="EA40" s="77"/>
      <c r="EB40" s="77"/>
      <c r="EC40" s="77"/>
      <c r="ED40" s="77"/>
      <c r="EE40" s="77"/>
      <c r="EF40" s="77"/>
      <c r="EG40" s="77"/>
      <c r="EH40" s="77"/>
      <c r="EI40" s="77"/>
      <c r="EJ40" s="77"/>
      <c r="EK40" s="77"/>
      <c r="EL40" s="77"/>
      <c r="EM40" s="77"/>
      <c r="EN40" s="77"/>
      <c r="EO40" s="77"/>
      <c r="EP40" s="77"/>
      <c r="EQ40" s="77"/>
      <c r="ER40" s="77"/>
      <c r="ES40" s="77"/>
      <c r="ET40" s="77"/>
      <c r="EU40" s="77"/>
      <c r="EV40" s="77"/>
      <c r="EW40" s="77"/>
      <c r="EX40" s="77"/>
      <c r="EY40" s="77"/>
      <c r="EZ40" s="77"/>
      <c r="FA40" s="77"/>
      <c r="FB40" s="77"/>
      <c r="FC40" s="77"/>
      <c r="FD40" s="77"/>
      <c r="FE40" s="77"/>
      <c r="FF40" s="77"/>
      <c r="FG40" s="77"/>
      <c r="FH40" s="77"/>
      <c r="FI40" s="77"/>
      <c r="FJ40" s="77"/>
      <c r="FK40" s="77"/>
      <c r="FL40" s="77"/>
      <c r="FM40" s="77"/>
      <c r="FN40" s="77"/>
      <c r="FO40" s="77"/>
      <c r="FP40" s="77"/>
      <c r="FQ40" s="77"/>
      <c r="FR40" s="77"/>
      <c r="FS40" s="77"/>
      <c r="FT40" s="77"/>
      <c r="FU40" s="77"/>
      <c r="FV40" s="77"/>
      <c r="FW40" s="77"/>
      <c r="FX40" s="77"/>
      <c r="FY40" s="77"/>
      <c r="FZ40" s="77"/>
      <c r="GA40" s="77"/>
      <c r="GB40" s="77"/>
      <c r="GC40" s="77"/>
      <c r="GD40" s="77"/>
      <c r="GE40" s="77"/>
      <c r="GF40" s="77"/>
      <c r="GG40" s="77"/>
      <c r="GH40" s="77"/>
      <c r="GI40" s="77"/>
      <c r="GJ40" s="77"/>
      <c r="GK40" s="77"/>
      <c r="GL40" s="77"/>
      <c r="GM40" s="77"/>
      <c r="GN40" s="77"/>
      <c r="GO40" s="77"/>
      <c r="GP40" s="77"/>
      <c r="GQ40" s="77"/>
      <c r="GR40" s="77"/>
      <c r="GS40" s="77"/>
      <c r="GT40" s="77"/>
      <c r="GU40" s="77"/>
      <c r="GV40" s="77"/>
      <c r="GW40" s="77"/>
      <c r="GX40" s="77"/>
      <c r="GY40" s="77"/>
      <c r="GZ40" s="77"/>
      <c r="HA40" s="77"/>
      <c r="HB40" s="77"/>
      <c r="HC40" s="77"/>
      <c r="HD40" s="77"/>
      <c r="HE40" s="77"/>
      <c r="HF40" s="77"/>
      <c r="HG40" s="77"/>
      <c r="HH40" s="77"/>
      <c r="HI40" s="77"/>
      <c r="HJ40" s="77"/>
      <c r="HK40" s="77"/>
      <c r="HL40" s="77"/>
      <c r="HM40" s="77"/>
      <c r="HN40" s="77"/>
      <c r="HO40" s="77"/>
      <c r="HP40" s="77"/>
      <c r="HQ40" s="77"/>
    </row>
    <row r="41" spans="1:225" x14ac:dyDescent="0.3">
      <c r="A41" s="78">
        <f>'Entrada datos'!C38</f>
        <v>0</v>
      </c>
      <c r="B41" s="74">
        <f>'Entrada datos'!D38</f>
        <v>0</v>
      </c>
      <c r="C41" s="75">
        <f>'Entrada datos'!G38</f>
        <v>0</v>
      </c>
      <c r="D41" s="75">
        <f>'Entrada datos'!H38</f>
        <v>0</v>
      </c>
      <c r="E41" s="74">
        <f t="shared" si="1"/>
        <v>0</v>
      </c>
      <c r="F41" s="68" t="str">
        <f t="shared" si="2"/>
        <v>no procede</v>
      </c>
      <c r="G41" s="74">
        <f>'Entrada datos'!P38</f>
        <v>0</v>
      </c>
      <c r="H41" s="74">
        <f>'Entrada datos'!Q38</f>
        <v>0</v>
      </c>
      <c r="I41" s="74">
        <f>'Entrada datos'!R38</f>
        <v>0</v>
      </c>
      <c r="J41" s="74">
        <f>'Entrada datos'!S38</f>
        <v>0</v>
      </c>
      <c r="K41" s="74">
        <f>'Entrada datos'!T38</f>
        <v>0</v>
      </c>
      <c r="L41" s="74">
        <f>'Entrada datos'!U38</f>
        <v>0</v>
      </c>
      <c r="M41" s="76"/>
      <c r="N41" s="76"/>
      <c r="O41" s="76"/>
      <c r="P41" s="76"/>
      <c r="Q41" s="76"/>
      <c r="R41" s="76"/>
      <c r="S41" s="77" t="s">
        <v>74</v>
      </c>
      <c r="T41" s="77"/>
      <c r="U41" s="77"/>
      <c r="V41" s="77">
        <f t="shared" si="3"/>
        <v>0</v>
      </c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77"/>
      <c r="AW41" s="77"/>
      <c r="AX41" s="77"/>
      <c r="AY41" s="77"/>
      <c r="AZ41" s="77"/>
      <c r="BA41" s="77"/>
      <c r="BB41" s="77"/>
      <c r="BC41" s="77"/>
      <c r="BD41" s="77"/>
      <c r="BE41" s="77"/>
      <c r="BF41" s="77"/>
      <c r="BG41" s="77"/>
      <c r="BH41" s="77"/>
      <c r="BI41" s="77"/>
      <c r="BJ41" s="77"/>
      <c r="BK41" s="77"/>
      <c r="BL41" s="77"/>
      <c r="BM41" s="77"/>
      <c r="BN41" s="77"/>
      <c r="BO41" s="77"/>
      <c r="BP41" s="77"/>
      <c r="BQ41" s="77"/>
      <c r="BR41" s="77"/>
      <c r="BS41" s="77"/>
      <c r="BT41" s="77"/>
      <c r="BU41" s="77"/>
      <c r="BV41" s="77"/>
      <c r="BW41" s="77"/>
      <c r="BX41" s="77"/>
      <c r="BY41" s="77"/>
      <c r="BZ41" s="77"/>
      <c r="CA41" s="77"/>
      <c r="CB41" s="77"/>
      <c r="CC41" s="77"/>
      <c r="CD41" s="77"/>
      <c r="CE41" s="77"/>
      <c r="CF41" s="77"/>
      <c r="CG41" s="77"/>
      <c r="CH41" s="77"/>
      <c r="CI41" s="77"/>
      <c r="CJ41" s="77"/>
      <c r="CK41" s="77"/>
      <c r="CL41" s="77"/>
      <c r="CM41" s="77"/>
      <c r="CN41" s="77"/>
      <c r="CO41" s="77"/>
      <c r="CP41" s="77"/>
      <c r="CQ41" s="77"/>
      <c r="CR41" s="77"/>
      <c r="CS41" s="77"/>
      <c r="CT41" s="77"/>
      <c r="CU41" s="77"/>
      <c r="CV41" s="77"/>
      <c r="CW41" s="77"/>
      <c r="CX41" s="77"/>
      <c r="CY41" s="77"/>
      <c r="CZ41" s="77"/>
      <c r="DA41" s="77"/>
      <c r="DB41" s="77"/>
      <c r="DC41" s="77"/>
      <c r="DD41" s="77"/>
      <c r="DE41" s="77"/>
      <c r="DF41" s="77"/>
      <c r="DG41" s="77"/>
      <c r="DH41" s="77"/>
      <c r="DI41" s="77"/>
      <c r="DJ41" s="77"/>
      <c r="DK41" s="77"/>
      <c r="DL41" s="77"/>
      <c r="DM41" s="77"/>
      <c r="DN41" s="77"/>
      <c r="DO41" s="77"/>
      <c r="DP41" s="77"/>
      <c r="DQ41" s="77"/>
      <c r="DR41" s="77"/>
      <c r="DS41" s="77"/>
      <c r="DT41" s="77"/>
      <c r="DU41" s="77"/>
      <c r="DV41" s="77"/>
      <c r="DW41" s="77"/>
      <c r="DX41" s="77"/>
      <c r="DY41" s="77"/>
      <c r="DZ41" s="77"/>
      <c r="EA41" s="77"/>
      <c r="EB41" s="77"/>
      <c r="EC41" s="77"/>
      <c r="ED41" s="77"/>
      <c r="EE41" s="77"/>
      <c r="EF41" s="77"/>
      <c r="EG41" s="77"/>
      <c r="EH41" s="77"/>
      <c r="EI41" s="77"/>
      <c r="EJ41" s="77"/>
      <c r="EK41" s="77"/>
      <c r="EL41" s="77"/>
      <c r="EM41" s="77"/>
      <c r="EN41" s="77"/>
      <c r="EO41" s="77"/>
      <c r="EP41" s="77"/>
      <c r="EQ41" s="77"/>
      <c r="ER41" s="77"/>
      <c r="ES41" s="77"/>
      <c r="ET41" s="77"/>
      <c r="EU41" s="77"/>
      <c r="EV41" s="77"/>
      <c r="EW41" s="77"/>
      <c r="EX41" s="77"/>
      <c r="EY41" s="77"/>
      <c r="EZ41" s="77"/>
      <c r="FA41" s="77"/>
      <c r="FB41" s="77"/>
      <c r="FC41" s="77"/>
      <c r="FD41" s="77"/>
      <c r="FE41" s="77"/>
      <c r="FF41" s="77"/>
      <c r="FG41" s="77"/>
      <c r="FH41" s="77"/>
      <c r="FI41" s="77"/>
      <c r="FJ41" s="77"/>
      <c r="FK41" s="77"/>
      <c r="FL41" s="77"/>
      <c r="FM41" s="77"/>
      <c r="FN41" s="77"/>
      <c r="FO41" s="77"/>
      <c r="FP41" s="77"/>
      <c r="FQ41" s="77"/>
      <c r="FR41" s="77"/>
      <c r="FS41" s="77"/>
      <c r="FT41" s="77"/>
      <c r="FU41" s="77"/>
      <c r="FV41" s="77"/>
      <c r="FW41" s="77"/>
      <c r="FX41" s="77"/>
      <c r="FY41" s="77"/>
      <c r="FZ41" s="77"/>
      <c r="GA41" s="77"/>
      <c r="GB41" s="77"/>
      <c r="GC41" s="77"/>
      <c r="GD41" s="77"/>
      <c r="GE41" s="77"/>
      <c r="GF41" s="77"/>
      <c r="GG41" s="77"/>
      <c r="GH41" s="77"/>
      <c r="GI41" s="77"/>
      <c r="GJ41" s="77"/>
      <c r="GK41" s="77"/>
      <c r="GL41" s="77"/>
      <c r="GM41" s="77"/>
      <c r="GN41" s="77"/>
      <c r="GO41" s="77"/>
      <c r="GP41" s="77"/>
      <c r="GQ41" s="77"/>
      <c r="GR41" s="77"/>
      <c r="GS41" s="77"/>
      <c r="GT41" s="77"/>
      <c r="GU41" s="77"/>
      <c r="GV41" s="77"/>
      <c r="GW41" s="77"/>
      <c r="GX41" s="77"/>
      <c r="GY41" s="77"/>
      <c r="GZ41" s="77"/>
      <c r="HA41" s="77"/>
      <c r="HB41" s="77"/>
      <c r="HC41" s="77"/>
      <c r="HD41" s="77"/>
      <c r="HE41" s="77"/>
      <c r="HF41" s="77"/>
      <c r="HG41" s="77"/>
      <c r="HH41" s="77"/>
      <c r="HI41" s="77"/>
      <c r="HJ41" s="77"/>
      <c r="HK41" s="77"/>
      <c r="HL41" s="77"/>
      <c r="HM41" s="77"/>
      <c r="HN41" s="77"/>
      <c r="HO41" s="77"/>
      <c r="HP41" s="77"/>
      <c r="HQ41" s="77"/>
    </row>
    <row r="42" spans="1:225" x14ac:dyDescent="0.3">
      <c r="A42" s="78">
        <f>'Entrada datos'!C39</f>
        <v>0</v>
      </c>
      <c r="B42" s="74">
        <f>'Entrada datos'!D39</f>
        <v>0</v>
      </c>
      <c r="C42" s="75">
        <f>'Entrada datos'!G39</f>
        <v>0</v>
      </c>
      <c r="D42" s="75">
        <f>'Entrada datos'!H39</f>
        <v>0</v>
      </c>
      <c r="E42" s="74">
        <f t="shared" si="1"/>
        <v>0</v>
      </c>
      <c r="F42" s="68" t="str">
        <f t="shared" si="2"/>
        <v>no procede</v>
      </c>
      <c r="G42" s="74">
        <f>'Entrada datos'!P39</f>
        <v>0</v>
      </c>
      <c r="H42" s="74">
        <f>'Entrada datos'!Q39</f>
        <v>0</v>
      </c>
      <c r="I42" s="74">
        <f>'Entrada datos'!R39</f>
        <v>0</v>
      </c>
      <c r="J42" s="74">
        <f>'Entrada datos'!S39</f>
        <v>0</v>
      </c>
      <c r="K42" s="74">
        <f>'Entrada datos'!T39</f>
        <v>0</v>
      </c>
      <c r="L42" s="74">
        <f>'Entrada datos'!U39</f>
        <v>0</v>
      </c>
      <c r="M42" s="76"/>
      <c r="N42" s="76"/>
      <c r="O42" s="76"/>
      <c r="P42" s="76"/>
      <c r="Q42" s="76"/>
      <c r="R42" s="76"/>
      <c r="S42" s="77" t="s">
        <v>74</v>
      </c>
      <c r="T42" s="77"/>
      <c r="U42" s="77"/>
      <c r="V42" s="77">
        <f t="shared" si="3"/>
        <v>0</v>
      </c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7"/>
      <c r="BC42" s="77"/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7"/>
      <c r="CC42" s="77"/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7"/>
      <c r="DC42" s="77"/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7"/>
      <c r="EC42" s="77"/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7"/>
      <c r="FC42" s="77"/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7"/>
      <c r="GC42" s="77"/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7"/>
      <c r="HC42" s="77"/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</row>
    <row r="43" spans="1:225" x14ac:dyDescent="0.3">
      <c r="A43" s="78">
        <f>'Entrada datos'!C40</f>
        <v>0</v>
      </c>
      <c r="B43" s="74">
        <f>'Entrada datos'!D40</f>
        <v>0</v>
      </c>
      <c r="C43" s="75">
        <f>'Entrada datos'!G40</f>
        <v>0</v>
      </c>
      <c r="D43" s="75">
        <f>'Entrada datos'!H40</f>
        <v>0</v>
      </c>
      <c r="E43" s="74">
        <f t="shared" si="1"/>
        <v>0</v>
      </c>
      <c r="F43" s="68" t="str">
        <f t="shared" si="2"/>
        <v>no procede</v>
      </c>
      <c r="G43" s="74">
        <f>'Entrada datos'!P40</f>
        <v>0</v>
      </c>
      <c r="H43" s="74">
        <f>'Entrada datos'!Q40</f>
        <v>0</v>
      </c>
      <c r="I43" s="74">
        <f>'Entrada datos'!R40</f>
        <v>0</v>
      </c>
      <c r="J43" s="74">
        <f>'Entrada datos'!S40</f>
        <v>0</v>
      </c>
      <c r="K43" s="74">
        <f>'Entrada datos'!T40</f>
        <v>0</v>
      </c>
      <c r="L43" s="74">
        <f>'Entrada datos'!U40</f>
        <v>0</v>
      </c>
      <c r="M43" s="76"/>
      <c r="N43" s="76"/>
      <c r="O43" s="76"/>
      <c r="P43" s="76"/>
      <c r="Q43" s="76"/>
      <c r="R43" s="76"/>
      <c r="S43" s="77" t="s">
        <v>74</v>
      </c>
      <c r="T43" s="77"/>
      <c r="U43" s="77"/>
      <c r="V43" s="77">
        <f t="shared" si="3"/>
        <v>0</v>
      </c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  <c r="AW43" s="77"/>
      <c r="AX43" s="77"/>
      <c r="AY43" s="77"/>
      <c r="AZ43" s="77"/>
      <c r="BA43" s="77"/>
      <c r="BB43" s="77"/>
      <c r="BC43" s="77"/>
      <c r="BD43" s="77"/>
      <c r="BE43" s="77"/>
      <c r="BF43" s="77"/>
      <c r="BG43" s="77"/>
      <c r="BH43" s="77"/>
      <c r="BI43" s="77"/>
      <c r="BJ43" s="77"/>
      <c r="BK43" s="77"/>
      <c r="BL43" s="77"/>
      <c r="BM43" s="77"/>
      <c r="BN43" s="77"/>
      <c r="BO43" s="77"/>
      <c r="BP43" s="77"/>
      <c r="BQ43" s="77"/>
      <c r="BR43" s="77"/>
      <c r="BS43" s="77"/>
      <c r="BT43" s="77"/>
      <c r="BU43" s="77"/>
      <c r="BV43" s="77"/>
      <c r="BW43" s="77"/>
      <c r="BX43" s="77"/>
      <c r="BY43" s="77"/>
      <c r="BZ43" s="77"/>
      <c r="CA43" s="77"/>
      <c r="CB43" s="77"/>
      <c r="CC43" s="77"/>
      <c r="CD43" s="77"/>
      <c r="CE43" s="77"/>
      <c r="CF43" s="77"/>
      <c r="CG43" s="77"/>
      <c r="CH43" s="77"/>
      <c r="CI43" s="77"/>
      <c r="CJ43" s="77"/>
      <c r="CK43" s="77"/>
      <c r="CL43" s="77"/>
      <c r="CM43" s="77"/>
      <c r="CN43" s="77"/>
      <c r="CO43" s="77"/>
      <c r="CP43" s="77"/>
      <c r="CQ43" s="77"/>
      <c r="CR43" s="77"/>
      <c r="CS43" s="77"/>
      <c r="CT43" s="77"/>
      <c r="CU43" s="77"/>
      <c r="CV43" s="77"/>
      <c r="CW43" s="77"/>
      <c r="CX43" s="77"/>
      <c r="CY43" s="77"/>
      <c r="CZ43" s="77"/>
      <c r="DA43" s="77"/>
      <c r="DB43" s="77"/>
      <c r="DC43" s="77"/>
      <c r="DD43" s="77"/>
      <c r="DE43" s="77"/>
      <c r="DF43" s="77"/>
      <c r="DG43" s="77"/>
      <c r="DH43" s="77"/>
      <c r="DI43" s="77"/>
      <c r="DJ43" s="77"/>
      <c r="DK43" s="77"/>
      <c r="DL43" s="77"/>
      <c r="DM43" s="77"/>
      <c r="DN43" s="77"/>
      <c r="DO43" s="77"/>
      <c r="DP43" s="77"/>
      <c r="DQ43" s="77"/>
      <c r="DR43" s="77"/>
      <c r="DS43" s="77"/>
      <c r="DT43" s="77"/>
      <c r="DU43" s="77"/>
      <c r="DV43" s="77"/>
      <c r="DW43" s="77"/>
      <c r="DX43" s="77"/>
      <c r="DY43" s="77"/>
      <c r="DZ43" s="77"/>
      <c r="EA43" s="77"/>
      <c r="EB43" s="77"/>
      <c r="EC43" s="77"/>
      <c r="ED43" s="77"/>
      <c r="EE43" s="77"/>
      <c r="EF43" s="77"/>
      <c r="EG43" s="77"/>
      <c r="EH43" s="77"/>
      <c r="EI43" s="77"/>
      <c r="EJ43" s="77"/>
      <c r="EK43" s="77"/>
      <c r="EL43" s="77"/>
      <c r="EM43" s="77"/>
      <c r="EN43" s="77"/>
      <c r="EO43" s="77"/>
      <c r="EP43" s="77"/>
      <c r="EQ43" s="77"/>
      <c r="ER43" s="77"/>
      <c r="ES43" s="77"/>
      <c r="ET43" s="77"/>
      <c r="EU43" s="77"/>
      <c r="EV43" s="77"/>
      <c r="EW43" s="77"/>
      <c r="EX43" s="77"/>
      <c r="EY43" s="77"/>
      <c r="EZ43" s="77"/>
      <c r="FA43" s="77"/>
      <c r="FB43" s="77"/>
      <c r="FC43" s="77"/>
      <c r="FD43" s="77"/>
      <c r="FE43" s="77"/>
      <c r="FF43" s="77"/>
      <c r="FG43" s="77"/>
      <c r="FH43" s="77"/>
      <c r="FI43" s="77"/>
      <c r="FJ43" s="77"/>
      <c r="FK43" s="77"/>
      <c r="FL43" s="77"/>
      <c r="FM43" s="77"/>
      <c r="FN43" s="77"/>
      <c r="FO43" s="77"/>
      <c r="FP43" s="77"/>
      <c r="FQ43" s="77"/>
      <c r="FR43" s="77"/>
      <c r="FS43" s="77"/>
      <c r="FT43" s="77"/>
      <c r="FU43" s="77"/>
      <c r="FV43" s="77"/>
      <c r="FW43" s="77"/>
      <c r="FX43" s="77"/>
      <c r="FY43" s="77"/>
      <c r="FZ43" s="77"/>
      <c r="GA43" s="77"/>
      <c r="GB43" s="77"/>
      <c r="GC43" s="77"/>
      <c r="GD43" s="77"/>
      <c r="GE43" s="77"/>
      <c r="GF43" s="77"/>
      <c r="GG43" s="77"/>
      <c r="GH43" s="77"/>
      <c r="GI43" s="77"/>
      <c r="GJ43" s="77"/>
      <c r="GK43" s="77"/>
      <c r="GL43" s="77"/>
      <c r="GM43" s="77"/>
      <c r="GN43" s="77"/>
      <c r="GO43" s="77"/>
      <c r="GP43" s="77"/>
      <c r="GQ43" s="77"/>
      <c r="GR43" s="77"/>
      <c r="GS43" s="77"/>
      <c r="GT43" s="77"/>
      <c r="GU43" s="77"/>
      <c r="GV43" s="77"/>
      <c r="GW43" s="77"/>
      <c r="GX43" s="77"/>
      <c r="GY43" s="77"/>
      <c r="GZ43" s="77"/>
      <c r="HA43" s="77"/>
      <c r="HB43" s="77"/>
      <c r="HC43" s="77"/>
      <c r="HD43" s="77"/>
      <c r="HE43" s="77"/>
      <c r="HF43" s="77"/>
      <c r="HG43" s="77"/>
      <c r="HH43" s="77"/>
      <c r="HI43" s="77"/>
      <c r="HJ43" s="77"/>
      <c r="HK43" s="77"/>
      <c r="HL43" s="77"/>
      <c r="HM43" s="77"/>
      <c r="HN43" s="77"/>
      <c r="HO43" s="77"/>
      <c r="HP43" s="77"/>
      <c r="HQ43" s="77"/>
    </row>
    <row r="44" spans="1:225" x14ac:dyDescent="0.3">
      <c r="A44" s="78">
        <f>'Entrada datos'!C41</f>
        <v>0</v>
      </c>
      <c r="B44" s="74">
        <f>'Entrada datos'!D41</f>
        <v>0</v>
      </c>
      <c r="C44" s="75">
        <f>'Entrada datos'!G41</f>
        <v>0</v>
      </c>
      <c r="D44" s="75">
        <f>'Entrada datos'!H41</f>
        <v>0</v>
      </c>
      <c r="E44" s="74">
        <f t="shared" si="1"/>
        <v>0</v>
      </c>
      <c r="F44" s="68" t="str">
        <f t="shared" si="2"/>
        <v>no procede</v>
      </c>
      <c r="G44" s="74">
        <f>'Entrada datos'!P41</f>
        <v>0</v>
      </c>
      <c r="H44" s="74">
        <f>'Entrada datos'!Q41</f>
        <v>0</v>
      </c>
      <c r="I44" s="74">
        <f>'Entrada datos'!R41</f>
        <v>0</v>
      </c>
      <c r="J44" s="74">
        <f>'Entrada datos'!S41</f>
        <v>0</v>
      </c>
      <c r="K44" s="74">
        <f>'Entrada datos'!T41</f>
        <v>0</v>
      </c>
      <c r="L44" s="74">
        <f>'Entrada datos'!U41</f>
        <v>0</v>
      </c>
      <c r="M44" s="76"/>
      <c r="N44" s="76"/>
      <c r="O44" s="76"/>
      <c r="P44" s="76"/>
      <c r="Q44" s="76"/>
      <c r="R44" s="76"/>
      <c r="S44" s="77" t="s">
        <v>74</v>
      </c>
      <c r="T44" s="77"/>
      <c r="U44" s="77"/>
      <c r="V44" s="77">
        <f t="shared" si="3"/>
        <v>0</v>
      </c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  <c r="AO44" s="77"/>
      <c r="AP44" s="77"/>
      <c r="AQ44" s="77"/>
      <c r="AR44" s="77"/>
      <c r="AS44" s="77"/>
      <c r="AT44" s="77"/>
      <c r="AU44" s="77"/>
      <c r="AV44" s="77"/>
      <c r="AW44" s="77"/>
      <c r="AX44" s="77"/>
      <c r="AY44" s="77"/>
      <c r="AZ44" s="77"/>
      <c r="BA44" s="77"/>
      <c r="BB44" s="77"/>
      <c r="BC44" s="77"/>
      <c r="BD44" s="77"/>
      <c r="BE44" s="77"/>
      <c r="BF44" s="77"/>
      <c r="BG44" s="77"/>
      <c r="BH44" s="77"/>
      <c r="BI44" s="77"/>
      <c r="BJ44" s="77"/>
      <c r="BK44" s="77"/>
      <c r="BL44" s="77"/>
      <c r="BM44" s="77"/>
      <c r="BN44" s="77"/>
      <c r="BO44" s="77"/>
      <c r="BP44" s="77"/>
      <c r="BQ44" s="77"/>
      <c r="BR44" s="77"/>
      <c r="BS44" s="77"/>
      <c r="BT44" s="77"/>
      <c r="BU44" s="77"/>
      <c r="BV44" s="77"/>
      <c r="BW44" s="77"/>
      <c r="BX44" s="77"/>
      <c r="BY44" s="77"/>
      <c r="BZ44" s="77"/>
      <c r="CA44" s="77"/>
      <c r="CB44" s="77"/>
      <c r="CC44" s="77"/>
      <c r="CD44" s="77"/>
      <c r="CE44" s="77"/>
      <c r="CF44" s="77"/>
      <c r="CG44" s="77"/>
      <c r="CH44" s="77"/>
      <c r="CI44" s="77"/>
      <c r="CJ44" s="77"/>
      <c r="CK44" s="77"/>
      <c r="CL44" s="77"/>
      <c r="CM44" s="77"/>
      <c r="CN44" s="77"/>
      <c r="CO44" s="77"/>
      <c r="CP44" s="77"/>
      <c r="CQ44" s="77"/>
      <c r="CR44" s="77"/>
      <c r="CS44" s="77"/>
      <c r="CT44" s="77"/>
      <c r="CU44" s="77"/>
      <c r="CV44" s="77"/>
      <c r="CW44" s="77"/>
      <c r="CX44" s="77"/>
      <c r="CY44" s="77"/>
      <c r="CZ44" s="77"/>
      <c r="DA44" s="77"/>
      <c r="DB44" s="77"/>
      <c r="DC44" s="77"/>
      <c r="DD44" s="77"/>
      <c r="DE44" s="77"/>
      <c r="DF44" s="77"/>
      <c r="DG44" s="77"/>
      <c r="DH44" s="77"/>
      <c r="DI44" s="77"/>
      <c r="DJ44" s="77"/>
      <c r="DK44" s="77"/>
      <c r="DL44" s="77"/>
      <c r="DM44" s="77"/>
      <c r="DN44" s="77"/>
      <c r="DO44" s="77"/>
      <c r="DP44" s="77"/>
      <c r="DQ44" s="77"/>
      <c r="DR44" s="77"/>
      <c r="DS44" s="77"/>
      <c r="DT44" s="77"/>
      <c r="DU44" s="77"/>
      <c r="DV44" s="77"/>
      <c r="DW44" s="77"/>
      <c r="DX44" s="77"/>
      <c r="DY44" s="77"/>
      <c r="DZ44" s="77"/>
      <c r="EA44" s="77"/>
      <c r="EB44" s="77"/>
      <c r="EC44" s="77"/>
      <c r="ED44" s="77"/>
      <c r="EE44" s="77"/>
      <c r="EF44" s="77"/>
      <c r="EG44" s="77"/>
      <c r="EH44" s="77"/>
      <c r="EI44" s="77"/>
      <c r="EJ44" s="77"/>
      <c r="EK44" s="77"/>
      <c r="EL44" s="77"/>
      <c r="EM44" s="77"/>
      <c r="EN44" s="77"/>
      <c r="EO44" s="77"/>
      <c r="EP44" s="77"/>
      <c r="EQ44" s="77"/>
      <c r="ER44" s="77"/>
      <c r="ES44" s="77"/>
      <c r="ET44" s="77"/>
      <c r="EU44" s="77"/>
      <c r="EV44" s="77"/>
      <c r="EW44" s="77"/>
      <c r="EX44" s="77"/>
      <c r="EY44" s="77"/>
      <c r="EZ44" s="77"/>
      <c r="FA44" s="77"/>
      <c r="FB44" s="77"/>
      <c r="FC44" s="77"/>
      <c r="FD44" s="77"/>
      <c r="FE44" s="77"/>
      <c r="FF44" s="77"/>
      <c r="FG44" s="77"/>
      <c r="FH44" s="77"/>
      <c r="FI44" s="77"/>
      <c r="FJ44" s="77"/>
      <c r="FK44" s="77"/>
      <c r="FL44" s="77"/>
      <c r="FM44" s="77"/>
      <c r="FN44" s="77"/>
      <c r="FO44" s="77"/>
      <c r="FP44" s="77"/>
      <c r="FQ44" s="77"/>
      <c r="FR44" s="77"/>
      <c r="FS44" s="77"/>
      <c r="FT44" s="77"/>
      <c r="FU44" s="77"/>
      <c r="FV44" s="77"/>
      <c r="FW44" s="77"/>
      <c r="FX44" s="77"/>
      <c r="FY44" s="77"/>
      <c r="FZ44" s="77"/>
      <c r="GA44" s="77"/>
      <c r="GB44" s="77"/>
      <c r="GC44" s="77"/>
      <c r="GD44" s="77"/>
      <c r="GE44" s="77"/>
      <c r="GF44" s="77"/>
      <c r="GG44" s="77"/>
      <c r="GH44" s="77"/>
      <c r="GI44" s="77"/>
      <c r="GJ44" s="77"/>
      <c r="GK44" s="77"/>
      <c r="GL44" s="77"/>
      <c r="GM44" s="77"/>
      <c r="GN44" s="77"/>
      <c r="GO44" s="77"/>
      <c r="GP44" s="77"/>
      <c r="GQ44" s="77"/>
      <c r="GR44" s="77"/>
      <c r="GS44" s="77"/>
      <c r="GT44" s="77"/>
      <c r="GU44" s="77"/>
      <c r="GV44" s="77"/>
      <c r="GW44" s="77"/>
      <c r="GX44" s="77"/>
      <c r="GY44" s="77"/>
      <c r="GZ44" s="77"/>
      <c r="HA44" s="77"/>
      <c r="HB44" s="77"/>
      <c r="HC44" s="77"/>
      <c r="HD44" s="77"/>
      <c r="HE44" s="77"/>
      <c r="HF44" s="77"/>
      <c r="HG44" s="77"/>
      <c r="HH44" s="77"/>
      <c r="HI44" s="77"/>
      <c r="HJ44" s="77"/>
      <c r="HK44" s="77"/>
      <c r="HL44" s="77"/>
      <c r="HM44" s="77"/>
      <c r="HN44" s="77"/>
      <c r="HO44" s="77"/>
      <c r="HP44" s="77"/>
      <c r="HQ44" s="77"/>
    </row>
    <row r="45" spans="1:225" x14ac:dyDescent="0.3">
      <c r="A45" s="78">
        <f>'Entrada datos'!C42</f>
        <v>0</v>
      </c>
      <c r="B45" s="74">
        <f>'Entrada datos'!D42</f>
        <v>0</v>
      </c>
      <c r="C45" s="75">
        <f>'Entrada datos'!G42</f>
        <v>0</v>
      </c>
      <c r="D45" s="75">
        <f>'Entrada datos'!H42</f>
        <v>0</v>
      </c>
      <c r="E45" s="74">
        <f t="shared" si="1"/>
        <v>0</v>
      </c>
      <c r="F45" s="68" t="str">
        <f t="shared" si="2"/>
        <v>no procede</v>
      </c>
      <c r="G45" s="74">
        <f>'Entrada datos'!P42</f>
        <v>0</v>
      </c>
      <c r="H45" s="74">
        <f>'Entrada datos'!Q42</f>
        <v>0</v>
      </c>
      <c r="I45" s="74">
        <f>'Entrada datos'!R42</f>
        <v>0</v>
      </c>
      <c r="J45" s="74">
        <f>'Entrada datos'!S42</f>
        <v>0</v>
      </c>
      <c r="K45" s="74">
        <f>'Entrada datos'!T42</f>
        <v>0</v>
      </c>
      <c r="L45" s="74">
        <f>'Entrada datos'!U42</f>
        <v>0</v>
      </c>
      <c r="M45" s="76"/>
      <c r="N45" s="76"/>
      <c r="O45" s="76"/>
      <c r="P45" s="76"/>
      <c r="Q45" s="76"/>
      <c r="R45" s="76"/>
      <c r="S45" s="77" t="s">
        <v>74</v>
      </c>
      <c r="T45" s="77"/>
      <c r="U45" s="77"/>
      <c r="V45" s="77">
        <f t="shared" si="3"/>
        <v>0</v>
      </c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  <c r="AW45" s="77"/>
      <c r="AX45" s="77"/>
      <c r="AY45" s="77"/>
      <c r="AZ45" s="77"/>
      <c r="BA45" s="77"/>
      <c r="BB45" s="77"/>
      <c r="BC45" s="77"/>
      <c r="BD45" s="77"/>
      <c r="BE45" s="77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77"/>
      <c r="BS45" s="77"/>
      <c r="BT45" s="77"/>
      <c r="BU45" s="77"/>
      <c r="BV45" s="77"/>
      <c r="BW45" s="77"/>
      <c r="BX45" s="77"/>
      <c r="BY45" s="77"/>
      <c r="BZ45" s="77"/>
      <c r="CA45" s="77"/>
      <c r="CB45" s="77"/>
      <c r="CC45" s="77"/>
      <c r="CD45" s="77"/>
      <c r="CE45" s="77"/>
      <c r="CF45" s="77"/>
      <c r="CG45" s="77"/>
      <c r="CH45" s="77"/>
      <c r="CI45" s="77"/>
      <c r="CJ45" s="77"/>
      <c r="CK45" s="77"/>
      <c r="CL45" s="77"/>
      <c r="CM45" s="77"/>
      <c r="CN45" s="77"/>
      <c r="CO45" s="77"/>
      <c r="CP45" s="77"/>
      <c r="CQ45" s="77"/>
      <c r="CR45" s="77"/>
      <c r="CS45" s="77"/>
      <c r="CT45" s="77"/>
      <c r="CU45" s="77"/>
      <c r="CV45" s="77"/>
      <c r="CW45" s="77"/>
      <c r="CX45" s="77"/>
      <c r="CY45" s="77"/>
      <c r="CZ45" s="77"/>
      <c r="DA45" s="77"/>
      <c r="DB45" s="77"/>
      <c r="DC45" s="77"/>
      <c r="DD45" s="77"/>
      <c r="DE45" s="77"/>
      <c r="DF45" s="77"/>
      <c r="DG45" s="77"/>
      <c r="DH45" s="77"/>
      <c r="DI45" s="77"/>
      <c r="DJ45" s="77"/>
      <c r="DK45" s="77"/>
      <c r="DL45" s="77"/>
      <c r="DM45" s="77"/>
      <c r="DN45" s="77"/>
      <c r="DO45" s="77"/>
      <c r="DP45" s="77"/>
      <c r="DQ45" s="77"/>
      <c r="DR45" s="77"/>
      <c r="DS45" s="77"/>
      <c r="DT45" s="77"/>
      <c r="DU45" s="77"/>
      <c r="DV45" s="77"/>
      <c r="DW45" s="77"/>
      <c r="DX45" s="77"/>
      <c r="DY45" s="77"/>
      <c r="DZ45" s="77"/>
      <c r="EA45" s="77"/>
      <c r="EB45" s="77"/>
      <c r="EC45" s="77"/>
      <c r="ED45" s="77"/>
      <c r="EE45" s="77"/>
      <c r="EF45" s="77"/>
      <c r="EG45" s="77"/>
      <c r="EH45" s="77"/>
      <c r="EI45" s="77"/>
      <c r="EJ45" s="77"/>
      <c r="EK45" s="77"/>
      <c r="EL45" s="77"/>
      <c r="EM45" s="77"/>
      <c r="EN45" s="77"/>
      <c r="EO45" s="77"/>
      <c r="EP45" s="77"/>
      <c r="EQ45" s="77"/>
      <c r="ER45" s="77"/>
      <c r="ES45" s="77"/>
      <c r="ET45" s="77"/>
      <c r="EU45" s="77"/>
      <c r="EV45" s="77"/>
      <c r="EW45" s="77"/>
      <c r="EX45" s="77"/>
      <c r="EY45" s="77"/>
      <c r="EZ45" s="77"/>
      <c r="FA45" s="77"/>
      <c r="FB45" s="77"/>
      <c r="FC45" s="77"/>
      <c r="FD45" s="77"/>
      <c r="FE45" s="77"/>
      <c r="FF45" s="77"/>
      <c r="FG45" s="77"/>
      <c r="FH45" s="77"/>
      <c r="FI45" s="77"/>
      <c r="FJ45" s="77"/>
      <c r="FK45" s="77"/>
      <c r="FL45" s="77"/>
      <c r="FM45" s="77"/>
      <c r="FN45" s="77"/>
      <c r="FO45" s="77"/>
      <c r="FP45" s="77"/>
      <c r="FQ45" s="77"/>
      <c r="FR45" s="77"/>
      <c r="FS45" s="77"/>
      <c r="FT45" s="77"/>
      <c r="FU45" s="77"/>
      <c r="FV45" s="77"/>
      <c r="FW45" s="77"/>
      <c r="FX45" s="77"/>
      <c r="FY45" s="77"/>
      <c r="FZ45" s="77"/>
      <c r="GA45" s="77"/>
      <c r="GB45" s="77"/>
      <c r="GC45" s="77"/>
      <c r="GD45" s="77"/>
      <c r="GE45" s="77"/>
      <c r="GF45" s="77"/>
      <c r="GG45" s="77"/>
      <c r="GH45" s="77"/>
      <c r="GI45" s="77"/>
      <c r="GJ45" s="77"/>
      <c r="GK45" s="77"/>
      <c r="GL45" s="77"/>
      <c r="GM45" s="77"/>
      <c r="GN45" s="77"/>
      <c r="GO45" s="77"/>
      <c r="GP45" s="77"/>
      <c r="GQ45" s="77"/>
      <c r="GR45" s="77"/>
      <c r="GS45" s="77"/>
      <c r="GT45" s="77"/>
      <c r="GU45" s="77"/>
      <c r="GV45" s="77"/>
      <c r="GW45" s="77"/>
      <c r="GX45" s="77"/>
      <c r="GY45" s="77"/>
      <c r="GZ45" s="77"/>
      <c r="HA45" s="77"/>
      <c r="HB45" s="77"/>
      <c r="HC45" s="77"/>
      <c r="HD45" s="77"/>
      <c r="HE45" s="77"/>
      <c r="HF45" s="77"/>
      <c r="HG45" s="77"/>
      <c r="HH45" s="77"/>
      <c r="HI45" s="77"/>
      <c r="HJ45" s="77"/>
      <c r="HK45" s="77"/>
      <c r="HL45" s="77"/>
      <c r="HM45" s="77"/>
      <c r="HN45" s="77"/>
      <c r="HO45" s="77"/>
      <c r="HP45" s="77"/>
      <c r="HQ45" s="77"/>
    </row>
    <row r="46" spans="1:225" x14ac:dyDescent="0.3">
      <c r="A46" s="78">
        <f>'Entrada datos'!C43</f>
        <v>0</v>
      </c>
      <c r="B46" s="74">
        <f>'Entrada datos'!D43</f>
        <v>0</v>
      </c>
      <c r="C46" s="75">
        <f>'Entrada datos'!G43</f>
        <v>0</v>
      </c>
      <c r="D46" s="75">
        <f>'Entrada datos'!H43</f>
        <v>0</v>
      </c>
      <c r="E46" s="74">
        <f t="shared" si="1"/>
        <v>0</v>
      </c>
      <c r="F46" s="68" t="str">
        <f t="shared" si="2"/>
        <v>no procede</v>
      </c>
      <c r="G46" s="74">
        <f>'Entrada datos'!P43</f>
        <v>0</v>
      </c>
      <c r="H46" s="74">
        <f>'Entrada datos'!Q43</f>
        <v>0</v>
      </c>
      <c r="I46" s="74">
        <f>'Entrada datos'!R43</f>
        <v>0</v>
      </c>
      <c r="J46" s="74">
        <f>'Entrada datos'!S43</f>
        <v>0</v>
      </c>
      <c r="K46" s="74">
        <f>'Entrada datos'!T43</f>
        <v>0</v>
      </c>
      <c r="L46" s="74">
        <f>'Entrada datos'!U43</f>
        <v>0</v>
      </c>
      <c r="M46" s="76"/>
      <c r="N46" s="76"/>
      <c r="O46" s="76"/>
      <c r="P46" s="76"/>
      <c r="Q46" s="76"/>
      <c r="R46" s="76"/>
      <c r="S46" s="77" t="s">
        <v>74</v>
      </c>
      <c r="T46" s="77"/>
      <c r="U46" s="77"/>
      <c r="V46" s="77">
        <f t="shared" si="3"/>
        <v>0</v>
      </c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  <c r="AO46" s="77"/>
      <c r="AP46" s="77"/>
      <c r="AQ46" s="77"/>
      <c r="AR46" s="77"/>
      <c r="AS46" s="77"/>
      <c r="AT46" s="77"/>
      <c r="AU46" s="77"/>
      <c r="AV46" s="77"/>
      <c r="AW46" s="77"/>
      <c r="AX46" s="77"/>
      <c r="AY46" s="77"/>
      <c r="AZ46" s="77"/>
      <c r="BA46" s="77"/>
      <c r="BB46" s="77"/>
      <c r="BC46" s="77"/>
      <c r="BD46" s="77"/>
      <c r="BE46" s="77"/>
      <c r="BF46" s="77"/>
      <c r="BG46" s="77"/>
      <c r="BH46" s="77"/>
      <c r="BI46" s="77"/>
      <c r="BJ46" s="77"/>
      <c r="BK46" s="77"/>
      <c r="BL46" s="77"/>
      <c r="BM46" s="77"/>
      <c r="BN46" s="77"/>
      <c r="BO46" s="77"/>
      <c r="BP46" s="77"/>
      <c r="BQ46" s="77"/>
      <c r="BR46" s="77"/>
      <c r="BS46" s="77"/>
      <c r="BT46" s="77"/>
      <c r="BU46" s="77"/>
      <c r="BV46" s="77"/>
      <c r="BW46" s="77"/>
      <c r="BX46" s="77"/>
      <c r="BY46" s="77"/>
      <c r="BZ46" s="77"/>
      <c r="CA46" s="77"/>
      <c r="CB46" s="77"/>
      <c r="CC46" s="77"/>
      <c r="CD46" s="77"/>
      <c r="CE46" s="77"/>
      <c r="CF46" s="77"/>
      <c r="CG46" s="77"/>
      <c r="CH46" s="77"/>
      <c r="CI46" s="77"/>
      <c r="CJ46" s="77"/>
      <c r="CK46" s="77"/>
      <c r="CL46" s="77"/>
      <c r="CM46" s="77"/>
      <c r="CN46" s="77"/>
      <c r="CO46" s="77"/>
      <c r="CP46" s="77"/>
      <c r="CQ46" s="77"/>
      <c r="CR46" s="77"/>
      <c r="CS46" s="77"/>
      <c r="CT46" s="77"/>
      <c r="CU46" s="77"/>
      <c r="CV46" s="77"/>
      <c r="CW46" s="77"/>
      <c r="CX46" s="77"/>
      <c r="CY46" s="77"/>
      <c r="CZ46" s="77"/>
      <c r="DA46" s="77"/>
      <c r="DB46" s="77"/>
      <c r="DC46" s="77"/>
      <c r="DD46" s="77"/>
      <c r="DE46" s="77"/>
      <c r="DF46" s="77"/>
      <c r="DG46" s="77"/>
      <c r="DH46" s="77"/>
      <c r="DI46" s="77"/>
      <c r="DJ46" s="77"/>
      <c r="DK46" s="77"/>
      <c r="DL46" s="77"/>
      <c r="DM46" s="77"/>
      <c r="DN46" s="77"/>
      <c r="DO46" s="77"/>
      <c r="DP46" s="77"/>
      <c r="DQ46" s="77"/>
      <c r="DR46" s="77"/>
      <c r="DS46" s="77"/>
      <c r="DT46" s="77"/>
      <c r="DU46" s="77"/>
      <c r="DV46" s="77"/>
      <c r="DW46" s="77"/>
      <c r="DX46" s="77"/>
      <c r="DY46" s="77"/>
      <c r="DZ46" s="77"/>
      <c r="EA46" s="77"/>
      <c r="EB46" s="77"/>
      <c r="EC46" s="77"/>
      <c r="ED46" s="77"/>
      <c r="EE46" s="77"/>
      <c r="EF46" s="77"/>
      <c r="EG46" s="77"/>
      <c r="EH46" s="77"/>
      <c r="EI46" s="77"/>
      <c r="EJ46" s="77"/>
      <c r="EK46" s="77"/>
      <c r="EL46" s="77"/>
      <c r="EM46" s="77"/>
      <c r="EN46" s="77"/>
      <c r="EO46" s="77"/>
      <c r="EP46" s="77"/>
      <c r="EQ46" s="77"/>
      <c r="ER46" s="77"/>
      <c r="ES46" s="77"/>
      <c r="ET46" s="77"/>
      <c r="EU46" s="77"/>
      <c r="EV46" s="77"/>
      <c r="EW46" s="77"/>
      <c r="EX46" s="77"/>
      <c r="EY46" s="77"/>
      <c r="EZ46" s="77"/>
      <c r="FA46" s="77"/>
      <c r="FB46" s="77"/>
      <c r="FC46" s="77"/>
      <c r="FD46" s="77"/>
      <c r="FE46" s="77"/>
      <c r="FF46" s="77"/>
      <c r="FG46" s="77"/>
      <c r="FH46" s="77"/>
      <c r="FI46" s="77"/>
      <c r="FJ46" s="77"/>
      <c r="FK46" s="77"/>
      <c r="FL46" s="77"/>
      <c r="FM46" s="77"/>
      <c r="FN46" s="77"/>
      <c r="FO46" s="77"/>
      <c r="FP46" s="77"/>
      <c r="FQ46" s="77"/>
      <c r="FR46" s="77"/>
      <c r="FS46" s="77"/>
      <c r="FT46" s="77"/>
      <c r="FU46" s="77"/>
      <c r="FV46" s="77"/>
      <c r="FW46" s="77"/>
      <c r="FX46" s="77"/>
      <c r="FY46" s="77"/>
      <c r="FZ46" s="77"/>
      <c r="GA46" s="77"/>
      <c r="GB46" s="77"/>
      <c r="GC46" s="77"/>
      <c r="GD46" s="77"/>
      <c r="GE46" s="77"/>
      <c r="GF46" s="77"/>
      <c r="GG46" s="77"/>
      <c r="GH46" s="77"/>
      <c r="GI46" s="77"/>
      <c r="GJ46" s="77"/>
      <c r="GK46" s="77"/>
      <c r="GL46" s="77"/>
      <c r="GM46" s="77"/>
      <c r="GN46" s="77"/>
      <c r="GO46" s="77"/>
      <c r="GP46" s="77"/>
      <c r="GQ46" s="77"/>
      <c r="GR46" s="77"/>
      <c r="GS46" s="77"/>
      <c r="GT46" s="77"/>
      <c r="GU46" s="77"/>
      <c r="GV46" s="77"/>
      <c r="GW46" s="77"/>
      <c r="GX46" s="77"/>
      <c r="GY46" s="77"/>
      <c r="GZ46" s="77"/>
      <c r="HA46" s="77"/>
      <c r="HB46" s="77"/>
      <c r="HC46" s="77"/>
      <c r="HD46" s="77"/>
      <c r="HE46" s="77"/>
      <c r="HF46" s="77"/>
      <c r="HG46" s="77"/>
      <c r="HH46" s="77"/>
      <c r="HI46" s="77"/>
      <c r="HJ46" s="77"/>
      <c r="HK46" s="77"/>
      <c r="HL46" s="77"/>
      <c r="HM46" s="77"/>
      <c r="HN46" s="77"/>
      <c r="HO46" s="77"/>
      <c r="HP46" s="77"/>
      <c r="HQ46" s="77"/>
    </row>
    <row r="47" spans="1:225" x14ac:dyDescent="0.3">
      <c r="A47" s="78">
        <f>'Entrada datos'!C44</f>
        <v>0</v>
      </c>
      <c r="B47" s="74">
        <f>'Entrada datos'!D44</f>
        <v>0</v>
      </c>
      <c r="C47" s="75">
        <f>'Entrada datos'!G44</f>
        <v>0</v>
      </c>
      <c r="D47" s="75">
        <f>'Entrada datos'!H44</f>
        <v>0</v>
      </c>
      <c r="E47" s="74">
        <f t="shared" si="1"/>
        <v>0</v>
      </c>
      <c r="F47" s="68" t="str">
        <f t="shared" si="2"/>
        <v>no procede</v>
      </c>
      <c r="G47" s="74">
        <f>'Entrada datos'!P44</f>
        <v>0</v>
      </c>
      <c r="H47" s="74">
        <f>'Entrada datos'!Q44</f>
        <v>0</v>
      </c>
      <c r="I47" s="74">
        <f>'Entrada datos'!R44</f>
        <v>0</v>
      </c>
      <c r="J47" s="74">
        <f>'Entrada datos'!S44</f>
        <v>0</v>
      </c>
      <c r="K47" s="74">
        <f>'Entrada datos'!T44</f>
        <v>0</v>
      </c>
      <c r="L47" s="74">
        <f>'Entrada datos'!U44</f>
        <v>0</v>
      </c>
      <c r="M47" s="76"/>
      <c r="N47" s="76"/>
      <c r="O47" s="76"/>
      <c r="P47" s="76"/>
      <c r="Q47" s="76"/>
      <c r="R47" s="76"/>
      <c r="S47" s="77" t="s">
        <v>74</v>
      </c>
      <c r="T47" s="77"/>
      <c r="U47" s="77"/>
      <c r="V47" s="77">
        <f t="shared" si="3"/>
        <v>0</v>
      </c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  <c r="AO47" s="77"/>
      <c r="AP47" s="77"/>
      <c r="AQ47" s="77"/>
      <c r="AR47" s="77"/>
      <c r="AS47" s="77"/>
      <c r="AT47" s="77"/>
      <c r="AU47" s="77"/>
      <c r="AV47" s="77"/>
      <c r="AW47" s="77"/>
      <c r="AX47" s="77"/>
      <c r="AY47" s="77"/>
      <c r="AZ47" s="77"/>
      <c r="BA47" s="77"/>
      <c r="BB47" s="77"/>
      <c r="BC47" s="77"/>
      <c r="BD47" s="77"/>
      <c r="BE47" s="77"/>
      <c r="BF47" s="77"/>
      <c r="BG47" s="77"/>
      <c r="BH47" s="77"/>
      <c r="BI47" s="77"/>
      <c r="BJ47" s="77"/>
      <c r="BK47" s="77"/>
      <c r="BL47" s="77"/>
      <c r="BM47" s="77"/>
      <c r="BN47" s="77"/>
      <c r="BO47" s="77"/>
      <c r="BP47" s="77"/>
      <c r="BQ47" s="77"/>
      <c r="BR47" s="77"/>
      <c r="BS47" s="77"/>
      <c r="BT47" s="77"/>
      <c r="BU47" s="77"/>
      <c r="BV47" s="77"/>
      <c r="BW47" s="77"/>
      <c r="BX47" s="77"/>
      <c r="BY47" s="77"/>
      <c r="BZ47" s="77"/>
      <c r="CA47" s="77"/>
      <c r="CB47" s="77"/>
      <c r="CC47" s="77"/>
      <c r="CD47" s="77"/>
      <c r="CE47" s="77"/>
      <c r="CF47" s="77"/>
      <c r="CG47" s="77"/>
      <c r="CH47" s="77"/>
      <c r="CI47" s="77"/>
      <c r="CJ47" s="77"/>
      <c r="CK47" s="77"/>
      <c r="CL47" s="77"/>
      <c r="CM47" s="77"/>
      <c r="CN47" s="77"/>
      <c r="CO47" s="77"/>
      <c r="CP47" s="77"/>
      <c r="CQ47" s="77"/>
      <c r="CR47" s="77"/>
      <c r="CS47" s="77"/>
      <c r="CT47" s="77"/>
      <c r="CU47" s="77"/>
      <c r="CV47" s="77"/>
      <c r="CW47" s="77"/>
      <c r="CX47" s="77"/>
      <c r="CY47" s="77"/>
      <c r="CZ47" s="77"/>
      <c r="DA47" s="77"/>
      <c r="DB47" s="77"/>
      <c r="DC47" s="77"/>
      <c r="DD47" s="77"/>
      <c r="DE47" s="77"/>
      <c r="DF47" s="77"/>
      <c r="DG47" s="77"/>
      <c r="DH47" s="77"/>
      <c r="DI47" s="77"/>
      <c r="DJ47" s="77"/>
      <c r="DK47" s="77"/>
      <c r="DL47" s="77"/>
      <c r="DM47" s="77"/>
      <c r="DN47" s="77"/>
      <c r="DO47" s="77"/>
      <c r="DP47" s="77"/>
      <c r="DQ47" s="77"/>
      <c r="DR47" s="77"/>
      <c r="DS47" s="77"/>
      <c r="DT47" s="77"/>
      <c r="DU47" s="77"/>
      <c r="DV47" s="77"/>
      <c r="DW47" s="77"/>
      <c r="DX47" s="77"/>
      <c r="DY47" s="77"/>
      <c r="DZ47" s="77"/>
      <c r="EA47" s="77"/>
      <c r="EB47" s="77"/>
      <c r="EC47" s="77"/>
      <c r="ED47" s="77"/>
      <c r="EE47" s="77"/>
      <c r="EF47" s="77"/>
      <c r="EG47" s="77"/>
      <c r="EH47" s="77"/>
      <c r="EI47" s="77"/>
      <c r="EJ47" s="77"/>
      <c r="EK47" s="77"/>
      <c r="EL47" s="77"/>
      <c r="EM47" s="77"/>
      <c r="EN47" s="77"/>
      <c r="EO47" s="77"/>
      <c r="EP47" s="77"/>
      <c r="EQ47" s="77"/>
      <c r="ER47" s="77"/>
      <c r="ES47" s="77"/>
      <c r="ET47" s="77"/>
      <c r="EU47" s="77"/>
      <c r="EV47" s="77"/>
      <c r="EW47" s="77"/>
      <c r="EX47" s="77"/>
      <c r="EY47" s="77"/>
      <c r="EZ47" s="77"/>
      <c r="FA47" s="77"/>
      <c r="FB47" s="77"/>
      <c r="FC47" s="77"/>
      <c r="FD47" s="77"/>
      <c r="FE47" s="77"/>
      <c r="FF47" s="77"/>
      <c r="FG47" s="77"/>
      <c r="FH47" s="77"/>
      <c r="FI47" s="77"/>
      <c r="FJ47" s="77"/>
      <c r="FK47" s="77"/>
      <c r="FL47" s="77"/>
      <c r="FM47" s="77"/>
      <c r="FN47" s="77"/>
      <c r="FO47" s="77"/>
      <c r="FP47" s="77"/>
      <c r="FQ47" s="77"/>
      <c r="FR47" s="77"/>
      <c r="FS47" s="77"/>
      <c r="FT47" s="77"/>
      <c r="FU47" s="77"/>
      <c r="FV47" s="77"/>
      <c r="FW47" s="77"/>
      <c r="FX47" s="77"/>
      <c r="FY47" s="77"/>
      <c r="FZ47" s="77"/>
      <c r="GA47" s="77"/>
      <c r="GB47" s="77"/>
      <c r="GC47" s="77"/>
      <c r="GD47" s="77"/>
      <c r="GE47" s="77"/>
      <c r="GF47" s="77"/>
      <c r="GG47" s="77"/>
      <c r="GH47" s="77"/>
      <c r="GI47" s="77"/>
      <c r="GJ47" s="77"/>
      <c r="GK47" s="77"/>
      <c r="GL47" s="77"/>
      <c r="GM47" s="77"/>
      <c r="GN47" s="77"/>
      <c r="GO47" s="77"/>
      <c r="GP47" s="77"/>
      <c r="GQ47" s="77"/>
      <c r="GR47" s="77"/>
      <c r="GS47" s="77"/>
      <c r="GT47" s="77"/>
      <c r="GU47" s="77"/>
      <c r="GV47" s="77"/>
      <c r="GW47" s="77"/>
      <c r="GX47" s="77"/>
      <c r="GY47" s="77"/>
      <c r="GZ47" s="77"/>
      <c r="HA47" s="77"/>
      <c r="HB47" s="77"/>
      <c r="HC47" s="77"/>
      <c r="HD47" s="77"/>
      <c r="HE47" s="77"/>
      <c r="HF47" s="77"/>
      <c r="HG47" s="77"/>
      <c r="HH47" s="77"/>
      <c r="HI47" s="77"/>
      <c r="HJ47" s="77"/>
      <c r="HK47" s="77"/>
      <c r="HL47" s="77"/>
      <c r="HM47" s="77"/>
      <c r="HN47" s="77"/>
      <c r="HO47" s="77"/>
      <c r="HP47" s="77"/>
      <c r="HQ47" s="77"/>
    </row>
    <row r="48" spans="1:225" x14ac:dyDescent="0.3">
      <c r="A48" s="78">
        <f>'Entrada datos'!C45</f>
        <v>0</v>
      </c>
      <c r="B48" s="74">
        <f>'Entrada datos'!D45</f>
        <v>0</v>
      </c>
      <c r="C48" s="75">
        <f>'Entrada datos'!G45</f>
        <v>0</v>
      </c>
      <c r="D48" s="75">
        <f>'Entrada datos'!H45</f>
        <v>0</v>
      </c>
      <c r="E48" s="74">
        <f t="shared" si="1"/>
        <v>0</v>
      </c>
      <c r="F48" s="68" t="str">
        <f t="shared" si="2"/>
        <v>no procede</v>
      </c>
      <c r="G48" s="74">
        <f>'Entrada datos'!P45</f>
        <v>0</v>
      </c>
      <c r="H48" s="74">
        <f>'Entrada datos'!Q45</f>
        <v>0</v>
      </c>
      <c r="I48" s="74">
        <f>'Entrada datos'!R45</f>
        <v>0</v>
      </c>
      <c r="J48" s="74">
        <f>'Entrada datos'!S45</f>
        <v>0</v>
      </c>
      <c r="K48" s="74">
        <f>'Entrada datos'!T45</f>
        <v>0</v>
      </c>
      <c r="L48" s="74">
        <f>'Entrada datos'!U45</f>
        <v>0</v>
      </c>
      <c r="M48" s="76"/>
      <c r="N48" s="76"/>
      <c r="O48" s="76"/>
      <c r="P48" s="76"/>
      <c r="Q48" s="76"/>
      <c r="R48" s="76"/>
      <c r="S48" s="77" t="s">
        <v>74</v>
      </c>
      <c r="T48" s="77"/>
      <c r="U48" s="77"/>
      <c r="V48" s="77">
        <f t="shared" si="3"/>
        <v>0</v>
      </c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  <c r="AW48" s="77"/>
      <c r="AX48" s="77"/>
      <c r="AY48" s="77"/>
      <c r="AZ48" s="77"/>
      <c r="BA48" s="77"/>
      <c r="BB48" s="77"/>
      <c r="BC48" s="77"/>
      <c r="BD48" s="77"/>
      <c r="BE48" s="77"/>
      <c r="BF48" s="77"/>
      <c r="BG48" s="77"/>
      <c r="BH48" s="77"/>
      <c r="BI48" s="77"/>
      <c r="BJ48" s="77"/>
      <c r="BK48" s="77"/>
      <c r="BL48" s="77"/>
      <c r="BM48" s="77"/>
      <c r="BN48" s="77"/>
      <c r="BO48" s="77"/>
      <c r="BP48" s="77"/>
      <c r="BQ48" s="77"/>
      <c r="BR48" s="77"/>
      <c r="BS48" s="77"/>
      <c r="BT48" s="77"/>
      <c r="BU48" s="77"/>
      <c r="BV48" s="77"/>
      <c r="BW48" s="77"/>
      <c r="BX48" s="77"/>
      <c r="BY48" s="77"/>
      <c r="BZ48" s="77"/>
      <c r="CA48" s="77"/>
      <c r="CB48" s="77"/>
      <c r="CC48" s="77"/>
      <c r="CD48" s="77"/>
      <c r="CE48" s="77"/>
      <c r="CF48" s="77"/>
      <c r="CG48" s="77"/>
      <c r="CH48" s="77"/>
      <c r="CI48" s="77"/>
      <c r="CJ48" s="77"/>
      <c r="CK48" s="77"/>
      <c r="CL48" s="77"/>
      <c r="CM48" s="77"/>
      <c r="CN48" s="77"/>
      <c r="CO48" s="77"/>
      <c r="CP48" s="77"/>
      <c r="CQ48" s="77"/>
      <c r="CR48" s="77"/>
      <c r="CS48" s="77"/>
      <c r="CT48" s="77"/>
      <c r="CU48" s="77"/>
      <c r="CV48" s="77"/>
      <c r="CW48" s="77"/>
      <c r="CX48" s="77"/>
      <c r="CY48" s="77"/>
      <c r="CZ48" s="77"/>
      <c r="DA48" s="77"/>
      <c r="DB48" s="77"/>
      <c r="DC48" s="77"/>
      <c r="DD48" s="77"/>
      <c r="DE48" s="77"/>
      <c r="DF48" s="77"/>
      <c r="DG48" s="77"/>
      <c r="DH48" s="77"/>
      <c r="DI48" s="77"/>
      <c r="DJ48" s="77"/>
      <c r="DK48" s="77"/>
      <c r="DL48" s="77"/>
      <c r="DM48" s="77"/>
      <c r="DN48" s="77"/>
      <c r="DO48" s="77"/>
      <c r="DP48" s="77"/>
      <c r="DQ48" s="77"/>
      <c r="DR48" s="77"/>
      <c r="DS48" s="77"/>
      <c r="DT48" s="77"/>
      <c r="DU48" s="77"/>
      <c r="DV48" s="77"/>
      <c r="DW48" s="77"/>
      <c r="DX48" s="77"/>
      <c r="DY48" s="77"/>
      <c r="DZ48" s="77"/>
      <c r="EA48" s="77"/>
      <c r="EB48" s="77"/>
      <c r="EC48" s="77"/>
      <c r="ED48" s="77"/>
      <c r="EE48" s="77"/>
      <c r="EF48" s="77"/>
      <c r="EG48" s="77"/>
      <c r="EH48" s="77"/>
      <c r="EI48" s="77"/>
      <c r="EJ48" s="77"/>
      <c r="EK48" s="77"/>
      <c r="EL48" s="77"/>
      <c r="EM48" s="77"/>
      <c r="EN48" s="77"/>
      <c r="EO48" s="77"/>
      <c r="EP48" s="77"/>
      <c r="EQ48" s="77"/>
      <c r="ER48" s="77"/>
      <c r="ES48" s="77"/>
      <c r="ET48" s="77"/>
      <c r="EU48" s="77"/>
      <c r="EV48" s="77"/>
      <c r="EW48" s="77"/>
      <c r="EX48" s="77"/>
      <c r="EY48" s="77"/>
      <c r="EZ48" s="77"/>
      <c r="FA48" s="77"/>
      <c r="FB48" s="77"/>
      <c r="FC48" s="77"/>
      <c r="FD48" s="77"/>
      <c r="FE48" s="77"/>
      <c r="FF48" s="77"/>
      <c r="FG48" s="77"/>
      <c r="FH48" s="77"/>
      <c r="FI48" s="77"/>
      <c r="FJ48" s="77"/>
      <c r="FK48" s="77"/>
      <c r="FL48" s="77"/>
      <c r="FM48" s="77"/>
      <c r="FN48" s="77"/>
      <c r="FO48" s="77"/>
      <c r="FP48" s="77"/>
      <c r="FQ48" s="77"/>
      <c r="FR48" s="77"/>
      <c r="FS48" s="77"/>
      <c r="FT48" s="77"/>
      <c r="FU48" s="77"/>
      <c r="FV48" s="77"/>
      <c r="FW48" s="77"/>
      <c r="FX48" s="77"/>
      <c r="FY48" s="77"/>
      <c r="FZ48" s="77"/>
      <c r="GA48" s="77"/>
      <c r="GB48" s="77"/>
      <c r="GC48" s="77"/>
      <c r="GD48" s="77"/>
      <c r="GE48" s="77"/>
      <c r="GF48" s="77"/>
      <c r="GG48" s="77"/>
      <c r="GH48" s="77"/>
      <c r="GI48" s="77"/>
      <c r="GJ48" s="77"/>
      <c r="GK48" s="77"/>
      <c r="GL48" s="77"/>
      <c r="GM48" s="77"/>
      <c r="GN48" s="77"/>
      <c r="GO48" s="77"/>
      <c r="GP48" s="77"/>
      <c r="GQ48" s="77"/>
      <c r="GR48" s="77"/>
      <c r="GS48" s="77"/>
      <c r="GT48" s="77"/>
      <c r="GU48" s="77"/>
      <c r="GV48" s="77"/>
      <c r="GW48" s="77"/>
      <c r="GX48" s="77"/>
      <c r="GY48" s="77"/>
      <c r="GZ48" s="77"/>
      <c r="HA48" s="77"/>
      <c r="HB48" s="77"/>
      <c r="HC48" s="77"/>
      <c r="HD48" s="77"/>
      <c r="HE48" s="77"/>
      <c r="HF48" s="77"/>
      <c r="HG48" s="77"/>
      <c r="HH48" s="77"/>
      <c r="HI48" s="77"/>
      <c r="HJ48" s="77"/>
      <c r="HK48" s="77"/>
      <c r="HL48" s="77"/>
      <c r="HM48" s="77"/>
      <c r="HN48" s="77"/>
      <c r="HO48" s="77"/>
      <c r="HP48" s="77"/>
      <c r="HQ48" s="77"/>
    </row>
    <row r="49" spans="1:225" x14ac:dyDescent="0.3">
      <c r="A49" s="78">
        <f>'Entrada datos'!C46</f>
        <v>0</v>
      </c>
      <c r="B49" s="74">
        <f>'Entrada datos'!D46</f>
        <v>0</v>
      </c>
      <c r="C49" s="75">
        <f>'Entrada datos'!G46</f>
        <v>0</v>
      </c>
      <c r="D49" s="75">
        <f>'Entrada datos'!H46</f>
        <v>0</v>
      </c>
      <c r="E49" s="74">
        <f t="shared" si="1"/>
        <v>0</v>
      </c>
      <c r="F49" s="68" t="str">
        <f t="shared" si="2"/>
        <v>no procede</v>
      </c>
      <c r="G49" s="74">
        <f>'Entrada datos'!P46</f>
        <v>0</v>
      </c>
      <c r="H49" s="74">
        <f>'Entrada datos'!Q46</f>
        <v>0</v>
      </c>
      <c r="I49" s="74">
        <f>'Entrada datos'!R46</f>
        <v>0</v>
      </c>
      <c r="J49" s="74">
        <f>'Entrada datos'!S46</f>
        <v>0</v>
      </c>
      <c r="K49" s="74">
        <f>'Entrada datos'!T46</f>
        <v>0</v>
      </c>
      <c r="L49" s="74">
        <f>'Entrada datos'!U46</f>
        <v>0</v>
      </c>
      <c r="M49" s="76"/>
      <c r="N49" s="76"/>
      <c r="O49" s="76"/>
      <c r="P49" s="76"/>
      <c r="Q49" s="76"/>
      <c r="R49" s="76"/>
      <c r="S49" s="77" t="s">
        <v>74</v>
      </c>
      <c r="T49" s="77"/>
      <c r="U49" s="77"/>
      <c r="V49" s="77">
        <f t="shared" si="3"/>
        <v>0</v>
      </c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  <c r="AW49" s="77"/>
      <c r="AX49" s="77"/>
      <c r="AY49" s="77"/>
      <c r="AZ49" s="77"/>
      <c r="BA49" s="77"/>
      <c r="BB49" s="77"/>
      <c r="BC49" s="77"/>
      <c r="BD49" s="77"/>
      <c r="BE49" s="77"/>
      <c r="BF49" s="77"/>
      <c r="BG49" s="77"/>
      <c r="BH49" s="77"/>
      <c r="BI49" s="77"/>
      <c r="BJ49" s="77"/>
      <c r="BK49" s="77"/>
      <c r="BL49" s="77"/>
      <c r="BM49" s="77"/>
      <c r="BN49" s="77"/>
      <c r="BO49" s="77"/>
      <c r="BP49" s="77"/>
      <c r="BQ49" s="77"/>
      <c r="BR49" s="77"/>
      <c r="BS49" s="77"/>
      <c r="BT49" s="77"/>
      <c r="BU49" s="77"/>
      <c r="BV49" s="77"/>
      <c r="BW49" s="77"/>
      <c r="BX49" s="77"/>
      <c r="BY49" s="77"/>
      <c r="BZ49" s="77"/>
      <c r="CA49" s="77"/>
      <c r="CB49" s="77"/>
      <c r="CC49" s="77"/>
      <c r="CD49" s="77"/>
      <c r="CE49" s="77"/>
      <c r="CF49" s="77"/>
      <c r="CG49" s="77"/>
      <c r="CH49" s="77"/>
      <c r="CI49" s="77"/>
      <c r="CJ49" s="77"/>
      <c r="CK49" s="77"/>
      <c r="CL49" s="77"/>
      <c r="CM49" s="77"/>
      <c r="CN49" s="77"/>
      <c r="CO49" s="77"/>
      <c r="CP49" s="77"/>
      <c r="CQ49" s="77"/>
      <c r="CR49" s="77"/>
      <c r="CS49" s="77"/>
      <c r="CT49" s="77"/>
      <c r="CU49" s="77"/>
      <c r="CV49" s="77"/>
      <c r="CW49" s="77"/>
      <c r="CX49" s="77"/>
      <c r="CY49" s="77"/>
      <c r="CZ49" s="77"/>
      <c r="DA49" s="77"/>
      <c r="DB49" s="77"/>
      <c r="DC49" s="77"/>
      <c r="DD49" s="77"/>
      <c r="DE49" s="77"/>
      <c r="DF49" s="77"/>
      <c r="DG49" s="77"/>
      <c r="DH49" s="77"/>
      <c r="DI49" s="77"/>
      <c r="DJ49" s="77"/>
      <c r="DK49" s="77"/>
      <c r="DL49" s="77"/>
      <c r="DM49" s="77"/>
      <c r="DN49" s="77"/>
      <c r="DO49" s="77"/>
      <c r="DP49" s="77"/>
      <c r="DQ49" s="77"/>
      <c r="DR49" s="77"/>
      <c r="DS49" s="77"/>
      <c r="DT49" s="77"/>
      <c r="DU49" s="77"/>
      <c r="DV49" s="77"/>
      <c r="DW49" s="77"/>
      <c r="DX49" s="77"/>
      <c r="DY49" s="77"/>
      <c r="DZ49" s="77"/>
      <c r="EA49" s="77"/>
      <c r="EB49" s="77"/>
      <c r="EC49" s="77"/>
      <c r="ED49" s="77"/>
      <c r="EE49" s="77"/>
      <c r="EF49" s="77"/>
      <c r="EG49" s="77"/>
      <c r="EH49" s="77"/>
      <c r="EI49" s="77"/>
      <c r="EJ49" s="77"/>
      <c r="EK49" s="77"/>
      <c r="EL49" s="77"/>
      <c r="EM49" s="77"/>
      <c r="EN49" s="77"/>
      <c r="EO49" s="77"/>
      <c r="EP49" s="77"/>
      <c r="EQ49" s="77"/>
      <c r="ER49" s="77"/>
      <c r="ES49" s="77"/>
      <c r="ET49" s="77"/>
      <c r="EU49" s="77"/>
      <c r="EV49" s="77"/>
      <c r="EW49" s="77"/>
      <c r="EX49" s="77"/>
      <c r="EY49" s="77"/>
      <c r="EZ49" s="77"/>
      <c r="FA49" s="77"/>
      <c r="FB49" s="77"/>
      <c r="FC49" s="77"/>
      <c r="FD49" s="77"/>
      <c r="FE49" s="77"/>
      <c r="FF49" s="77"/>
      <c r="FG49" s="77"/>
      <c r="FH49" s="77"/>
      <c r="FI49" s="77"/>
      <c r="FJ49" s="77"/>
      <c r="FK49" s="77"/>
      <c r="FL49" s="77"/>
      <c r="FM49" s="77"/>
      <c r="FN49" s="77"/>
      <c r="FO49" s="77"/>
      <c r="FP49" s="77"/>
      <c r="FQ49" s="77"/>
      <c r="FR49" s="77"/>
      <c r="FS49" s="77"/>
      <c r="FT49" s="77"/>
      <c r="FU49" s="77"/>
      <c r="FV49" s="77"/>
      <c r="FW49" s="77"/>
      <c r="FX49" s="77"/>
      <c r="FY49" s="77"/>
      <c r="FZ49" s="77"/>
      <c r="GA49" s="77"/>
      <c r="GB49" s="77"/>
      <c r="GC49" s="77"/>
      <c r="GD49" s="77"/>
      <c r="GE49" s="77"/>
      <c r="GF49" s="77"/>
      <c r="GG49" s="77"/>
      <c r="GH49" s="77"/>
      <c r="GI49" s="77"/>
      <c r="GJ49" s="77"/>
      <c r="GK49" s="77"/>
      <c r="GL49" s="77"/>
      <c r="GM49" s="77"/>
      <c r="GN49" s="77"/>
      <c r="GO49" s="77"/>
      <c r="GP49" s="77"/>
      <c r="GQ49" s="77"/>
      <c r="GR49" s="77"/>
      <c r="GS49" s="77"/>
      <c r="GT49" s="77"/>
      <c r="GU49" s="77"/>
      <c r="GV49" s="77"/>
      <c r="GW49" s="77"/>
      <c r="GX49" s="77"/>
      <c r="GY49" s="77"/>
      <c r="GZ49" s="77"/>
      <c r="HA49" s="77"/>
      <c r="HB49" s="77"/>
      <c r="HC49" s="77"/>
      <c r="HD49" s="77"/>
      <c r="HE49" s="77"/>
      <c r="HF49" s="77"/>
      <c r="HG49" s="77"/>
      <c r="HH49" s="77"/>
      <c r="HI49" s="77"/>
      <c r="HJ49" s="77"/>
      <c r="HK49" s="77"/>
      <c r="HL49" s="77"/>
      <c r="HM49" s="77"/>
      <c r="HN49" s="77"/>
      <c r="HO49" s="77"/>
      <c r="HP49" s="77"/>
      <c r="HQ49" s="77"/>
    </row>
    <row r="50" spans="1:225" x14ac:dyDescent="0.3">
      <c r="A50" s="78">
        <f>'Entrada datos'!C47</f>
        <v>0</v>
      </c>
      <c r="B50" s="74">
        <f>'Entrada datos'!D47</f>
        <v>0</v>
      </c>
      <c r="C50" s="75">
        <f>'Entrada datos'!G47</f>
        <v>0</v>
      </c>
      <c r="D50" s="75">
        <f>'Entrada datos'!H47</f>
        <v>0</v>
      </c>
      <c r="E50" s="74">
        <f t="shared" si="1"/>
        <v>0</v>
      </c>
      <c r="F50" s="68" t="str">
        <f t="shared" si="2"/>
        <v>no procede</v>
      </c>
      <c r="G50" s="74">
        <f>'Entrada datos'!P47</f>
        <v>0</v>
      </c>
      <c r="H50" s="74">
        <f>'Entrada datos'!Q47</f>
        <v>0</v>
      </c>
      <c r="I50" s="74">
        <f>'Entrada datos'!R47</f>
        <v>0</v>
      </c>
      <c r="J50" s="74">
        <f>'Entrada datos'!S47</f>
        <v>0</v>
      </c>
      <c r="K50" s="74">
        <f>'Entrada datos'!T47</f>
        <v>0</v>
      </c>
      <c r="L50" s="74">
        <f>'Entrada datos'!U47</f>
        <v>0</v>
      </c>
      <c r="M50" s="76"/>
      <c r="N50" s="76"/>
      <c r="O50" s="76"/>
      <c r="P50" s="76"/>
      <c r="Q50" s="76"/>
      <c r="R50" s="76"/>
      <c r="S50" s="77" t="s">
        <v>74</v>
      </c>
      <c r="T50" s="77"/>
      <c r="U50" s="77"/>
      <c r="V50" s="77">
        <f t="shared" si="3"/>
        <v>0</v>
      </c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  <c r="AW50" s="77"/>
      <c r="AX50" s="77"/>
      <c r="AY50" s="77"/>
      <c r="AZ50" s="77"/>
      <c r="BA50" s="77"/>
      <c r="BB50" s="77"/>
      <c r="BC50" s="77"/>
      <c r="BD50" s="77"/>
      <c r="BE50" s="77"/>
      <c r="BF50" s="77"/>
      <c r="BG50" s="77"/>
      <c r="BH50" s="77"/>
      <c r="BI50" s="77"/>
      <c r="BJ50" s="77"/>
      <c r="BK50" s="77"/>
      <c r="BL50" s="77"/>
      <c r="BM50" s="77"/>
      <c r="BN50" s="77"/>
      <c r="BO50" s="77"/>
      <c r="BP50" s="77"/>
      <c r="BQ50" s="77"/>
      <c r="BR50" s="77"/>
      <c r="BS50" s="77"/>
      <c r="BT50" s="77"/>
      <c r="BU50" s="77"/>
      <c r="BV50" s="77"/>
      <c r="BW50" s="77"/>
      <c r="BX50" s="77"/>
      <c r="BY50" s="77"/>
      <c r="BZ50" s="77"/>
      <c r="CA50" s="77"/>
      <c r="CB50" s="77"/>
      <c r="CC50" s="77"/>
      <c r="CD50" s="77"/>
      <c r="CE50" s="77"/>
      <c r="CF50" s="77"/>
      <c r="CG50" s="77"/>
      <c r="CH50" s="77"/>
      <c r="CI50" s="77"/>
      <c r="CJ50" s="77"/>
      <c r="CK50" s="77"/>
      <c r="CL50" s="77"/>
      <c r="CM50" s="77"/>
      <c r="CN50" s="77"/>
      <c r="CO50" s="77"/>
      <c r="CP50" s="77"/>
      <c r="CQ50" s="77"/>
      <c r="CR50" s="77"/>
      <c r="CS50" s="77"/>
      <c r="CT50" s="77"/>
      <c r="CU50" s="77"/>
      <c r="CV50" s="77"/>
      <c r="CW50" s="77"/>
      <c r="CX50" s="77"/>
      <c r="CY50" s="77"/>
      <c r="CZ50" s="77"/>
      <c r="DA50" s="77"/>
      <c r="DB50" s="77"/>
      <c r="DC50" s="77"/>
      <c r="DD50" s="77"/>
      <c r="DE50" s="77"/>
      <c r="DF50" s="77"/>
      <c r="DG50" s="77"/>
      <c r="DH50" s="77"/>
      <c r="DI50" s="77"/>
      <c r="DJ50" s="77"/>
      <c r="DK50" s="77"/>
      <c r="DL50" s="77"/>
      <c r="DM50" s="77"/>
      <c r="DN50" s="77"/>
      <c r="DO50" s="77"/>
      <c r="DP50" s="77"/>
      <c r="DQ50" s="77"/>
      <c r="DR50" s="77"/>
      <c r="DS50" s="77"/>
      <c r="DT50" s="77"/>
      <c r="DU50" s="77"/>
      <c r="DV50" s="77"/>
      <c r="DW50" s="77"/>
      <c r="DX50" s="77"/>
      <c r="DY50" s="77"/>
      <c r="DZ50" s="77"/>
      <c r="EA50" s="77"/>
      <c r="EB50" s="77"/>
      <c r="EC50" s="77"/>
      <c r="ED50" s="77"/>
      <c r="EE50" s="77"/>
      <c r="EF50" s="77"/>
      <c r="EG50" s="77"/>
      <c r="EH50" s="77"/>
      <c r="EI50" s="77"/>
      <c r="EJ50" s="77"/>
      <c r="EK50" s="77"/>
      <c r="EL50" s="77"/>
      <c r="EM50" s="77"/>
      <c r="EN50" s="77"/>
      <c r="EO50" s="77"/>
      <c r="EP50" s="77"/>
      <c r="EQ50" s="77"/>
      <c r="ER50" s="77"/>
      <c r="ES50" s="77"/>
      <c r="ET50" s="77"/>
      <c r="EU50" s="77"/>
      <c r="EV50" s="77"/>
      <c r="EW50" s="77"/>
      <c r="EX50" s="77"/>
      <c r="EY50" s="77"/>
      <c r="EZ50" s="77"/>
      <c r="FA50" s="77"/>
      <c r="FB50" s="77"/>
      <c r="FC50" s="77"/>
      <c r="FD50" s="77"/>
      <c r="FE50" s="77"/>
      <c r="FF50" s="77"/>
      <c r="FG50" s="77"/>
      <c r="FH50" s="77"/>
      <c r="FI50" s="77"/>
      <c r="FJ50" s="77"/>
      <c r="FK50" s="77"/>
      <c r="FL50" s="77"/>
      <c r="FM50" s="77"/>
      <c r="FN50" s="77"/>
      <c r="FO50" s="77"/>
      <c r="FP50" s="77"/>
      <c r="FQ50" s="77"/>
      <c r="FR50" s="77"/>
      <c r="FS50" s="77"/>
      <c r="FT50" s="77"/>
      <c r="FU50" s="77"/>
      <c r="FV50" s="77"/>
      <c r="FW50" s="77"/>
      <c r="FX50" s="77"/>
      <c r="FY50" s="77"/>
      <c r="FZ50" s="77"/>
      <c r="GA50" s="77"/>
      <c r="GB50" s="77"/>
      <c r="GC50" s="77"/>
      <c r="GD50" s="77"/>
      <c r="GE50" s="77"/>
      <c r="GF50" s="77"/>
      <c r="GG50" s="77"/>
      <c r="GH50" s="77"/>
      <c r="GI50" s="77"/>
      <c r="GJ50" s="77"/>
      <c r="GK50" s="77"/>
      <c r="GL50" s="77"/>
      <c r="GM50" s="77"/>
      <c r="GN50" s="77"/>
      <c r="GO50" s="77"/>
      <c r="GP50" s="77"/>
      <c r="GQ50" s="77"/>
      <c r="GR50" s="77"/>
      <c r="GS50" s="77"/>
      <c r="GT50" s="77"/>
      <c r="GU50" s="77"/>
      <c r="GV50" s="77"/>
      <c r="GW50" s="77"/>
      <c r="GX50" s="77"/>
      <c r="GY50" s="77"/>
      <c r="GZ50" s="77"/>
      <c r="HA50" s="77"/>
      <c r="HB50" s="77"/>
      <c r="HC50" s="77"/>
      <c r="HD50" s="77"/>
      <c r="HE50" s="77"/>
      <c r="HF50" s="77"/>
      <c r="HG50" s="77"/>
      <c r="HH50" s="77"/>
      <c r="HI50" s="77"/>
      <c r="HJ50" s="77"/>
      <c r="HK50" s="77"/>
      <c r="HL50" s="77"/>
      <c r="HM50" s="77"/>
      <c r="HN50" s="77"/>
      <c r="HO50" s="77"/>
      <c r="HP50" s="77"/>
      <c r="HQ50" s="77"/>
    </row>
    <row r="51" spans="1:225" x14ac:dyDescent="0.3">
      <c r="A51" s="78">
        <f>'Entrada datos'!C48</f>
        <v>0</v>
      </c>
      <c r="B51" s="74">
        <f>'Entrada datos'!D48</f>
        <v>0</v>
      </c>
      <c r="C51" s="75">
        <f>'Entrada datos'!G48</f>
        <v>0</v>
      </c>
      <c r="D51" s="75">
        <f>'Entrada datos'!H48</f>
        <v>0</v>
      </c>
      <c r="E51" s="74">
        <f t="shared" si="1"/>
        <v>0</v>
      </c>
      <c r="F51" s="68" t="str">
        <f t="shared" si="2"/>
        <v>no procede</v>
      </c>
      <c r="G51" s="74">
        <f>'Entrada datos'!P48</f>
        <v>0</v>
      </c>
      <c r="H51" s="74">
        <f>'Entrada datos'!Q48</f>
        <v>0</v>
      </c>
      <c r="I51" s="74">
        <f>'Entrada datos'!R48</f>
        <v>0</v>
      </c>
      <c r="J51" s="74">
        <f>'Entrada datos'!S48</f>
        <v>0</v>
      </c>
      <c r="K51" s="74">
        <f>'Entrada datos'!T48</f>
        <v>0</v>
      </c>
      <c r="L51" s="74">
        <f>'Entrada datos'!U48</f>
        <v>0</v>
      </c>
      <c r="M51" s="76"/>
      <c r="N51" s="76"/>
      <c r="O51" s="76"/>
      <c r="P51" s="76"/>
      <c r="Q51" s="76"/>
      <c r="R51" s="76"/>
      <c r="S51" s="77" t="s">
        <v>74</v>
      </c>
      <c r="T51" s="77"/>
      <c r="U51" s="77"/>
      <c r="V51" s="77">
        <f t="shared" si="3"/>
        <v>0</v>
      </c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  <c r="AW51" s="77"/>
      <c r="AX51" s="77"/>
      <c r="AY51" s="77"/>
      <c r="AZ51" s="77"/>
      <c r="BA51" s="77"/>
      <c r="BB51" s="77"/>
      <c r="BC51" s="77"/>
      <c r="BD51" s="77"/>
      <c r="BE51" s="77"/>
      <c r="BF51" s="77"/>
      <c r="BG51" s="77"/>
      <c r="BH51" s="77"/>
      <c r="BI51" s="77"/>
      <c r="BJ51" s="77"/>
      <c r="BK51" s="77"/>
      <c r="BL51" s="77"/>
      <c r="BM51" s="77"/>
      <c r="BN51" s="77"/>
      <c r="BO51" s="77"/>
      <c r="BP51" s="77"/>
      <c r="BQ51" s="77"/>
      <c r="BR51" s="77"/>
      <c r="BS51" s="77"/>
      <c r="BT51" s="77"/>
      <c r="BU51" s="77"/>
      <c r="BV51" s="77"/>
      <c r="BW51" s="77"/>
      <c r="BX51" s="77"/>
      <c r="BY51" s="77"/>
      <c r="BZ51" s="77"/>
      <c r="CA51" s="77"/>
      <c r="CB51" s="77"/>
      <c r="CC51" s="77"/>
      <c r="CD51" s="77"/>
      <c r="CE51" s="77"/>
      <c r="CF51" s="77"/>
      <c r="CG51" s="77"/>
      <c r="CH51" s="77"/>
      <c r="CI51" s="77"/>
      <c r="CJ51" s="77"/>
      <c r="CK51" s="77"/>
      <c r="CL51" s="77"/>
      <c r="CM51" s="77"/>
      <c r="CN51" s="77"/>
      <c r="CO51" s="77"/>
      <c r="CP51" s="77"/>
      <c r="CQ51" s="77"/>
      <c r="CR51" s="77"/>
      <c r="CS51" s="77"/>
      <c r="CT51" s="77"/>
      <c r="CU51" s="77"/>
      <c r="CV51" s="77"/>
      <c r="CW51" s="77"/>
      <c r="CX51" s="77"/>
      <c r="CY51" s="77"/>
      <c r="CZ51" s="77"/>
      <c r="DA51" s="77"/>
      <c r="DB51" s="77"/>
      <c r="DC51" s="77"/>
      <c r="DD51" s="77"/>
      <c r="DE51" s="77"/>
      <c r="DF51" s="77"/>
      <c r="DG51" s="77"/>
      <c r="DH51" s="77"/>
      <c r="DI51" s="77"/>
      <c r="DJ51" s="77"/>
      <c r="DK51" s="77"/>
      <c r="DL51" s="77"/>
      <c r="DM51" s="77"/>
      <c r="DN51" s="77"/>
      <c r="DO51" s="77"/>
      <c r="DP51" s="77"/>
      <c r="DQ51" s="77"/>
      <c r="DR51" s="77"/>
      <c r="DS51" s="77"/>
      <c r="DT51" s="77"/>
      <c r="DU51" s="77"/>
      <c r="DV51" s="77"/>
      <c r="DW51" s="77"/>
      <c r="DX51" s="77"/>
      <c r="DY51" s="77"/>
      <c r="DZ51" s="77"/>
      <c r="EA51" s="77"/>
      <c r="EB51" s="77"/>
      <c r="EC51" s="77"/>
      <c r="ED51" s="77"/>
      <c r="EE51" s="77"/>
      <c r="EF51" s="77"/>
      <c r="EG51" s="77"/>
      <c r="EH51" s="77"/>
      <c r="EI51" s="77"/>
      <c r="EJ51" s="77"/>
      <c r="EK51" s="77"/>
      <c r="EL51" s="77"/>
      <c r="EM51" s="77"/>
      <c r="EN51" s="77"/>
      <c r="EO51" s="77"/>
      <c r="EP51" s="77"/>
      <c r="EQ51" s="77"/>
      <c r="ER51" s="77"/>
      <c r="ES51" s="77"/>
      <c r="ET51" s="77"/>
      <c r="EU51" s="77"/>
      <c r="EV51" s="77"/>
      <c r="EW51" s="77"/>
      <c r="EX51" s="77"/>
      <c r="EY51" s="77"/>
      <c r="EZ51" s="77"/>
      <c r="FA51" s="77"/>
      <c r="FB51" s="77"/>
      <c r="FC51" s="77"/>
      <c r="FD51" s="77"/>
      <c r="FE51" s="77"/>
      <c r="FF51" s="77"/>
      <c r="FG51" s="77"/>
      <c r="FH51" s="77"/>
      <c r="FI51" s="77"/>
      <c r="FJ51" s="77"/>
      <c r="FK51" s="77"/>
      <c r="FL51" s="77"/>
      <c r="FM51" s="77"/>
      <c r="FN51" s="77"/>
      <c r="FO51" s="77"/>
      <c r="FP51" s="77"/>
      <c r="FQ51" s="77"/>
      <c r="FR51" s="77"/>
      <c r="FS51" s="77"/>
      <c r="FT51" s="77"/>
      <c r="FU51" s="77"/>
      <c r="FV51" s="77"/>
      <c r="FW51" s="77"/>
      <c r="FX51" s="77"/>
      <c r="FY51" s="77"/>
      <c r="FZ51" s="77"/>
      <c r="GA51" s="77"/>
      <c r="GB51" s="77"/>
      <c r="GC51" s="77"/>
      <c r="GD51" s="77"/>
      <c r="GE51" s="77"/>
      <c r="GF51" s="77"/>
      <c r="GG51" s="77"/>
      <c r="GH51" s="77"/>
      <c r="GI51" s="77"/>
      <c r="GJ51" s="77"/>
      <c r="GK51" s="77"/>
      <c r="GL51" s="77"/>
      <c r="GM51" s="77"/>
      <c r="GN51" s="77"/>
      <c r="GO51" s="77"/>
      <c r="GP51" s="77"/>
      <c r="GQ51" s="77"/>
      <c r="GR51" s="77"/>
      <c r="GS51" s="77"/>
      <c r="GT51" s="77"/>
      <c r="GU51" s="77"/>
      <c r="GV51" s="77"/>
      <c r="GW51" s="77"/>
      <c r="GX51" s="77"/>
      <c r="GY51" s="77"/>
      <c r="GZ51" s="77"/>
      <c r="HA51" s="77"/>
      <c r="HB51" s="77"/>
      <c r="HC51" s="77"/>
      <c r="HD51" s="77"/>
      <c r="HE51" s="77"/>
      <c r="HF51" s="77"/>
      <c r="HG51" s="77"/>
      <c r="HH51" s="77"/>
      <c r="HI51" s="77"/>
      <c r="HJ51" s="77"/>
      <c r="HK51" s="77"/>
      <c r="HL51" s="77"/>
      <c r="HM51" s="77"/>
      <c r="HN51" s="77"/>
      <c r="HO51" s="77"/>
      <c r="HP51" s="77"/>
      <c r="HQ51" s="77"/>
    </row>
    <row r="52" spans="1:225" x14ac:dyDescent="0.3">
      <c r="A52" s="78">
        <f>'Entrada datos'!C49</f>
        <v>0</v>
      </c>
      <c r="B52" s="74">
        <f>'Entrada datos'!D49</f>
        <v>0</v>
      </c>
      <c r="C52" s="75">
        <f>'Entrada datos'!G49</f>
        <v>0</v>
      </c>
      <c r="D52" s="75">
        <f>'Entrada datos'!H49</f>
        <v>0</v>
      </c>
      <c r="E52" s="74">
        <f t="shared" si="1"/>
        <v>0</v>
      </c>
      <c r="F52" s="68" t="str">
        <f t="shared" si="2"/>
        <v>no procede</v>
      </c>
      <c r="G52" s="74">
        <f>'Entrada datos'!P49</f>
        <v>0</v>
      </c>
      <c r="H52" s="74">
        <f>'Entrada datos'!Q49</f>
        <v>0</v>
      </c>
      <c r="I52" s="74">
        <f>'Entrada datos'!R49</f>
        <v>0</v>
      </c>
      <c r="J52" s="74">
        <f>'Entrada datos'!S49</f>
        <v>0</v>
      </c>
      <c r="K52" s="74">
        <f>'Entrada datos'!T49</f>
        <v>0</v>
      </c>
      <c r="L52" s="74">
        <f>'Entrada datos'!U49</f>
        <v>0</v>
      </c>
      <c r="M52" s="76"/>
      <c r="N52" s="76"/>
      <c r="O52" s="76"/>
      <c r="P52" s="76"/>
      <c r="Q52" s="76"/>
      <c r="R52" s="76"/>
      <c r="S52" s="77" t="s">
        <v>74</v>
      </c>
      <c r="T52" s="77"/>
      <c r="U52" s="77"/>
      <c r="V52" s="77">
        <f t="shared" si="3"/>
        <v>0</v>
      </c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  <c r="AO52" s="77"/>
      <c r="AP52" s="77"/>
      <c r="AQ52" s="77"/>
      <c r="AR52" s="77"/>
      <c r="AS52" s="77"/>
      <c r="AT52" s="77"/>
      <c r="AU52" s="77"/>
      <c r="AV52" s="77"/>
      <c r="AW52" s="77"/>
      <c r="AX52" s="77"/>
      <c r="AY52" s="77"/>
      <c r="AZ52" s="77"/>
      <c r="BA52" s="77"/>
      <c r="BB52" s="77"/>
      <c r="BC52" s="77"/>
      <c r="BD52" s="77"/>
      <c r="BE52" s="77"/>
      <c r="BF52" s="77"/>
      <c r="BG52" s="77"/>
      <c r="BH52" s="77"/>
      <c r="BI52" s="77"/>
      <c r="BJ52" s="77"/>
      <c r="BK52" s="77"/>
      <c r="BL52" s="77"/>
      <c r="BM52" s="77"/>
      <c r="BN52" s="77"/>
      <c r="BO52" s="77"/>
      <c r="BP52" s="77"/>
      <c r="BQ52" s="77"/>
      <c r="BR52" s="77"/>
      <c r="BS52" s="77"/>
      <c r="BT52" s="77"/>
      <c r="BU52" s="77"/>
      <c r="BV52" s="77"/>
      <c r="BW52" s="77"/>
      <c r="BX52" s="77"/>
      <c r="BY52" s="77"/>
      <c r="BZ52" s="77"/>
      <c r="CA52" s="77"/>
      <c r="CB52" s="77"/>
      <c r="CC52" s="77"/>
      <c r="CD52" s="77"/>
      <c r="CE52" s="77"/>
      <c r="CF52" s="77"/>
      <c r="CG52" s="77"/>
      <c r="CH52" s="77"/>
      <c r="CI52" s="77"/>
      <c r="CJ52" s="77"/>
      <c r="CK52" s="77"/>
      <c r="CL52" s="77"/>
      <c r="CM52" s="77"/>
      <c r="CN52" s="77"/>
      <c r="CO52" s="77"/>
      <c r="CP52" s="77"/>
      <c r="CQ52" s="77"/>
      <c r="CR52" s="77"/>
      <c r="CS52" s="77"/>
      <c r="CT52" s="77"/>
      <c r="CU52" s="77"/>
      <c r="CV52" s="77"/>
      <c r="CW52" s="77"/>
      <c r="CX52" s="77"/>
      <c r="CY52" s="77"/>
      <c r="CZ52" s="77"/>
      <c r="DA52" s="77"/>
      <c r="DB52" s="77"/>
      <c r="DC52" s="77"/>
      <c r="DD52" s="77"/>
      <c r="DE52" s="77"/>
      <c r="DF52" s="77"/>
      <c r="DG52" s="77"/>
      <c r="DH52" s="77"/>
      <c r="DI52" s="77"/>
      <c r="DJ52" s="77"/>
      <c r="DK52" s="77"/>
      <c r="DL52" s="77"/>
      <c r="DM52" s="77"/>
      <c r="DN52" s="77"/>
      <c r="DO52" s="77"/>
      <c r="DP52" s="77"/>
      <c r="DQ52" s="77"/>
      <c r="DR52" s="77"/>
      <c r="DS52" s="77"/>
      <c r="DT52" s="77"/>
      <c r="DU52" s="77"/>
      <c r="DV52" s="77"/>
      <c r="DW52" s="77"/>
      <c r="DX52" s="77"/>
      <c r="DY52" s="77"/>
      <c r="DZ52" s="77"/>
      <c r="EA52" s="77"/>
      <c r="EB52" s="77"/>
      <c r="EC52" s="77"/>
      <c r="ED52" s="77"/>
      <c r="EE52" s="77"/>
      <c r="EF52" s="77"/>
      <c r="EG52" s="77"/>
      <c r="EH52" s="77"/>
      <c r="EI52" s="77"/>
      <c r="EJ52" s="77"/>
      <c r="EK52" s="77"/>
      <c r="EL52" s="77"/>
      <c r="EM52" s="77"/>
      <c r="EN52" s="77"/>
      <c r="EO52" s="77"/>
      <c r="EP52" s="77"/>
      <c r="EQ52" s="77"/>
      <c r="ER52" s="77"/>
      <c r="ES52" s="77"/>
      <c r="ET52" s="77"/>
      <c r="EU52" s="77"/>
      <c r="EV52" s="77"/>
      <c r="EW52" s="77"/>
      <c r="EX52" s="77"/>
      <c r="EY52" s="77"/>
      <c r="EZ52" s="77"/>
      <c r="FA52" s="77"/>
      <c r="FB52" s="77"/>
      <c r="FC52" s="77"/>
      <c r="FD52" s="77"/>
      <c r="FE52" s="77"/>
      <c r="FF52" s="77"/>
      <c r="FG52" s="77"/>
      <c r="FH52" s="77"/>
      <c r="FI52" s="77"/>
      <c r="FJ52" s="77"/>
      <c r="FK52" s="77"/>
      <c r="FL52" s="77"/>
      <c r="FM52" s="77"/>
      <c r="FN52" s="77"/>
      <c r="FO52" s="77"/>
      <c r="FP52" s="77"/>
      <c r="FQ52" s="77"/>
      <c r="FR52" s="77"/>
      <c r="FS52" s="77"/>
      <c r="FT52" s="77"/>
      <c r="FU52" s="77"/>
      <c r="FV52" s="77"/>
      <c r="FW52" s="77"/>
      <c r="FX52" s="77"/>
      <c r="FY52" s="77"/>
      <c r="FZ52" s="77"/>
      <c r="GA52" s="77"/>
      <c r="GB52" s="77"/>
      <c r="GC52" s="77"/>
      <c r="GD52" s="77"/>
      <c r="GE52" s="77"/>
      <c r="GF52" s="77"/>
      <c r="GG52" s="77"/>
      <c r="GH52" s="77"/>
      <c r="GI52" s="77"/>
      <c r="GJ52" s="77"/>
      <c r="GK52" s="77"/>
      <c r="GL52" s="77"/>
      <c r="GM52" s="77"/>
      <c r="GN52" s="77"/>
      <c r="GO52" s="77"/>
      <c r="GP52" s="77"/>
      <c r="GQ52" s="77"/>
      <c r="GR52" s="77"/>
      <c r="GS52" s="77"/>
      <c r="GT52" s="77"/>
      <c r="GU52" s="77"/>
      <c r="GV52" s="77"/>
      <c r="GW52" s="77"/>
      <c r="GX52" s="77"/>
      <c r="GY52" s="77"/>
      <c r="GZ52" s="77"/>
      <c r="HA52" s="77"/>
      <c r="HB52" s="77"/>
      <c r="HC52" s="77"/>
      <c r="HD52" s="77"/>
      <c r="HE52" s="77"/>
      <c r="HF52" s="77"/>
      <c r="HG52" s="77"/>
      <c r="HH52" s="77"/>
      <c r="HI52" s="77"/>
      <c r="HJ52" s="77"/>
      <c r="HK52" s="77"/>
      <c r="HL52" s="77"/>
      <c r="HM52" s="77"/>
      <c r="HN52" s="77"/>
      <c r="HO52" s="77"/>
      <c r="HP52" s="77"/>
      <c r="HQ52" s="77"/>
    </row>
    <row r="53" spans="1:225" x14ac:dyDescent="0.3">
      <c r="A53" s="78">
        <f>'Entrada datos'!C50</f>
        <v>0</v>
      </c>
      <c r="B53" s="74">
        <f>'Entrada datos'!D50</f>
        <v>0</v>
      </c>
      <c r="C53" s="75">
        <f>'Entrada datos'!G50</f>
        <v>0</v>
      </c>
      <c r="D53" s="75">
        <f>'Entrada datos'!H50</f>
        <v>0</v>
      </c>
      <c r="E53" s="74">
        <f t="shared" si="1"/>
        <v>0</v>
      </c>
      <c r="F53" s="68" t="str">
        <f t="shared" si="2"/>
        <v>no procede</v>
      </c>
      <c r="G53" s="74">
        <f>'Entrada datos'!P50</f>
        <v>0</v>
      </c>
      <c r="H53" s="74">
        <f>'Entrada datos'!Q50</f>
        <v>0</v>
      </c>
      <c r="I53" s="74">
        <f>'Entrada datos'!R50</f>
        <v>0</v>
      </c>
      <c r="J53" s="74">
        <f>'Entrada datos'!S50</f>
        <v>0</v>
      </c>
      <c r="K53" s="74">
        <f>'Entrada datos'!T50</f>
        <v>0</v>
      </c>
      <c r="L53" s="74">
        <f>'Entrada datos'!U50</f>
        <v>0</v>
      </c>
      <c r="M53" s="76"/>
      <c r="N53" s="76"/>
      <c r="O53" s="76"/>
      <c r="P53" s="76"/>
      <c r="Q53" s="76"/>
      <c r="R53" s="76"/>
      <c r="S53" s="77" t="s">
        <v>74</v>
      </c>
      <c r="T53" s="77"/>
      <c r="U53" s="77"/>
      <c r="V53" s="77">
        <f t="shared" si="3"/>
        <v>0</v>
      </c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  <c r="AO53" s="77"/>
      <c r="AP53" s="77"/>
      <c r="AQ53" s="77"/>
      <c r="AR53" s="77"/>
      <c r="AS53" s="77"/>
      <c r="AT53" s="77"/>
      <c r="AU53" s="77"/>
      <c r="AV53" s="77"/>
      <c r="AW53" s="77"/>
      <c r="AX53" s="77"/>
      <c r="AY53" s="77"/>
      <c r="AZ53" s="77"/>
      <c r="BA53" s="77"/>
      <c r="BB53" s="77"/>
      <c r="BC53" s="77"/>
      <c r="BD53" s="77"/>
      <c r="BE53" s="77"/>
      <c r="BF53" s="77"/>
      <c r="BG53" s="77"/>
      <c r="BH53" s="77"/>
      <c r="BI53" s="77"/>
      <c r="BJ53" s="77"/>
      <c r="BK53" s="77"/>
      <c r="BL53" s="77"/>
      <c r="BM53" s="77"/>
      <c r="BN53" s="77"/>
      <c r="BO53" s="77"/>
      <c r="BP53" s="77"/>
      <c r="BQ53" s="77"/>
      <c r="BR53" s="77"/>
      <c r="BS53" s="77"/>
      <c r="BT53" s="77"/>
      <c r="BU53" s="77"/>
      <c r="BV53" s="77"/>
      <c r="BW53" s="77"/>
      <c r="BX53" s="77"/>
      <c r="BY53" s="77"/>
      <c r="BZ53" s="77"/>
      <c r="CA53" s="77"/>
      <c r="CB53" s="77"/>
      <c r="CC53" s="77"/>
      <c r="CD53" s="77"/>
      <c r="CE53" s="77"/>
      <c r="CF53" s="77"/>
      <c r="CG53" s="77"/>
      <c r="CH53" s="77"/>
      <c r="CI53" s="77"/>
      <c r="CJ53" s="77"/>
      <c r="CK53" s="77"/>
      <c r="CL53" s="77"/>
      <c r="CM53" s="77"/>
      <c r="CN53" s="77"/>
      <c r="CO53" s="77"/>
      <c r="CP53" s="77"/>
      <c r="CQ53" s="77"/>
      <c r="CR53" s="77"/>
      <c r="CS53" s="77"/>
      <c r="CT53" s="77"/>
      <c r="CU53" s="77"/>
      <c r="CV53" s="77"/>
      <c r="CW53" s="77"/>
      <c r="CX53" s="77"/>
      <c r="CY53" s="77"/>
      <c r="CZ53" s="77"/>
      <c r="DA53" s="77"/>
      <c r="DB53" s="77"/>
      <c r="DC53" s="77"/>
      <c r="DD53" s="77"/>
      <c r="DE53" s="77"/>
      <c r="DF53" s="77"/>
      <c r="DG53" s="77"/>
      <c r="DH53" s="77"/>
      <c r="DI53" s="77"/>
      <c r="DJ53" s="77"/>
      <c r="DK53" s="77"/>
      <c r="DL53" s="77"/>
      <c r="DM53" s="77"/>
      <c r="DN53" s="77"/>
      <c r="DO53" s="77"/>
      <c r="DP53" s="77"/>
      <c r="DQ53" s="77"/>
      <c r="DR53" s="77"/>
      <c r="DS53" s="77"/>
      <c r="DT53" s="77"/>
      <c r="DU53" s="77"/>
      <c r="DV53" s="77"/>
      <c r="DW53" s="77"/>
      <c r="DX53" s="77"/>
      <c r="DY53" s="77"/>
      <c r="DZ53" s="77"/>
      <c r="EA53" s="77"/>
      <c r="EB53" s="77"/>
      <c r="EC53" s="77"/>
      <c r="ED53" s="77"/>
      <c r="EE53" s="77"/>
      <c r="EF53" s="77"/>
      <c r="EG53" s="77"/>
      <c r="EH53" s="77"/>
      <c r="EI53" s="77"/>
      <c r="EJ53" s="77"/>
      <c r="EK53" s="77"/>
      <c r="EL53" s="77"/>
      <c r="EM53" s="77"/>
      <c r="EN53" s="77"/>
      <c r="EO53" s="77"/>
      <c r="EP53" s="77"/>
      <c r="EQ53" s="77"/>
      <c r="ER53" s="77"/>
      <c r="ES53" s="77"/>
      <c r="ET53" s="77"/>
      <c r="EU53" s="77"/>
      <c r="EV53" s="77"/>
      <c r="EW53" s="77"/>
      <c r="EX53" s="77"/>
      <c r="EY53" s="77"/>
      <c r="EZ53" s="77"/>
      <c r="FA53" s="77"/>
      <c r="FB53" s="77"/>
      <c r="FC53" s="77"/>
      <c r="FD53" s="77"/>
      <c r="FE53" s="77"/>
      <c r="FF53" s="77"/>
      <c r="FG53" s="77"/>
      <c r="FH53" s="77"/>
      <c r="FI53" s="77"/>
      <c r="FJ53" s="77"/>
      <c r="FK53" s="77"/>
      <c r="FL53" s="77"/>
      <c r="FM53" s="77"/>
      <c r="FN53" s="77"/>
      <c r="FO53" s="77"/>
      <c r="FP53" s="77"/>
      <c r="FQ53" s="77"/>
      <c r="FR53" s="77"/>
      <c r="FS53" s="77"/>
      <c r="FT53" s="77"/>
      <c r="FU53" s="77"/>
      <c r="FV53" s="77"/>
      <c r="FW53" s="77"/>
      <c r="FX53" s="77"/>
      <c r="FY53" s="77"/>
      <c r="FZ53" s="77"/>
      <c r="GA53" s="77"/>
      <c r="GB53" s="77"/>
      <c r="GC53" s="77"/>
      <c r="GD53" s="77"/>
      <c r="GE53" s="77"/>
      <c r="GF53" s="77"/>
      <c r="GG53" s="77"/>
      <c r="GH53" s="77"/>
      <c r="GI53" s="77"/>
      <c r="GJ53" s="77"/>
      <c r="GK53" s="77"/>
      <c r="GL53" s="77"/>
      <c r="GM53" s="77"/>
      <c r="GN53" s="77"/>
      <c r="GO53" s="77"/>
      <c r="GP53" s="77"/>
      <c r="GQ53" s="77"/>
      <c r="GR53" s="77"/>
      <c r="GS53" s="77"/>
      <c r="GT53" s="77"/>
      <c r="GU53" s="77"/>
      <c r="GV53" s="77"/>
      <c r="GW53" s="77"/>
      <c r="GX53" s="77"/>
      <c r="GY53" s="77"/>
      <c r="GZ53" s="77"/>
      <c r="HA53" s="77"/>
      <c r="HB53" s="77"/>
      <c r="HC53" s="77"/>
      <c r="HD53" s="77"/>
      <c r="HE53" s="77"/>
      <c r="HF53" s="77"/>
      <c r="HG53" s="77"/>
      <c r="HH53" s="77"/>
      <c r="HI53" s="77"/>
      <c r="HJ53" s="77"/>
      <c r="HK53" s="77"/>
      <c r="HL53" s="77"/>
      <c r="HM53" s="77"/>
      <c r="HN53" s="77"/>
      <c r="HO53" s="77"/>
      <c r="HP53" s="77"/>
      <c r="HQ53" s="77"/>
    </row>
    <row r="54" spans="1:225" x14ac:dyDescent="0.3">
      <c r="A54" s="78">
        <f>'Entrada datos'!C51</f>
        <v>0</v>
      </c>
      <c r="B54" s="74">
        <f>'Entrada datos'!D51</f>
        <v>0</v>
      </c>
      <c r="C54" s="75">
        <f>'Entrada datos'!G51</f>
        <v>0</v>
      </c>
      <c r="D54" s="75">
        <f>'Entrada datos'!H51</f>
        <v>0</v>
      </c>
      <c r="E54" s="74">
        <f t="shared" si="1"/>
        <v>0</v>
      </c>
      <c r="F54" s="68" t="str">
        <f t="shared" si="2"/>
        <v>no procede</v>
      </c>
      <c r="G54" s="74">
        <f>'Entrada datos'!P51</f>
        <v>0</v>
      </c>
      <c r="H54" s="74">
        <f>'Entrada datos'!Q51</f>
        <v>0</v>
      </c>
      <c r="I54" s="74">
        <f>'Entrada datos'!R51</f>
        <v>0</v>
      </c>
      <c r="J54" s="74">
        <f>'Entrada datos'!S51</f>
        <v>0</v>
      </c>
      <c r="K54" s="74">
        <f>'Entrada datos'!T51</f>
        <v>0</v>
      </c>
      <c r="L54" s="74">
        <f>'Entrada datos'!U51</f>
        <v>0</v>
      </c>
      <c r="M54" s="76"/>
      <c r="N54" s="76"/>
      <c r="O54" s="76"/>
      <c r="P54" s="76"/>
      <c r="Q54" s="76"/>
      <c r="R54" s="76"/>
      <c r="S54" s="77" t="s">
        <v>74</v>
      </c>
      <c r="T54" s="77"/>
      <c r="U54" s="77"/>
      <c r="V54" s="77">
        <f t="shared" si="3"/>
        <v>0</v>
      </c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  <c r="AW54" s="77"/>
      <c r="AX54" s="77"/>
      <c r="AY54" s="77"/>
      <c r="AZ54" s="77"/>
      <c r="BA54" s="77"/>
      <c r="BB54" s="77"/>
      <c r="BC54" s="77"/>
      <c r="BD54" s="77"/>
      <c r="BE54" s="77"/>
      <c r="BF54" s="77"/>
      <c r="BG54" s="77"/>
      <c r="BH54" s="77"/>
      <c r="BI54" s="77"/>
      <c r="BJ54" s="77"/>
      <c r="BK54" s="77"/>
      <c r="BL54" s="77"/>
      <c r="BM54" s="77"/>
      <c r="BN54" s="77"/>
      <c r="BO54" s="77"/>
      <c r="BP54" s="77"/>
      <c r="BQ54" s="77"/>
      <c r="BR54" s="77"/>
      <c r="BS54" s="77"/>
      <c r="BT54" s="77"/>
      <c r="BU54" s="77"/>
      <c r="BV54" s="77"/>
      <c r="BW54" s="77"/>
      <c r="BX54" s="77"/>
      <c r="BY54" s="77"/>
      <c r="BZ54" s="77"/>
      <c r="CA54" s="77"/>
      <c r="CB54" s="77"/>
      <c r="CC54" s="77"/>
      <c r="CD54" s="77"/>
      <c r="CE54" s="77"/>
      <c r="CF54" s="77"/>
      <c r="CG54" s="77"/>
      <c r="CH54" s="77"/>
      <c r="CI54" s="77"/>
      <c r="CJ54" s="77"/>
      <c r="CK54" s="77"/>
      <c r="CL54" s="77"/>
      <c r="CM54" s="77"/>
      <c r="CN54" s="77"/>
      <c r="CO54" s="77"/>
      <c r="CP54" s="77"/>
      <c r="CQ54" s="77"/>
      <c r="CR54" s="77"/>
      <c r="CS54" s="77"/>
      <c r="CT54" s="77"/>
      <c r="CU54" s="77"/>
      <c r="CV54" s="77"/>
      <c r="CW54" s="77"/>
      <c r="CX54" s="77"/>
      <c r="CY54" s="77"/>
      <c r="CZ54" s="77"/>
      <c r="DA54" s="77"/>
      <c r="DB54" s="77"/>
      <c r="DC54" s="77"/>
      <c r="DD54" s="77"/>
      <c r="DE54" s="77"/>
      <c r="DF54" s="77"/>
      <c r="DG54" s="77"/>
      <c r="DH54" s="77"/>
      <c r="DI54" s="77"/>
      <c r="DJ54" s="77"/>
      <c r="DK54" s="77"/>
      <c r="DL54" s="77"/>
      <c r="DM54" s="77"/>
      <c r="DN54" s="77"/>
      <c r="DO54" s="77"/>
      <c r="DP54" s="77"/>
      <c r="DQ54" s="77"/>
      <c r="DR54" s="77"/>
      <c r="DS54" s="77"/>
      <c r="DT54" s="77"/>
      <c r="DU54" s="77"/>
      <c r="DV54" s="77"/>
      <c r="DW54" s="77"/>
      <c r="DX54" s="77"/>
      <c r="DY54" s="77"/>
      <c r="DZ54" s="77"/>
      <c r="EA54" s="77"/>
      <c r="EB54" s="77"/>
      <c r="EC54" s="77"/>
      <c r="ED54" s="77"/>
      <c r="EE54" s="77"/>
      <c r="EF54" s="77"/>
      <c r="EG54" s="77"/>
      <c r="EH54" s="77"/>
      <c r="EI54" s="77"/>
      <c r="EJ54" s="77"/>
      <c r="EK54" s="77"/>
      <c r="EL54" s="77"/>
      <c r="EM54" s="77"/>
      <c r="EN54" s="77"/>
      <c r="EO54" s="77"/>
      <c r="EP54" s="77"/>
      <c r="EQ54" s="77"/>
      <c r="ER54" s="77"/>
      <c r="ES54" s="77"/>
      <c r="ET54" s="77"/>
      <c r="EU54" s="77"/>
      <c r="EV54" s="77"/>
      <c r="EW54" s="77"/>
      <c r="EX54" s="77"/>
      <c r="EY54" s="77"/>
      <c r="EZ54" s="77"/>
      <c r="FA54" s="77"/>
      <c r="FB54" s="77"/>
      <c r="FC54" s="77"/>
      <c r="FD54" s="77"/>
      <c r="FE54" s="77"/>
      <c r="FF54" s="77"/>
      <c r="FG54" s="77"/>
      <c r="FH54" s="77"/>
      <c r="FI54" s="77"/>
      <c r="FJ54" s="77"/>
      <c r="FK54" s="77"/>
      <c r="FL54" s="77"/>
      <c r="FM54" s="77"/>
      <c r="FN54" s="77"/>
      <c r="FO54" s="77"/>
      <c r="FP54" s="77"/>
      <c r="FQ54" s="77"/>
      <c r="FR54" s="77"/>
      <c r="FS54" s="77"/>
      <c r="FT54" s="77"/>
      <c r="FU54" s="77"/>
      <c r="FV54" s="77"/>
      <c r="FW54" s="77"/>
      <c r="FX54" s="77"/>
      <c r="FY54" s="77"/>
      <c r="FZ54" s="77"/>
      <c r="GA54" s="77"/>
      <c r="GB54" s="77"/>
      <c r="GC54" s="77"/>
      <c r="GD54" s="77"/>
      <c r="GE54" s="77"/>
      <c r="GF54" s="77"/>
      <c r="GG54" s="77"/>
      <c r="GH54" s="77"/>
      <c r="GI54" s="77"/>
      <c r="GJ54" s="77"/>
      <c r="GK54" s="77"/>
      <c r="GL54" s="77"/>
      <c r="GM54" s="77"/>
      <c r="GN54" s="77"/>
      <c r="GO54" s="77"/>
      <c r="GP54" s="77"/>
      <c r="GQ54" s="77"/>
      <c r="GR54" s="77"/>
      <c r="GS54" s="77"/>
      <c r="GT54" s="77"/>
      <c r="GU54" s="77"/>
      <c r="GV54" s="77"/>
      <c r="GW54" s="77"/>
      <c r="GX54" s="77"/>
      <c r="GY54" s="77"/>
      <c r="GZ54" s="77"/>
      <c r="HA54" s="77"/>
      <c r="HB54" s="77"/>
      <c r="HC54" s="77"/>
      <c r="HD54" s="77"/>
      <c r="HE54" s="77"/>
      <c r="HF54" s="77"/>
      <c r="HG54" s="77"/>
      <c r="HH54" s="77"/>
      <c r="HI54" s="77"/>
      <c r="HJ54" s="77"/>
      <c r="HK54" s="77"/>
      <c r="HL54" s="77"/>
      <c r="HM54" s="77"/>
      <c r="HN54" s="77"/>
      <c r="HO54" s="77"/>
      <c r="HP54" s="77"/>
      <c r="HQ54" s="77"/>
    </row>
    <row r="55" spans="1:225" x14ac:dyDescent="0.3">
      <c r="A55" s="78">
        <f>'Entrada datos'!C52</f>
        <v>0</v>
      </c>
      <c r="B55" s="74">
        <f>'Entrada datos'!D52</f>
        <v>0</v>
      </c>
      <c r="C55" s="75">
        <f>'Entrada datos'!G52</f>
        <v>0</v>
      </c>
      <c r="D55" s="75">
        <f>'Entrada datos'!H52</f>
        <v>0</v>
      </c>
      <c r="E55" s="74">
        <f t="shared" si="1"/>
        <v>0</v>
      </c>
      <c r="F55" s="68" t="str">
        <f t="shared" si="2"/>
        <v>no procede</v>
      </c>
      <c r="G55" s="74">
        <f>'Entrada datos'!P52</f>
        <v>0</v>
      </c>
      <c r="H55" s="74">
        <f>'Entrada datos'!Q52</f>
        <v>0</v>
      </c>
      <c r="I55" s="74">
        <f>'Entrada datos'!R52</f>
        <v>0</v>
      </c>
      <c r="J55" s="74">
        <f>'Entrada datos'!S52</f>
        <v>0</v>
      </c>
      <c r="K55" s="74">
        <f>'Entrada datos'!T52</f>
        <v>0</v>
      </c>
      <c r="L55" s="74">
        <f>'Entrada datos'!U52</f>
        <v>0</v>
      </c>
      <c r="M55" s="76"/>
      <c r="N55" s="76"/>
      <c r="O55" s="76"/>
      <c r="P55" s="76"/>
      <c r="Q55" s="76"/>
      <c r="R55" s="76"/>
      <c r="S55" s="77" t="s">
        <v>74</v>
      </c>
      <c r="T55" s="77"/>
      <c r="U55" s="77"/>
      <c r="V55" s="77">
        <f t="shared" si="3"/>
        <v>0</v>
      </c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  <c r="AW55" s="77"/>
      <c r="AX55" s="77"/>
      <c r="AY55" s="77"/>
      <c r="AZ55" s="77"/>
      <c r="BA55" s="77"/>
      <c r="BB55" s="77"/>
      <c r="BC55" s="77"/>
      <c r="BD55" s="77"/>
      <c r="BE55" s="77"/>
      <c r="BF55" s="77"/>
      <c r="BG55" s="77"/>
      <c r="BH55" s="77"/>
      <c r="BI55" s="77"/>
      <c r="BJ55" s="77"/>
      <c r="BK55" s="77"/>
      <c r="BL55" s="77"/>
      <c r="BM55" s="77"/>
      <c r="BN55" s="77"/>
      <c r="BO55" s="77"/>
      <c r="BP55" s="77"/>
      <c r="BQ55" s="77"/>
      <c r="BR55" s="77"/>
      <c r="BS55" s="77"/>
      <c r="BT55" s="77"/>
      <c r="BU55" s="77"/>
      <c r="BV55" s="77"/>
      <c r="BW55" s="77"/>
      <c r="BX55" s="77"/>
      <c r="BY55" s="77"/>
      <c r="BZ55" s="77"/>
      <c r="CA55" s="77"/>
      <c r="CB55" s="77"/>
      <c r="CC55" s="77"/>
      <c r="CD55" s="77"/>
      <c r="CE55" s="77"/>
      <c r="CF55" s="77"/>
      <c r="CG55" s="77"/>
      <c r="CH55" s="77"/>
      <c r="CI55" s="77"/>
      <c r="CJ55" s="77"/>
      <c r="CK55" s="77"/>
      <c r="CL55" s="77"/>
      <c r="CM55" s="77"/>
      <c r="CN55" s="77"/>
      <c r="CO55" s="77"/>
      <c r="CP55" s="77"/>
      <c r="CQ55" s="77"/>
      <c r="CR55" s="77"/>
      <c r="CS55" s="77"/>
      <c r="CT55" s="77"/>
      <c r="CU55" s="77"/>
      <c r="CV55" s="77"/>
      <c r="CW55" s="77"/>
      <c r="CX55" s="77"/>
      <c r="CY55" s="77"/>
      <c r="CZ55" s="77"/>
      <c r="DA55" s="77"/>
      <c r="DB55" s="77"/>
      <c r="DC55" s="77"/>
      <c r="DD55" s="77"/>
      <c r="DE55" s="77"/>
      <c r="DF55" s="77"/>
      <c r="DG55" s="77"/>
      <c r="DH55" s="77"/>
      <c r="DI55" s="77"/>
      <c r="DJ55" s="77"/>
      <c r="DK55" s="77"/>
      <c r="DL55" s="77"/>
      <c r="DM55" s="77"/>
      <c r="DN55" s="77"/>
      <c r="DO55" s="77"/>
      <c r="DP55" s="77"/>
      <c r="DQ55" s="77"/>
      <c r="DR55" s="77"/>
      <c r="DS55" s="77"/>
      <c r="DT55" s="77"/>
      <c r="DU55" s="77"/>
      <c r="DV55" s="77"/>
      <c r="DW55" s="77"/>
      <c r="DX55" s="77"/>
      <c r="DY55" s="77"/>
      <c r="DZ55" s="77"/>
      <c r="EA55" s="77"/>
      <c r="EB55" s="77"/>
      <c r="EC55" s="77"/>
      <c r="ED55" s="77"/>
      <c r="EE55" s="77"/>
      <c r="EF55" s="77"/>
      <c r="EG55" s="77"/>
      <c r="EH55" s="77"/>
      <c r="EI55" s="77"/>
      <c r="EJ55" s="77"/>
      <c r="EK55" s="77"/>
      <c r="EL55" s="77"/>
      <c r="EM55" s="77"/>
      <c r="EN55" s="77"/>
      <c r="EO55" s="77"/>
      <c r="EP55" s="77"/>
      <c r="EQ55" s="77"/>
      <c r="ER55" s="77"/>
      <c r="ES55" s="77"/>
      <c r="ET55" s="77"/>
      <c r="EU55" s="77"/>
      <c r="EV55" s="77"/>
      <c r="EW55" s="77"/>
      <c r="EX55" s="77"/>
      <c r="EY55" s="77"/>
      <c r="EZ55" s="77"/>
      <c r="FA55" s="77"/>
      <c r="FB55" s="77"/>
      <c r="FC55" s="77"/>
      <c r="FD55" s="77"/>
      <c r="FE55" s="77"/>
      <c r="FF55" s="77"/>
      <c r="FG55" s="77"/>
      <c r="FH55" s="77"/>
      <c r="FI55" s="77"/>
      <c r="FJ55" s="77"/>
      <c r="FK55" s="77"/>
      <c r="FL55" s="77"/>
      <c r="FM55" s="77"/>
      <c r="FN55" s="77"/>
      <c r="FO55" s="77"/>
      <c r="FP55" s="77"/>
      <c r="FQ55" s="77"/>
      <c r="FR55" s="77"/>
      <c r="FS55" s="77"/>
      <c r="FT55" s="77"/>
      <c r="FU55" s="77"/>
      <c r="FV55" s="77"/>
      <c r="FW55" s="77"/>
      <c r="FX55" s="77"/>
      <c r="FY55" s="77"/>
      <c r="FZ55" s="77"/>
      <c r="GA55" s="77"/>
      <c r="GB55" s="77"/>
      <c r="GC55" s="77"/>
      <c r="GD55" s="77"/>
      <c r="GE55" s="77"/>
      <c r="GF55" s="77"/>
      <c r="GG55" s="77"/>
      <c r="GH55" s="77"/>
      <c r="GI55" s="77"/>
      <c r="GJ55" s="77"/>
      <c r="GK55" s="77"/>
      <c r="GL55" s="77"/>
      <c r="GM55" s="77"/>
      <c r="GN55" s="77"/>
      <c r="GO55" s="77"/>
      <c r="GP55" s="77"/>
      <c r="GQ55" s="77"/>
      <c r="GR55" s="77"/>
      <c r="GS55" s="77"/>
      <c r="GT55" s="77"/>
      <c r="GU55" s="77"/>
      <c r="GV55" s="77"/>
      <c r="GW55" s="77"/>
      <c r="GX55" s="77"/>
      <c r="GY55" s="77"/>
      <c r="GZ55" s="77"/>
      <c r="HA55" s="77"/>
      <c r="HB55" s="77"/>
      <c r="HC55" s="77"/>
      <c r="HD55" s="77"/>
      <c r="HE55" s="77"/>
      <c r="HF55" s="77"/>
      <c r="HG55" s="77"/>
      <c r="HH55" s="77"/>
      <c r="HI55" s="77"/>
      <c r="HJ55" s="77"/>
      <c r="HK55" s="77"/>
      <c r="HL55" s="77"/>
      <c r="HM55" s="77"/>
      <c r="HN55" s="77"/>
      <c r="HO55" s="77"/>
      <c r="HP55" s="77"/>
      <c r="HQ55" s="77"/>
    </row>
    <row r="56" spans="1:225" hidden="1" x14ac:dyDescent="0.3">
      <c r="A56" s="78">
        <f>'Entrada datos'!C53</f>
        <v>0</v>
      </c>
      <c r="B56" s="74">
        <f>'Entrada datos'!D53</f>
        <v>0</v>
      </c>
      <c r="C56" s="75">
        <f>'Entrada datos'!G53</f>
        <v>0</v>
      </c>
      <c r="D56" s="75">
        <f>'Entrada datos'!H53</f>
        <v>0</v>
      </c>
      <c r="E56" s="74">
        <f t="shared" si="1"/>
        <v>0</v>
      </c>
      <c r="F56" s="68" t="str">
        <f t="shared" si="2"/>
        <v>no procede</v>
      </c>
      <c r="G56" s="74">
        <f>'Entrada datos'!P53</f>
        <v>0</v>
      </c>
      <c r="H56" s="74">
        <f>'Entrada datos'!Q53</f>
        <v>0</v>
      </c>
      <c r="I56" s="74">
        <f>'Entrada datos'!R53</f>
        <v>0</v>
      </c>
      <c r="J56" s="74">
        <f>'Entrada datos'!S53</f>
        <v>0</v>
      </c>
      <c r="K56" s="74">
        <f>'Entrada datos'!T53</f>
        <v>0</v>
      </c>
      <c r="L56" s="74">
        <f>'Entrada datos'!U53</f>
        <v>0</v>
      </c>
      <c r="M56" s="76"/>
      <c r="N56" s="76"/>
      <c r="O56" s="76"/>
      <c r="P56" s="76"/>
      <c r="Q56" s="76"/>
      <c r="R56" s="76"/>
      <c r="S56" s="77" t="s">
        <v>74</v>
      </c>
      <c r="T56" s="77"/>
      <c r="U56" s="77"/>
      <c r="V56" s="77">
        <f t="shared" si="3"/>
        <v>0</v>
      </c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  <c r="AW56" s="77"/>
      <c r="AX56" s="77"/>
      <c r="AY56" s="77"/>
      <c r="AZ56" s="77"/>
      <c r="BA56" s="77"/>
      <c r="BB56" s="77"/>
      <c r="BC56" s="77"/>
      <c r="BD56" s="77"/>
      <c r="BE56" s="77"/>
      <c r="BF56" s="77"/>
      <c r="BG56" s="77"/>
      <c r="BH56" s="77"/>
      <c r="BI56" s="77"/>
      <c r="BJ56" s="77"/>
      <c r="BK56" s="77"/>
      <c r="BL56" s="77"/>
      <c r="BM56" s="77"/>
      <c r="BN56" s="77"/>
      <c r="BO56" s="77"/>
      <c r="BP56" s="77"/>
      <c r="BQ56" s="77"/>
      <c r="BR56" s="77"/>
      <c r="BS56" s="77"/>
      <c r="BT56" s="77"/>
      <c r="BU56" s="77"/>
      <c r="BV56" s="77"/>
      <c r="BW56" s="77"/>
      <c r="BX56" s="77"/>
      <c r="BY56" s="77"/>
      <c r="BZ56" s="77"/>
      <c r="CA56" s="77"/>
      <c r="CB56" s="77"/>
      <c r="CC56" s="77"/>
      <c r="CD56" s="77"/>
      <c r="CE56" s="77"/>
      <c r="CF56" s="77"/>
      <c r="CG56" s="77"/>
      <c r="CH56" s="77"/>
      <c r="CI56" s="77"/>
      <c r="CJ56" s="77"/>
      <c r="CK56" s="77"/>
      <c r="CL56" s="77"/>
      <c r="CM56" s="77"/>
      <c r="CN56" s="77"/>
      <c r="CO56" s="77"/>
      <c r="CP56" s="77"/>
      <c r="CQ56" s="77"/>
      <c r="CR56" s="77"/>
      <c r="CS56" s="77"/>
      <c r="CT56" s="77"/>
      <c r="CU56" s="77"/>
      <c r="CV56" s="77"/>
      <c r="CW56" s="77"/>
      <c r="CX56" s="77"/>
      <c r="CY56" s="77"/>
      <c r="CZ56" s="77"/>
      <c r="DA56" s="77"/>
      <c r="DB56" s="77"/>
      <c r="DC56" s="77"/>
      <c r="DD56" s="77"/>
      <c r="DE56" s="77"/>
      <c r="DF56" s="77"/>
      <c r="DG56" s="77"/>
      <c r="DH56" s="77"/>
      <c r="DI56" s="77"/>
      <c r="DJ56" s="77"/>
      <c r="DK56" s="77"/>
      <c r="DL56" s="77"/>
      <c r="DM56" s="77"/>
      <c r="DN56" s="77"/>
      <c r="DO56" s="77"/>
      <c r="DP56" s="77"/>
      <c r="DQ56" s="77"/>
      <c r="DR56" s="77"/>
      <c r="DS56" s="77"/>
      <c r="DT56" s="77"/>
      <c r="DU56" s="77"/>
      <c r="DV56" s="77"/>
      <c r="DW56" s="77"/>
      <c r="DX56" s="77"/>
      <c r="DY56" s="77"/>
      <c r="DZ56" s="77"/>
      <c r="EA56" s="77"/>
      <c r="EB56" s="77"/>
      <c r="EC56" s="77"/>
      <c r="ED56" s="77"/>
      <c r="EE56" s="77"/>
      <c r="EF56" s="77"/>
      <c r="EG56" s="77"/>
      <c r="EH56" s="77"/>
      <c r="EI56" s="77"/>
      <c r="EJ56" s="77"/>
      <c r="EK56" s="77"/>
      <c r="EL56" s="77"/>
      <c r="EM56" s="77"/>
      <c r="EN56" s="77"/>
      <c r="EO56" s="77"/>
      <c r="EP56" s="77"/>
      <c r="EQ56" s="77"/>
      <c r="ER56" s="77"/>
      <c r="ES56" s="77"/>
      <c r="ET56" s="77"/>
      <c r="EU56" s="77"/>
      <c r="EV56" s="77"/>
      <c r="EW56" s="77"/>
      <c r="EX56" s="77"/>
      <c r="EY56" s="77"/>
      <c r="EZ56" s="77"/>
      <c r="FA56" s="77"/>
      <c r="FB56" s="77"/>
      <c r="FC56" s="77"/>
      <c r="FD56" s="77"/>
      <c r="FE56" s="77"/>
      <c r="FF56" s="77"/>
      <c r="FG56" s="77"/>
      <c r="FH56" s="77"/>
      <c r="FI56" s="77"/>
      <c r="FJ56" s="77"/>
      <c r="FK56" s="77"/>
      <c r="FL56" s="77"/>
      <c r="FM56" s="77"/>
      <c r="FN56" s="77"/>
      <c r="FO56" s="77"/>
      <c r="FP56" s="77"/>
      <c r="FQ56" s="77"/>
      <c r="FR56" s="77"/>
      <c r="FS56" s="77"/>
      <c r="FT56" s="77"/>
      <c r="FU56" s="77"/>
      <c r="FV56" s="77"/>
      <c r="FW56" s="77"/>
      <c r="FX56" s="77"/>
      <c r="FY56" s="77"/>
      <c r="FZ56" s="77"/>
      <c r="GA56" s="77"/>
      <c r="GB56" s="77"/>
      <c r="GC56" s="77"/>
      <c r="GD56" s="77"/>
      <c r="GE56" s="77"/>
      <c r="GF56" s="77"/>
      <c r="GG56" s="77"/>
      <c r="GH56" s="77"/>
      <c r="GI56" s="77"/>
      <c r="GJ56" s="77"/>
      <c r="GK56" s="77"/>
      <c r="GL56" s="77"/>
      <c r="GM56" s="77"/>
      <c r="GN56" s="77"/>
      <c r="GO56" s="77"/>
      <c r="GP56" s="77"/>
      <c r="GQ56" s="77"/>
      <c r="GR56" s="77"/>
      <c r="GS56" s="77"/>
      <c r="GT56" s="77"/>
      <c r="GU56" s="77"/>
      <c r="GV56" s="77"/>
      <c r="GW56" s="77"/>
      <c r="GX56" s="77"/>
      <c r="GY56" s="77"/>
      <c r="GZ56" s="77"/>
      <c r="HA56" s="77"/>
      <c r="HB56" s="77"/>
      <c r="HC56" s="77"/>
      <c r="HD56" s="77"/>
      <c r="HE56" s="77"/>
      <c r="HF56" s="77"/>
      <c r="HG56" s="77"/>
      <c r="HH56" s="77"/>
      <c r="HI56" s="77"/>
      <c r="HJ56" s="77"/>
      <c r="HK56" s="77"/>
      <c r="HL56" s="77"/>
      <c r="HM56" s="77"/>
      <c r="HN56" s="77"/>
      <c r="HO56" s="77"/>
      <c r="HP56" s="77"/>
      <c r="HQ56" s="77"/>
    </row>
    <row r="57" spans="1:225" hidden="1" x14ac:dyDescent="0.3">
      <c r="A57" s="78">
        <f>'Entrada datos'!C54</f>
        <v>0</v>
      </c>
      <c r="B57" s="74">
        <f>'Entrada datos'!D54</f>
        <v>0</v>
      </c>
      <c r="C57" s="75">
        <f>'Entrada datos'!G54</f>
        <v>0</v>
      </c>
      <c r="D57" s="75">
        <f>'Entrada datos'!H54</f>
        <v>0</v>
      </c>
      <c r="E57" s="74">
        <f t="shared" si="1"/>
        <v>0</v>
      </c>
      <c r="F57" s="68" t="str">
        <f t="shared" si="2"/>
        <v>no procede</v>
      </c>
      <c r="G57" s="74">
        <f>'Entrada datos'!P54</f>
        <v>0</v>
      </c>
      <c r="H57" s="74">
        <f>'Entrada datos'!Q54</f>
        <v>0</v>
      </c>
      <c r="I57" s="74">
        <f>'Entrada datos'!R54</f>
        <v>0</v>
      </c>
      <c r="J57" s="74">
        <f>'Entrada datos'!S54</f>
        <v>0</v>
      </c>
      <c r="K57" s="74">
        <f>'Entrada datos'!T54</f>
        <v>0</v>
      </c>
      <c r="L57" s="74">
        <f>'Entrada datos'!U54</f>
        <v>0</v>
      </c>
      <c r="M57" s="76"/>
      <c r="N57" s="76"/>
      <c r="O57" s="76"/>
      <c r="P57" s="76"/>
      <c r="Q57" s="76"/>
      <c r="R57" s="76"/>
      <c r="S57" s="77" t="s">
        <v>74</v>
      </c>
      <c r="T57" s="77"/>
      <c r="U57" s="77"/>
      <c r="V57" s="77">
        <f t="shared" si="3"/>
        <v>0</v>
      </c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  <c r="BU57" s="77"/>
      <c r="BV57" s="77"/>
      <c r="BW57" s="77"/>
      <c r="BX57" s="77"/>
      <c r="BY57" s="77"/>
      <c r="BZ57" s="77"/>
      <c r="CA57" s="77"/>
      <c r="CB57" s="77"/>
      <c r="CC57" s="77"/>
      <c r="CD57" s="77"/>
      <c r="CE57" s="77"/>
      <c r="CF57" s="77"/>
      <c r="CG57" s="77"/>
      <c r="CH57" s="77"/>
      <c r="CI57" s="77"/>
      <c r="CJ57" s="77"/>
      <c r="CK57" s="77"/>
      <c r="CL57" s="77"/>
      <c r="CM57" s="77"/>
      <c r="CN57" s="77"/>
      <c r="CO57" s="77"/>
      <c r="CP57" s="77"/>
      <c r="CQ57" s="77"/>
      <c r="CR57" s="77"/>
      <c r="CS57" s="77"/>
      <c r="CT57" s="77"/>
      <c r="CU57" s="77"/>
      <c r="CV57" s="77"/>
      <c r="CW57" s="77"/>
      <c r="CX57" s="77"/>
      <c r="CY57" s="77"/>
      <c r="CZ57" s="77"/>
      <c r="DA57" s="77"/>
      <c r="DB57" s="77"/>
      <c r="DC57" s="77"/>
      <c r="DD57" s="77"/>
      <c r="DE57" s="77"/>
      <c r="DF57" s="77"/>
      <c r="DG57" s="77"/>
      <c r="DH57" s="77"/>
      <c r="DI57" s="77"/>
      <c r="DJ57" s="77"/>
      <c r="DK57" s="77"/>
      <c r="DL57" s="77"/>
      <c r="DM57" s="77"/>
      <c r="DN57" s="77"/>
      <c r="DO57" s="77"/>
      <c r="DP57" s="77"/>
      <c r="DQ57" s="77"/>
      <c r="DR57" s="77"/>
      <c r="DS57" s="77"/>
      <c r="DT57" s="77"/>
      <c r="DU57" s="77"/>
      <c r="DV57" s="77"/>
      <c r="DW57" s="77"/>
      <c r="DX57" s="77"/>
      <c r="DY57" s="77"/>
      <c r="DZ57" s="77"/>
      <c r="EA57" s="77"/>
      <c r="EB57" s="77"/>
      <c r="EC57" s="77"/>
      <c r="ED57" s="77"/>
      <c r="EE57" s="77"/>
      <c r="EF57" s="77"/>
      <c r="EG57" s="77"/>
      <c r="EH57" s="77"/>
      <c r="EI57" s="77"/>
      <c r="EJ57" s="77"/>
      <c r="EK57" s="77"/>
      <c r="EL57" s="77"/>
      <c r="EM57" s="77"/>
      <c r="EN57" s="77"/>
      <c r="EO57" s="77"/>
      <c r="EP57" s="77"/>
      <c r="EQ57" s="77"/>
      <c r="ER57" s="77"/>
      <c r="ES57" s="77"/>
      <c r="ET57" s="77"/>
      <c r="EU57" s="77"/>
      <c r="EV57" s="77"/>
      <c r="EW57" s="77"/>
      <c r="EX57" s="77"/>
      <c r="EY57" s="77"/>
      <c r="EZ57" s="77"/>
      <c r="FA57" s="77"/>
      <c r="FB57" s="77"/>
      <c r="FC57" s="77"/>
      <c r="FD57" s="77"/>
      <c r="FE57" s="77"/>
      <c r="FF57" s="77"/>
      <c r="FG57" s="77"/>
      <c r="FH57" s="77"/>
      <c r="FI57" s="77"/>
      <c r="FJ57" s="77"/>
      <c r="FK57" s="77"/>
      <c r="FL57" s="77"/>
      <c r="FM57" s="77"/>
      <c r="FN57" s="77"/>
      <c r="FO57" s="77"/>
      <c r="FP57" s="77"/>
      <c r="FQ57" s="77"/>
      <c r="FR57" s="77"/>
      <c r="FS57" s="77"/>
      <c r="FT57" s="77"/>
      <c r="FU57" s="77"/>
      <c r="FV57" s="77"/>
      <c r="FW57" s="77"/>
      <c r="FX57" s="77"/>
      <c r="FY57" s="77"/>
      <c r="FZ57" s="77"/>
      <c r="GA57" s="77"/>
      <c r="GB57" s="77"/>
      <c r="GC57" s="77"/>
      <c r="GD57" s="77"/>
      <c r="GE57" s="77"/>
      <c r="GF57" s="77"/>
      <c r="GG57" s="77"/>
      <c r="GH57" s="77"/>
      <c r="GI57" s="77"/>
      <c r="GJ57" s="77"/>
      <c r="GK57" s="77"/>
      <c r="GL57" s="77"/>
      <c r="GM57" s="77"/>
      <c r="GN57" s="77"/>
      <c r="GO57" s="77"/>
      <c r="GP57" s="77"/>
      <c r="GQ57" s="77"/>
      <c r="GR57" s="77"/>
      <c r="GS57" s="77"/>
      <c r="GT57" s="77"/>
      <c r="GU57" s="77"/>
      <c r="GV57" s="77"/>
      <c r="GW57" s="77"/>
      <c r="GX57" s="77"/>
      <c r="GY57" s="77"/>
      <c r="GZ57" s="77"/>
      <c r="HA57" s="77"/>
      <c r="HB57" s="77"/>
      <c r="HC57" s="77"/>
      <c r="HD57" s="77"/>
      <c r="HE57" s="77"/>
      <c r="HF57" s="77"/>
      <c r="HG57" s="77"/>
      <c r="HH57" s="77"/>
      <c r="HI57" s="77"/>
      <c r="HJ57" s="77"/>
      <c r="HK57" s="77"/>
      <c r="HL57" s="77"/>
      <c r="HM57" s="77"/>
      <c r="HN57" s="77"/>
      <c r="HO57" s="77"/>
      <c r="HP57" s="77"/>
      <c r="HQ57" s="77"/>
    </row>
    <row r="58" spans="1:225" hidden="1" x14ac:dyDescent="0.3">
      <c r="A58" s="78">
        <f>'Entrada datos'!C55</f>
        <v>0</v>
      </c>
      <c r="B58" s="74">
        <f>'Entrada datos'!D55</f>
        <v>0</v>
      </c>
      <c r="C58" s="75">
        <f>'Entrada datos'!G55</f>
        <v>0</v>
      </c>
      <c r="D58" s="75">
        <f>'Entrada datos'!H55</f>
        <v>0</v>
      </c>
      <c r="E58" s="74">
        <f t="shared" si="1"/>
        <v>0</v>
      </c>
      <c r="F58" s="68" t="str">
        <f t="shared" si="2"/>
        <v>no procede</v>
      </c>
      <c r="G58" s="74">
        <f>'Entrada datos'!P55</f>
        <v>0</v>
      </c>
      <c r="H58" s="74">
        <f>'Entrada datos'!Q55</f>
        <v>0</v>
      </c>
      <c r="I58" s="74">
        <f>'Entrada datos'!R55</f>
        <v>0</v>
      </c>
      <c r="J58" s="74">
        <f>'Entrada datos'!S55</f>
        <v>0</v>
      </c>
      <c r="K58" s="74">
        <f>'Entrada datos'!T55</f>
        <v>0</v>
      </c>
      <c r="L58" s="74">
        <f>'Entrada datos'!U55</f>
        <v>0</v>
      </c>
      <c r="M58" s="76"/>
      <c r="N58" s="76"/>
      <c r="O58" s="76"/>
      <c r="P58" s="76"/>
      <c r="Q58" s="76"/>
      <c r="R58" s="76"/>
      <c r="S58" s="77" t="s">
        <v>74</v>
      </c>
      <c r="T58" s="77"/>
      <c r="U58" s="77"/>
      <c r="V58" s="77">
        <f t="shared" si="3"/>
        <v>0</v>
      </c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77"/>
      <c r="BS58" s="77"/>
      <c r="BT58" s="77"/>
      <c r="BU58" s="77"/>
      <c r="BV58" s="77"/>
      <c r="BW58" s="77"/>
      <c r="BX58" s="77"/>
      <c r="BY58" s="77"/>
      <c r="BZ58" s="77"/>
      <c r="CA58" s="77"/>
      <c r="CB58" s="77"/>
      <c r="CC58" s="77"/>
      <c r="CD58" s="77"/>
      <c r="CE58" s="77"/>
      <c r="CF58" s="77"/>
      <c r="CG58" s="77"/>
      <c r="CH58" s="77"/>
      <c r="CI58" s="77"/>
      <c r="CJ58" s="77"/>
      <c r="CK58" s="77"/>
      <c r="CL58" s="77"/>
      <c r="CM58" s="77"/>
      <c r="CN58" s="77"/>
      <c r="CO58" s="77"/>
      <c r="CP58" s="77"/>
      <c r="CQ58" s="77"/>
      <c r="CR58" s="77"/>
      <c r="CS58" s="77"/>
      <c r="CT58" s="77"/>
      <c r="CU58" s="77"/>
      <c r="CV58" s="77"/>
      <c r="CW58" s="77"/>
      <c r="CX58" s="77"/>
      <c r="CY58" s="77"/>
      <c r="CZ58" s="77"/>
      <c r="DA58" s="77"/>
      <c r="DB58" s="77"/>
      <c r="DC58" s="77"/>
      <c r="DD58" s="77"/>
      <c r="DE58" s="77"/>
      <c r="DF58" s="77"/>
      <c r="DG58" s="77"/>
      <c r="DH58" s="77"/>
      <c r="DI58" s="77"/>
      <c r="DJ58" s="77"/>
      <c r="DK58" s="77"/>
      <c r="DL58" s="77"/>
      <c r="DM58" s="77"/>
      <c r="DN58" s="77"/>
      <c r="DO58" s="77"/>
      <c r="DP58" s="77"/>
      <c r="DQ58" s="77"/>
      <c r="DR58" s="77"/>
      <c r="DS58" s="77"/>
      <c r="DT58" s="77"/>
      <c r="DU58" s="77"/>
      <c r="DV58" s="77"/>
      <c r="DW58" s="77"/>
      <c r="DX58" s="77"/>
      <c r="DY58" s="77"/>
      <c r="DZ58" s="77"/>
      <c r="EA58" s="77"/>
      <c r="EB58" s="77"/>
      <c r="EC58" s="77"/>
      <c r="ED58" s="77"/>
      <c r="EE58" s="77"/>
      <c r="EF58" s="77"/>
      <c r="EG58" s="77"/>
      <c r="EH58" s="77"/>
      <c r="EI58" s="77"/>
      <c r="EJ58" s="77"/>
      <c r="EK58" s="77"/>
      <c r="EL58" s="77"/>
      <c r="EM58" s="77"/>
      <c r="EN58" s="77"/>
      <c r="EO58" s="77"/>
      <c r="EP58" s="77"/>
      <c r="EQ58" s="77"/>
      <c r="ER58" s="77"/>
      <c r="ES58" s="77"/>
      <c r="ET58" s="77"/>
      <c r="EU58" s="77"/>
      <c r="EV58" s="77"/>
      <c r="EW58" s="77"/>
      <c r="EX58" s="77"/>
      <c r="EY58" s="77"/>
      <c r="EZ58" s="77"/>
      <c r="FA58" s="77"/>
      <c r="FB58" s="77"/>
      <c r="FC58" s="77"/>
      <c r="FD58" s="77"/>
      <c r="FE58" s="77"/>
      <c r="FF58" s="77"/>
      <c r="FG58" s="77"/>
      <c r="FH58" s="77"/>
      <c r="FI58" s="77"/>
      <c r="FJ58" s="77"/>
      <c r="FK58" s="77"/>
      <c r="FL58" s="77"/>
      <c r="FM58" s="77"/>
      <c r="FN58" s="77"/>
      <c r="FO58" s="77"/>
      <c r="FP58" s="77"/>
      <c r="FQ58" s="77"/>
      <c r="FR58" s="77"/>
      <c r="FS58" s="77"/>
      <c r="FT58" s="77"/>
      <c r="FU58" s="77"/>
      <c r="FV58" s="77"/>
      <c r="FW58" s="77"/>
      <c r="FX58" s="77"/>
      <c r="FY58" s="77"/>
      <c r="FZ58" s="77"/>
      <c r="GA58" s="77"/>
      <c r="GB58" s="77"/>
      <c r="GC58" s="77"/>
      <c r="GD58" s="77"/>
      <c r="GE58" s="77"/>
      <c r="GF58" s="77"/>
      <c r="GG58" s="77"/>
      <c r="GH58" s="77"/>
      <c r="GI58" s="77"/>
      <c r="GJ58" s="77"/>
      <c r="GK58" s="77"/>
      <c r="GL58" s="77"/>
      <c r="GM58" s="77"/>
      <c r="GN58" s="77"/>
      <c r="GO58" s="77"/>
      <c r="GP58" s="77"/>
      <c r="GQ58" s="77"/>
      <c r="GR58" s="77"/>
      <c r="GS58" s="77"/>
      <c r="GT58" s="77"/>
      <c r="GU58" s="77"/>
      <c r="GV58" s="77"/>
      <c r="GW58" s="77"/>
      <c r="GX58" s="77"/>
      <c r="GY58" s="77"/>
      <c r="GZ58" s="77"/>
      <c r="HA58" s="77"/>
      <c r="HB58" s="77"/>
      <c r="HC58" s="77"/>
      <c r="HD58" s="77"/>
      <c r="HE58" s="77"/>
      <c r="HF58" s="77"/>
      <c r="HG58" s="77"/>
      <c r="HH58" s="77"/>
      <c r="HI58" s="77"/>
      <c r="HJ58" s="77"/>
      <c r="HK58" s="77"/>
      <c r="HL58" s="77"/>
      <c r="HM58" s="77"/>
      <c r="HN58" s="77"/>
      <c r="HO58" s="77"/>
      <c r="HP58" s="77"/>
      <c r="HQ58" s="77"/>
    </row>
    <row r="59" spans="1:225" hidden="1" x14ac:dyDescent="0.3">
      <c r="A59" s="78">
        <f>'Entrada datos'!C56</f>
        <v>0</v>
      </c>
      <c r="B59" s="74">
        <f>'Entrada datos'!D56</f>
        <v>0</v>
      </c>
      <c r="C59" s="75">
        <f>'Entrada datos'!G56</f>
        <v>0</v>
      </c>
      <c r="D59" s="75">
        <f>'Entrada datos'!H56</f>
        <v>0</v>
      </c>
      <c r="E59" s="74">
        <f t="shared" si="1"/>
        <v>0</v>
      </c>
      <c r="F59" s="68" t="str">
        <f t="shared" si="2"/>
        <v>no procede</v>
      </c>
      <c r="G59" s="74">
        <f>'Entrada datos'!P56</f>
        <v>0</v>
      </c>
      <c r="H59" s="74">
        <f>'Entrada datos'!Q56</f>
        <v>0</v>
      </c>
      <c r="I59" s="74">
        <f>'Entrada datos'!R56</f>
        <v>0</v>
      </c>
      <c r="J59" s="74">
        <f>'Entrada datos'!S56</f>
        <v>0</v>
      </c>
      <c r="K59" s="74">
        <f>'Entrada datos'!T56</f>
        <v>0</v>
      </c>
      <c r="L59" s="74">
        <f>'Entrada datos'!U56</f>
        <v>0</v>
      </c>
      <c r="M59" s="76"/>
      <c r="N59" s="76"/>
      <c r="O59" s="76"/>
      <c r="P59" s="76"/>
      <c r="Q59" s="76"/>
      <c r="R59" s="76"/>
      <c r="S59" s="77" t="s">
        <v>74</v>
      </c>
      <c r="T59" s="77"/>
      <c r="U59" s="77"/>
      <c r="V59" s="77">
        <f t="shared" si="3"/>
        <v>0</v>
      </c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77"/>
      <c r="BT59" s="77"/>
      <c r="BU59" s="77"/>
      <c r="BV59" s="77"/>
      <c r="BW59" s="77"/>
      <c r="BX59" s="77"/>
      <c r="BY59" s="77"/>
      <c r="BZ59" s="77"/>
      <c r="CA59" s="77"/>
      <c r="CB59" s="77"/>
      <c r="CC59" s="77"/>
      <c r="CD59" s="77"/>
      <c r="CE59" s="77"/>
      <c r="CF59" s="77"/>
      <c r="CG59" s="77"/>
      <c r="CH59" s="77"/>
      <c r="CI59" s="77"/>
      <c r="CJ59" s="77"/>
      <c r="CK59" s="77"/>
      <c r="CL59" s="77"/>
      <c r="CM59" s="77"/>
      <c r="CN59" s="77"/>
      <c r="CO59" s="77"/>
      <c r="CP59" s="77"/>
      <c r="CQ59" s="77"/>
      <c r="CR59" s="77"/>
      <c r="CS59" s="77"/>
      <c r="CT59" s="77"/>
      <c r="CU59" s="77"/>
      <c r="CV59" s="77"/>
      <c r="CW59" s="77"/>
      <c r="CX59" s="77"/>
      <c r="CY59" s="77"/>
      <c r="CZ59" s="77"/>
      <c r="DA59" s="77"/>
      <c r="DB59" s="77"/>
      <c r="DC59" s="77"/>
      <c r="DD59" s="77"/>
      <c r="DE59" s="77"/>
      <c r="DF59" s="77"/>
      <c r="DG59" s="77"/>
      <c r="DH59" s="77"/>
      <c r="DI59" s="77"/>
      <c r="DJ59" s="77"/>
      <c r="DK59" s="77"/>
      <c r="DL59" s="77"/>
      <c r="DM59" s="77"/>
      <c r="DN59" s="77"/>
      <c r="DO59" s="77"/>
      <c r="DP59" s="77"/>
      <c r="DQ59" s="77"/>
      <c r="DR59" s="77"/>
      <c r="DS59" s="77"/>
      <c r="DT59" s="77"/>
      <c r="DU59" s="77"/>
      <c r="DV59" s="77"/>
      <c r="DW59" s="77"/>
      <c r="DX59" s="77"/>
      <c r="DY59" s="77"/>
      <c r="DZ59" s="77"/>
      <c r="EA59" s="77"/>
      <c r="EB59" s="77"/>
      <c r="EC59" s="77"/>
      <c r="ED59" s="77"/>
      <c r="EE59" s="77"/>
      <c r="EF59" s="77"/>
      <c r="EG59" s="77"/>
      <c r="EH59" s="77"/>
      <c r="EI59" s="77"/>
      <c r="EJ59" s="77"/>
      <c r="EK59" s="77"/>
      <c r="EL59" s="77"/>
      <c r="EM59" s="77"/>
      <c r="EN59" s="77"/>
      <c r="EO59" s="77"/>
      <c r="EP59" s="77"/>
      <c r="EQ59" s="77"/>
      <c r="ER59" s="77"/>
      <c r="ES59" s="77"/>
      <c r="ET59" s="77"/>
      <c r="EU59" s="77"/>
      <c r="EV59" s="77"/>
      <c r="EW59" s="77"/>
      <c r="EX59" s="77"/>
      <c r="EY59" s="77"/>
      <c r="EZ59" s="77"/>
      <c r="FA59" s="77"/>
      <c r="FB59" s="77"/>
      <c r="FC59" s="77"/>
      <c r="FD59" s="77"/>
      <c r="FE59" s="77"/>
      <c r="FF59" s="77"/>
      <c r="FG59" s="77"/>
      <c r="FH59" s="77"/>
      <c r="FI59" s="77"/>
      <c r="FJ59" s="77"/>
      <c r="FK59" s="77"/>
      <c r="FL59" s="77"/>
      <c r="FM59" s="77"/>
      <c r="FN59" s="77"/>
      <c r="FO59" s="77"/>
      <c r="FP59" s="77"/>
      <c r="FQ59" s="77"/>
      <c r="FR59" s="77"/>
      <c r="FS59" s="77"/>
      <c r="FT59" s="77"/>
      <c r="FU59" s="77"/>
      <c r="FV59" s="77"/>
      <c r="FW59" s="77"/>
      <c r="FX59" s="77"/>
      <c r="FY59" s="77"/>
      <c r="FZ59" s="77"/>
      <c r="GA59" s="77"/>
      <c r="GB59" s="77"/>
      <c r="GC59" s="77"/>
      <c r="GD59" s="77"/>
      <c r="GE59" s="77"/>
      <c r="GF59" s="77"/>
      <c r="GG59" s="77"/>
      <c r="GH59" s="77"/>
      <c r="GI59" s="77"/>
      <c r="GJ59" s="77"/>
      <c r="GK59" s="77"/>
      <c r="GL59" s="77"/>
      <c r="GM59" s="77"/>
      <c r="GN59" s="77"/>
      <c r="GO59" s="77"/>
      <c r="GP59" s="77"/>
      <c r="GQ59" s="77"/>
      <c r="GR59" s="77"/>
      <c r="GS59" s="77"/>
      <c r="GT59" s="77"/>
      <c r="GU59" s="77"/>
      <c r="GV59" s="77"/>
      <c r="GW59" s="77"/>
      <c r="GX59" s="77"/>
      <c r="GY59" s="77"/>
      <c r="GZ59" s="77"/>
      <c r="HA59" s="77"/>
      <c r="HB59" s="77"/>
      <c r="HC59" s="77"/>
      <c r="HD59" s="77"/>
      <c r="HE59" s="77"/>
      <c r="HF59" s="77"/>
      <c r="HG59" s="77"/>
      <c r="HH59" s="77"/>
      <c r="HI59" s="77"/>
      <c r="HJ59" s="77"/>
      <c r="HK59" s="77"/>
      <c r="HL59" s="77"/>
      <c r="HM59" s="77"/>
      <c r="HN59" s="77"/>
      <c r="HO59" s="77"/>
      <c r="HP59" s="77"/>
      <c r="HQ59" s="77"/>
    </row>
    <row r="60" spans="1:225" hidden="1" x14ac:dyDescent="0.3">
      <c r="A60" s="78">
        <f>'Entrada datos'!C57</f>
        <v>0</v>
      </c>
      <c r="B60" s="74">
        <f>'Entrada datos'!D57</f>
        <v>0</v>
      </c>
      <c r="C60" s="75">
        <f>'Entrada datos'!G57</f>
        <v>0</v>
      </c>
      <c r="D60" s="75">
        <f>'Entrada datos'!H57</f>
        <v>0</v>
      </c>
      <c r="E60" s="74">
        <f t="shared" si="1"/>
        <v>0</v>
      </c>
      <c r="F60" s="68" t="str">
        <f t="shared" si="2"/>
        <v>no procede</v>
      </c>
      <c r="G60" s="74">
        <f>'Entrada datos'!P57</f>
        <v>0</v>
      </c>
      <c r="H60" s="74">
        <f>'Entrada datos'!Q57</f>
        <v>0</v>
      </c>
      <c r="I60" s="74">
        <f>'Entrada datos'!R57</f>
        <v>0</v>
      </c>
      <c r="J60" s="74">
        <f>'Entrada datos'!S57</f>
        <v>0</v>
      </c>
      <c r="K60" s="74">
        <f>'Entrada datos'!T57</f>
        <v>0</v>
      </c>
      <c r="L60" s="74">
        <f>'Entrada datos'!U57</f>
        <v>0</v>
      </c>
      <c r="M60" s="76"/>
      <c r="N60" s="76"/>
      <c r="O60" s="76"/>
      <c r="P60" s="76"/>
      <c r="Q60" s="76"/>
      <c r="R60" s="76"/>
      <c r="S60" s="77" t="s">
        <v>74</v>
      </c>
      <c r="T60" s="77"/>
      <c r="U60" s="77"/>
      <c r="V60" s="77">
        <f t="shared" si="3"/>
        <v>0</v>
      </c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  <c r="AI60" s="77"/>
      <c r="AJ60" s="77"/>
      <c r="AK60" s="77"/>
      <c r="AL60" s="77"/>
      <c r="AM60" s="77"/>
      <c r="AN60" s="77"/>
      <c r="AO60" s="77"/>
      <c r="AP60" s="77"/>
      <c r="AQ60" s="77"/>
      <c r="AR60" s="77"/>
      <c r="AS60" s="77"/>
      <c r="AT60" s="77"/>
      <c r="AU60" s="77"/>
      <c r="AV60" s="77"/>
      <c r="AW60" s="77"/>
      <c r="AX60" s="77"/>
      <c r="AY60" s="77"/>
      <c r="AZ60" s="77"/>
      <c r="BA60" s="77"/>
      <c r="BB60" s="77"/>
      <c r="BC60" s="77"/>
      <c r="BD60" s="77"/>
      <c r="BE60" s="77"/>
      <c r="BF60" s="77"/>
      <c r="BG60" s="77"/>
      <c r="BH60" s="77"/>
      <c r="BI60" s="77"/>
      <c r="BJ60" s="77"/>
      <c r="BK60" s="77"/>
      <c r="BL60" s="77"/>
      <c r="BM60" s="77"/>
      <c r="BN60" s="77"/>
      <c r="BO60" s="77"/>
      <c r="BP60" s="77"/>
      <c r="BQ60" s="77"/>
      <c r="BR60" s="77"/>
      <c r="BS60" s="77"/>
      <c r="BT60" s="77"/>
      <c r="BU60" s="77"/>
      <c r="BV60" s="77"/>
      <c r="BW60" s="77"/>
      <c r="BX60" s="77"/>
      <c r="BY60" s="77"/>
      <c r="BZ60" s="77"/>
      <c r="CA60" s="77"/>
      <c r="CB60" s="77"/>
      <c r="CC60" s="77"/>
      <c r="CD60" s="77"/>
      <c r="CE60" s="77"/>
      <c r="CF60" s="77"/>
      <c r="CG60" s="77"/>
      <c r="CH60" s="77"/>
      <c r="CI60" s="77"/>
      <c r="CJ60" s="77"/>
      <c r="CK60" s="77"/>
      <c r="CL60" s="77"/>
      <c r="CM60" s="77"/>
      <c r="CN60" s="77"/>
      <c r="CO60" s="77"/>
      <c r="CP60" s="77"/>
      <c r="CQ60" s="77"/>
      <c r="CR60" s="77"/>
      <c r="CS60" s="77"/>
      <c r="CT60" s="77"/>
      <c r="CU60" s="77"/>
      <c r="CV60" s="77"/>
      <c r="CW60" s="77"/>
      <c r="CX60" s="77"/>
      <c r="CY60" s="77"/>
      <c r="CZ60" s="77"/>
      <c r="DA60" s="77"/>
      <c r="DB60" s="77"/>
      <c r="DC60" s="77"/>
      <c r="DD60" s="77"/>
      <c r="DE60" s="77"/>
      <c r="DF60" s="77"/>
      <c r="DG60" s="77"/>
      <c r="DH60" s="77"/>
      <c r="DI60" s="77"/>
      <c r="DJ60" s="77"/>
      <c r="DK60" s="77"/>
      <c r="DL60" s="77"/>
      <c r="DM60" s="77"/>
      <c r="DN60" s="77"/>
      <c r="DO60" s="77"/>
      <c r="DP60" s="77"/>
      <c r="DQ60" s="77"/>
      <c r="DR60" s="77"/>
      <c r="DS60" s="77"/>
      <c r="DT60" s="77"/>
      <c r="DU60" s="77"/>
      <c r="DV60" s="77"/>
      <c r="DW60" s="77"/>
      <c r="DX60" s="77"/>
      <c r="DY60" s="77"/>
      <c r="DZ60" s="77"/>
      <c r="EA60" s="77"/>
      <c r="EB60" s="77"/>
      <c r="EC60" s="77"/>
      <c r="ED60" s="77"/>
      <c r="EE60" s="77"/>
      <c r="EF60" s="77"/>
      <c r="EG60" s="77"/>
      <c r="EH60" s="77"/>
      <c r="EI60" s="77"/>
      <c r="EJ60" s="77"/>
      <c r="EK60" s="77"/>
      <c r="EL60" s="77"/>
      <c r="EM60" s="77"/>
      <c r="EN60" s="77"/>
      <c r="EO60" s="77"/>
      <c r="EP60" s="77"/>
      <c r="EQ60" s="77"/>
      <c r="ER60" s="77"/>
      <c r="ES60" s="77"/>
      <c r="ET60" s="77"/>
      <c r="EU60" s="77"/>
      <c r="EV60" s="77"/>
      <c r="EW60" s="77"/>
      <c r="EX60" s="77"/>
      <c r="EY60" s="77"/>
      <c r="EZ60" s="77"/>
      <c r="FA60" s="77"/>
      <c r="FB60" s="77"/>
      <c r="FC60" s="77"/>
      <c r="FD60" s="77"/>
      <c r="FE60" s="77"/>
      <c r="FF60" s="77"/>
      <c r="FG60" s="77"/>
      <c r="FH60" s="77"/>
      <c r="FI60" s="77"/>
      <c r="FJ60" s="77"/>
      <c r="FK60" s="77"/>
      <c r="FL60" s="77"/>
      <c r="FM60" s="77"/>
      <c r="FN60" s="77"/>
      <c r="FO60" s="77"/>
      <c r="FP60" s="77"/>
      <c r="FQ60" s="77"/>
      <c r="FR60" s="77"/>
      <c r="FS60" s="77"/>
      <c r="FT60" s="77"/>
      <c r="FU60" s="77"/>
      <c r="FV60" s="77"/>
      <c r="FW60" s="77"/>
      <c r="FX60" s="77"/>
      <c r="FY60" s="77"/>
      <c r="FZ60" s="77"/>
      <c r="GA60" s="77"/>
      <c r="GB60" s="77"/>
      <c r="GC60" s="77"/>
      <c r="GD60" s="77"/>
      <c r="GE60" s="77"/>
      <c r="GF60" s="77"/>
      <c r="GG60" s="77"/>
      <c r="GH60" s="77"/>
      <c r="GI60" s="77"/>
      <c r="GJ60" s="77"/>
      <c r="GK60" s="77"/>
      <c r="GL60" s="77"/>
      <c r="GM60" s="77"/>
      <c r="GN60" s="77"/>
      <c r="GO60" s="77"/>
      <c r="GP60" s="77"/>
      <c r="GQ60" s="77"/>
      <c r="GR60" s="77"/>
      <c r="GS60" s="77"/>
      <c r="GT60" s="77"/>
      <c r="GU60" s="77"/>
      <c r="GV60" s="77"/>
      <c r="GW60" s="77"/>
      <c r="GX60" s="77"/>
      <c r="GY60" s="77"/>
      <c r="GZ60" s="77"/>
      <c r="HA60" s="77"/>
      <c r="HB60" s="77"/>
      <c r="HC60" s="77"/>
      <c r="HD60" s="77"/>
      <c r="HE60" s="77"/>
      <c r="HF60" s="77"/>
      <c r="HG60" s="77"/>
      <c r="HH60" s="77"/>
      <c r="HI60" s="77"/>
      <c r="HJ60" s="77"/>
      <c r="HK60" s="77"/>
      <c r="HL60" s="77"/>
      <c r="HM60" s="77"/>
      <c r="HN60" s="77"/>
      <c r="HO60" s="77"/>
      <c r="HP60" s="77"/>
      <c r="HQ60" s="77"/>
    </row>
    <row r="61" spans="1:225" hidden="1" x14ac:dyDescent="0.3">
      <c r="A61" s="78">
        <f>'Entrada datos'!C58</f>
        <v>0</v>
      </c>
      <c r="B61" s="74">
        <f>'Entrada datos'!D58</f>
        <v>0</v>
      </c>
      <c r="C61" s="75">
        <f>'Entrada datos'!G58</f>
        <v>0</v>
      </c>
      <c r="D61" s="75">
        <f>'Entrada datos'!H58</f>
        <v>0</v>
      </c>
      <c r="E61" s="74">
        <f t="shared" si="1"/>
        <v>0</v>
      </c>
      <c r="F61" s="68" t="str">
        <f t="shared" si="2"/>
        <v>no procede</v>
      </c>
      <c r="G61" s="74">
        <f>'Entrada datos'!P58</f>
        <v>0</v>
      </c>
      <c r="H61" s="74">
        <f>'Entrada datos'!Q58</f>
        <v>0</v>
      </c>
      <c r="I61" s="74">
        <f>'Entrada datos'!R58</f>
        <v>0</v>
      </c>
      <c r="J61" s="74">
        <f>'Entrada datos'!S58</f>
        <v>0</v>
      </c>
      <c r="K61" s="74">
        <f>'Entrada datos'!T58</f>
        <v>0</v>
      </c>
      <c r="L61" s="74">
        <f>'Entrada datos'!U58</f>
        <v>0</v>
      </c>
      <c r="M61" s="76"/>
      <c r="N61" s="76"/>
      <c r="O61" s="76"/>
      <c r="P61" s="76"/>
      <c r="Q61" s="76"/>
      <c r="R61" s="76"/>
      <c r="S61" s="77" t="s">
        <v>74</v>
      </c>
      <c r="T61" s="77"/>
      <c r="U61" s="77"/>
      <c r="V61" s="77">
        <f t="shared" si="3"/>
        <v>0</v>
      </c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  <c r="AW61" s="77"/>
      <c r="AX61" s="77"/>
      <c r="AY61" s="77"/>
      <c r="AZ61" s="77"/>
      <c r="BA61" s="77"/>
      <c r="BB61" s="77"/>
      <c r="BC61" s="77"/>
      <c r="BD61" s="77"/>
      <c r="BE61" s="77"/>
      <c r="BF61" s="77"/>
      <c r="BG61" s="77"/>
      <c r="BH61" s="77"/>
      <c r="BI61" s="77"/>
      <c r="BJ61" s="77"/>
      <c r="BK61" s="77"/>
      <c r="BL61" s="77"/>
      <c r="BM61" s="77"/>
      <c r="BN61" s="77"/>
      <c r="BO61" s="77"/>
      <c r="BP61" s="77"/>
      <c r="BQ61" s="77"/>
      <c r="BR61" s="77"/>
      <c r="BS61" s="77"/>
      <c r="BT61" s="77"/>
      <c r="BU61" s="77"/>
      <c r="BV61" s="77"/>
      <c r="BW61" s="77"/>
      <c r="BX61" s="77"/>
      <c r="BY61" s="77"/>
      <c r="BZ61" s="77"/>
      <c r="CA61" s="77"/>
      <c r="CB61" s="77"/>
      <c r="CC61" s="77"/>
      <c r="CD61" s="77"/>
      <c r="CE61" s="77"/>
      <c r="CF61" s="77"/>
      <c r="CG61" s="77"/>
      <c r="CH61" s="77"/>
      <c r="CI61" s="77"/>
      <c r="CJ61" s="77"/>
      <c r="CK61" s="77"/>
      <c r="CL61" s="77"/>
      <c r="CM61" s="77"/>
      <c r="CN61" s="77"/>
      <c r="CO61" s="77"/>
      <c r="CP61" s="77"/>
      <c r="CQ61" s="77"/>
      <c r="CR61" s="77"/>
      <c r="CS61" s="77"/>
      <c r="CT61" s="77"/>
      <c r="CU61" s="77"/>
      <c r="CV61" s="77"/>
      <c r="CW61" s="77"/>
      <c r="CX61" s="77"/>
      <c r="CY61" s="77"/>
      <c r="CZ61" s="77"/>
      <c r="DA61" s="77"/>
      <c r="DB61" s="77"/>
      <c r="DC61" s="77"/>
      <c r="DD61" s="77"/>
      <c r="DE61" s="77"/>
      <c r="DF61" s="77"/>
      <c r="DG61" s="77"/>
      <c r="DH61" s="77"/>
      <c r="DI61" s="77"/>
      <c r="DJ61" s="77"/>
      <c r="DK61" s="77"/>
      <c r="DL61" s="77"/>
      <c r="DM61" s="77"/>
      <c r="DN61" s="77"/>
      <c r="DO61" s="77"/>
      <c r="DP61" s="77"/>
      <c r="DQ61" s="77"/>
      <c r="DR61" s="77"/>
      <c r="DS61" s="77"/>
      <c r="DT61" s="77"/>
      <c r="DU61" s="77"/>
      <c r="DV61" s="77"/>
      <c r="DW61" s="77"/>
      <c r="DX61" s="77"/>
      <c r="DY61" s="77"/>
      <c r="DZ61" s="77"/>
      <c r="EA61" s="77"/>
      <c r="EB61" s="77"/>
      <c r="EC61" s="77"/>
      <c r="ED61" s="77"/>
      <c r="EE61" s="77"/>
      <c r="EF61" s="77"/>
      <c r="EG61" s="77"/>
      <c r="EH61" s="77"/>
      <c r="EI61" s="77"/>
      <c r="EJ61" s="77"/>
      <c r="EK61" s="77"/>
      <c r="EL61" s="77"/>
      <c r="EM61" s="77"/>
      <c r="EN61" s="77"/>
      <c r="EO61" s="77"/>
      <c r="EP61" s="77"/>
      <c r="EQ61" s="77"/>
      <c r="ER61" s="77"/>
      <c r="ES61" s="77"/>
      <c r="ET61" s="77"/>
      <c r="EU61" s="77"/>
      <c r="EV61" s="77"/>
      <c r="EW61" s="77"/>
      <c r="EX61" s="77"/>
      <c r="EY61" s="77"/>
      <c r="EZ61" s="77"/>
      <c r="FA61" s="77"/>
      <c r="FB61" s="77"/>
      <c r="FC61" s="77"/>
      <c r="FD61" s="77"/>
      <c r="FE61" s="77"/>
      <c r="FF61" s="77"/>
      <c r="FG61" s="77"/>
      <c r="FH61" s="77"/>
      <c r="FI61" s="77"/>
      <c r="FJ61" s="77"/>
      <c r="FK61" s="77"/>
      <c r="FL61" s="77"/>
      <c r="FM61" s="77"/>
      <c r="FN61" s="77"/>
      <c r="FO61" s="77"/>
      <c r="FP61" s="77"/>
      <c r="FQ61" s="77"/>
      <c r="FR61" s="77"/>
      <c r="FS61" s="77"/>
      <c r="FT61" s="77"/>
      <c r="FU61" s="77"/>
      <c r="FV61" s="77"/>
      <c r="FW61" s="77"/>
      <c r="FX61" s="77"/>
      <c r="FY61" s="77"/>
      <c r="FZ61" s="77"/>
      <c r="GA61" s="77"/>
      <c r="GB61" s="77"/>
      <c r="GC61" s="77"/>
      <c r="GD61" s="77"/>
      <c r="GE61" s="77"/>
      <c r="GF61" s="77"/>
      <c r="GG61" s="77"/>
      <c r="GH61" s="77"/>
      <c r="GI61" s="77"/>
      <c r="GJ61" s="77"/>
      <c r="GK61" s="77"/>
      <c r="GL61" s="77"/>
      <c r="GM61" s="77"/>
      <c r="GN61" s="77"/>
      <c r="GO61" s="77"/>
      <c r="GP61" s="77"/>
      <c r="GQ61" s="77"/>
      <c r="GR61" s="77"/>
      <c r="GS61" s="77"/>
      <c r="GT61" s="77"/>
      <c r="GU61" s="77"/>
      <c r="GV61" s="77"/>
      <c r="GW61" s="77"/>
      <c r="GX61" s="77"/>
      <c r="GY61" s="77"/>
      <c r="GZ61" s="77"/>
      <c r="HA61" s="77"/>
      <c r="HB61" s="77"/>
      <c r="HC61" s="77"/>
      <c r="HD61" s="77"/>
      <c r="HE61" s="77"/>
      <c r="HF61" s="77"/>
      <c r="HG61" s="77"/>
      <c r="HH61" s="77"/>
      <c r="HI61" s="77"/>
      <c r="HJ61" s="77"/>
      <c r="HK61" s="77"/>
      <c r="HL61" s="77"/>
      <c r="HM61" s="77"/>
      <c r="HN61" s="77"/>
      <c r="HO61" s="77"/>
      <c r="HP61" s="77"/>
      <c r="HQ61" s="77"/>
    </row>
    <row r="62" spans="1:225" hidden="1" x14ac:dyDescent="0.3">
      <c r="A62" s="78">
        <f>'Entrada datos'!C59</f>
        <v>0</v>
      </c>
      <c r="B62" s="74">
        <f>'Entrada datos'!D59</f>
        <v>0</v>
      </c>
      <c r="C62" s="75">
        <f>'Entrada datos'!G59</f>
        <v>0</v>
      </c>
      <c r="D62" s="75">
        <f>'Entrada datos'!H59</f>
        <v>0</v>
      </c>
      <c r="E62" s="74">
        <f t="shared" si="1"/>
        <v>0</v>
      </c>
      <c r="F62" s="68" t="str">
        <f t="shared" si="2"/>
        <v>no procede</v>
      </c>
      <c r="G62" s="74">
        <f>'Entrada datos'!P59</f>
        <v>0</v>
      </c>
      <c r="H62" s="74">
        <f>'Entrada datos'!Q59</f>
        <v>0</v>
      </c>
      <c r="I62" s="74">
        <f>'Entrada datos'!R59</f>
        <v>0</v>
      </c>
      <c r="J62" s="74">
        <f>'Entrada datos'!S59</f>
        <v>0</v>
      </c>
      <c r="K62" s="74">
        <f>'Entrada datos'!T59</f>
        <v>0</v>
      </c>
      <c r="L62" s="74">
        <f>'Entrada datos'!U59</f>
        <v>0</v>
      </c>
      <c r="M62" s="76"/>
      <c r="N62" s="76"/>
      <c r="O62" s="76"/>
      <c r="P62" s="76"/>
      <c r="Q62" s="76"/>
      <c r="R62" s="76"/>
      <c r="S62" s="77" t="s">
        <v>74</v>
      </c>
      <c r="T62" s="77"/>
      <c r="U62" s="77"/>
      <c r="V62" s="77">
        <f t="shared" si="3"/>
        <v>0</v>
      </c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  <c r="AM62" s="77"/>
      <c r="AN62" s="77"/>
      <c r="AO62" s="77"/>
      <c r="AP62" s="77"/>
      <c r="AQ62" s="77"/>
      <c r="AR62" s="77"/>
      <c r="AS62" s="77"/>
      <c r="AT62" s="77"/>
      <c r="AU62" s="77"/>
      <c r="AV62" s="77"/>
      <c r="AW62" s="77"/>
      <c r="AX62" s="77"/>
      <c r="AY62" s="77"/>
      <c r="AZ62" s="77"/>
      <c r="BA62" s="77"/>
      <c r="BB62" s="77"/>
      <c r="BC62" s="77"/>
      <c r="BD62" s="77"/>
      <c r="BE62" s="77"/>
      <c r="BF62" s="77"/>
      <c r="BG62" s="77"/>
      <c r="BH62" s="77"/>
      <c r="BI62" s="77"/>
      <c r="BJ62" s="77"/>
      <c r="BK62" s="77"/>
      <c r="BL62" s="77"/>
      <c r="BM62" s="77"/>
      <c r="BN62" s="77"/>
      <c r="BO62" s="77"/>
      <c r="BP62" s="77"/>
      <c r="BQ62" s="77"/>
      <c r="BR62" s="77"/>
      <c r="BS62" s="77"/>
      <c r="BT62" s="77"/>
      <c r="BU62" s="77"/>
      <c r="BV62" s="77"/>
      <c r="BW62" s="77"/>
      <c r="BX62" s="77"/>
      <c r="BY62" s="77"/>
      <c r="BZ62" s="77"/>
      <c r="CA62" s="77"/>
      <c r="CB62" s="77"/>
      <c r="CC62" s="77"/>
      <c r="CD62" s="77"/>
      <c r="CE62" s="77"/>
      <c r="CF62" s="77"/>
      <c r="CG62" s="77"/>
      <c r="CH62" s="77"/>
      <c r="CI62" s="77"/>
      <c r="CJ62" s="77"/>
      <c r="CK62" s="77"/>
      <c r="CL62" s="77"/>
      <c r="CM62" s="77"/>
      <c r="CN62" s="77"/>
      <c r="CO62" s="77"/>
      <c r="CP62" s="77"/>
      <c r="CQ62" s="77"/>
      <c r="CR62" s="77"/>
      <c r="CS62" s="77"/>
      <c r="CT62" s="77"/>
      <c r="CU62" s="77"/>
      <c r="CV62" s="77"/>
      <c r="CW62" s="77"/>
      <c r="CX62" s="77"/>
      <c r="CY62" s="77"/>
      <c r="CZ62" s="77"/>
      <c r="DA62" s="77"/>
      <c r="DB62" s="77"/>
      <c r="DC62" s="77"/>
      <c r="DD62" s="77"/>
      <c r="DE62" s="77"/>
      <c r="DF62" s="77"/>
      <c r="DG62" s="77"/>
      <c r="DH62" s="77"/>
      <c r="DI62" s="77"/>
      <c r="DJ62" s="77"/>
      <c r="DK62" s="77"/>
      <c r="DL62" s="77"/>
      <c r="DM62" s="77"/>
      <c r="DN62" s="77"/>
      <c r="DO62" s="77"/>
      <c r="DP62" s="77"/>
      <c r="DQ62" s="77"/>
      <c r="DR62" s="77"/>
      <c r="DS62" s="77"/>
      <c r="DT62" s="77"/>
      <c r="DU62" s="77"/>
      <c r="DV62" s="77"/>
      <c r="DW62" s="77"/>
      <c r="DX62" s="77"/>
      <c r="DY62" s="77"/>
      <c r="DZ62" s="77"/>
      <c r="EA62" s="77"/>
      <c r="EB62" s="77"/>
      <c r="EC62" s="77"/>
      <c r="ED62" s="77"/>
      <c r="EE62" s="77"/>
      <c r="EF62" s="77"/>
      <c r="EG62" s="77"/>
      <c r="EH62" s="77"/>
      <c r="EI62" s="77"/>
      <c r="EJ62" s="77"/>
      <c r="EK62" s="77"/>
      <c r="EL62" s="77"/>
      <c r="EM62" s="77"/>
      <c r="EN62" s="77"/>
      <c r="EO62" s="77"/>
      <c r="EP62" s="77"/>
      <c r="EQ62" s="77"/>
      <c r="ER62" s="77"/>
      <c r="ES62" s="77"/>
      <c r="ET62" s="77"/>
      <c r="EU62" s="77"/>
      <c r="EV62" s="77"/>
      <c r="EW62" s="77"/>
      <c r="EX62" s="77"/>
      <c r="EY62" s="77"/>
      <c r="EZ62" s="77"/>
      <c r="FA62" s="77"/>
      <c r="FB62" s="77"/>
      <c r="FC62" s="77"/>
      <c r="FD62" s="77"/>
      <c r="FE62" s="77"/>
      <c r="FF62" s="77"/>
      <c r="FG62" s="77"/>
      <c r="FH62" s="77"/>
      <c r="FI62" s="77"/>
      <c r="FJ62" s="77"/>
      <c r="FK62" s="77"/>
      <c r="FL62" s="77"/>
      <c r="FM62" s="77"/>
      <c r="FN62" s="77"/>
      <c r="FO62" s="77"/>
      <c r="FP62" s="77"/>
      <c r="FQ62" s="77"/>
      <c r="FR62" s="77"/>
      <c r="FS62" s="77"/>
      <c r="FT62" s="77"/>
      <c r="FU62" s="77"/>
      <c r="FV62" s="77"/>
      <c r="FW62" s="77"/>
      <c r="FX62" s="77"/>
      <c r="FY62" s="77"/>
      <c r="FZ62" s="77"/>
      <c r="GA62" s="77"/>
      <c r="GB62" s="77"/>
      <c r="GC62" s="77"/>
      <c r="GD62" s="77"/>
      <c r="GE62" s="77"/>
      <c r="GF62" s="77"/>
      <c r="GG62" s="77"/>
      <c r="GH62" s="77"/>
      <c r="GI62" s="77"/>
      <c r="GJ62" s="77"/>
      <c r="GK62" s="77"/>
      <c r="GL62" s="77"/>
      <c r="GM62" s="77"/>
      <c r="GN62" s="77"/>
      <c r="GO62" s="77"/>
      <c r="GP62" s="77"/>
      <c r="GQ62" s="77"/>
      <c r="GR62" s="77"/>
      <c r="GS62" s="77"/>
      <c r="GT62" s="77"/>
      <c r="GU62" s="77"/>
      <c r="GV62" s="77"/>
      <c r="GW62" s="77"/>
      <c r="GX62" s="77"/>
      <c r="GY62" s="77"/>
      <c r="GZ62" s="77"/>
      <c r="HA62" s="77"/>
      <c r="HB62" s="77"/>
      <c r="HC62" s="77"/>
      <c r="HD62" s="77"/>
      <c r="HE62" s="77"/>
      <c r="HF62" s="77"/>
      <c r="HG62" s="77"/>
      <c r="HH62" s="77"/>
      <c r="HI62" s="77"/>
      <c r="HJ62" s="77"/>
      <c r="HK62" s="77"/>
      <c r="HL62" s="77"/>
      <c r="HM62" s="77"/>
      <c r="HN62" s="77"/>
      <c r="HO62" s="77"/>
      <c r="HP62" s="77"/>
      <c r="HQ62" s="77"/>
    </row>
    <row r="63" spans="1:225" hidden="1" x14ac:dyDescent="0.3">
      <c r="A63" s="78">
        <f>'Entrada datos'!C60</f>
        <v>0</v>
      </c>
      <c r="B63" s="74">
        <f>'Entrada datos'!D60</f>
        <v>0</v>
      </c>
      <c r="C63" s="75">
        <f>'Entrada datos'!G60</f>
        <v>0</v>
      </c>
      <c r="D63" s="75">
        <f>'Entrada datos'!H60</f>
        <v>0</v>
      </c>
      <c r="E63" s="74">
        <f t="shared" si="1"/>
        <v>0</v>
      </c>
      <c r="F63" s="68" t="str">
        <f t="shared" si="2"/>
        <v>no procede</v>
      </c>
      <c r="G63" s="74">
        <f>'Entrada datos'!P60</f>
        <v>0</v>
      </c>
      <c r="H63" s="74">
        <f>'Entrada datos'!Q60</f>
        <v>0</v>
      </c>
      <c r="I63" s="74">
        <f>'Entrada datos'!R60</f>
        <v>0</v>
      </c>
      <c r="J63" s="74">
        <f>'Entrada datos'!S60</f>
        <v>0</v>
      </c>
      <c r="K63" s="74">
        <f>'Entrada datos'!T60</f>
        <v>0</v>
      </c>
      <c r="L63" s="74">
        <f>'Entrada datos'!U60</f>
        <v>0</v>
      </c>
      <c r="M63" s="76"/>
      <c r="N63" s="76"/>
      <c r="O63" s="76"/>
      <c r="P63" s="76"/>
      <c r="Q63" s="76"/>
      <c r="R63" s="76"/>
      <c r="S63" s="77" t="s">
        <v>74</v>
      </c>
      <c r="T63" s="77"/>
      <c r="U63" s="77"/>
      <c r="V63" s="77">
        <f t="shared" si="3"/>
        <v>0</v>
      </c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  <c r="AI63" s="77"/>
      <c r="AJ63" s="77"/>
      <c r="AK63" s="77"/>
      <c r="AL63" s="77"/>
      <c r="AM63" s="77"/>
      <c r="AN63" s="77"/>
      <c r="AO63" s="77"/>
      <c r="AP63" s="77"/>
      <c r="AQ63" s="77"/>
      <c r="AR63" s="77"/>
      <c r="AS63" s="77"/>
      <c r="AT63" s="77"/>
      <c r="AU63" s="77"/>
      <c r="AV63" s="77"/>
      <c r="AW63" s="77"/>
      <c r="AX63" s="77"/>
      <c r="AY63" s="77"/>
      <c r="AZ63" s="77"/>
      <c r="BA63" s="77"/>
      <c r="BB63" s="77"/>
      <c r="BC63" s="77"/>
      <c r="BD63" s="77"/>
      <c r="BE63" s="77"/>
      <c r="BF63" s="77"/>
      <c r="BG63" s="77"/>
      <c r="BH63" s="77"/>
      <c r="BI63" s="77"/>
      <c r="BJ63" s="77"/>
      <c r="BK63" s="77"/>
      <c r="BL63" s="77"/>
      <c r="BM63" s="77"/>
      <c r="BN63" s="77"/>
      <c r="BO63" s="77"/>
      <c r="BP63" s="77"/>
      <c r="BQ63" s="77"/>
      <c r="BR63" s="77"/>
      <c r="BS63" s="77"/>
      <c r="BT63" s="77"/>
      <c r="BU63" s="77"/>
      <c r="BV63" s="77"/>
      <c r="BW63" s="77"/>
      <c r="BX63" s="77"/>
      <c r="BY63" s="77"/>
      <c r="BZ63" s="77"/>
      <c r="CA63" s="77"/>
      <c r="CB63" s="77"/>
      <c r="CC63" s="77"/>
      <c r="CD63" s="77"/>
      <c r="CE63" s="77"/>
      <c r="CF63" s="77"/>
      <c r="CG63" s="77"/>
      <c r="CH63" s="77"/>
      <c r="CI63" s="77"/>
      <c r="CJ63" s="77"/>
      <c r="CK63" s="77"/>
      <c r="CL63" s="77"/>
      <c r="CM63" s="77"/>
      <c r="CN63" s="77"/>
      <c r="CO63" s="77"/>
      <c r="CP63" s="77"/>
      <c r="CQ63" s="77"/>
      <c r="CR63" s="77"/>
      <c r="CS63" s="77"/>
      <c r="CT63" s="77"/>
      <c r="CU63" s="77"/>
      <c r="CV63" s="77"/>
      <c r="CW63" s="77"/>
      <c r="CX63" s="77"/>
      <c r="CY63" s="77"/>
      <c r="CZ63" s="77"/>
      <c r="DA63" s="77"/>
      <c r="DB63" s="77"/>
      <c r="DC63" s="77"/>
      <c r="DD63" s="77"/>
      <c r="DE63" s="77"/>
      <c r="DF63" s="77"/>
      <c r="DG63" s="77"/>
      <c r="DH63" s="77"/>
      <c r="DI63" s="77"/>
      <c r="DJ63" s="77"/>
      <c r="DK63" s="77"/>
      <c r="DL63" s="77"/>
      <c r="DM63" s="77"/>
      <c r="DN63" s="77"/>
      <c r="DO63" s="77"/>
      <c r="DP63" s="77"/>
      <c r="DQ63" s="77"/>
      <c r="DR63" s="77"/>
      <c r="DS63" s="77"/>
      <c r="DT63" s="77"/>
      <c r="DU63" s="77"/>
      <c r="DV63" s="77"/>
      <c r="DW63" s="77"/>
      <c r="DX63" s="77"/>
      <c r="DY63" s="77"/>
      <c r="DZ63" s="77"/>
      <c r="EA63" s="77"/>
      <c r="EB63" s="77"/>
      <c r="EC63" s="77"/>
      <c r="ED63" s="77"/>
      <c r="EE63" s="77"/>
      <c r="EF63" s="77"/>
      <c r="EG63" s="77"/>
      <c r="EH63" s="77"/>
      <c r="EI63" s="77"/>
      <c r="EJ63" s="77"/>
      <c r="EK63" s="77"/>
      <c r="EL63" s="77"/>
      <c r="EM63" s="77"/>
      <c r="EN63" s="77"/>
      <c r="EO63" s="77"/>
      <c r="EP63" s="77"/>
      <c r="EQ63" s="77"/>
      <c r="ER63" s="77"/>
      <c r="ES63" s="77"/>
      <c r="ET63" s="77"/>
      <c r="EU63" s="77"/>
      <c r="EV63" s="77"/>
      <c r="EW63" s="77"/>
      <c r="EX63" s="77"/>
      <c r="EY63" s="77"/>
      <c r="EZ63" s="77"/>
      <c r="FA63" s="77"/>
      <c r="FB63" s="77"/>
      <c r="FC63" s="77"/>
      <c r="FD63" s="77"/>
      <c r="FE63" s="77"/>
      <c r="FF63" s="77"/>
      <c r="FG63" s="77"/>
      <c r="FH63" s="77"/>
      <c r="FI63" s="77"/>
      <c r="FJ63" s="77"/>
      <c r="FK63" s="77"/>
      <c r="FL63" s="77"/>
      <c r="FM63" s="77"/>
      <c r="FN63" s="77"/>
      <c r="FO63" s="77"/>
      <c r="FP63" s="77"/>
      <c r="FQ63" s="77"/>
      <c r="FR63" s="77"/>
      <c r="FS63" s="77"/>
      <c r="FT63" s="77"/>
      <c r="FU63" s="77"/>
      <c r="FV63" s="77"/>
      <c r="FW63" s="77"/>
      <c r="FX63" s="77"/>
      <c r="FY63" s="77"/>
      <c r="FZ63" s="77"/>
      <c r="GA63" s="77"/>
      <c r="GB63" s="77"/>
      <c r="GC63" s="77"/>
      <c r="GD63" s="77"/>
      <c r="GE63" s="77"/>
      <c r="GF63" s="77"/>
      <c r="GG63" s="77"/>
      <c r="GH63" s="77"/>
      <c r="GI63" s="77"/>
      <c r="GJ63" s="77"/>
      <c r="GK63" s="77"/>
      <c r="GL63" s="77"/>
      <c r="GM63" s="77"/>
      <c r="GN63" s="77"/>
      <c r="GO63" s="77"/>
      <c r="GP63" s="77"/>
      <c r="GQ63" s="77"/>
      <c r="GR63" s="77"/>
      <c r="GS63" s="77"/>
      <c r="GT63" s="77"/>
      <c r="GU63" s="77"/>
      <c r="GV63" s="77"/>
      <c r="GW63" s="77"/>
      <c r="GX63" s="77"/>
      <c r="GY63" s="77"/>
      <c r="GZ63" s="77"/>
      <c r="HA63" s="77"/>
      <c r="HB63" s="77"/>
      <c r="HC63" s="77"/>
      <c r="HD63" s="77"/>
      <c r="HE63" s="77"/>
      <c r="HF63" s="77"/>
      <c r="HG63" s="77"/>
      <c r="HH63" s="77"/>
      <c r="HI63" s="77"/>
      <c r="HJ63" s="77"/>
      <c r="HK63" s="77"/>
      <c r="HL63" s="77"/>
      <c r="HM63" s="77"/>
      <c r="HN63" s="77"/>
      <c r="HO63" s="77"/>
      <c r="HP63" s="77"/>
      <c r="HQ63" s="77"/>
    </row>
    <row r="64" spans="1:225" hidden="1" x14ac:dyDescent="0.3">
      <c r="A64" s="78">
        <f>'Entrada datos'!C61</f>
        <v>0</v>
      </c>
      <c r="B64" s="74">
        <f>'Entrada datos'!D61</f>
        <v>0</v>
      </c>
      <c r="C64" s="75">
        <f>'Entrada datos'!G61</f>
        <v>0</v>
      </c>
      <c r="D64" s="75">
        <f>'Entrada datos'!H61</f>
        <v>0</v>
      </c>
      <c r="E64" s="74">
        <f t="shared" si="1"/>
        <v>0</v>
      </c>
      <c r="F64" s="68" t="str">
        <f t="shared" si="2"/>
        <v>no procede</v>
      </c>
      <c r="G64" s="74">
        <f>'Entrada datos'!P61</f>
        <v>0</v>
      </c>
      <c r="H64" s="74">
        <f>'Entrada datos'!Q61</f>
        <v>0</v>
      </c>
      <c r="I64" s="74">
        <f>'Entrada datos'!R61</f>
        <v>0</v>
      </c>
      <c r="J64" s="74">
        <f>'Entrada datos'!S61</f>
        <v>0</v>
      </c>
      <c r="K64" s="74">
        <f>'Entrada datos'!T61</f>
        <v>0</v>
      </c>
      <c r="L64" s="74">
        <f>'Entrada datos'!U61</f>
        <v>0</v>
      </c>
      <c r="M64" s="76"/>
      <c r="N64" s="76"/>
      <c r="O64" s="76"/>
      <c r="P64" s="76"/>
      <c r="Q64" s="76"/>
      <c r="R64" s="76"/>
      <c r="S64" s="77" t="s">
        <v>74</v>
      </c>
      <c r="T64" s="77"/>
      <c r="U64" s="77"/>
      <c r="V64" s="77">
        <f t="shared" si="3"/>
        <v>0</v>
      </c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  <c r="AW64" s="77"/>
      <c r="AX64" s="77"/>
      <c r="AY64" s="77"/>
      <c r="AZ64" s="77"/>
      <c r="BA64" s="77"/>
      <c r="BB64" s="77"/>
      <c r="BC64" s="77"/>
      <c r="BD64" s="77"/>
      <c r="BE64" s="77"/>
      <c r="BF64" s="77"/>
      <c r="BG64" s="77"/>
      <c r="BH64" s="77"/>
      <c r="BI64" s="77"/>
      <c r="BJ64" s="77"/>
      <c r="BK64" s="77"/>
      <c r="BL64" s="77"/>
      <c r="BM64" s="77"/>
      <c r="BN64" s="77"/>
      <c r="BO64" s="77"/>
      <c r="BP64" s="77"/>
      <c r="BQ64" s="77"/>
      <c r="BR64" s="77"/>
      <c r="BS64" s="77"/>
      <c r="BT64" s="77"/>
      <c r="BU64" s="77"/>
      <c r="BV64" s="77"/>
      <c r="BW64" s="77"/>
      <c r="BX64" s="77"/>
      <c r="BY64" s="77"/>
      <c r="BZ64" s="77"/>
      <c r="CA64" s="77"/>
      <c r="CB64" s="77"/>
      <c r="CC64" s="77"/>
      <c r="CD64" s="77"/>
      <c r="CE64" s="77"/>
      <c r="CF64" s="77"/>
      <c r="CG64" s="77"/>
      <c r="CH64" s="77"/>
      <c r="CI64" s="77"/>
      <c r="CJ64" s="77"/>
      <c r="CK64" s="77"/>
      <c r="CL64" s="77"/>
      <c r="CM64" s="77"/>
      <c r="CN64" s="77"/>
      <c r="CO64" s="77"/>
      <c r="CP64" s="77"/>
      <c r="CQ64" s="77"/>
      <c r="CR64" s="77"/>
      <c r="CS64" s="77"/>
      <c r="CT64" s="77"/>
      <c r="CU64" s="77"/>
      <c r="CV64" s="77"/>
      <c r="CW64" s="77"/>
      <c r="CX64" s="77"/>
      <c r="CY64" s="77"/>
      <c r="CZ64" s="77"/>
      <c r="DA64" s="77"/>
      <c r="DB64" s="77"/>
      <c r="DC64" s="77"/>
      <c r="DD64" s="77"/>
      <c r="DE64" s="77"/>
      <c r="DF64" s="77"/>
      <c r="DG64" s="77"/>
      <c r="DH64" s="77"/>
      <c r="DI64" s="77"/>
      <c r="DJ64" s="77"/>
      <c r="DK64" s="77"/>
      <c r="DL64" s="77"/>
      <c r="DM64" s="77"/>
      <c r="DN64" s="77"/>
      <c r="DO64" s="77"/>
      <c r="DP64" s="77"/>
      <c r="DQ64" s="77"/>
      <c r="DR64" s="77"/>
      <c r="DS64" s="77"/>
      <c r="DT64" s="77"/>
      <c r="DU64" s="77"/>
      <c r="DV64" s="77"/>
      <c r="DW64" s="77"/>
      <c r="DX64" s="77"/>
      <c r="DY64" s="77"/>
      <c r="DZ64" s="77"/>
      <c r="EA64" s="77"/>
      <c r="EB64" s="77"/>
      <c r="EC64" s="77"/>
      <c r="ED64" s="77"/>
      <c r="EE64" s="77"/>
      <c r="EF64" s="77"/>
      <c r="EG64" s="77"/>
      <c r="EH64" s="77"/>
      <c r="EI64" s="77"/>
      <c r="EJ64" s="77"/>
      <c r="EK64" s="77"/>
      <c r="EL64" s="77"/>
      <c r="EM64" s="77"/>
      <c r="EN64" s="77"/>
      <c r="EO64" s="77"/>
      <c r="EP64" s="77"/>
      <c r="EQ64" s="77"/>
      <c r="ER64" s="77"/>
      <c r="ES64" s="77"/>
      <c r="ET64" s="77"/>
      <c r="EU64" s="77"/>
      <c r="EV64" s="77"/>
      <c r="EW64" s="77"/>
      <c r="EX64" s="77"/>
      <c r="EY64" s="77"/>
      <c r="EZ64" s="77"/>
      <c r="FA64" s="77"/>
      <c r="FB64" s="77"/>
      <c r="FC64" s="77"/>
      <c r="FD64" s="77"/>
      <c r="FE64" s="77"/>
      <c r="FF64" s="77"/>
      <c r="FG64" s="77"/>
      <c r="FH64" s="77"/>
      <c r="FI64" s="77"/>
      <c r="FJ64" s="77"/>
      <c r="FK64" s="77"/>
      <c r="FL64" s="77"/>
      <c r="FM64" s="77"/>
      <c r="FN64" s="77"/>
      <c r="FO64" s="77"/>
      <c r="FP64" s="77"/>
      <c r="FQ64" s="77"/>
      <c r="FR64" s="77"/>
      <c r="FS64" s="77"/>
      <c r="FT64" s="77"/>
      <c r="FU64" s="77"/>
      <c r="FV64" s="77"/>
      <c r="FW64" s="77"/>
      <c r="FX64" s="77"/>
      <c r="FY64" s="77"/>
      <c r="FZ64" s="77"/>
      <c r="GA64" s="77"/>
      <c r="GB64" s="77"/>
      <c r="GC64" s="77"/>
      <c r="GD64" s="77"/>
      <c r="GE64" s="77"/>
      <c r="GF64" s="77"/>
      <c r="GG64" s="77"/>
      <c r="GH64" s="77"/>
      <c r="GI64" s="77"/>
      <c r="GJ64" s="77"/>
      <c r="GK64" s="77"/>
      <c r="GL64" s="77"/>
      <c r="GM64" s="77"/>
      <c r="GN64" s="77"/>
      <c r="GO64" s="77"/>
      <c r="GP64" s="77"/>
      <c r="GQ64" s="77"/>
      <c r="GR64" s="77"/>
      <c r="GS64" s="77"/>
      <c r="GT64" s="77"/>
      <c r="GU64" s="77"/>
      <c r="GV64" s="77"/>
      <c r="GW64" s="77"/>
      <c r="GX64" s="77"/>
      <c r="GY64" s="77"/>
      <c r="GZ64" s="77"/>
      <c r="HA64" s="77"/>
      <c r="HB64" s="77"/>
      <c r="HC64" s="77"/>
      <c r="HD64" s="77"/>
      <c r="HE64" s="77"/>
      <c r="HF64" s="77"/>
      <c r="HG64" s="77"/>
      <c r="HH64" s="77"/>
      <c r="HI64" s="77"/>
      <c r="HJ64" s="77"/>
      <c r="HK64" s="77"/>
      <c r="HL64" s="77"/>
      <c r="HM64" s="77"/>
      <c r="HN64" s="77"/>
      <c r="HO64" s="77"/>
      <c r="HP64" s="77"/>
      <c r="HQ64" s="77"/>
    </row>
    <row r="65" spans="1:225" hidden="1" x14ac:dyDescent="0.3">
      <c r="A65" s="78">
        <f>'Entrada datos'!C62</f>
        <v>0</v>
      </c>
      <c r="B65" s="74">
        <f>'Entrada datos'!D62</f>
        <v>0</v>
      </c>
      <c r="C65" s="75">
        <f>'Entrada datos'!G62</f>
        <v>0</v>
      </c>
      <c r="D65" s="75">
        <f>'Entrada datos'!H62</f>
        <v>0</v>
      </c>
      <c r="E65" s="74">
        <f t="shared" si="1"/>
        <v>0</v>
      </c>
      <c r="F65" s="68" t="str">
        <f t="shared" si="2"/>
        <v>no procede</v>
      </c>
      <c r="G65" s="74">
        <f>'Entrada datos'!P62</f>
        <v>0</v>
      </c>
      <c r="H65" s="74">
        <f>'Entrada datos'!Q62</f>
        <v>0</v>
      </c>
      <c r="I65" s="74">
        <f>'Entrada datos'!R62</f>
        <v>0</v>
      </c>
      <c r="J65" s="74">
        <f>'Entrada datos'!S62</f>
        <v>0</v>
      </c>
      <c r="K65" s="74">
        <f>'Entrada datos'!T62</f>
        <v>0</v>
      </c>
      <c r="L65" s="74">
        <f>'Entrada datos'!U62</f>
        <v>0</v>
      </c>
      <c r="M65" s="76"/>
      <c r="N65" s="76"/>
      <c r="O65" s="76"/>
      <c r="P65" s="76"/>
      <c r="Q65" s="76"/>
      <c r="R65" s="76"/>
      <c r="S65" s="77" t="s">
        <v>74</v>
      </c>
      <c r="T65" s="77"/>
      <c r="U65" s="77"/>
      <c r="V65" s="77">
        <f t="shared" si="3"/>
        <v>0</v>
      </c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  <c r="AI65" s="77"/>
      <c r="AJ65" s="77"/>
      <c r="AK65" s="77"/>
      <c r="AL65" s="77"/>
      <c r="AM65" s="77"/>
      <c r="AN65" s="77"/>
      <c r="AO65" s="77"/>
      <c r="AP65" s="77"/>
      <c r="AQ65" s="77"/>
      <c r="AR65" s="77"/>
      <c r="AS65" s="77"/>
      <c r="AT65" s="77"/>
      <c r="AU65" s="77"/>
      <c r="AV65" s="77"/>
      <c r="AW65" s="77"/>
      <c r="AX65" s="77"/>
      <c r="AY65" s="77"/>
      <c r="AZ65" s="77"/>
      <c r="BA65" s="77"/>
      <c r="BB65" s="77"/>
      <c r="BC65" s="77"/>
      <c r="BD65" s="77"/>
      <c r="BE65" s="77"/>
      <c r="BF65" s="77"/>
      <c r="BG65" s="77"/>
      <c r="BH65" s="77"/>
      <c r="BI65" s="77"/>
      <c r="BJ65" s="77"/>
      <c r="BK65" s="77"/>
      <c r="BL65" s="77"/>
      <c r="BM65" s="77"/>
      <c r="BN65" s="77"/>
      <c r="BO65" s="77"/>
      <c r="BP65" s="77"/>
      <c r="BQ65" s="77"/>
      <c r="BR65" s="77"/>
      <c r="BS65" s="77"/>
      <c r="BT65" s="77"/>
      <c r="BU65" s="77"/>
      <c r="BV65" s="77"/>
      <c r="BW65" s="77"/>
      <c r="BX65" s="77"/>
      <c r="BY65" s="77"/>
      <c r="BZ65" s="77"/>
      <c r="CA65" s="77"/>
      <c r="CB65" s="77"/>
      <c r="CC65" s="77"/>
      <c r="CD65" s="77"/>
      <c r="CE65" s="77"/>
      <c r="CF65" s="77"/>
      <c r="CG65" s="77"/>
      <c r="CH65" s="77"/>
      <c r="CI65" s="77"/>
      <c r="CJ65" s="77"/>
      <c r="CK65" s="77"/>
      <c r="CL65" s="77"/>
      <c r="CM65" s="77"/>
      <c r="CN65" s="77"/>
      <c r="CO65" s="77"/>
      <c r="CP65" s="77"/>
      <c r="CQ65" s="77"/>
      <c r="CR65" s="77"/>
      <c r="CS65" s="77"/>
      <c r="CT65" s="77"/>
      <c r="CU65" s="77"/>
      <c r="CV65" s="77"/>
      <c r="CW65" s="77"/>
      <c r="CX65" s="77"/>
      <c r="CY65" s="77"/>
      <c r="CZ65" s="77"/>
      <c r="DA65" s="77"/>
      <c r="DB65" s="77"/>
      <c r="DC65" s="77"/>
      <c r="DD65" s="77"/>
      <c r="DE65" s="77"/>
      <c r="DF65" s="77"/>
      <c r="DG65" s="77"/>
      <c r="DH65" s="77"/>
      <c r="DI65" s="77"/>
      <c r="DJ65" s="77"/>
      <c r="DK65" s="77"/>
      <c r="DL65" s="77"/>
      <c r="DM65" s="77"/>
      <c r="DN65" s="77"/>
      <c r="DO65" s="77"/>
      <c r="DP65" s="77"/>
      <c r="DQ65" s="77"/>
      <c r="DR65" s="77"/>
      <c r="DS65" s="77"/>
      <c r="DT65" s="77"/>
      <c r="DU65" s="77"/>
      <c r="DV65" s="77"/>
      <c r="DW65" s="77"/>
      <c r="DX65" s="77"/>
      <c r="DY65" s="77"/>
      <c r="DZ65" s="77"/>
      <c r="EA65" s="77"/>
      <c r="EB65" s="77"/>
      <c r="EC65" s="77"/>
      <c r="ED65" s="77"/>
      <c r="EE65" s="77"/>
      <c r="EF65" s="77"/>
      <c r="EG65" s="77"/>
      <c r="EH65" s="77"/>
      <c r="EI65" s="77"/>
      <c r="EJ65" s="77"/>
      <c r="EK65" s="77"/>
      <c r="EL65" s="77"/>
      <c r="EM65" s="77"/>
      <c r="EN65" s="77"/>
      <c r="EO65" s="77"/>
      <c r="EP65" s="77"/>
      <c r="EQ65" s="77"/>
      <c r="ER65" s="77"/>
      <c r="ES65" s="77"/>
      <c r="ET65" s="77"/>
      <c r="EU65" s="77"/>
      <c r="EV65" s="77"/>
      <c r="EW65" s="77"/>
      <c r="EX65" s="77"/>
      <c r="EY65" s="77"/>
      <c r="EZ65" s="77"/>
      <c r="FA65" s="77"/>
      <c r="FB65" s="77"/>
      <c r="FC65" s="77"/>
      <c r="FD65" s="77"/>
      <c r="FE65" s="77"/>
      <c r="FF65" s="77"/>
      <c r="FG65" s="77"/>
      <c r="FH65" s="77"/>
      <c r="FI65" s="77"/>
      <c r="FJ65" s="77"/>
      <c r="FK65" s="77"/>
      <c r="FL65" s="77"/>
      <c r="FM65" s="77"/>
      <c r="FN65" s="77"/>
      <c r="FO65" s="77"/>
      <c r="FP65" s="77"/>
      <c r="FQ65" s="77"/>
      <c r="FR65" s="77"/>
      <c r="FS65" s="77"/>
      <c r="FT65" s="77"/>
      <c r="FU65" s="77"/>
      <c r="FV65" s="77"/>
      <c r="FW65" s="77"/>
      <c r="FX65" s="77"/>
      <c r="FY65" s="77"/>
      <c r="FZ65" s="77"/>
      <c r="GA65" s="77"/>
      <c r="GB65" s="77"/>
      <c r="GC65" s="77"/>
      <c r="GD65" s="77"/>
      <c r="GE65" s="77"/>
      <c r="GF65" s="77"/>
      <c r="GG65" s="77"/>
      <c r="GH65" s="77"/>
      <c r="GI65" s="77"/>
      <c r="GJ65" s="77"/>
      <c r="GK65" s="77"/>
      <c r="GL65" s="77"/>
      <c r="GM65" s="77"/>
      <c r="GN65" s="77"/>
      <c r="GO65" s="77"/>
      <c r="GP65" s="77"/>
      <c r="GQ65" s="77"/>
      <c r="GR65" s="77"/>
      <c r="GS65" s="77"/>
      <c r="GT65" s="77"/>
      <c r="GU65" s="77"/>
      <c r="GV65" s="77"/>
      <c r="GW65" s="77"/>
      <c r="GX65" s="77"/>
      <c r="GY65" s="77"/>
      <c r="GZ65" s="77"/>
      <c r="HA65" s="77"/>
      <c r="HB65" s="77"/>
      <c r="HC65" s="77"/>
      <c r="HD65" s="77"/>
      <c r="HE65" s="77"/>
      <c r="HF65" s="77"/>
      <c r="HG65" s="77"/>
      <c r="HH65" s="77"/>
      <c r="HI65" s="77"/>
      <c r="HJ65" s="77"/>
      <c r="HK65" s="77"/>
      <c r="HL65" s="77"/>
      <c r="HM65" s="77"/>
      <c r="HN65" s="77"/>
      <c r="HO65" s="77"/>
      <c r="HP65" s="77"/>
      <c r="HQ65" s="77"/>
    </row>
    <row r="66" spans="1:225" hidden="1" x14ac:dyDescent="0.3">
      <c r="A66" s="78">
        <f>'Entrada datos'!C63</f>
        <v>0</v>
      </c>
      <c r="B66" s="74">
        <f>'Entrada datos'!D63</f>
        <v>0</v>
      </c>
      <c r="C66" s="75">
        <f>'Entrada datos'!G63</f>
        <v>0</v>
      </c>
      <c r="D66" s="75">
        <f>'Entrada datos'!H63</f>
        <v>0</v>
      </c>
      <c r="E66" s="74">
        <f t="shared" si="1"/>
        <v>0</v>
      </c>
      <c r="F66" s="68" t="str">
        <f t="shared" si="2"/>
        <v>no procede</v>
      </c>
      <c r="G66" s="74">
        <f>'Entrada datos'!P63</f>
        <v>0</v>
      </c>
      <c r="H66" s="74">
        <f>'Entrada datos'!Q63</f>
        <v>0</v>
      </c>
      <c r="I66" s="74">
        <f>'Entrada datos'!R63</f>
        <v>0</v>
      </c>
      <c r="J66" s="74">
        <f>'Entrada datos'!S63</f>
        <v>0</v>
      </c>
      <c r="K66" s="74">
        <f>'Entrada datos'!T63</f>
        <v>0</v>
      </c>
      <c r="L66" s="74">
        <f>'Entrada datos'!U63</f>
        <v>0</v>
      </c>
      <c r="M66" s="76"/>
      <c r="N66" s="76"/>
      <c r="O66" s="76"/>
      <c r="P66" s="76"/>
      <c r="Q66" s="76"/>
      <c r="R66" s="76"/>
      <c r="S66" s="77" t="s">
        <v>74</v>
      </c>
      <c r="T66" s="77"/>
      <c r="U66" s="77"/>
      <c r="V66" s="77">
        <f t="shared" si="3"/>
        <v>0</v>
      </c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7"/>
      <c r="AL66" s="77"/>
      <c r="AM66" s="77"/>
      <c r="AN66" s="77"/>
      <c r="AO66" s="77"/>
      <c r="AP66" s="77"/>
      <c r="AQ66" s="77"/>
      <c r="AR66" s="77"/>
      <c r="AS66" s="77"/>
      <c r="AT66" s="77"/>
      <c r="AU66" s="77"/>
      <c r="AV66" s="77"/>
      <c r="AW66" s="77"/>
      <c r="AX66" s="77"/>
      <c r="AY66" s="77"/>
      <c r="AZ66" s="77"/>
      <c r="BA66" s="77"/>
      <c r="BB66" s="77"/>
      <c r="BC66" s="77"/>
      <c r="BD66" s="77"/>
      <c r="BE66" s="77"/>
      <c r="BF66" s="77"/>
      <c r="BG66" s="77"/>
      <c r="BH66" s="77"/>
      <c r="BI66" s="77"/>
      <c r="BJ66" s="77"/>
      <c r="BK66" s="77"/>
      <c r="BL66" s="77"/>
      <c r="BM66" s="77"/>
      <c r="BN66" s="77"/>
      <c r="BO66" s="77"/>
      <c r="BP66" s="77"/>
      <c r="BQ66" s="77"/>
      <c r="BR66" s="77"/>
      <c r="BS66" s="77"/>
      <c r="BT66" s="77"/>
      <c r="BU66" s="77"/>
      <c r="BV66" s="77"/>
      <c r="BW66" s="77"/>
      <c r="BX66" s="77"/>
      <c r="BY66" s="77"/>
      <c r="BZ66" s="77"/>
      <c r="CA66" s="77"/>
      <c r="CB66" s="77"/>
      <c r="CC66" s="77"/>
      <c r="CD66" s="77"/>
      <c r="CE66" s="77"/>
      <c r="CF66" s="77"/>
      <c r="CG66" s="77"/>
      <c r="CH66" s="77"/>
      <c r="CI66" s="77"/>
      <c r="CJ66" s="77"/>
      <c r="CK66" s="77"/>
      <c r="CL66" s="77"/>
      <c r="CM66" s="77"/>
      <c r="CN66" s="77"/>
      <c r="CO66" s="77"/>
      <c r="CP66" s="77"/>
      <c r="CQ66" s="77"/>
      <c r="CR66" s="77"/>
      <c r="CS66" s="77"/>
      <c r="CT66" s="77"/>
      <c r="CU66" s="77"/>
      <c r="CV66" s="77"/>
      <c r="CW66" s="77"/>
      <c r="CX66" s="77"/>
      <c r="CY66" s="77"/>
      <c r="CZ66" s="77"/>
      <c r="DA66" s="77"/>
      <c r="DB66" s="77"/>
      <c r="DC66" s="77"/>
      <c r="DD66" s="77"/>
      <c r="DE66" s="77"/>
      <c r="DF66" s="77"/>
      <c r="DG66" s="77"/>
      <c r="DH66" s="77"/>
      <c r="DI66" s="77"/>
      <c r="DJ66" s="77"/>
      <c r="DK66" s="77"/>
      <c r="DL66" s="77"/>
      <c r="DM66" s="77"/>
      <c r="DN66" s="77"/>
      <c r="DO66" s="77"/>
      <c r="DP66" s="77"/>
      <c r="DQ66" s="77"/>
      <c r="DR66" s="77"/>
      <c r="DS66" s="77"/>
      <c r="DT66" s="77"/>
      <c r="DU66" s="77"/>
      <c r="DV66" s="77"/>
      <c r="DW66" s="77"/>
      <c r="DX66" s="77"/>
      <c r="DY66" s="77"/>
      <c r="DZ66" s="77"/>
      <c r="EA66" s="77"/>
      <c r="EB66" s="77"/>
      <c r="EC66" s="77"/>
      <c r="ED66" s="77"/>
      <c r="EE66" s="77"/>
      <c r="EF66" s="77"/>
      <c r="EG66" s="77"/>
      <c r="EH66" s="77"/>
      <c r="EI66" s="77"/>
      <c r="EJ66" s="77"/>
      <c r="EK66" s="77"/>
      <c r="EL66" s="77"/>
      <c r="EM66" s="77"/>
      <c r="EN66" s="77"/>
      <c r="EO66" s="77"/>
      <c r="EP66" s="77"/>
      <c r="EQ66" s="77"/>
      <c r="ER66" s="77"/>
      <c r="ES66" s="77"/>
      <c r="ET66" s="77"/>
      <c r="EU66" s="77"/>
      <c r="EV66" s="77"/>
      <c r="EW66" s="77"/>
      <c r="EX66" s="77"/>
      <c r="EY66" s="77"/>
      <c r="EZ66" s="77"/>
      <c r="FA66" s="77"/>
      <c r="FB66" s="77"/>
      <c r="FC66" s="77"/>
      <c r="FD66" s="77"/>
      <c r="FE66" s="77"/>
      <c r="FF66" s="77"/>
      <c r="FG66" s="77"/>
      <c r="FH66" s="77"/>
      <c r="FI66" s="77"/>
      <c r="FJ66" s="77"/>
      <c r="FK66" s="77"/>
      <c r="FL66" s="77"/>
      <c r="FM66" s="77"/>
      <c r="FN66" s="77"/>
      <c r="FO66" s="77"/>
      <c r="FP66" s="77"/>
      <c r="FQ66" s="77"/>
      <c r="FR66" s="77"/>
      <c r="FS66" s="77"/>
      <c r="FT66" s="77"/>
      <c r="FU66" s="77"/>
      <c r="FV66" s="77"/>
      <c r="FW66" s="77"/>
      <c r="FX66" s="77"/>
      <c r="FY66" s="77"/>
      <c r="FZ66" s="77"/>
      <c r="GA66" s="77"/>
      <c r="GB66" s="77"/>
      <c r="GC66" s="77"/>
      <c r="GD66" s="77"/>
      <c r="GE66" s="77"/>
      <c r="GF66" s="77"/>
      <c r="GG66" s="77"/>
      <c r="GH66" s="77"/>
      <c r="GI66" s="77"/>
      <c r="GJ66" s="77"/>
      <c r="GK66" s="77"/>
      <c r="GL66" s="77"/>
      <c r="GM66" s="77"/>
      <c r="GN66" s="77"/>
      <c r="GO66" s="77"/>
      <c r="GP66" s="77"/>
      <c r="GQ66" s="77"/>
      <c r="GR66" s="77"/>
      <c r="GS66" s="77"/>
      <c r="GT66" s="77"/>
      <c r="GU66" s="77"/>
      <c r="GV66" s="77"/>
      <c r="GW66" s="77"/>
      <c r="GX66" s="77"/>
      <c r="GY66" s="77"/>
      <c r="GZ66" s="77"/>
      <c r="HA66" s="77"/>
      <c r="HB66" s="77"/>
      <c r="HC66" s="77"/>
      <c r="HD66" s="77"/>
      <c r="HE66" s="77"/>
      <c r="HF66" s="77"/>
      <c r="HG66" s="77"/>
      <c r="HH66" s="77"/>
      <c r="HI66" s="77"/>
      <c r="HJ66" s="77"/>
      <c r="HK66" s="77"/>
      <c r="HL66" s="77"/>
      <c r="HM66" s="77"/>
      <c r="HN66" s="77"/>
      <c r="HO66" s="77"/>
      <c r="HP66" s="77"/>
      <c r="HQ66" s="77"/>
    </row>
    <row r="67" spans="1:225" hidden="1" x14ac:dyDescent="0.3">
      <c r="A67" s="78">
        <f>'Entrada datos'!C64</f>
        <v>0</v>
      </c>
      <c r="B67" s="74">
        <f>'Entrada datos'!D64</f>
        <v>0</v>
      </c>
      <c r="C67" s="75">
        <f>'Entrada datos'!G64</f>
        <v>0</v>
      </c>
      <c r="D67" s="75">
        <f>'Entrada datos'!H64</f>
        <v>0</v>
      </c>
      <c r="E67" s="74">
        <f t="shared" si="1"/>
        <v>0</v>
      </c>
      <c r="F67" s="68" t="str">
        <f t="shared" si="2"/>
        <v>no procede</v>
      </c>
      <c r="G67" s="74">
        <f>'Entrada datos'!P64</f>
        <v>0</v>
      </c>
      <c r="H67" s="74">
        <f>'Entrada datos'!Q64</f>
        <v>0</v>
      </c>
      <c r="I67" s="74">
        <f>'Entrada datos'!R64</f>
        <v>0</v>
      </c>
      <c r="J67" s="74">
        <f>'Entrada datos'!S64</f>
        <v>0</v>
      </c>
      <c r="K67" s="74">
        <f>'Entrada datos'!T64</f>
        <v>0</v>
      </c>
      <c r="L67" s="74">
        <f>'Entrada datos'!U64</f>
        <v>0</v>
      </c>
      <c r="M67" s="76"/>
      <c r="N67" s="76"/>
      <c r="O67" s="76"/>
      <c r="P67" s="76"/>
      <c r="Q67" s="76"/>
      <c r="R67" s="76"/>
      <c r="S67" s="77" t="s">
        <v>74</v>
      </c>
      <c r="T67" s="77"/>
      <c r="U67" s="77"/>
      <c r="V67" s="77">
        <f t="shared" si="3"/>
        <v>0</v>
      </c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  <c r="AW67" s="77"/>
      <c r="AX67" s="77"/>
      <c r="AY67" s="77"/>
      <c r="AZ67" s="77"/>
      <c r="BA67" s="77"/>
      <c r="BB67" s="77"/>
      <c r="BC67" s="77"/>
      <c r="BD67" s="77"/>
      <c r="BE67" s="77"/>
      <c r="BF67" s="77"/>
      <c r="BG67" s="77"/>
      <c r="BH67" s="77"/>
      <c r="BI67" s="77"/>
      <c r="BJ67" s="77"/>
      <c r="BK67" s="77"/>
      <c r="BL67" s="77"/>
      <c r="BM67" s="77"/>
      <c r="BN67" s="77"/>
      <c r="BO67" s="77"/>
      <c r="BP67" s="77"/>
      <c r="BQ67" s="77"/>
      <c r="BR67" s="77"/>
      <c r="BS67" s="77"/>
      <c r="BT67" s="77"/>
      <c r="BU67" s="77"/>
      <c r="BV67" s="77"/>
      <c r="BW67" s="77"/>
      <c r="BX67" s="77"/>
      <c r="BY67" s="77"/>
      <c r="BZ67" s="77"/>
      <c r="CA67" s="77"/>
      <c r="CB67" s="77"/>
      <c r="CC67" s="77"/>
      <c r="CD67" s="77"/>
      <c r="CE67" s="77"/>
      <c r="CF67" s="77"/>
      <c r="CG67" s="77"/>
      <c r="CH67" s="77"/>
      <c r="CI67" s="77"/>
      <c r="CJ67" s="77"/>
      <c r="CK67" s="77"/>
      <c r="CL67" s="77"/>
      <c r="CM67" s="77"/>
      <c r="CN67" s="77"/>
      <c r="CO67" s="77"/>
      <c r="CP67" s="77"/>
      <c r="CQ67" s="77"/>
      <c r="CR67" s="77"/>
      <c r="CS67" s="77"/>
      <c r="CT67" s="77"/>
      <c r="CU67" s="77"/>
      <c r="CV67" s="77"/>
      <c r="CW67" s="77"/>
      <c r="CX67" s="77"/>
      <c r="CY67" s="77"/>
      <c r="CZ67" s="77"/>
      <c r="DA67" s="77"/>
      <c r="DB67" s="77"/>
      <c r="DC67" s="77"/>
      <c r="DD67" s="77"/>
      <c r="DE67" s="77"/>
      <c r="DF67" s="77"/>
      <c r="DG67" s="77"/>
      <c r="DH67" s="77"/>
      <c r="DI67" s="77"/>
      <c r="DJ67" s="77"/>
      <c r="DK67" s="77"/>
      <c r="DL67" s="77"/>
      <c r="DM67" s="77"/>
      <c r="DN67" s="77"/>
      <c r="DO67" s="77"/>
      <c r="DP67" s="77"/>
      <c r="DQ67" s="77"/>
      <c r="DR67" s="77"/>
      <c r="DS67" s="77"/>
      <c r="DT67" s="77"/>
      <c r="DU67" s="77"/>
      <c r="DV67" s="77"/>
      <c r="DW67" s="77"/>
      <c r="DX67" s="77"/>
      <c r="DY67" s="77"/>
      <c r="DZ67" s="77"/>
      <c r="EA67" s="77"/>
      <c r="EB67" s="77"/>
      <c r="EC67" s="77"/>
      <c r="ED67" s="77"/>
      <c r="EE67" s="77"/>
      <c r="EF67" s="77"/>
      <c r="EG67" s="77"/>
      <c r="EH67" s="77"/>
      <c r="EI67" s="77"/>
      <c r="EJ67" s="77"/>
      <c r="EK67" s="77"/>
      <c r="EL67" s="77"/>
      <c r="EM67" s="77"/>
      <c r="EN67" s="77"/>
      <c r="EO67" s="77"/>
      <c r="EP67" s="77"/>
      <c r="EQ67" s="77"/>
      <c r="ER67" s="77"/>
      <c r="ES67" s="77"/>
      <c r="ET67" s="77"/>
      <c r="EU67" s="77"/>
      <c r="EV67" s="77"/>
      <c r="EW67" s="77"/>
      <c r="EX67" s="77"/>
      <c r="EY67" s="77"/>
      <c r="EZ67" s="77"/>
      <c r="FA67" s="77"/>
      <c r="FB67" s="77"/>
      <c r="FC67" s="77"/>
      <c r="FD67" s="77"/>
      <c r="FE67" s="77"/>
      <c r="FF67" s="77"/>
      <c r="FG67" s="77"/>
      <c r="FH67" s="77"/>
      <c r="FI67" s="77"/>
      <c r="FJ67" s="77"/>
      <c r="FK67" s="77"/>
      <c r="FL67" s="77"/>
      <c r="FM67" s="77"/>
      <c r="FN67" s="77"/>
      <c r="FO67" s="77"/>
      <c r="FP67" s="77"/>
      <c r="FQ67" s="77"/>
      <c r="FR67" s="77"/>
      <c r="FS67" s="77"/>
      <c r="FT67" s="77"/>
      <c r="FU67" s="77"/>
      <c r="FV67" s="77"/>
      <c r="FW67" s="77"/>
      <c r="FX67" s="77"/>
      <c r="FY67" s="77"/>
      <c r="FZ67" s="77"/>
      <c r="GA67" s="77"/>
      <c r="GB67" s="77"/>
      <c r="GC67" s="77"/>
      <c r="GD67" s="77"/>
      <c r="GE67" s="77"/>
      <c r="GF67" s="77"/>
      <c r="GG67" s="77"/>
      <c r="GH67" s="77"/>
      <c r="GI67" s="77"/>
      <c r="GJ67" s="77"/>
      <c r="GK67" s="77"/>
      <c r="GL67" s="77"/>
      <c r="GM67" s="77"/>
      <c r="GN67" s="77"/>
      <c r="GO67" s="77"/>
      <c r="GP67" s="77"/>
      <c r="GQ67" s="77"/>
      <c r="GR67" s="77"/>
      <c r="GS67" s="77"/>
      <c r="GT67" s="77"/>
      <c r="GU67" s="77"/>
      <c r="GV67" s="77"/>
      <c r="GW67" s="77"/>
      <c r="GX67" s="77"/>
      <c r="GY67" s="77"/>
      <c r="GZ67" s="77"/>
      <c r="HA67" s="77"/>
      <c r="HB67" s="77"/>
      <c r="HC67" s="77"/>
      <c r="HD67" s="77"/>
      <c r="HE67" s="77"/>
      <c r="HF67" s="77"/>
      <c r="HG67" s="77"/>
      <c r="HH67" s="77"/>
      <c r="HI67" s="77"/>
      <c r="HJ67" s="77"/>
      <c r="HK67" s="77"/>
      <c r="HL67" s="77"/>
      <c r="HM67" s="77"/>
      <c r="HN67" s="77"/>
      <c r="HO67" s="77"/>
      <c r="HP67" s="77"/>
      <c r="HQ67" s="77"/>
    </row>
    <row r="68" spans="1:225" hidden="1" x14ac:dyDescent="0.3">
      <c r="A68" s="78">
        <f>'Entrada datos'!C65</f>
        <v>0</v>
      </c>
      <c r="B68" s="74">
        <f>'Entrada datos'!D65</f>
        <v>0</v>
      </c>
      <c r="C68" s="75">
        <f>'Entrada datos'!G65</f>
        <v>0</v>
      </c>
      <c r="D68" s="75">
        <f>'Entrada datos'!H65</f>
        <v>0</v>
      </c>
      <c r="E68" s="74">
        <f t="shared" si="1"/>
        <v>0</v>
      </c>
      <c r="F68" s="68" t="str">
        <f t="shared" si="2"/>
        <v>no procede</v>
      </c>
      <c r="G68" s="74">
        <f>'Entrada datos'!P65</f>
        <v>0</v>
      </c>
      <c r="H68" s="74">
        <f>'Entrada datos'!Q65</f>
        <v>0</v>
      </c>
      <c r="I68" s="74">
        <f>'Entrada datos'!R65</f>
        <v>0</v>
      </c>
      <c r="J68" s="74">
        <f>'Entrada datos'!S65</f>
        <v>0</v>
      </c>
      <c r="K68" s="74">
        <f>'Entrada datos'!T65</f>
        <v>0</v>
      </c>
      <c r="L68" s="74">
        <f>'Entrada datos'!U65</f>
        <v>0</v>
      </c>
      <c r="M68" s="76"/>
      <c r="N68" s="76"/>
      <c r="O68" s="76"/>
      <c r="P68" s="76"/>
      <c r="Q68" s="76"/>
      <c r="R68" s="76"/>
      <c r="S68" s="77" t="s">
        <v>74</v>
      </c>
      <c r="T68" s="77"/>
      <c r="U68" s="77"/>
      <c r="V68" s="77">
        <f t="shared" si="3"/>
        <v>0</v>
      </c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C68" s="77"/>
      <c r="BD68" s="77"/>
      <c r="BE68" s="77"/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77"/>
      <c r="CE68" s="77"/>
      <c r="CF68" s="77"/>
      <c r="CG68" s="77"/>
      <c r="CH68" s="77"/>
      <c r="CI68" s="77"/>
      <c r="CJ68" s="77"/>
      <c r="CK68" s="77"/>
      <c r="CL68" s="77"/>
      <c r="CM68" s="77"/>
      <c r="CN68" s="77"/>
      <c r="CO68" s="77"/>
      <c r="CP68" s="77"/>
      <c r="CQ68" s="77"/>
      <c r="CR68" s="77"/>
      <c r="CS68" s="77"/>
      <c r="CT68" s="77"/>
      <c r="CU68" s="77"/>
      <c r="CV68" s="77"/>
      <c r="CW68" s="77"/>
      <c r="CX68" s="77"/>
      <c r="CY68" s="77"/>
      <c r="CZ68" s="77"/>
      <c r="DA68" s="77"/>
      <c r="DB68" s="77"/>
      <c r="DC68" s="77"/>
      <c r="DD68" s="77"/>
      <c r="DE68" s="77"/>
      <c r="DF68" s="77"/>
      <c r="DG68" s="77"/>
      <c r="DH68" s="77"/>
      <c r="DI68" s="77"/>
      <c r="DJ68" s="77"/>
      <c r="DK68" s="77"/>
      <c r="DL68" s="77"/>
      <c r="DM68" s="77"/>
      <c r="DN68" s="77"/>
      <c r="DO68" s="77"/>
      <c r="DP68" s="77"/>
      <c r="DQ68" s="77"/>
      <c r="DR68" s="77"/>
      <c r="DS68" s="77"/>
      <c r="DT68" s="77"/>
      <c r="DU68" s="77"/>
      <c r="DV68" s="77"/>
      <c r="DW68" s="77"/>
      <c r="DX68" s="77"/>
      <c r="DY68" s="77"/>
      <c r="DZ68" s="77"/>
      <c r="EA68" s="77"/>
      <c r="EB68" s="77"/>
      <c r="EC68" s="77"/>
      <c r="ED68" s="77"/>
      <c r="EE68" s="77"/>
      <c r="EF68" s="77"/>
      <c r="EG68" s="77"/>
      <c r="EH68" s="77"/>
      <c r="EI68" s="77"/>
      <c r="EJ68" s="77"/>
      <c r="EK68" s="77"/>
      <c r="EL68" s="77"/>
      <c r="EM68" s="77"/>
      <c r="EN68" s="77"/>
      <c r="EO68" s="77"/>
      <c r="EP68" s="77"/>
      <c r="EQ68" s="77"/>
      <c r="ER68" s="77"/>
      <c r="ES68" s="77"/>
      <c r="ET68" s="77"/>
      <c r="EU68" s="77"/>
      <c r="EV68" s="77"/>
      <c r="EW68" s="77"/>
      <c r="EX68" s="77"/>
      <c r="EY68" s="77"/>
      <c r="EZ68" s="77"/>
      <c r="FA68" s="77"/>
      <c r="FB68" s="77"/>
      <c r="FC68" s="77"/>
      <c r="FD68" s="77"/>
      <c r="FE68" s="77"/>
      <c r="FF68" s="77"/>
      <c r="FG68" s="77"/>
      <c r="FH68" s="77"/>
      <c r="FI68" s="77"/>
      <c r="FJ68" s="77"/>
      <c r="FK68" s="77"/>
      <c r="FL68" s="77"/>
      <c r="FM68" s="77"/>
      <c r="FN68" s="77"/>
      <c r="FO68" s="77"/>
      <c r="FP68" s="77"/>
      <c r="FQ68" s="77"/>
      <c r="FR68" s="77"/>
      <c r="FS68" s="77"/>
      <c r="FT68" s="77"/>
      <c r="FU68" s="77"/>
      <c r="FV68" s="77"/>
      <c r="FW68" s="77"/>
      <c r="FX68" s="77"/>
      <c r="FY68" s="77"/>
      <c r="FZ68" s="77"/>
      <c r="GA68" s="77"/>
      <c r="GB68" s="77"/>
      <c r="GC68" s="77"/>
      <c r="GD68" s="77"/>
      <c r="GE68" s="77"/>
      <c r="GF68" s="77"/>
      <c r="GG68" s="77"/>
      <c r="GH68" s="77"/>
      <c r="GI68" s="77"/>
      <c r="GJ68" s="77"/>
      <c r="GK68" s="77"/>
      <c r="GL68" s="77"/>
      <c r="GM68" s="77"/>
      <c r="GN68" s="77"/>
      <c r="GO68" s="77"/>
      <c r="GP68" s="77"/>
      <c r="GQ68" s="77"/>
      <c r="GR68" s="77"/>
      <c r="GS68" s="77"/>
      <c r="GT68" s="77"/>
      <c r="GU68" s="77"/>
      <c r="GV68" s="77"/>
      <c r="GW68" s="77"/>
      <c r="GX68" s="77"/>
      <c r="GY68" s="77"/>
      <c r="GZ68" s="77"/>
      <c r="HA68" s="77"/>
      <c r="HB68" s="77"/>
      <c r="HC68" s="77"/>
      <c r="HD68" s="77"/>
      <c r="HE68" s="77"/>
      <c r="HF68" s="77"/>
      <c r="HG68" s="77"/>
      <c r="HH68" s="77"/>
      <c r="HI68" s="77"/>
      <c r="HJ68" s="77"/>
      <c r="HK68" s="77"/>
      <c r="HL68" s="77"/>
      <c r="HM68" s="77"/>
      <c r="HN68" s="77"/>
      <c r="HO68" s="77"/>
      <c r="HP68" s="77"/>
      <c r="HQ68" s="77"/>
    </row>
    <row r="69" spans="1:225" hidden="1" x14ac:dyDescent="0.3">
      <c r="A69" s="78">
        <f>'Entrada datos'!C66</f>
        <v>0</v>
      </c>
      <c r="B69" s="74">
        <f>'Entrada datos'!D66</f>
        <v>0</v>
      </c>
      <c r="C69" s="75">
        <f>'Entrada datos'!G66</f>
        <v>0</v>
      </c>
      <c r="D69" s="75">
        <f>'Entrada datos'!H66</f>
        <v>0</v>
      </c>
      <c r="E69" s="74">
        <f t="shared" si="1"/>
        <v>0</v>
      </c>
      <c r="F69" s="68" t="str">
        <f t="shared" si="2"/>
        <v>no procede</v>
      </c>
      <c r="G69" s="74">
        <f>'Entrada datos'!P66</f>
        <v>0</v>
      </c>
      <c r="H69" s="74">
        <f>'Entrada datos'!Q66</f>
        <v>0</v>
      </c>
      <c r="I69" s="74">
        <f>'Entrada datos'!R66</f>
        <v>0</v>
      </c>
      <c r="J69" s="74">
        <f>'Entrada datos'!S66</f>
        <v>0</v>
      </c>
      <c r="K69" s="74">
        <f>'Entrada datos'!T66</f>
        <v>0</v>
      </c>
      <c r="L69" s="74">
        <f>'Entrada datos'!U66</f>
        <v>0</v>
      </c>
      <c r="M69" s="76"/>
      <c r="N69" s="76"/>
      <c r="O69" s="76"/>
      <c r="P69" s="76"/>
      <c r="Q69" s="76"/>
      <c r="R69" s="76"/>
      <c r="S69" s="77" t="s">
        <v>74</v>
      </c>
      <c r="T69" s="77"/>
      <c r="U69" s="77"/>
      <c r="V69" s="77">
        <f t="shared" si="3"/>
        <v>0</v>
      </c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7"/>
      <c r="AK69" s="77"/>
      <c r="AL69" s="77"/>
      <c r="AM69" s="77"/>
      <c r="AN69" s="77"/>
      <c r="AO69" s="77"/>
      <c r="AP69" s="77"/>
      <c r="AQ69" s="77"/>
      <c r="AR69" s="77"/>
      <c r="AS69" s="77"/>
      <c r="AT69" s="77"/>
      <c r="AU69" s="77"/>
      <c r="AV69" s="77"/>
      <c r="AW69" s="77"/>
      <c r="AX69" s="77"/>
      <c r="AY69" s="77"/>
      <c r="AZ69" s="77"/>
      <c r="BA69" s="77"/>
      <c r="BB69" s="77"/>
      <c r="BC69" s="77"/>
      <c r="BD69" s="77"/>
      <c r="BE69" s="77"/>
      <c r="BF69" s="77"/>
      <c r="BG69" s="77"/>
      <c r="BH69" s="77"/>
      <c r="BI69" s="77"/>
      <c r="BJ69" s="77"/>
      <c r="BK69" s="77"/>
      <c r="BL69" s="77"/>
      <c r="BM69" s="77"/>
      <c r="BN69" s="77"/>
      <c r="BO69" s="77"/>
      <c r="BP69" s="77"/>
      <c r="BQ69" s="77"/>
      <c r="BR69" s="77"/>
      <c r="BS69" s="77"/>
      <c r="BT69" s="77"/>
      <c r="BU69" s="77"/>
      <c r="BV69" s="77"/>
      <c r="BW69" s="77"/>
      <c r="BX69" s="77"/>
      <c r="BY69" s="77"/>
      <c r="BZ69" s="77"/>
      <c r="CA69" s="77"/>
      <c r="CB69" s="77"/>
      <c r="CC69" s="77"/>
      <c r="CD69" s="77"/>
      <c r="CE69" s="77"/>
      <c r="CF69" s="77"/>
      <c r="CG69" s="77"/>
      <c r="CH69" s="77"/>
      <c r="CI69" s="77"/>
      <c r="CJ69" s="77"/>
      <c r="CK69" s="77"/>
      <c r="CL69" s="77"/>
      <c r="CM69" s="77"/>
      <c r="CN69" s="77"/>
      <c r="CO69" s="77"/>
      <c r="CP69" s="77"/>
      <c r="CQ69" s="77"/>
      <c r="CR69" s="77"/>
      <c r="CS69" s="77"/>
      <c r="CT69" s="77"/>
      <c r="CU69" s="77"/>
      <c r="CV69" s="77"/>
      <c r="CW69" s="77"/>
      <c r="CX69" s="77"/>
      <c r="CY69" s="77"/>
      <c r="CZ69" s="77"/>
      <c r="DA69" s="77"/>
      <c r="DB69" s="77"/>
      <c r="DC69" s="77"/>
      <c r="DD69" s="77"/>
      <c r="DE69" s="77"/>
      <c r="DF69" s="77"/>
      <c r="DG69" s="77"/>
      <c r="DH69" s="77"/>
      <c r="DI69" s="77"/>
      <c r="DJ69" s="77"/>
      <c r="DK69" s="77"/>
      <c r="DL69" s="77"/>
      <c r="DM69" s="77"/>
      <c r="DN69" s="77"/>
      <c r="DO69" s="77"/>
      <c r="DP69" s="77"/>
      <c r="DQ69" s="77"/>
      <c r="DR69" s="77"/>
      <c r="DS69" s="77"/>
      <c r="DT69" s="77"/>
      <c r="DU69" s="77"/>
      <c r="DV69" s="77"/>
      <c r="DW69" s="77"/>
      <c r="DX69" s="77"/>
      <c r="DY69" s="77"/>
      <c r="DZ69" s="77"/>
      <c r="EA69" s="77"/>
      <c r="EB69" s="77"/>
      <c r="EC69" s="77"/>
      <c r="ED69" s="77"/>
      <c r="EE69" s="77"/>
      <c r="EF69" s="77"/>
      <c r="EG69" s="77"/>
      <c r="EH69" s="77"/>
      <c r="EI69" s="77"/>
      <c r="EJ69" s="77"/>
      <c r="EK69" s="77"/>
      <c r="EL69" s="77"/>
      <c r="EM69" s="77"/>
      <c r="EN69" s="77"/>
      <c r="EO69" s="77"/>
      <c r="EP69" s="77"/>
      <c r="EQ69" s="77"/>
      <c r="ER69" s="77"/>
      <c r="ES69" s="77"/>
      <c r="ET69" s="77"/>
      <c r="EU69" s="77"/>
      <c r="EV69" s="77"/>
      <c r="EW69" s="77"/>
      <c r="EX69" s="77"/>
      <c r="EY69" s="77"/>
      <c r="EZ69" s="77"/>
      <c r="FA69" s="77"/>
      <c r="FB69" s="77"/>
      <c r="FC69" s="77"/>
      <c r="FD69" s="77"/>
      <c r="FE69" s="77"/>
      <c r="FF69" s="77"/>
      <c r="FG69" s="77"/>
      <c r="FH69" s="77"/>
      <c r="FI69" s="77"/>
      <c r="FJ69" s="77"/>
      <c r="FK69" s="77"/>
      <c r="FL69" s="77"/>
      <c r="FM69" s="77"/>
      <c r="FN69" s="77"/>
      <c r="FO69" s="77"/>
      <c r="FP69" s="77"/>
      <c r="FQ69" s="77"/>
      <c r="FR69" s="77"/>
      <c r="FS69" s="77"/>
      <c r="FT69" s="77"/>
      <c r="FU69" s="77"/>
      <c r="FV69" s="77"/>
      <c r="FW69" s="77"/>
      <c r="FX69" s="77"/>
      <c r="FY69" s="77"/>
      <c r="FZ69" s="77"/>
      <c r="GA69" s="77"/>
      <c r="GB69" s="77"/>
      <c r="GC69" s="77"/>
      <c r="GD69" s="77"/>
      <c r="GE69" s="77"/>
      <c r="GF69" s="77"/>
      <c r="GG69" s="77"/>
      <c r="GH69" s="77"/>
      <c r="GI69" s="77"/>
      <c r="GJ69" s="77"/>
      <c r="GK69" s="77"/>
      <c r="GL69" s="77"/>
      <c r="GM69" s="77"/>
      <c r="GN69" s="77"/>
      <c r="GO69" s="77"/>
      <c r="GP69" s="77"/>
      <c r="GQ69" s="77"/>
      <c r="GR69" s="77"/>
      <c r="GS69" s="77"/>
      <c r="GT69" s="77"/>
      <c r="GU69" s="77"/>
      <c r="GV69" s="77"/>
      <c r="GW69" s="77"/>
      <c r="GX69" s="77"/>
      <c r="GY69" s="77"/>
      <c r="GZ69" s="77"/>
      <c r="HA69" s="77"/>
      <c r="HB69" s="77"/>
      <c r="HC69" s="77"/>
      <c r="HD69" s="77"/>
      <c r="HE69" s="77"/>
      <c r="HF69" s="77"/>
      <c r="HG69" s="77"/>
      <c r="HH69" s="77"/>
      <c r="HI69" s="77"/>
      <c r="HJ69" s="77"/>
      <c r="HK69" s="77"/>
      <c r="HL69" s="77"/>
      <c r="HM69" s="77"/>
      <c r="HN69" s="77"/>
      <c r="HO69" s="77"/>
      <c r="HP69" s="77"/>
      <c r="HQ69" s="77"/>
    </row>
    <row r="70" spans="1:225" hidden="1" x14ac:dyDescent="0.3">
      <c r="A70" s="78">
        <f>'Entrada datos'!C67</f>
        <v>0</v>
      </c>
      <c r="B70" s="74">
        <f>'Entrada datos'!D67</f>
        <v>0</v>
      </c>
      <c r="C70" s="75">
        <f>'Entrada datos'!G67</f>
        <v>0</v>
      </c>
      <c r="D70" s="75">
        <f>'Entrada datos'!H67</f>
        <v>0</v>
      </c>
      <c r="E70" s="74">
        <f t="shared" ref="E70:E133" si="4">D70-C70</f>
        <v>0</v>
      </c>
      <c r="F70" s="68" t="str">
        <f t="shared" ref="F70:F133" si="5">IF(D70&lt;=$C$2,"no procede","Refacturar")</f>
        <v>no procede</v>
      </c>
      <c r="G70" s="74">
        <f>'Entrada datos'!P67</f>
        <v>0</v>
      </c>
      <c r="H70" s="74">
        <f>'Entrada datos'!Q67</f>
        <v>0</v>
      </c>
      <c r="I70" s="74">
        <f>'Entrada datos'!R67</f>
        <v>0</v>
      </c>
      <c r="J70" s="74">
        <f>'Entrada datos'!S67</f>
        <v>0</v>
      </c>
      <c r="K70" s="74">
        <f>'Entrada datos'!T67</f>
        <v>0</v>
      </c>
      <c r="L70" s="74">
        <f>'Entrada datos'!U67</f>
        <v>0</v>
      </c>
      <c r="M70" s="76"/>
      <c r="N70" s="76"/>
      <c r="O70" s="76"/>
      <c r="P70" s="76"/>
      <c r="Q70" s="76"/>
      <c r="R70" s="76"/>
      <c r="S70" s="77" t="s">
        <v>74</v>
      </c>
      <c r="T70" s="77"/>
      <c r="U70" s="77"/>
      <c r="V70" s="77">
        <f t="shared" si="3"/>
        <v>0</v>
      </c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77"/>
      <c r="BB70" s="77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77"/>
      <c r="BN70" s="77"/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77"/>
      <c r="CE70" s="77"/>
      <c r="CF70" s="77"/>
      <c r="CG70" s="77"/>
      <c r="CH70" s="77"/>
      <c r="CI70" s="77"/>
      <c r="CJ70" s="77"/>
      <c r="CK70" s="77"/>
      <c r="CL70" s="77"/>
      <c r="CM70" s="77"/>
      <c r="CN70" s="77"/>
      <c r="CO70" s="77"/>
      <c r="CP70" s="77"/>
      <c r="CQ70" s="77"/>
      <c r="CR70" s="77"/>
      <c r="CS70" s="77"/>
      <c r="CT70" s="77"/>
      <c r="CU70" s="77"/>
      <c r="CV70" s="77"/>
      <c r="CW70" s="77"/>
      <c r="CX70" s="77"/>
      <c r="CY70" s="77"/>
      <c r="CZ70" s="77"/>
      <c r="DA70" s="77"/>
      <c r="DB70" s="77"/>
      <c r="DC70" s="77"/>
      <c r="DD70" s="77"/>
      <c r="DE70" s="77"/>
      <c r="DF70" s="77"/>
      <c r="DG70" s="77"/>
      <c r="DH70" s="77"/>
      <c r="DI70" s="77"/>
      <c r="DJ70" s="77"/>
      <c r="DK70" s="77"/>
      <c r="DL70" s="77"/>
      <c r="DM70" s="77"/>
      <c r="DN70" s="77"/>
      <c r="DO70" s="77"/>
      <c r="DP70" s="77"/>
      <c r="DQ70" s="77"/>
      <c r="DR70" s="77"/>
      <c r="DS70" s="77"/>
      <c r="DT70" s="77"/>
      <c r="DU70" s="77"/>
      <c r="DV70" s="77"/>
      <c r="DW70" s="77"/>
      <c r="DX70" s="77"/>
      <c r="DY70" s="77"/>
      <c r="DZ70" s="77"/>
      <c r="EA70" s="77"/>
      <c r="EB70" s="77"/>
      <c r="EC70" s="77"/>
      <c r="ED70" s="77"/>
      <c r="EE70" s="77"/>
      <c r="EF70" s="77"/>
      <c r="EG70" s="77"/>
      <c r="EH70" s="77"/>
      <c r="EI70" s="77"/>
      <c r="EJ70" s="77"/>
      <c r="EK70" s="77"/>
      <c r="EL70" s="77"/>
      <c r="EM70" s="77"/>
      <c r="EN70" s="77"/>
      <c r="EO70" s="77"/>
      <c r="EP70" s="77"/>
      <c r="EQ70" s="77"/>
      <c r="ER70" s="77"/>
      <c r="ES70" s="77"/>
      <c r="ET70" s="77"/>
      <c r="EU70" s="77"/>
      <c r="EV70" s="77"/>
      <c r="EW70" s="77"/>
      <c r="EX70" s="77"/>
      <c r="EY70" s="77"/>
      <c r="EZ70" s="77"/>
      <c r="FA70" s="77"/>
      <c r="FB70" s="77"/>
      <c r="FC70" s="77"/>
      <c r="FD70" s="77"/>
      <c r="FE70" s="77"/>
      <c r="FF70" s="77"/>
      <c r="FG70" s="77"/>
      <c r="FH70" s="77"/>
      <c r="FI70" s="77"/>
      <c r="FJ70" s="77"/>
      <c r="FK70" s="77"/>
      <c r="FL70" s="77"/>
      <c r="FM70" s="77"/>
      <c r="FN70" s="77"/>
      <c r="FO70" s="77"/>
      <c r="FP70" s="77"/>
      <c r="FQ70" s="77"/>
      <c r="FR70" s="77"/>
      <c r="FS70" s="77"/>
      <c r="FT70" s="77"/>
      <c r="FU70" s="77"/>
      <c r="FV70" s="77"/>
      <c r="FW70" s="77"/>
      <c r="FX70" s="77"/>
      <c r="FY70" s="77"/>
      <c r="FZ70" s="77"/>
      <c r="GA70" s="77"/>
      <c r="GB70" s="77"/>
      <c r="GC70" s="77"/>
      <c r="GD70" s="77"/>
      <c r="GE70" s="77"/>
      <c r="GF70" s="77"/>
      <c r="GG70" s="77"/>
      <c r="GH70" s="77"/>
      <c r="GI70" s="77"/>
      <c r="GJ70" s="77"/>
      <c r="GK70" s="77"/>
      <c r="GL70" s="77"/>
      <c r="GM70" s="77"/>
      <c r="GN70" s="77"/>
      <c r="GO70" s="77"/>
      <c r="GP70" s="77"/>
      <c r="GQ70" s="77"/>
      <c r="GR70" s="77"/>
      <c r="GS70" s="77"/>
      <c r="GT70" s="77"/>
      <c r="GU70" s="77"/>
      <c r="GV70" s="77"/>
      <c r="GW70" s="77"/>
      <c r="GX70" s="77"/>
      <c r="GY70" s="77"/>
      <c r="GZ70" s="77"/>
      <c r="HA70" s="77"/>
      <c r="HB70" s="77"/>
      <c r="HC70" s="77"/>
      <c r="HD70" s="77"/>
      <c r="HE70" s="77"/>
      <c r="HF70" s="77"/>
      <c r="HG70" s="77"/>
      <c r="HH70" s="77"/>
      <c r="HI70" s="77"/>
      <c r="HJ70" s="77"/>
      <c r="HK70" s="77"/>
      <c r="HL70" s="77"/>
      <c r="HM70" s="77"/>
      <c r="HN70" s="77"/>
      <c r="HO70" s="77"/>
      <c r="HP70" s="77"/>
      <c r="HQ70" s="77"/>
    </row>
    <row r="71" spans="1:225" hidden="1" x14ac:dyDescent="0.3">
      <c r="A71" s="78">
        <f>'Entrada datos'!C68</f>
        <v>0</v>
      </c>
      <c r="B71" s="74">
        <f>'Entrada datos'!D68</f>
        <v>0</v>
      </c>
      <c r="C71" s="75">
        <f>'Entrada datos'!G68</f>
        <v>0</v>
      </c>
      <c r="D71" s="75">
        <f>'Entrada datos'!H68</f>
        <v>0</v>
      </c>
      <c r="E71" s="74">
        <f t="shared" si="4"/>
        <v>0</v>
      </c>
      <c r="F71" s="68" t="str">
        <f t="shared" si="5"/>
        <v>no procede</v>
      </c>
      <c r="G71" s="74">
        <f>'Entrada datos'!P68</f>
        <v>0</v>
      </c>
      <c r="H71" s="74">
        <f>'Entrada datos'!Q68</f>
        <v>0</v>
      </c>
      <c r="I71" s="74">
        <f>'Entrada datos'!R68</f>
        <v>0</v>
      </c>
      <c r="J71" s="74">
        <f>'Entrada datos'!S68</f>
        <v>0</v>
      </c>
      <c r="K71" s="74">
        <f>'Entrada datos'!T68</f>
        <v>0</v>
      </c>
      <c r="L71" s="74">
        <f>'Entrada datos'!U68</f>
        <v>0</v>
      </c>
      <c r="M71" s="76"/>
      <c r="N71" s="76"/>
      <c r="O71" s="76"/>
      <c r="P71" s="76"/>
      <c r="Q71" s="76"/>
      <c r="R71" s="76"/>
      <c r="S71" s="77" t="s">
        <v>74</v>
      </c>
      <c r="T71" s="77"/>
      <c r="U71" s="77"/>
      <c r="V71" s="77">
        <f t="shared" si="3"/>
        <v>0</v>
      </c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77"/>
      <c r="AY71" s="77"/>
      <c r="AZ71" s="77"/>
      <c r="BA71" s="77"/>
      <c r="BB71" s="77"/>
      <c r="BC71" s="77"/>
      <c r="BD71" s="77"/>
      <c r="BE71" s="77"/>
      <c r="BF71" s="77"/>
      <c r="BG71" s="77"/>
      <c r="BH71" s="77"/>
      <c r="BI71" s="77"/>
      <c r="BJ71" s="77"/>
      <c r="BK71" s="77"/>
      <c r="BL71" s="77"/>
      <c r="BM71" s="77"/>
      <c r="BN71" s="77"/>
      <c r="BO71" s="77"/>
      <c r="BP71" s="77"/>
      <c r="BQ71" s="77"/>
      <c r="BR71" s="77"/>
      <c r="BS71" s="77"/>
      <c r="BT71" s="77"/>
      <c r="BU71" s="77"/>
      <c r="BV71" s="77"/>
      <c r="BW71" s="77"/>
      <c r="BX71" s="77"/>
      <c r="BY71" s="77"/>
      <c r="BZ71" s="77"/>
      <c r="CA71" s="77"/>
      <c r="CB71" s="77"/>
      <c r="CC71" s="77"/>
      <c r="CD71" s="77"/>
      <c r="CE71" s="77"/>
      <c r="CF71" s="77"/>
      <c r="CG71" s="77"/>
      <c r="CH71" s="77"/>
      <c r="CI71" s="77"/>
      <c r="CJ71" s="77"/>
      <c r="CK71" s="77"/>
      <c r="CL71" s="77"/>
      <c r="CM71" s="77"/>
      <c r="CN71" s="77"/>
      <c r="CO71" s="77"/>
      <c r="CP71" s="77"/>
      <c r="CQ71" s="77"/>
      <c r="CR71" s="77"/>
      <c r="CS71" s="77"/>
      <c r="CT71" s="77"/>
      <c r="CU71" s="77"/>
      <c r="CV71" s="77"/>
      <c r="CW71" s="77"/>
      <c r="CX71" s="77"/>
      <c r="CY71" s="77"/>
      <c r="CZ71" s="77"/>
      <c r="DA71" s="77"/>
      <c r="DB71" s="77"/>
      <c r="DC71" s="77"/>
      <c r="DD71" s="77"/>
      <c r="DE71" s="77"/>
      <c r="DF71" s="77"/>
      <c r="DG71" s="77"/>
      <c r="DH71" s="77"/>
      <c r="DI71" s="77"/>
      <c r="DJ71" s="77"/>
      <c r="DK71" s="77"/>
      <c r="DL71" s="77"/>
      <c r="DM71" s="77"/>
      <c r="DN71" s="77"/>
      <c r="DO71" s="77"/>
      <c r="DP71" s="77"/>
      <c r="DQ71" s="77"/>
      <c r="DR71" s="77"/>
      <c r="DS71" s="77"/>
      <c r="DT71" s="77"/>
      <c r="DU71" s="77"/>
      <c r="DV71" s="77"/>
      <c r="DW71" s="77"/>
      <c r="DX71" s="77"/>
      <c r="DY71" s="77"/>
      <c r="DZ71" s="77"/>
      <c r="EA71" s="77"/>
      <c r="EB71" s="77"/>
      <c r="EC71" s="77"/>
      <c r="ED71" s="77"/>
      <c r="EE71" s="77"/>
      <c r="EF71" s="77"/>
      <c r="EG71" s="77"/>
      <c r="EH71" s="77"/>
      <c r="EI71" s="77"/>
      <c r="EJ71" s="77"/>
      <c r="EK71" s="77"/>
      <c r="EL71" s="77"/>
      <c r="EM71" s="77"/>
      <c r="EN71" s="77"/>
      <c r="EO71" s="77"/>
      <c r="EP71" s="77"/>
      <c r="EQ71" s="77"/>
      <c r="ER71" s="77"/>
      <c r="ES71" s="77"/>
      <c r="ET71" s="77"/>
      <c r="EU71" s="77"/>
      <c r="EV71" s="77"/>
      <c r="EW71" s="77"/>
      <c r="EX71" s="77"/>
      <c r="EY71" s="77"/>
      <c r="EZ71" s="77"/>
      <c r="FA71" s="77"/>
      <c r="FB71" s="77"/>
      <c r="FC71" s="77"/>
      <c r="FD71" s="77"/>
      <c r="FE71" s="77"/>
      <c r="FF71" s="77"/>
      <c r="FG71" s="77"/>
      <c r="FH71" s="77"/>
      <c r="FI71" s="77"/>
      <c r="FJ71" s="77"/>
      <c r="FK71" s="77"/>
      <c r="FL71" s="77"/>
      <c r="FM71" s="77"/>
      <c r="FN71" s="77"/>
      <c r="FO71" s="77"/>
      <c r="FP71" s="77"/>
      <c r="FQ71" s="77"/>
      <c r="FR71" s="77"/>
      <c r="FS71" s="77"/>
      <c r="FT71" s="77"/>
      <c r="FU71" s="77"/>
      <c r="FV71" s="77"/>
      <c r="FW71" s="77"/>
      <c r="FX71" s="77"/>
      <c r="FY71" s="77"/>
      <c r="FZ71" s="77"/>
      <c r="GA71" s="77"/>
      <c r="GB71" s="77"/>
      <c r="GC71" s="77"/>
      <c r="GD71" s="77"/>
      <c r="GE71" s="77"/>
      <c r="GF71" s="77"/>
      <c r="GG71" s="77"/>
      <c r="GH71" s="77"/>
      <c r="GI71" s="77"/>
      <c r="GJ71" s="77"/>
      <c r="GK71" s="77"/>
      <c r="GL71" s="77"/>
      <c r="GM71" s="77"/>
      <c r="GN71" s="77"/>
      <c r="GO71" s="77"/>
      <c r="GP71" s="77"/>
      <c r="GQ71" s="77"/>
      <c r="GR71" s="77"/>
      <c r="GS71" s="77"/>
      <c r="GT71" s="77"/>
      <c r="GU71" s="77"/>
      <c r="GV71" s="77"/>
      <c r="GW71" s="77"/>
      <c r="GX71" s="77"/>
      <c r="GY71" s="77"/>
      <c r="GZ71" s="77"/>
      <c r="HA71" s="77"/>
      <c r="HB71" s="77"/>
      <c r="HC71" s="77"/>
      <c r="HD71" s="77"/>
      <c r="HE71" s="77"/>
      <c r="HF71" s="77"/>
      <c r="HG71" s="77"/>
      <c r="HH71" s="77"/>
      <c r="HI71" s="77"/>
      <c r="HJ71" s="77"/>
      <c r="HK71" s="77"/>
      <c r="HL71" s="77"/>
      <c r="HM71" s="77"/>
      <c r="HN71" s="77"/>
      <c r="HO71" s="77"/>
      <c r="HP71" s="77"/>
      <c r="HQ71" s="77"/>
    </row>
    <row r="72" spans="1:225" hidden="1" x14ac:dyDescent="0.3">
      <c r="A72" s="78">
        <f>'Entrada datos'!C69</f>
        <v>0</v>
      </c>
      <c r="B72" s="74">
        <f>'Entrada datos'!D69</f>
        <v>0</v>
      </c>
      <c r="C72" s="75">
        <f>'Entrada datos'!G69</f>
        <v>0</v>
      </c>
      <c r="D72" s="75">
        <f>'Entrada datos'!H69</f>
        <v>0</v>
      </c>
      <c r="E72" s="74">
        <f t="shared" si="4"/>
        <v>0</v>
      </c>
      <c r="F72" s="68" t="str">
        <f t="shared" si="5"/>
        <v>no procede</v>
      </c>
      <c r="G72" s="74">
        <f>'Entrada datos'!P69</f>
        <v>0</v>
      </c>
      <c r="H72" s="74">
        <f>'Entrada datos'!Q69</f>
        <v>0</v>
      </c>
      <c r="I72" s="74">
        <f>'Entrada datos'!R69</f>
        <v>0</v>
      </c>
      <c r="J72" s="74">
        <f>'Entrada datos'!S69</f>
        <v>0</v>
      </c>
      <c r="K72" s="74">
        <f>'Entrada datos'!T69</f>
        <v>0</v>
      </c>
      <c r="L72" s="74">
        <f>'Entrada datos'!U69</f>
        <v>0</v>
      </c>
      <c r="M72" s="76"/>
      <c r="N72" s="76"/>
      <c r="O72" s="76"/>
      <c r="P72" s="76"/>
      <c r="Q72" s="76"/>
      <c r="R72" s="76"/>
      <c r="S72" s="77" t="s">
        <v>74</v>
      </c>
      <c r="T72" s="77"/>
      <c r="U72" s="77"/>
      <c r="V72" s="77">
        <f t="shared" ref="V72:V135" si="6">SUM(G72:I72)</f>
        <v>0</v>
      </c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77"/>
      <c r="BB72" s="77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77"/>
      <c r="BN72" s="77"/>
      <c r="BO72" s="77"/>
      <c r="BP72" s="77"/>
      <c r="BQ72" s="77"/>
      <c r="BR72" s="77"/>
      <c r="BS72" s="77"/>
      <c r="BT72" s="77"/>
      <c r="BU72" s="77"/>
      <c r="BV72" s="77"/>
      <c r="BW72" s="77"/>
      <c r="BX72" s="77"/>
      <c r="BY72" s="77"/>
      <c r="BZ72" s="77"/>
      <c r="CA72" s="77"/>
      <c r="CB72" s="77"/>
      <c r="CC72" s="77"/>
      <c r="CD72" s="77"/>
      <c r="CE72" s="77"/>
      <c r="CF72" s="77"/>
      <c r="CG72" s="77"/>
      <c r="CH72" s="77"/>
      <c r="CI72" s="77"/>
      <c r="CJ72" s="77"/>
      <c r="CK72" s="77"/>
      <c r="CL72" s="77"/>
      <c r="CM72" s="77"/>
      <c r="CN72" s="77"/>
      <c r="CO72" s="77"/>
      <c r="CP72" s="77"/>
      <c r="CQ72" s="77"/>
      <c r="CR72" s="77"/>
      <c r="CS72" s="77"/>
      <c r="CT72" s="77"/>
      <c r="CU72" s="77"/>
      <c r="CV72" s="77"/>
      <c r="CW72" s="77"/>
      <c r="CX72" s="77"/>
      <c r="CY72" s="77"/>
      <c r="CZ72" s="77"/>
      <c r="DA72" s="77"/>
      <c r="DB72" s="77"/>
      <c r="DC72" s="77"/>
      <c r="DD72" s="77"/>
      <c r="DE72" s="77"/>
      <c r="DF72" s="77"/>
      <c r="DG72" s="77"/>
      <c r="DH72" s="77"/>
      <c r="DI72" s="77"/>
      <c r="DJ72" s="77"/>
      <c r="DK72" s="77"/>
      <c r="DL72" s="77"/>
      <c r="DM72" s="77"/>
      <c r="DN72" s="77"/>
      <c r="DO72" s="77"/>
      <c r="DP72" s="77"/>
      <c r="DQ72" s="77"/>
      <c r="DR72" s="77"/>
      <c r="DS72" s="77"/>
      <c r="DT72" s="77"/>
      <c r="DU72" s="77"/>
      <c r="DV72" s="77"/>
      <c r="DW72" s="77"/>
      <c r="DX72" s="77"/>
      <c r="DY72" s="77"/>
      <c r="DZ72" s="77"/>
      <c r="EA72" s="77"/>
      <c r="EB72" s="77"/>
      <c r="EC72" s="77"/>
      <c r="ED72" s="77"/>
      <c r="EE72" s="77"/>
      <c r="EF72" s="77"/>
      <c r="EG72" s="77"/>
      <c r="EH72" s="77"/>
      <c r="EI72" s="77"/>
      <c r="EJ72" s="77"/>
      <c r="EK72" s="77"/>
      <c r="EL72" s="77"/>
      <c r="EM72" s="77"/>
      <c r="EN72" s="77"/>
      <c r="EO72" s="77"/>
      <c r="EP72" s="77"/>
      <c r="EQ72" s="77"/>
      <c r="ER72" s="77"/>
      <c r="ES72" s="77"/>
      <c r="ET72" s="77"/>
      <c r="EU72" s="77"/>
      <c r="EV72" s="77"/>
      <c r="EW72" s="77"/>
      <c r="EX72" s="77"/>
      <c r="EY72" s="77"/>
      <c r="EZ72" s="77"/>
      <c r="FA72" s="77"/>
      <c r="FB72" s="77"/>
      <c r="FC72" s="77"/>
      <c r="FD72" s="77"/>
      <c r="FE72" s="77"/>
      <c r="FF72" s="77"/>
      <c r="FG72" s="77"/>
      <c r="FH72" s="77"/>
      <c r="FI72" s="77"/>
      <c r="FJ72" s="77"/>
      <c r="FK72" s="77"/>
      <c r="FL72" s="77"/>
      <c r="FM72" s="77"/>
      <c r="FN72" s="77"/>
      <c r="FO72" s="77"/>
      <c r="FP72" s="77"/>
      <c r="FQ72" s="77"/>
      <c r="FR72" s="77"/>
      <c r="FS72" s="77"/>
      <c r="FT72" s="77"/>
      <c r="FU72" s="77"/>
      <c r="FV72" s="77"/>
      <c r="FW72" s="77"/>
      <c r="FX72" s="77"/>
      <c r="FY72" s="77"/>
      <c r="FZ72" s="77"/>
      <c r="GA72" s="77"/>
      <c r="GB72" s="77"/>
      <c r="GC72" s="77"/>
      <c r="GD72" s="77"/>
      <c r="GE72" s="77"/>
      <c r="GF72" s="77"/>
      <c r="GG72" s="77"/>
      <c r="GH72" s="77"/>
      <c r="GI72" s="77"/>
      <c r="GJ72" s="77"/>
      <c r="GK72" s="77"/>
      <c r="GL72" s="77"/>
      <c r="GM72" s="77"/>
      <c r="GN72" s="77"/>
      <c r="GO72" s="77"/>
      <c r="GP72" s="77"/>
      <c r="GQ72" s="77"/>
      <c r="GR72" s="77"/>
      <c r="GS72" s="77"/>
      <c r="GT72" s="77"/>
      <c r="GU72" s="77"/>
      <c r="GV72" s="77"/>
      <c r="GW72" s="77"/>
      <c r="GX72" s="77"/>
      <c r="GY72" s="77"/>
      <c r="GZ72" s="77"/>
      <c r="HA72" s="77"/>
      <c r="HB72" s="77"/>
      <c r="HC72" s="77"/>
      <c r="HD72" s="77"/>
      <c r="HE72" s="77"/>
      <c r="HF72" s="77"/>
      <c r="HG72" s="77"/>
      <c r="HH72" s="77"/>
      <c r="HI72" s="77"/>
      <c r="HJ72" s="77"/>
      <c r="HK72" s="77"/>
      <c r="HL72" s="77"/>
      <c r="HM72" s="77"/>
      <c r="HN72" s="77"/>
      <c r="HO72" s="77"/>
      <c r="HP72" s="77"/>
      <c r="HQ72" s="77"/>
    </row>
    <row r="73" spans="1:225" hidden="1" x14ac:dyDescent="0.3">
      <c r="A73" s="78">
        <f>'Entrada datos'!C70</f>
        <v>0</v>
      </c>
      <c r="B73" s="74">
        <f>'Entrada datos'!D70</f>
        <v>0</v>
      </c>
      <c r="C73" s="75">
        <f>'Entrada datos'!G70</f>
        <v>0</v>
      </c>
      <c r="D73" s="75">
        <f>'Entrada datos'!H70</f>
        <v>0</v>
      </c>
      <c r="E73" s="74">
        <f t="shared" si="4"/>
        <v>0</v>
      </c>
      <c r="F73" s="68" t="str">
        <f t="shared" si="5"/>
        <v>no procede</v>
      </c>
      <c r="G73" s="74">
        <f>'Entrada datos'!P70</f>
        <v>0</v>
      </c>
      <c r="H73" s="74">
        <f>'Entrada datos'!Q70</f>
        <v>0</v>
      </c>
      <c r="I73" s="74">
        <f>'Entrada datos'!R70</f>
        <v>0</v>
      </c>
      <c r="J73" s="74">
        <f>'Entrada datos'!S70</f>
        <v>0</v>
      </c>
      <c r="K73" s="74">
        <f>'Entrada datos'!T70</f>
        <v>0</v>
      </c>
      <c r="L73" s="74">
        <f>'Entrada datos'!U70</f>
        <v>0</v>
      </c>
      <c r="M73" s="76"/>
      <c r="N73" s="76"/>
      <c r="O73" s="76"/>
      <c r="P73" s="76"/>
      <c r="Q73" s="76"/>
      <c r="R73" s="76"/>
      <c r="S73" s="77" t="s">
        <v>74</v>
      </c>
      <c r="T73" s="77"/>
      <c r="U73" s="77"/>
      <c r="V73" s="77">
        <f t="shared" si="6"/>
        <v>0</v>
      </c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7"/>
      <c r="BZ73" s="77"/>
      <c r="CA73" s="77"/>
      <c r="CB73" s="77"/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  <c r="CY73" s="77"/>
      <c r="CZ73" s="77"/>
      <c r="DA73" s="77"/>
      <c r="DB73" s="77"/>
      <c r="DC73" s="77"/>
      <c r="DD73" s="77"/>
      <c r="DE73" s="77"/>
      <c r="DF73" s="77"/>
      <c r="DG73" s="77"/>
      <c r="DH73" s="77"/>
      <c r="DI73" s="77"/>
      <c r="DJ73" s="77"/>
      <c r="DK73" s="77"/>
      <c r="DL73" s="77"/>
      <c r="DM73" s="77"/>
      <c r="DN73" s="77"/>
      <c r="DO73" s="77"/>
      <c r="DP73" s="77"/>
      <c r="DQ73" s="77"/>
      <c r="DR73" s="77"/>
      <c r="DS73" s="77"/>
      <c r="DT73" s="77"/>
      <c r="DU73" s="77"/>
      <c r="DV73" s="77"/>
      <c r="DW73" s="77"/>
      <c r="DX73" s="77"/>
      <c r="DY73" s="77"/>
      <c r="DZ73" s="77"/>
      <c r="EA73" s="77"/>
      <c r="EB73" s="77"/>
      <c r="EC73" s="77"/>
      <c r="ED73" s="77"/>
      <c r="EE73" s="77"/>
      <c r="EF73" s="77"/>
      <c r="EG73" s="77"/>
      <c r="EH73" s="77"/>
      <c r="EI73" s="77"/>
      <c r="EJ73" s="77"/>
      <c r="EK73" s="77"/>
      <c r="EL73" s="77"/>
      <c r="EM73" s="77"/>
      <c r="EN73" s="77"/>
      <c r="EO73" s="77"/>
      <c r="EP73" s="77"/>
      <c r="EQ73" s="77"/>
      <c r="ER73" s="77"/>
      <c r="ES73" s="77"/>
      <c r="ET73" s="77"/>
      <c r="EU73" s="77"/>
      <c r="EV73" s="77"/>
      <c r="EW73" s="77"/>
      <c r="EX73" s="77"/>
      <c r="EY73" s="77"/>
      <c r="EZ73" s="77"/>
      <c r="FA73" s="77"/>
      <c r="FB73" s="77"/>
      <c r="FC73" s="77"/>
      <c r="FD73" s="77"/>
      <c r="FE73" s="77"/>
      <c r="FF73" s="77"/>
      <c r="FG73" s="77"/>
      <c r="FH73" s="77"/>
      <c r="FI73" s="77"/>
      <c r="FJ73" s="77"/>
      <c r="FK73" s="77"/>
      <c r="FL73" s="77"/>
      <c r="FM73" s="77"/>
      <c r="FN73" s="77"/>
      <c r="FO73" s="77"/>
      <c r="FP73" s="77"/>
      <c r="FQ73" s="77"/>
      <c r="FR73" s="77"/>
      <c r="FS73" s="77"/>
      <c r="FT73" s="77"/>
      <c r="FU73" s="77"/>
      <c r="FV73" s="77"/>
      <c r="FW73" s="77"/>
      <c r="FX73" s="77"/>
      <c r="FY73" s="77"/>
      <c r="FZ73" s="77"/>
      <c r="GA73" s="77"/>
      <c r="GB73" s="77"/>
      <c r="GC73" s="77"/>
      <c r="GD73" s="77"/>
      <c r="GE73" s="77"/>
      <c r="GF73" s="77"/>
      <c r="GG73" s="77"/>
      <c r="GH73" s="77"/>
      <c r="GI73" s="77"/>
      <c r="GJ73" s="77"/>
      <c r="GK73" s="77"/>
      <c r="GL73" s="77"/>
      <c r="GM73" s="77"/>
      <c r="GN73" s="77"/>
      <c r="GO73" s="77"/>
      <c r="GP73" s="77"/>
      <c r="GQ73" s="77"/>
      <c r="GR73" s="77"/>
      <c r="GS73" s="77"/>
      <c r="GT73" s="77"/>
      <c r="GU73" s="77"/>
      <c r="GV73" s="77"/>
      <c r="GW73" s="77"/>
      <c r="GX73" s="77"/>
      <c r="GY73" s="77"/>
      <c r="GZ73" s="77"/>
      <c r="HA73" s="77"/>
      <c r="HB73" s="77"/>
      <c r="HC73" s="77"/>
      <c r="HD73" s="77"/>
      <c r="HE73" s="77"/>
      <c r="HF73" s="77"/>
      <c r="HG73" s="77"/>
      <c r="HH73" s="77"/>
      <c r="HI73" s="77"/>
      <c r="HJ73" s="77"/>
      <c r="HK73" s="77"/>
      <c r="HL73" s="77"/>
      <c r="HM73" s="77"/>
      <c r="HN73" s="77"/>
      <c r="HO73" s="77"/>
      <c r="HP73" s="77"/>
      <c r="HQ73" s="77"/>
    </row>
    <row r="74" spans="1:225" hidden="1" x14ac:dyDescent="0.3">
      <c r="A74" s="78">
        <f>'Entrada datos'!C71</f>
        <v>0</v>
      </c>
      <c r="B74" s="74">
        <f>'Entrada datos'!D71</f>
        <v>0</v>
      </c>
      <c r="C74" s="75">
        <f>'Entrada datos'!G71</f>
        <v>0</v>
      </c>
      <c r="D74" s="75">
        <f>'Entrada datos'!H71</f>
        <v>0</v>
      </c>
      <c r="E74" s="74">
        <f t="shared" si="4"/>
        <v>0</v>
      </c>
      <c r="F74" s="68" t="str">
        <f t="shared" si="5"/>
        <v>no procede</v>
      </c>
      <c r="G74" s="74">
        <f>'Entrada datos'!P71</f>
        <v>0</v>
      </c>
      <c r="H74" s="74">
        <f>'Entrada datos'!Q71</f>
        <v>0</v>
      </c>
      <c r="I74" s="74">
        <f>'Entrada datos'!R71</f>
        <v>0</v>
      </c>
      <c r="J74" s="74">
        <f>'Entrada datos'!S71</f>
        <v>0</v>
      </c>
      <c r="K74" s="74">
        <f>'Entrada datos'!T71</f>
        <v>0</v>
      </c>
      <c r="L74" s="74">
        <f>'Entrada datos'!U71</f>
        <v>0</v>
      </c>
      <c r="M74" s="76"/>
      <c r="N74" s="76"/>
      <c r="O74" s="76"/>
      <c r="P74" s="76"/>
      <c r="Q74" s="76"/>
      <c r="R74" s="76"/>
      <c r="S74" s="77" t="s">
        <v>74</v>
      </c>
      <c r="T74" s="77"/>
      <c r="U74" s="77"/>
      <c r="V74" s="77">
        <f t="shared" si="6"/>
        <v>0</v>
      </c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  <c r="CY74" s="77"/>
      <c r="CZ74" s="77"/>
      <c r="DA74" s="77"/>
      <c r="DB74" s="77"/>
      <c r="DC74" s="77"/>
      <c r="DD74" s="77"/>
      <c r="DE74" s="77"/>
      <c r="DF74" s="77"/>
      <c r="DG74" s="77"/>
      <c r="DH74" s="77"/>
      <c r="DI74" s="77"/>
      <c r="DJ74" s="77"/>
      <c r="DK74" s="77"/>
      <c r="DL74" s="77"/>
      <c r="DM74" s="77"/>
      <c r="DN74" s="77"/>
      <c r="DO74" s="77"/>
      <c r="DP74" s="77"/>
      <c r="DQ74" s="77"/>
      <c r="DR74" s="77"/>
      <c r="DS74" s="77"/>
      <c r="DT74" s="77"/>
      <c r="DU74" s="77"/>
      <c r="DV74" s="77"/>
      <c r="DW74" s="77"/>
      <c r="DX74" s="77"/>
      <c r="DY74" s="77"/>
      <c r="DZ74" s="77"/>
      <c r="EA74" s="77"/>
      <c r="EB74" s="77"/>
      <c r="EC74" s="77"/>
      <c r="ED74" s="77"/>
      <c r="EE74" s="77"/>
      <c r="EF74" s="77"/>
      <c r="EG74" s="77"/>
      <c r="EH74" s="77"/>
      <c r="EI74" s="77"/>
      <c r="EJ74" s="77"/>
      <c r="EK74" s="77"/>
      <c r="EL74" s="77"/>
      <c r="EM74" s="77"/>
      <c r="EN74" s="77"/>
      <c r="EO74" s="77"/>
      <c r="EP74" s="77"/>
      <c r="EQ74" s="77"/>
      <c r="ER74" s="77"/>
      <c r="ES74" s="77"/>
      <c r="ET74" s="77"/>
      <c r="EU74" s="77"/>
      <c r="EV74" s="77"/>
      <c r="EW74" s="77"/>
      <c r="EX74" s="77"/>
      <c r="EY74" s="77"/>
      <c r="EZ74" s="77"/>
      <c r="FA74" s="77"/>
      <c r="FB74" s="77"/>
      <c r="FC74" s="77"/>
      <c r="FD74" s="77"/>
      <c r="FE74" s="77"/>
      <c r="FF74" s="77"/>
      <c r="FG74" s="77"/>
      <c r="FH74" s="77"/>
      <c r="FI74" s="77"/>
      <c r="FJ74" s="77"/>
      <c r="FK74" s="77"/>
      <c r="FL74" s="77"/>
      <c r="FM74" s="77"/>
      <c r="FN74" s="77"/>
      <c r="FO74" s="77"/>
      <c r="FP74" s="77"/>
      <c r="FQ74" s="77"/>
      <c r="FR74" s="77"/>
      <c r="FS74" s="77"/>
      <c r="FT74" s="77"/>
      <c r="FU74" s="77"/>
      <c r="FV74" s="77"/>
      <c r="FW74" s="77"/>
      <c r="FX74" s="77"/>
      <c r="FY74" s="77"/>
      <c r="FZ74" s="77"/>
      <c r="GA74" s="77"/>
      <c r="GB74" s="77"/>
      <c r="GC74" s="77"/>
      <c r="GD74" s="77"/>
      <c r="GE74" s="77"/>
      <c r="GF74" s="77"/>
      <c r="GG74" s="77"/>
      <c r="GH74" s="77"/>
      <c r="GI74" s="77"/>
      <c r="GJ74" s="77"/>
      <c r="GK74" s="77"/>
      <c r="GL74" s="77"/>
      <c r="GM74" s="77"/>
      <c r="GN74" s="77"/>
      <c r="GO74" s="77"/>
      <c r="GP74" s="77"/>
      <c r="GQ74" s="77"/>
      <c r="GR74" s="77"/>
      <c r="GS74" s="77"/>
      <c r="GT74" s="77"/>
      <c r="GU74" s="77"/>
      <c r="GV74" s="77"/>
      <c r="GW74" s="77"/>
      <c r="GX74" s="77"/>
      <c r="GY74" s="77"/>
      <c r="GZ74" s="77"/>
      <c r="HA74" s="77"/>
      <c r="HB74" s="77"/>
      <c r="HC74" s="77"/>
      <c r="HD74" s="77"/>
      <c r="HE74" s="77"/>
      <c r="HF74" s="77"/>
      <c r="HG74" s="77"/>
      <c r="HH74" s="77"/>
      <c r="HI74" s="77"/>
      <c r="HJ74" s="77"/>
      <c r="HK74" s="77"/>
      <c r="HL74" s="77"/>
      <c r="HM74" s="77"/>
      <c r="HN74" s="77"/>
      <c r="HO74" s="77"/>
      <c r="HP74" s="77"/>
      <c r="HQ74" s="77"/>
    </row>
    <row r="75" spans="1:225" hidden="1" x14ac:dyDescent="0.3">
      <c r="A75" s="78">
        <f>'Entrada datos'!C72</f>
        <v>0</v>
      </c>
      <c r="B75" s="74">
        <f>'Entrada datos'!D72</f>
        <v>0</v>
      </c>
      <c r="C75" s="75">
        <f>'Entrada datos'!G72</f>
        <v>0</v>
      </c>
      <c r="D75" s="75">
        <f>'Entrada datos'!H72</f>
        <v>0</v>
      </c>
      <c r="E75" s="74">
        <f t="shared" si="4"/>
        <v>0</v>
      </c>
      <c r="F75" s="68" t="str">
        <f t="shared" si="5"/>
        <v>no procede</v>
      </c>
      <c r="G75" s="74">
        <f>'Entrada datos'!P72</f>
        <v>0</v>
      </c>
      <c r="H75" s="74">
        <f>'Entrada datos'!Q72</f>
        <v>0</v>
      </c>
      <c r="I75" s="74">
        <f>'Entrada datos'!R72</f>
        <v>0</v>
      </c>
      <c r="J75" s="74">
        <f>'Entrada datos'!S72</f>
        <v>0</v>
      </c>
      <c r="K75" s="74">
        <f>'Entrada datos'!T72</f>
        <v>0</v>
      </c>
      <c r="L75" s="74">
        <f>'Entrada datos'!U72</f>
        <v>0</v>
      </c>
      <c r="M75" s="76"/>
      <c r="N75" s="76"/>
      <c r="O75" s="76"/>
      <c r="P75" s="76"/>
      <c r="Q75" s="76"/>
      <c r="R75" s="76"/>
      <c r="S75" s="77" t="s">
        <v>74</v>
      </c>
      <c r="T75" s="77"/>
      <c r="U75" s="77"/>
      <c r="V75" s="77">
        <f t="shared" si="6"/>
        <v>0</v>
      </c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W75" s="77"/>
      <c r="AX75" s="77"/>
      <c r="AY75" s="77"/>
      <c r="AZ75" s="77"/>
      <c r="BA75" s="77"/>
      <c r="BB75" s="77"/>
      <c r="BC75" s="77"/>
      <c r="BD75" s="77"/>
      <c r="BE75" s="77"/>
      <c r="BF75" s="77"/>
      <c r="BG75" s="77"/>
      <c r="BH75" s="77"/>
      <c r="BI75" s="77"/>
      <c r="BJ75" s="77"/>
      <c r="BK75" s="77"/>
      <c r="BL75" s="77"/>
      <c r="BM75" s="77"/>
      <c r="BN75" s="77"/>
      <c r="BO75" s="77"/>
      <c r="BP75" s="77"/>
      <c r="BQ75" s="77"/>
      <c r="BR75" s="77"/>
      <c r="BS75" s="77"/>
      <c r="BT75" s="77"/>
      <c r="BU75" s="77"/>
      <c r="BV75" s="77"/>
      <c r="BW75" s="77"/>
      <c r="BX75" s="77"/>
      <c r="BY75" s="77"/>
      <c r="BZ75" s="77"/>
      <c r="CA75" s="77"/>
      <c r="CB75" s="77"/>
      <c r="CC75" s="77"/>
      <c r="CD75" s="77"/>
      <c r="CE75" s="77"/>
      <c r="CF75" s="77"/>
      <c r="CG75" s="77"/>
      <c r="CH75" s="77"/>
      <c r="CI75" s="77"/>
      <c r="CJ75" s="77"/>
      <c r="CK75" s="77"/>
      <c r="CL75" s="77"/>
      <c r="CM75" s="77"/>
      <c r="CN75" s="77"/>
      <c r="CO75" s="77"/>
      <c r="CP75" s="77"/>
      <c r="CQ75" s="77"/>
      <c r="CR75" s="77"/>
      <c r="CS75" s="77"/>
      <c r="CT75" s="77"/>
      <c r="CU75" s="77"/>
      <c r="CV75" s="77"/>
      <c r="CW75" s="77"/>
      <c r="CX75" s="77"/>
      <c r="CY75" s="77"/>
      <c r="CZ75" s="77"/>
      <c r="DA75" s="77"/>
      <c r="DB75" s="77"/>
      <c r="DC75" s="77"/>
      <c r="DD75" s="77"/>
      <c r="DE75" s="77"/>
      <c r="DF75" s="77"/>
      <c r="DG75" s="77"/>
      <c r="DH75" s="77"/>
      <c r="DI75" s="77"/>
      <c r="DJ75" s="77"/>
      <c r="DK75" s="77"/>
      <c r="DL75" s="77"/>
      <c r="DM75" s="77"/>
      <c r="DN75" s="77"/>
      <c r="DO75" s="77"/>
      <c r="DP75" s="77"/>
      <c r="DQ75" s="77"/>
      <c r="DR75" s="77"/>
      <c r="DS75" s="77"/>
      <c r="DT75" s="77"/>
      <c r="DU75" s="77"/>
      <c r="DV75" s="77"/>
      <c r="DW75" s="77"/>
      <c r="DX75" s="77"/>
      <c r="DY75" s="77"/>
      <c r="DZ75" s="77"/>
      <c r="EA75" s="77"/>
      <c r="EB75" s="77"/>
      <c r="EC75" s="77"/>
      <c r="ED75" s="77"/>
      <c r="EE75" s="77"/>
      <c r="EF75" s="77"/>
      <c r="EG75" s="77"/>
      <c r="EH75" s="77"/>
      <c r="EI75" s="77"/>
      <c r="EJ75" s="77"/>
      <c r="EK75" s="77"/>
      <c r="EL75" s="77"/>
      <c r="EM75" s="77"/>
      <c r="EN75" s="77"/>
      <c r="EO75" s="77"/>
      <c r="EP75" s="77"/>
      <c r="EQ75" s="77"/>
      <c r="ER75" s="77"/>
      <c r="ES75" s="77"/>
      <c r="ET75" s="77"/>
      <c r="EU75" s="77"/>
      <c r="EV75" s="77"/>
      <c r="EW75" s="77"/>
      <c r="EX75" s="77"/>
      <c r="EY75" s="77"/>
      <c r="EZ75" s="77"/>
      <c r="FA75" s="77"/>
      <c r="FB75" s="77"/>
      <c r="FC75" s="77"/>
      <c r="FD75" s="77"/>
      <c r="FE75" s="77"/>
      <c r="FF75" s="77"/>
      <c r="FG75" s="77"/>
      <c r="FH75" s="77"/>
      <c r="FI75" s="77"/>
      <c r="FJ75" s="77"/>
      <c r="FK75" s="77"/>
      <c r="FL75" s="77"/>
      <c r="FM75" s="77"/>
      <c r="FN75" s="77"/>
      <c r="FO75" s="77"/>
      <c r="FP75" s="77"/>
      <c r="FQ75" s="77"/>
      <c r="FR75" s="77"/>
      <c r="FS75" s="77"/>
      <c r="FT75" s="77"/>
      <c r="FU75" s="77"/>
      <c r="FV75" s="77"/>
      <c r="FW75" s="77"/>
      <c r="FX75" s="77"/>
      <c r="FY75" s="77"/>
      <c r="FZ75" s="77"/>
      <c r="GA75" s="77"/>
      <c r="GB75" s="77"/>
      <c r="GC75" s="77"/>
      <c r="GD75" s="77"/>
      <c r="GE75" s="77"/>
      <c r="GF75" s="77"/>
      <c r="GG75" s="77"/>
      <c r="GH75" s="77"/>
      <c r="GI75" s="77"/>
      <c r="GJ75" s="77"/>
      <c r="GK75" s="77"/>
      <c r="GL75" s="77"/>
      <c r="GM75" s="77"/>
      <c r="GN75" s="77"/>
      <c r="GO75" s="77"/>
      <c r="GP75" s="77"/>
      <c r="GQ75" s="77"/>
      <c r="GR75" s="77"/>
      <c r="GS75" s="77"/>
      <c r="GT75" s="77"/>
      <c r="GU75" s="77"/>
      <c r="GV75" s="77"/>
      <c r="GW75" s="77"/>
      <c r="GX75" s="77"/>
      <c r="GY75" s="77"/>
      <c r="GZ75" s="77"/>
      <c r="HA75" s="77"/>
      <c r="HB75" s="77"/>
      <c r="HC75" s="77"/>
      <c r="HD75" s="77"/>
      <c r="HE75" s="77"/>
      <c r="HF75" s="77"/>
      <c r="HG75" s="77"/>
      <c r="HH75" s="77"/>
      <c r="HI75" s="77"/>
      <c r="HJ75" s="77"/>
      <c r="HK75" s="77"/>
      <c r="HL75" s="77"/>
      <c r="HM75" s="77"/>
      <c r="HN75" s="77"/>
      <c r="HO75" s="77"/>
      <c r="HP75" s="77"/>
      <c r="HQ75" s="77"/>
    </row>
    <row r="76" spans="1:225" hidden="1" x14ac:dyDescent="0.3">
      <c r="A76" s="78">
        <f>'Entrada datos'!C73</f>
        <v>0</v>
      </c>
      <c r="B76" s="74">
        <f>'Entrada datos'!D73</f>
        <v>0</v>
      </c>
      <c r="C76" s="75">
        <f>'Entrada datos'!G73</f>
        <v>0</v>
      </c>
      <c r="D76" s="75">
        <f>'Entrada datos'!H73</f>
        <v>0</v>
      </c>
      <c r="E76" s="74">
        <f t="shared" si="4"/>
        <v>0</v>
      </c>
      <c r="F76" s="68" t="str">
        <f t="shared" si="5"/>
        <v>no procede</v>
      </c>
      <c r="G76" s="74">
        <f>'Entrada datos'!P73</f>
        <v>0</v>
      </c>
      <c r="H76" s="74">
        <f>'Entrada datos'!Q73</f>
        <v>0</v>
      </c>
      <c r="I76" s="74">
        <f>'Entrada datos'!R73</f>
        <v>0</v>
      </c>
      <c r="J76" s="74">
        <f>'Entrada datos'!S73</f>
        <v>0</v>
      </c>
      <c r="K76" s="74">
        <f>'Entrada datos'!T73</f>
        <v>0</v>
      </c>
      <c r="L76" s="74">
        <f>'Entrada datos'!U73</f>
        <v>0</v>
      </c>
      <c r="M76" s="76"/>
      <c r="N76" s="76"/>
      <c r="O76" s="76"/>
      <c r="P76" s="76"/>
      <c r="Q76" s="76"/>
      <c r="R76" s="76"/>
      <c r="S76" s="77" t="s">
        <v>74</v>
      </c>
      <c r="T76" s="77"/>
      <c r="U76" s="77"/>
      <c r="V76" s="77">
        <f t="shared" si="6"/>
        <v>0</v>
      </c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77"/>
      <c r="BS76" s="77"/>
      <c r="BT76" s="77"/>
      <c r="BU76" s="77"/>
      <c r="BV76" s="77"/>
      <c r="BW76" s="77"/>
      <c r="BX76" s="77"/>
      <c r="BY76" s="77"/>
      <c r="BZ76" s="77"/>
      <c r="CA76" s="77"/>
      <c r="CB76" s="77"/>
      <c r="CC76" s="77"/>
      <c r="CD76" s="77"/>
      <c r="CE76" s="77"/>
      <c r="CF76" s="77"/>
      <c r="CG76" s="77"/>
      <c r="CH76" s="77"/>
      <c r="CI76" s="77"/>
      <c r="CJ76" s="77"/>
      <c r="CK76" s="77"/>
      <c r="CL76" s="77"/>
      <c r="CM76" s="77"/>
      <c r="CN76" s="77"/>
      <c r="CO76" s="77"/>
      <c r="CP76" s="77"/>
      <c r="CQ76" s="77"/>
      <c r="CR76" s="77"/>
      <c r="CS76" s="77"/>
      <c r="CT76" s="77"/>
      <c r="CU76" s="77"/>
      <c r="CV76" s="77"/>
      <c r="CW76" s="77"/>
      <c r="CX76" s="77"/>
      <c r="CY76" s="77"/>
      <c r="CZ76" s="77"/>
      <c r="DA76" s="77"/>
      <c r="DB76" s="77"/>
      <c r="DC76" s="77"/>
      <c r="DD76" s="77"/>
      <c r="DE76" s="77"/>
      <c r="DF76" s="77"/>
      <c r="DG76" s="77"/>
      <c r="DH76" s="77"/>
      <c r="DI76" s="77"/>
      <c r="DJ76" s="77"/>
      <c r="DK76" s="77"/>
      <c r="DL76" s="77"/>
      <c r="DM76" s="77"/>
      <c r="DN76" s="77"/>
      <c r="DO76" s="77"/>
      <c r="DP76" s="77"/>
      <c r="DQ76" s="77"/>
      <c r="DR76" s="77"/>
      <c r="DS76" s="77"/>
      <c r="DT76" s="77"/>
      <c r="DU76" s="77"/>
      <c r="DV76" s="77"/>
      <c r="DW76" s="77"/>
      <c r="DX76" s="77"/>
      <c r="DY76" s="77"/>
      <c r="DZ76" s="77"/>
      <c r="EA76" s="77"/>
      <c r="EB76" s="77"/>
      <c r="EC76" s="77"/>
      <c r="ED76" s="77"/>
      <c r="EE76" s="77"/>
      <c r="EF76" s="77"/>
      <c r="EG76" s="77"/>
      <c r="EH76" s="77"/>
      <c r="EI76" s="77"/>
      <c r="EJ76" s="77"/>
      <c r="EK76" s="77"/>
      <c r="EL76" s="77"/>
      <c r="EM76" s="77"/>
      <c r="EN76" s="77"/>
      <c r="EO76" s="77"/>
      <c r="EP76" s="77"/>
      <c r="EQ76" s="77"/>
      <c r="ER76" s="77"/>
      <c r="ES76" s="77"/>
      <c r="ET76" s="77"/>
      <c r="EU76" s="77"/>
      <c r="EV76" s="77"/>
      <c r="EW76" s="77"/>
      <c r="EX76" s="77"/>
      <c r="EY76" s="77"/>
      <c r="EZ76" s="77"/>
      <c r="FA76" s="77"/>
      <c r="FB76" s="77"/>
      <c r="FC76" s="77"/>
      <c r="FD76" s="77"/>
      <c r="FE76" s="77"/>
      <c r="FF76" s="77"/>
      <c r="FG76" s="77"/>
      <c r="FH76" s="77"/>
      <c r="FI76" s="77"/>
      <c r="FJ76" s="77"/>
      <c r="FK76" s="77"/>
      <c r="FL76" s="77"/>
      <c r="FM76" s="77"/>
      <c r="FN76" s="77"/>
      <c r="FO76" s="77"/>
      <c r="FP76" s="77"/>
      <c r="FQ76" s="77"/>
      <c r="FR76" s="77"/>
      <c r="FS76" s="77"/>
      <c r="FT76" s="77"/>
      <c r="FU76" s="77"/>
      <c r="FV76" s="77"/>
      <c r="FW76" s="77"/>
      <c r="FX76" s="77"/>
      <c r="FY76" s="77"/>
      <c r="FZ76" s="77"/>
      <c r="GA76" s="77"/>
      <c r="GB76" s="77"/>
      <c r="GC76" s="77"/>
      <c r="GD76" s="77"/>
      <c r="GE76" s="77"/>
      <c r="GF76" s="77"/>
      <c r="GG76" s="77"/>
      <c r="GH76" s="77"/>
      <c r="GI76" s="77"/>
      <c r="GJ76" s="77"/>
      <c r="GK76" s="77"/>
      <c r="GL76" s="77"/>
      <c r="GM76" s="77"/>
      <c r="GN76" s="77"/>
      <c r="GO76" s="77"/>
      <c r="GP76" s="77"/>
      <c r="GQ76" s="77"/>
      <c r="GR76" s="77"/>
      <c r="GS76" s="77"/>
      <c r="GT76" s="77"/>
      <c r="GU76" s="77"/>
      <c r="GV76" s="77"/>
      <c r="GW76" s="77"/>
      <c r="GX76" s="77"/>
      <c r="GY76" s="77"/>
      <c r="GZ76" s="77"/>
      <c r="HA76" s="77"/>
      <c r="HB76" s="77"/>
      <c r="HC76" s="77"/>
      <c r="HD76" s="77"/>
      <c r="HE76" s="77"/>
      <c r="HF76" s="77"/>
      <c r="HG76" s="77"/>
      <c r="HH76" s="77"/>
      <c r="HI76" s="77"/>
      <c r="HJ76" s="77"/>
      <c r="HK76" s="77"/>
      <c r="HL76" s="77"/>
      <c r="HM76" s="77"/>
      <c r="HN76" s="77"/>
      <c r="HO76" s="77"/>
      <c r="HP76" s="77"/>
      <c r="HQ76" s="77"/>
    </row>
    <row r="77" spans="1:225" hidden="1" x14ac:dyDescent="0.3">
      <c r="A77" s="78">
        <f>'Entrada datos'!C74</f>
        <v>0</v>
      </c>
      <c r="B77" s="74">
        <f>'Entrada datos'!D74</f>
        <v>0</v>
      </c>
      <c r="C77" s="75">
        <f>'Entrada datos'!G74</f>
        <v>0</v>
      </c>
      <c r="D77" s="75">
        <f>'Entrada datos'!H74</f>
        <v>0</v>
      </c>
      <c r="E77" s="74">
        <f t="shared" si="4"/>
        <v>0</v>
      </c>
      <c r="F77" s="68" t="str">
        <f t="shared" si="5"/>
        <v>no procede</v>
      </c>
      <c r="G77" s="74">
        <f>'Entrada datos'!P74</f>
        <v>0</v>
      </c>
      <c r="H77" s="74">
        <f>'Entrada datos'!Q74</f>
        <v>0</v>
      </c>
      <c r="I77" s="74">
        <f>'Entrada datos'!R74</f>
        <v>0</v>
      </c>
      <c r="J77" s="74">
        <f>'Entrada datos'!S74</f>
        <v>0</v>
      </c>
      <c r="K77" s="74">
        <f>'Entrada datos'!T74</f>
        <v>0</v>
      </c>
      <c r="L77" s="74">
        <f>'Entrada datos'!U74</f>
        <v>0</v>
      </c>
      <c r="M77" s="76"/>
      <c r="N77" s="76"/>
      <c r="O77" s="76"/>
      <c r="P77" s="76"/>
      <c r="Q77" s="76"/>
      <c r="R77" s="76"/>
      <c r="S77" s="77" t="s">
        <v>74</v>
      </c>
      <c r="T77" s="77"/>
      <c r="U77" s="77"/>
      <c r="V77" s="77">
        <f t="shared" si="6"/>
        <v>0</v>
      </c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  <c r="AW77" s="77"/>
      <c r="AX77" s="77"/>
      <c r="AY77" s="77"/>
      <c r="AZ77" s="77"/>
      <c r="BA77" s="77"/>
      <c r="BB77" s="77"/>
      <c r="BC77" s="77"/>
      <c r="BD77" s="77"/>
      <c r="BE77" s="77"/>
      <c r="BF77" s="77"/>
      <c r="BG77" s="77"/>
      <c r="BH77" s="77"/>
      <c r="BI77" s="77"/>
      <c r="BJ77" s="77"/>
      <c r="BK77" s="77"/>
      <c r="BL77" s="77"/>
      <c r="BM77" s="77"/>
      <c r="BN77" s="77"/>
      <c r="BO77" s="77"/>
      <c r="BP77" s="77"/>
      <c r="BQ77" s="77"/>
      <c r="BR77" s="77"/>
      <c r="BS77" s="77"/>
      <c r="BT77" s="77"/>
      <c r="BU77" s="77"/>
      <c r="BV77" s="77"/>
      <c r="BW77" s="77"/>
      <c r="BX77" s="77"/>
      <c r="BY77" s="77"/>
      <c r="BZ77" s="77"/>
      <c r="CA77" s="77"/>
      <c r="CB77" s="77"/>
      <c r="CC77" s="77"/>
      <c r="CD77" s="77"/>
      <c r="CE77" s="77"/>
      <c r="CF77" s="77"/>
      <c r="CG77" s="77"/>
      <c r="CH77" s="77"/>
      <c r="CI77" s="77"/>
      <c r="CJ77" s="77"/>
      <c r="CK77" s="77"/>
      <c r="CL77" s="77"/>
      <c r="CM77" s="77"/>
      <c r="CN77" s="77"/>
      <c r="CO77" s="77"/>
      <c r="CP77" s="77"/>
      <c r="CQ77" s="77"/>
      <c r="CR77" s="77"/>
      <c r="CS77" s="77"/>
      <c r="CT77" s="77"/>
      <c r="CU77" s="77"/>
      <c r="CV77" s="77"/>
      <c r="CW77" s="77"/>
      <c r="CX77" s="77"/>
      <c r="CY77" s="77"/>
      <c r="CZ77" s="77"/>
      <c r="DA77" s="77"/>
      <c r="DB77" s="77"/>
      <c r="DC77" s="77"/>
      <c r="DD77" s="77"/>
      <c r="DE77" s="77"/>
      <c r="DF77" s="77"/>
      <c r="DG77" s="77"/>
      <c r="DH77" s="77"/>
      <c r="DI77" s="77"/>
      <c r="DJ77" s="77"/>
      <c r="DK77" s="77"/>
      <c r="DL77" s="77"/>
      <c r="DM77" s="77"/>
      <c r="DN77" s="77"/>
      <c r="DO77" s="77"/>
      <c r="DP77" s="77"/>
      <c r="DQ77" s="77"/>
      <c r="DR77" s="77"/>
      <c r="DS77" s="77"/>
      <c r="DT77" s="77"/>
      <c r="DU77" s="77"/>
      <c r="DV77" s="77"/>
      <c r="DW77" s="77"/>
      <c r="DX77" s="77"/>
      <c r="DY77" s="77"/>
      <c r="DZ77" s="77"/>
      <c r="EA77" s="77"/>
      <c r="EB77" s="77"/>
      <c r="EC77" s="77"/>
      <c r="ED77" s="77"/>
      <c r="EE77" s="77"/>
      <c r="EF77" s="77"/>
      <c r="EG77" s="77"/>
      <c r="EH77" s="77"/>
      <c r="EI77" s="77"/>
      <c r="EJ77" s="77"/>
      <c r="EK77" s="77"/>
      <c r="EL77" s="77"/>
      <c r="EM77" s="77"/>
      <c r="EN77" s="77"/>
      <c r="EO77" s="77"/>
      <c r="EP77" s="77"/>
      <c r="EQ77" s="77"/>
      <c r="ER77" s="77"/>
      <c r="ES77" s="77"/>
      <c r="ET77" s="77"/>
      <c r="EU77" s="77"/>
      <c r="EV77" s="77"/>
      <c r="EW77" s="77"/>
      <c r="EX77" s="77"/>
      <c r="EY77" s="77"/>
      <c r="EZ77" s="77"/>
      <c r="FA77" s="77"/>
      <c r="FB77" s="77"/>
      <c r="FC77" s="77"/>
      <c r="FD77" s="77"/>
      <c r="FE77" s="77"/>
      <c r="FF77" s="77"/>
      <c r="FG77" s="77"/>
      <c r="FH77" s="77"/>
      <c r="FI77" s="77"/>
      <c r="FJ77" s="77"/>
      <c r="FK77" s="77"/>
      <c r="FL77" s="77"/>
      <c r="FM77" s="77"/>
      <c r="FN77" s="77"/>
      <c r="FO77" s="77"/>
      <c r="FP77" s="77"/>
      <c r="FQ77" s="77"/>
      <c r="FR77" s="77"/>
      <c r="FS77" s="77"/>
      <c r="FT77" s="77"/>
      <c r="FU77" s="77"/>
      <c r="FV77" s="77"/>
      <c r="FW77" s="77"/>
      <c r="FX77" s="77"/>
      <c r="FY77" s="77"/>
      <c r="FZ77" s="77"/>
      <c r="GA77" s="77"/>
      <c r="GB77" s="77"/>
      <c r="GC77" s="77"/>
      <c r="GD77" s="77"/>
      <c r="GE77" s="77"/>
      <c r="GF77" s="77"/>
      <c r="GG77" s="77"/>
      <c r="GH77" s="77"/>
      <c r="GI77" s="77"/>
      <c r="GJ77" s="77"/>
      <c r="GK77" s="77"/>
      <c r="GL77" s="77"/>
      <c r="GM77" s="77"/>
      <c r="GN77" s="77"/>
      <c r="GO77" s="77"/>
      <c r="GP77" s="77"/>
      <c r="GQ77" s="77"/>
      <c r="GR77" s="77"/>
      <c r="GS77" s="77"/>
      <c r="GT77" s="77"/>
      <c r="GU77" s="77"/>
      <c r="GV77" s="77"/>
      <c r="GW77" s="77"/>
      <c r="GX77" s="77"/>
      <c r="GY77" s="77"/>
      <c r="GZ77" s="77"/>
      <c r="HA77" s="77"/>
      <c r="HB77" s="77"/>
      <c r="HC77" s="77"/>
      <c r="HD77" s="77"/>
      <c r="HE77" s="77"/>
      <c r="HF77" s="77"/>
      <c r="HG77" s="77"/>
      <c r="HH77" s="77"/>
      <c r="HI77" s="77"/>
      <c r="HJ77" s="77"/>
      <c r="HK77" s="77"/>
      <c r="HL77" s="77"/>
      <c r="HM77" s="77"/>
      <c r="HN77" s="77"/>
      <c r="HO77" s="77"/>
      <c r="HP77" s="77"/>
      <c r="HQ77" s="77"/>
    </row>
    <row r="78" spans="1:225" hidden="1" x14ac:dyDescent="0.3">
      <c r="A78" s="78">
        <f>'Entrada datos'!C75</f>
        <v>0</v>
      </c>
      <c r="B78" s="74">
        <f>'Entrada datos'!D75</f>
        <v>0</v>
      </c>
      <c r="C78" s="75">
        <f>'Entrada datos'!G75</f>
        <v>0</v>
      </c>
      <c r="D78" s="75">
        <f>'Entrada datos'!H75</f>
        <v>0</v>
      </c>
      <c r="E78" s="74">
        <f t="shared" si="4"/>
        <v>0</v>
      </c>
      <c r="F78" s="68" t="str">
        <f t="shared" si="5"/>
        <v>no procede</v>
      </c>
      <c r="G78" s="74">
        <f>'Entrada datos'!P75</f>
        <v>0</v>
      </c>
      <c r="H78" s="74">
        <f>'Entrada datos'!Q75</f>
        <v>0</v>
      </c>
      <c r="I78" s="74">
        <f>'Entrada datos'!R75</f>
        <v>0</v>
      </c>
      <c r="J78" s="74">
        <f>'Entrada datos'!S75</f>
        <v>0</v>
      </c>
      <c r="K78" s="74">
        <f>'Entrada datos'!T75</f>
        <v>0</v>
      </c>
      <c r="L78" s="74">
        <f>'Entrada datos'!U75</f>
        <v>0</v>
      </c>
      <c r="M78" s="76"/>
      <c r="N78" s="76"/>
      <c r="O78" s="76"/>
      <c r="P78" s="76"/>
      <c r="Q78" s="76"/>
      <c r="R78" s="76"/>
      <c r="S78" s="77" t="s">
        <v>74</v>
      </c>
      <c r="T78" s="77"/>
      <c r="U78" s="77"/>
      <c r="V78" s="77">
        <f t="shared" si="6"/>
        <v>0</v>
      </c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  <c r="AI78" s="77"/>
      <c r="AJ78" s="77"/>
      <c r="AK78" s="77"/>
      <c r="AL78" s="77"/>
      <c r="AM78" s="77"/>
      <c r="AN78" s="77"/>
      <c r="AO78" s="77"/>
      <c r="AP78" s="77"/>
      <c r="AQ78" s="77"/>
      <c r="AR78" s="77"/>
      <c r="AS78" s="77"/>
      <c r="AT78" s="77"/>
      <c r="AU78" s="77"/>
      <c r="AV78" s="77"/>
      <c r="AW78" s="77"/>
      <c r="AX78" s="77"/>
      <c r="AY78" s="77"/>
      <c r="AZ78" s="77"/>
      <c r="BA78" s="77"/>
      <c r="BB78" s="77"/>
      <c r="BC78" s="77"/>
      <c r="BD78" s="77"/>
      <c r="BE78" s="77"/>
      <c r="BF78" s="77"/>
      <c r="BG78" s="77"/>
      <c r="BH78" s="77"/>
      <c r="BI78" s="77"/>
      <c r="BJ78" s="77"/>
      <c r="BK78" s="77"/>
      <c r="BL78" s="77"/>
      <c r="BM78" s="77"/>
      <c r="BN78" s="77"/>
      <c r="BO78" s="77"/>
      <c r="BP78" s="77"/>
      <c r="BQ78" s="77"/>
      <c r="BR78" s="77"/>
      <c r="BS78" s="77"/>
      <c r="BT78" s="77"/>
      <c r="BU78" s="77"/>
      <c r="BV78" s="77"/>
      <c r="BW78" s="77"/>
      <c r="BX78" s="77"/>
      <c r="BY78" s="77"/>
      <c r="BZ78" s="77"/>
      <c r="CA78" s="77"/>
      <c r="CB78" s="77"/>
      <c r="CC78" s="77"/>
      <c r="CD78" s="77"/>
      <c r="CE78" s="77"/>
      <c r="CF78" s="77"/>
      <c r="CG78" s="77"/>
      <c r="CH78" s="77"/>
      <c r="CI78" s="77"/>
      <c r="CJ78" s="77"/>
      <c r="CK78" s="77"/>
      <c r="CL78" s="77"/>
      <c r="CM78" s="77"/>
      <c r="CN78" s="77"/>
      <c r="CO78" s="77"/>
      <c r="CP78" s="77"/>
      <c r="CQ78" s="77"/>
      <c r="CR78" s="77"/>
      <c r="CS78" s="77"/>
      <c r="CT78" s="77"/>
      <c r="CU78" s="77"/>
      <c r="CV78" s="77"/>
      <c r="CW78" s="77"/>
      <c r="CX78" s="77"/>
      <c r="CY78" s="77"/>
      <c r="CZ78" s="77"/>
      <c r="DA78" s="77"/>
      <c r="DB78" s="77"/>
      <c r="DC78" s="77"/>
      <c r="DD78" s="77"/>
      <c r="DE78" s="77"/>
      <c r="DF78" s="77"/>
      <c r="DG78" s="77"/>
      <c r="DH78" s="77"/>
      <c r="DI78" s="77"/>
      <c r="DJ78" s="77"/>
      <c r="DK78" s="77"/>
      <c r="DL78" s="77"/>
      <c r="DM78" s="77"/>
      <c r="DN78" s="77"/>
      <c r="DO78" s="77"/>
      <c r="DP78" s="77"/>
      <c r="DQ78" s="77"/>
      <c r="DR78" s="77"/>
      <c r="DS78" s="77"/>
      <c r="DT78" s="77"/>
      <c r="DU78" s="77"/>
      <c r="DV78" s="77"/>
      <c r="DW78" s="77"/>
      <c r="DX78" s="77"/>
      <c r="DY78" s="77"/>
      <c r="DZ78" s="77"/>
      <c r="EA78" s="77"/>
      <c r="EB78" s="77"/>
      <c r="EC78" s="77"/>
      <c r="ED78" s="77"/>
      <c r="EE78" s="77"/>
      <c r="EF78" s="77"/>
      <c r="EG78" s="77"/>
      <c r="EH78" s="77"/>
      <c r="EI78" s="77"/>
      <c r="EJ78" s="77"/>
      <c r="EK78" s="77"/>
      <c r="EL78" s="77"/>
      <c r="EM78" s="77"/>
      <c r="EN78" s="77"/>
      <c r="EO78" s="77"/>
      <c r="EP78" s="77"/>
      <c r="EQ78" s="77"/>
      <c r="ER78" s="77"/>
      <c r="ES78" s="77"/>
      <c r="ET78" s="77"/>
      <c r="EU78" s="77"/>
      <c r="EV78" s="77"/>
      <c r="EW78" s="77"/>
      <c r="EX78" s="77"/>
      <c r="EY78" s="77"/>
      <c r="EZ78" s="77"/>
      <c r="FA78" s="77"/>
      <c r="FB78" s="77"/>
      <c r="FC78" s="77"/>
      <c r="FD78" s="77"/>
      <c r="FE78" s="77"/>
      <c r="FF78" s="77"/>
      <c r="FG78" s="77"/>
      <c r="FH78" s="77"/>
      <c r="FI78" s="77"/>
      <c r="FJ78" s="77"/>
      <c r="FK78" s="77"/>
      <c r="FL78" s="77"/>
      <c r="FM78" s="77"/>
      <c r="FN78" s="77"/>
      <c r="FO78" s="77"/>
      <c r="FP78" s="77"/>
      <c r="FQ78" s="77"/>
      <c r="FR78" s="77"/>
      <c r="FS78" s="77"/>
      <c r="FT78" s="77"/>
      <c r="FU78" s="77"/>
      <c r="FV78" s="77"/>
      <c r="FW78" s="77"/>
      <c r="FX78" s="77"/>
      <c r="FY78" s="77"/>
      <c r="FZ78" s="77"/>
      <c r="GA78" s="77"/>
      <c r="GB78" s="77"/>
      <c r="GC78" s="77"/>
      <c r="GD78" s="77"/>
      <c r="GE78" s="77"/>
      <c r="GF78" s="77"/>
      <c r="GG78" s="77"/>
      <c r="GH78" s="77"/>
      <c r="GI78" s="77"/>
      <c r="GJ78" s="77"/>
      <c r="GK78" s="77"/>
      <c r="GL78" s="77"/>
      <c r="GM78" s="77"/>
      <c r="GN78" s="77"/>
      <c r="GO78" s="77"/>
      <c r="GP78" s="77"/>
      <c r="GQ78" s="77"/>
      <c r="GR78" s="77"/>
      <c r="GS78" s="77"/>
      <c r="GT78" s="77"/>
      <c r="GU78" s="77"/>
      <c r="GV78" s="77"/>
      <c r="GW78" s="77"/>
      <c r="GX78" s="77"/>
      <c r="GY78" s="77"/>
      <c r="GZ78" s="77"/>
      <c r="HA78" s="77"/>
      <c r="HB78" s="77"/>
      <c r="HC78" s="77"/>
      <c r="HD78" s="77"/>
      <c r="HE78" s="77"/>
      <c r="HF78" s="77"/>
      <c r="HG78" s="77"/>
      <c r="HH78" s="77"/>
      <c r="HI78" s="77"/>
      <c r="HJ78" s="77"/>
      <c r="HK78" s="77"/>
      <c r="HL78" s="77"/>
      <c r="HM78" s="77"/>
      <c r="HN78" s="77"/>
      <c r="HO78" s="77"/>
      <c r="HP78" s="77"/>
      <c r="HQ78" s="77"/>
    </row>
    <row r="79" spans="1:225" hidden="1" x14ac:dyDescent="0.3">
      <c r="A79" s="78">
        <f>'Entrada datos'!C76</f>
        <v>0</v>
      </c>
      <c r="B79" s="74">
        <f>'Entrada datos'!D76</f>
        <v>0</v>
      </c>
      <c r="C79" s="75">
        <f>'Entrada datos'!G76</f>
        <v>0</v>
      </c>
      <c r="D79" s="75">
        <f>'Entrada datos'!H76</f>
        <v>0</v>
      </c>
      <c r="E79" s="74">
        <f t="shared" si="4"/>
        <v>0</v>
      </c>
      <c r="F79" s="68" t="str">
        <f t="shared" si="5"/>
        <v>no procede</v>
      </c>
      <c r="G79" s="74">
        <f>'Entrada datos'!P76</f>
        <v>0</v>
      </c>
      <c r="H79" s="74">
        <f>'Entrada datos'!Q76</f>
        <v>0</v>
      </c>
      <c r="I79" s="74">
        <f>'Entrada datos'!R76</f>
        <v>0</v>
      </c>
      <c r="J79" s="74">
        <f>'Entrada datos'!S76</f>
        <v>0</v>
      </c>
      <c r="K79" s="74">
        <f>'Entrada datos'!T76</f>
        <v>0</v>
      </c>
      <c r="L79" s="74">
        <f>'Entrada datos'!U76</f>
        <v>0</v>
      </c>
      <c r="M79" s="76"/>
      <c r="N79" s="76"/>
      <c r="O79" s="76"/>
      <c r="P79" s="76"/>
      <c r="Q79" s="76"/>
      <c r="R79" s="76"/>
      <c r="S79" s="77" t="s">
        <v>74</v>
      </c>
      <c r="T79" s="77"/>
      <c r="U79" s="77"/>
      <c r="V79" s="77">
        <f t="shared" si="6"/>
        <v>0</v>
      </c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  <c r="AI79" s="77"/>
      <c r="AJ79" s="77"/>
      <c r="AK79" s="77"/>
      <c r="AL79" s="77"/>
      <c r="AM79" s="77"/>
      <c r="AN79" s="77"/>
      <c r="AO79" s="77"/>
      <c r="AP79" s="77"/>
      <c r="AQ79" s="77"/>
      <c r="AR79" s="77"/>
      <c r="AS79" s="77"/>
      <c r="AT79" s="77"/>
      <c r="AU79" s="77"/>
      <c r="AV79" s="77"/>
      <c r="AW79" s="77"/>
      <c r="AX79" s="77"/>
      <c r="AY79" s="77"/>
      <c r="AZ79" s="77"/>
      <c r="BA79" s="77"/>
      <c r="BB79" s="77"/>
      <c r="BC79" s="77"/>
      <c r="BD79" s="77"/>
      <c r="BE79" s="77"/>
      <c r="BF79" s="77"/>
      <c r="BG79" s="77"/>
      <c r="BH79" s="77"/>
      <c r="BI79" s="77"/>
      <c r="BJ79" s="77"/>
      <c r="BK79" s="77"/>
      <c r="BL79" s="77"/>
      <c r="BM79" s="77"/>
      <c r="BN79" s="77"/>
      <c r="BO79" s="77"/>
      <c r="BP79" s="77"/>
      <c r="BQ79" s="77"/>
      <c r="BR79" s="77"/>
      <c r="BS79" s="77"/>
      <c r="BT79" s="77"/>
      <c r="BU79" s="77"/>
      <c r="BV79" s="77"/>
      <c r="BW79" s="77"/>
      <c r="BX79" s="77"/>
      <c r="BY79" s="77"/>
      <c r="BZ79" s="77"/>
      <c r="CA79" s="77"/>
      <c r="CB79" s="77"/>
      <c r="CC79" s="77"/>
      <c r="CD79" s="77"/>
      <c r="CE79" s="77"/>
      <c r="CF79" s="77"/>
      <c r="CG79" s="77"/>
      <c r="CH79" s="77"/>
      <c r="CI79" s="77"/>
      <c r="CJ79" s="77"/>
      <c r="CK79" s="77"/>
      <c r="CL79" s="77"/>
      <c r="CM79" s="77"/>
      <c r="CN79" s="77"/>
      <c r="CO79" s="77"/>
      <c r="CP79" s="77"/>
      <c r="CQ79" s="77"/>
      <c r="CR79" s="77"/>
      <c r="CS79" s="77"/>
      <c r="CT79" s="77"/>
      <c r="CU79" s="77"/>
      <c r="CV79" s="77"/>
      <c r="CW79" s="77"/>
      <c r="CX79" s="77"/>
      <c r="CY79" s="77"/>
      <c r="CZ79" s="77"/>
      <c r="DA79" s="77"/>
      <c r="DB79" s="77"/>
      <c r="DC79" s="77"/>
      <c r="DD79" s="77"/>
      <c r="DE79" s="77"/>
      <c r="DF79" s="77"/>
      <c r="DG79" s="77"/>
      <c r="DH79" s="77"/>
      <c r="DI79" s="77"/>
      <c r="DJ79" s="77"/>
      <c r="DK79" s="77"/>
      <c r="DL79" s="77"/>
      <c r="DM79" s="77"/>
      <c r="DN79" s="77"/>
      <c r="DO79" s="77"/>
      <c r="DP79" s="77"/>
      <c r="DQ79" s="77"/>
      <c r="DR79" s="77"/>
      <c r="DS79" s="77"/>
      <c r="DT79" s="77"/>
      <c r="DU79" s="77"/>
      <c r="DV79" s="77"/>
      <c r="DW79" s="77"/>
      <c r="DX79" s="77"/>
      <c r="DY79" s="77"/>
      <c r="DZ79" s="77"/>
      <c r="EA79" s="77"/>
      <c r="EB79" s="77"/>
      <c r="EC79" s="77"/>
      <c r="ED79" s="77"/>
      <c r="EE79" s="77"/>
      <c r="EF79" s="77"/>
      <c r="EG79" s="77"/>
      <c r="EH79" s="77"/>
      <c r="EI79" s="77"/>
      <c r="EJ79" s="77"/>
      <c r="EK79" s="77"/>
      <c r="EL79" s="77"/>
      <c r="EM79" s="77"/>
      <c r="EN79" s="77"/>
      <c r="EO79" s="77"/>
      <c r="EP79" s="77"/>
      <c r="EQ79" s="77"/>
      <c r="ER79" s="77"/>
      <c r="ES79" s="77"/>
      <c r="ET79" s="77"/>
      <c r="EU79" s="77"/>
      <c r="EV79" s="77"/>
      <c r="EW79" s="77"/>
      <c r="EX79" s="77"/>
      <c r="EY79" s="77"/>
      <c r="EZ79" s="77"/>
      <c r="FA79" s="77"/>
      <c r="FB79" s="77"/>
      <c r="FC79" s="77"/>
      <c r="FD79" s="77"/>
      <c r="FE79" s="77"/>
      <c r="FF79" s="77"/>
      <c r="FG79" s="77"/>
      <c r="FH79" s="77"/>
      <c r="FI79" s="77"/>
      <c r="FJ79" s="77"/>
      <c r="FK79" s="77"/>
      <c r="FL79" s="77"/>
      <c r="FM79" s="77"/>
      <c r="FN79" s="77"/>
      <c r="FO79" s="77"/>
      <c r="FP79" s="77"/>
      <c r="FQ79" s="77"/>
      <c r="FR79" s="77"/>
      <c r="FS79" s="77"/>
      <c r="FT79" s="77"/>
      <c r="FU79" s="77"/>
      <c r="FV79" s="77"/>
      <c r="FW79" s="77"/>
      <c r="FX79" s="77"/>
      <c r="FY79" s="77"/>
      <c r="FZ79" s="77"/>
      <c r="GA79" s="77"/>
      <c r="GB79" s="77"/>
      <c r="GC79" s="77"/>
      <c r="GD79" s="77"/>
      <c r="GE79" s="77"/>
      <c r="GF79" s="77"/>
      <c r="GG79" s="77"/>
      <c r="GH79" s="77"/>
      <c r="GI79" s="77"/>
      <c r="GJ79" s="77"/>
      <c r="GK79" s="77"/>
      <c r="GL79" s="77"/>
      <c r="GM79" s="77"/>
      <c r="GN79" s="77"/>
      <c r="GO79" s="77"/>
      <c r="GP79" s="77"/>
      <c r="GQ79" s="77"/>
      <c r="GR79" s="77"/>
      <c r="GS79" s="77"/>
      <c r="GT79" s="77"/>
      <c r="GU79" s="77"/>
      <c r="GV79" s="77"/>
      <c r="GW79" s="77"/>
      <c r="GX79" s="77"/>
      <c r="GY79" s="77"/>
      <c r="GZ79" s="77"/>
      <c r="HA79" s="77"/>
      <c r="HB79" s="77"/>
      <c r="HC79" s="77"/>
      <c r="HD79" s="77"/>
      <c r="HE79" s="77"/>
      <c r="HF79" s="77"/>
      <c r="HG79" s="77"/>
      <c r="HH79" s="77"/>
      <c r="HI79" s="77"/>
      <c r="HJ79" s="77"/>
      <c r="HK79" s="77"/>
      <c r="HL79" s="77"/>
      <c r="HM79" s="77"/>
      <c r="HN79" s="77"/>
      <c r="HO79" s="77"/>
      <c r="HP79" s="77"/>
      <c r="HQ79" s="77"/>
    </row>
    <row r="80" spans="1:225" hidden="1" x14ac:dyDescent="0.3">
      <c r="A80" s="78">
        <f>'Entrada datos'!C77</f>
        <v>0</v>
      </c>
      <c r="B80" s="74">
        <f>'Entrada datos'!D77</f>
        <v>0</v>
      </c>
      <c r="C80" s="75">
        <f>'Entrada datos'!G77</f>
        <v>0</v>
      </c>
      <c r="D80" s="75">
        <f>'Entrada datos'!H77</f>
        <v>0</v>
      </c>
      <c r="E80" s="74">
        <f t="shared" si="4"/>
        <v>0</v>
      </c>
      <c r="F80" s="68" t="str">
        <f t="shared" si="5"/>
        <v>no procede</v>
      </c>
      <c r="G80" s="74">
        <f>'Entrada datos'!P77</f>
        <v>0</v>
      </c>
      <c r="H80" s="74">
        <f>'Entrada datos'!Q77</f>
        <v>0</v>
      </c>
      <c r="I80" s="74">
        <f>'Entrada datos'!R77</f>
        <v>0</v>
      </c>
      <c r="J80" s="74">
        <f>'Entrada datos'!S77</f>
        <v>0</v>
      </c>
      <c r="K80" s="74">
        <f>'Entrada datos'!T77</f>
        <v>0</v>
      </c>
      <c r="L80" s="74">
        <f>'Entrada datos'!U77</f>
        <v>0</v>
      </c>
      <c r="M80" s="76"/>
      <c r="N80" s="76"/>
      <c r="O80" s="76"/>
      <c r="P80" s="76"/>
      <c r="Q80" s="76"/>
      <c r="R80" s="76"/>
      <c r="S80" s="77" t="s">
        <v>74</v>
      </c>
      <c r="T80" s="77"/>
      <c r="U80" s="77"/>
      <c r="V80" s="77">
        <f t="shared" si="6"/>
        <v>0</v>
      </c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  <c r="AW80" s="77"/>
      <c r="AX80" s="77"/>
      <c r="AY80" s="77"/>
      <c r="AZ80" s="77"/>
      <c r="BA80" s="77"/>
      <c r="BB80" s="77"/>
      <c r="BC80" s="77"/>
      <c r="BD80" s="77"/>
      <c r="BE80" s="77"/>
      <c r="BF80" s="77"/>
      <c r="BG80" s="77"/>
      <c r="BH80" s="77"/>
      <c r="BI80" s="77"/>
      <c r="BJ80" s="77"/>
      <c r="BK80" s="77"/>
      <c r="BL80" s="77"/>
      <c r="BM80" s="77"/>
      <c r="BN80" s="77"/>
      <c r="BO80" s="77"/>
      <c r="BP80" s="77"/>
      <c r="BQ80" s="77"/>
      <c r="BR80" s="77"/>
      <c r="BS80" s="77"/>
      <c r="BT80" s="77"/>
      <c r="BU80" s="77"/>
      <c r="BV80" s="77"/>
      <c r="BW80" s="77"/>
      <c r="BX80" s="77"/>
      <c r="BY80" s="77"/>
      <c r="BZ80" s="77"/>
      <c r="CA80" s="77"/>
      <c r="CB80" s="77"/>
      <c r="CC80" s="77"/>
      <c r="CD80" s="77"/>
      <c r="CE80" s="77"/>
      <c r="CF80" s="77"/>
      <c r="CG80" s="77"/>
      <c r="CH80" s="77"/>
      <c r="CI80" s="77"/>
      <c r="CJ80" s="77"/>
      <c r="CK80" s="77"/>
      <c r="CL80" s="77"/>
      <c r="CM80" s="77"/>
      <c r="CN80" s="77"/>
      <c r="CO80" s="77"/>
      <c r="CP80" s="77"/>
      <c r="CQ80" s="77"/>
      <c r="CR80" s="77"/>
      <c r="CS80" s="77"/>
      <c r="CT80" s="77"/>
      <c r="CU80" s="77"/>
      <c r="CV80" s="77"/>
      <c r="CW80" s="77"/>
      <c r="CX80" s="77"/>
      <c r="CY80" s="77"/>
      <c r="CZ80" s="77"/>
      <c r="DA80" s="77"/>
      <c r="DB80" s="77"/>
      <c r="DC80" s="77"/>
      <c r="DD80" s="77"/>
      <c r="DE80" s="77"/>
      <c r="DF80" s="77"/>
      <c r="DG80" s="77"/>
      <c r="DH80" s="77"/>
      <c r="DI80" s="77"/>
      <c r="DJ80" s="77"/>
      <c r="DK80" s="77"/>
      <c r="DL80" s="77"/>
      <c r="DM80" s="77"/>
      <c r="DN80" s="77"/>
      <c r="DO80" s="77"/>
      <c r="DP80" s="77"/>
      <c r="DQ80" s="77"/>
      <c r="DR80" s="77"/>
      <c r="DS80" s="77"/>
      <c r="DT80" s="77"/>
      <c r="DU80" s="77"/>
      <c r="DV80" s="77"/>
      <c r="DW80" s="77"/>
      <c r="DX80" s="77"/>
      <c r="DY80" s="77"/>
      <c r="DZ80" s="77"/>
      <c r="EA80" s="77"/>
      <c r="EB80" s="77"/>
      <c r="EC80" s="77"/>
      <c r="ED80" s="77"/>
      <c r="EE80" s="77"/>
      <c r="EF80" s="77"/>
      <c r="EG80" s="77"/>
      <c r="EH80" s="77"/>
      <c r="EI80" s="77"/>
      <c r="EJ80" s="77"/>
      <c r="EK80" s="77"/>
      <c r="EL80" s="77"/>
      <c r="EM80" s="77"/>
      <c r="EN80" s="77"/>
      <c r="EO80" s="77"/>
      <c r="EP80" s="77"/>
      <c r="EQ80" s="77"/>
      <c r="ER80" s="77"/>
      <c r="ES80" s="77"/>
      <c r="ET80" s="77"/>
      <c r="EU80" s="77"/>
      <c r="EV80" s="77"/>
      <c r="EW80" s="77"/>
      <c r="EX80" s="77"/>
      <c r="EY80" s="77"/>
      <c r="EZ80" s="77"/>
      <c r="FA80" s="77"/>
      <c r="FB80" s="77"/>
      <c r="FC80" s="77"/>
      <c r="FD80" s="77"/>
      <c r="FE80" s="77"/>
      <c r="FF80" s="77"/>
      <c r="FG80" s="77"/>
      <c r="FH80" s="77"/>
      <c r="FI80" s="77"/>
      <c r="FJ80" s="77"/>
      <c r="FK80" s="77"/>
      <c r="FL80" s="77"/>
      <c r="FM80" s="77"/>
      <c r="FN80" s="77"/>
      <c r="FO80" s="77"/>
      <c r="FP80" s="77"/>
      <c r="FQ80" s="77"/>
      <c r="FR80" s="77"/>
      <c r="FS80" s="77"/>
      <c r="FT80" s="77"/>
      <c r="FU80" s="77"/>
      <c r="FV80" s="77"/>
      <c r="FW80" s="77"/>
      <c r="FX80" s="77"/>
      <c r="FY80" s="77"/>
      <c r="FZ80" s="77"/>
      <c r="GA80" s="77"/>
      <c r="GB80" s="77"/>
      <c r="GC80" s="77"/>
      <c r="GD80" s="77"/>
      <c r="GE80" s="77"/>
      <c r="GF80" s="77"/>
      <c r="GG80" s="77"/>
      <c r="GH80" s="77"/>
      <c r="GI80" s="77"/>
      <c r="GJ80" s="77"/>
      <c r="GK80" s="77"/>
      <c r="GL80" s="77"/>
      <c r="GM80" s="77"/>
      <c r="GN80" s="77"/>
      <c r="GO80" s="77"/>
      <c r="GP80" s="77"/>
      <c r="GQ80" s="77"/>
      <c r="GR80" s="77"/>
      <c r="GS80" s="77"/>
      <c r="GT80" s="77"/>
      <c r="GU80" s="77"/>
      <c r="GV80" s="77"/>
      <c r="GW80" s="77"/>
      <c r="GX80" s="77"/>
      <c r="GY80" s="77"/>
      <c r="GZ80" s="77"/>
      <c r="HA80" s="77"/>
      <c r="HB80" s="77"/>
      <c r="HC80" s="77"/>
      <c r="HD80" s="77"/>
      <c r="HE80" s="77"/>
      <c r="HF80" s="77"/>
      <c r="HG80" s="77"/>
      <c r="HH80" s="77"/>
      <c r="HI80" s="77"/>
      <c r="HJ80" s="77"/>
      <c r="HK80" s="77"/>
      <c r="HL80" s="77"/>
      <c r="HM80" s="77"/>
      <c r="HN80" s="77"/>
      <c r="HO80" s="77"/>
      <c r="HP80" s="77"/>
      <c r="HQ80" s="77"/>
    </row>
    <row r="81" spans="1:225" hidden="1" x14ac:dyDescent="0.3">
      <c r="A81" s="78">
        <f>'Entrada datos'!C78</f>
        <v>0</v>
      </c>
      <c r="B81" s="74">
        <f>'Entrada datos'!D78</f>
        <v>0</v>
      </c>
      <c r="C81" s="75">
        <f>'Entrada datos'!G78</f>
        <v>0</v>
      </c>
      <c r="D81" s="75">
        <f>'Entrada datos'!H78</f>
        <v>0</v>
      </c>
      <c r="E81" s="74">
        <f t="shared" si="4"/>
        <v>0</v>
      </c>
      <c r="F81" s="68" t="str">
        <f t="shared" si="5"/>
        <v>no procede</v>
      </c>
      <c r="G81" s="74">
        <f>'Entrada datos'!P78</f>
        <v>0</v>
      </c>
      <c r="H81" s="74">
        <f>'Entrada datos'!Q78</f>
        <v>0</v>
      </c>
      <c r="I81" s="74">
        <f>'Entrada datos'!R78</f>
        <v>0</v>
      </c>
      <c r="J81" s="74">
        <f>'Entrada datos'!S78</f>
        <v>0</v>
      </c>
      <c r="K81" s="74">
        <f>'Entrada datos'!T78</f>
        <v>0</v>
      </c>
      <c r="L81" s="74">
        <f>'Entrada datos'!U78</f>
        <v>0</v>
      </c>
      <c r="M81" s="76"/>
      <c r="N81" s="76"/>
      <c r="O81" s="76"/>
      <c r="P81" s="76"/>
      <c r="Q81" s="76"/>
      <c r="R81" s="76"/>
      <c r="S81" s="77" t="s">
        <v>74</v>
      </c>
      <c r="T81" s="77"/>
      <c r="U81" s="77"/>
      <c r="V81" s="77">
        <f t="shared" si="6"/>
        <v>0</v>
      </c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  <c r="AJ81" s="77"/>
      <c r="AK81" s="77"/>
      <c r="AL81" s="77"/>
      <c r="AM81" s="77"/>
      <c r="AN81" s="77"/>
      <c r="AO81" s="77"/>
      <c r="AP81" s="77"/>
      <c r="AQ81" s="77"/>
      <c r="AR81" s="77"/>
      <c r="AS81" s="77"/>
      <c r="AT81" s="77"/>
      <c r="AU81" s="77"/>
      <c r="AV81" s="77"/>
      <c r="AW81" s="77"/>
      <c r="AX81" s="77"/>
      <c r="AY81" s="77"/>
      <c r="AZ81" s="77"/>
      <c r="BA81" s="77"/>
      <c r="BB81" s="77"/>
      <c r="BC81" s="77"/>
      <c r="BD81" s="77"/>
      <c r="BE81" s="77"/>
      <c r="BF81" s="77"/>
      <c r="BG81" s="77"/>
      <c r="BH81" s="77"/>
      <c r="BI81" s="77"/>
      <c r="BJ81" s="77"/>
      <c r="BK81" s="77"/>
      <c r="BL81" s="77"/>
      <c r="BM81" s="77"/>
      <c r="BN81" s="77"/>
      <c r="BO81" s="77"/>
      <c r="BP81" s="77"/>
      <c r="BQ81" s="77"/>
      <c r="BR81" s="77"/>
      <c r="BS81" s="77"/>
      <c r="BT81" s="77"/>
      <c r="BU81" s="77"/>
      <c r="BV81" s="77"/>
      <c r="BW81" s="77"/>
      <c r="BX81" s="77"/>
      <c r="BY81" s="77"/>
      <c r="BZ81" s="77"/>
      <c r="CA81" s="77"/>
      <c r="CB81" s="77"/>
      <c r="CC81" s="77"/>
      <c r="CD81" s="77"/>
      <c r="CE81" s="77"/>
      <c r="CF81" s="77"/>
      <c r="CG81" s="77"/>
      <c r="CH81" s="77"/>
      <c r="CI81" s="77"/>
      <c r="CJ81" s="77"/>
      <c r="CK81" s="77"/>
      <c r="CL81" s="77"/>
      <c r="CM81" s="77"/>
      <c r="CN81" s="77"/>
      <c r="CO81" s="77"/>
      <c r="CP81" s="77"/>
      <c r="CQ81" s="77"/>
      <c r="CR81" s="77"/>
      <c r="CS81" s="77"/>
      <c r="CT81" s="77"/>
      <c r="CU81" s="77"/>
      <c r="CV81" s="77"/>
      <c r="CW81" s="77"/>
      <c r="CX81" s="77"/>
      <c r="CY81" s="77"/>
      <c r="CZ81" s="77"/>
      <c r="DA81" s="77"/>
      <c r="DB81" s="77"/>
      <c r="DC81" s="77"/>
      <c r="DD81" s="77"/>
      <c r="DE81" s="77"/>
      <c r="DF81" s="77"/>
      <c r="DG81" s="77"/>
      <c r="DH81" s="77"/>
      <c r="DI81" s="77"/>
      <c r="DJ81" s="77"/>
      <c r="DK81" s="77"/>
      <c r="DL81" s="77"/>
      <c r="DM81" s="77"/>
      <c r="DN81" s="77"/>
      <c r="DO81" s="77"/>
      <c r="DP81" s="77"/>
      <c r="DQ81" s="77"/>
      <c r="DR81" s="77"/>
      <c r="DS81" s="77"/>
      <c r="DT81" s="77"/>
      <c r="DU81" s="77"/>
      <c r="DV81" s="77"/>
      <c r="DW81" s="77"/>
      <c r="DX81" s="77"/>
      <c r="DY81" s="77"/>
      <c r="DZ81" s="77"/>
      <c r="EA81" s="77"/>
      <c r="EB81" s="77"/>
      <c r="EC81" s="77"/>
      <c r="ED81" s="77"/>
      <c r="EE81" s="77"/>
      <c r="EF81" s="77"/>
      <c r="EG81" s="77"/>
      <c r="EH81" s="77"/>
      <c r="EI81" s="77"/>
      <c r="EJ81" s="77"/>
      <c r="EK81" s="77"/>
      <c r="EL81" s="77"/>
      <c r="EM81" s="77"/>
      <c r="EN81" s="77"/>
      <c r="EO81" s="77"/>
      <c r="EP81" s="77"/>
      <c r="EQ81" s="77"/>
      <c r="ER81" s="77"/>
      <c r="ES81" s="77"/>
      <c r="ET81" s="77"/>
      <c r="EU81" s="77"/>
      <c r="EV81" s="77"/>
      <c r="EW81" s="77"/>
      <c r="EX81" s="77"/>
      <c r="EY81" s="77"/>
      <c r="EZ81" s="77"/>
      <c r="FA81" s="77"/>
      <c r="FB81" s="77"/>
      <c r="FC81" s="77"/>
      <c r="FD81" s="77"/>
      <c r="FE81" s="77"/>
      <c r="FF81" s="77"/>
      <c r="FG81" s="77"/>
      <c r="FH81" s="77"/>
      <c r="FI81" s="77"/>
      <c r="FJ81" s="77"/>
      <c r="FK81" s="77"/>
      <c r="FL81" s="77"/>
      <c r="FM81" s="77"/>
      <c r="FN81" s="77"/>
      <c r="FO81" s="77"/>
      <c r="FP81" s="77"/>
      <c r="FQ81" s="77"/>
      <c r="FR81" s="77"/>
      <c r="FS81" s="77"/>
      <c r="FT81" s="77"/>
      <c r="FU81" s="77"/>
      <c r="FV81" s="77"/>
      <c r="FW81" s="77"/>
      <c r="FX81" s="77"/>
      <c r="FY81" s="77"/>
      <c r="FZ81" s="77"/>
      <c r="GA81" s="77"/>
      <c r="GB81" s="77"/>
      <c r="GC81" s="77"/>
      <c r="GD81" s="77"/>
      <c r="GE81" s="77"/>
      <c r="GF81" s="77"/>
      <c r="GG81" s="77"/>
      <c r="GH81" s="77"/>
      <c r="GI81" s="77"/>
      <c r="GJ81" s="77"/>
      <c r="GK81" s="77"/>
      <c r="GL81" s="77"/>
      <c r="GM81" s="77"/>
      <c r="GN81" s="77"/>
      <c r="GO81" s="77"/>
      <c r="GP81" s="77"/>
      <c r="GQ81" s="77"/>
      <c r="GR81" s="77"/>
      <c r="GS81" s="77"/>
      <c r="GT81" s="77"/>
      <c r="GU81" s="77"/>
      <c r="GV81" s="77"/>
      <c r="GW81" s="77"/>
      <c r="GX81" s="77"/>
      <c r="GY81" s="77"/>
      <c r="GZ81" s="77"/>
      <c r="HA81" s="77"/>
      <c r="HB81" s="77"/>
      <c r="HC81" s="77"/>
      <c r="HD81" s="77"/>
      <c r="HE81" s="77"/>
      <c r="HF81" s="77"/>
      <c r="HG81" s="77"/>
      <c r="HH81" s="77"/>
      <c r="HI81" s="77"/>
      <c r="HJ81" s="77"/>
      <c r="HK81" s="77"/>
      <c r="HL81" s="77"/>
      <c r="HM81" s="77"/>
      <c r="HN81" s="77"/>
      <c r="HO81" s="77"/>
      <c r="HP81" s="77"/>
      <c r="HQ81" s="77"/>
    </row>
    <row r="82" spans="1:225" hidden="1" x14ac:dyDescent="0.3">
      <c r="A82" s="78">
        <f>'Entrada datos'!C79</f>
        <v>0</v>
      </c>
      <c r="B82" s="74">
        <f>'Entrada datos'!D79</f>
        <v>0</v>
      </c>
      <c r="C82" s="75">
        <f>'Entrada datos'!G79</f>
        <v>0</v>
      </c>
      <c r="D82" s="75">
        <f>'Entrada datos'!H79</f>
        <v>0</v>
      </c>
      <c r="E82" s="74">
        <f t="shared" si="4"/>
        <v>0</v>
      </c>
      <c r="F82" s="68" t="str">
        <f t="shared" si="5"/>
        <v>no procede</v>
      </c>
      <c r="G82" s="74">
        <f>'Entrada datos'!P79</f>
        <v>0</v>
      </c>
      <c r="H82" s="74">
        <f>'Entrada datos'!Q79</f>
        <v>0</v>
      </c>
      <c r="I82" s="74">
        <f>'Entrada datos'!R79</f>
        <v>0</v>
      </c>
      <c r="J82" s="74">
        <f>'Entrada datos'!S79</f>
        <v>0</v>
      </c>
      <c r="K82" s="74">
        <f>'Entrada datos'!T79</f>
        <v>0</v>
      </c>
      <c r="L82" s="74">
        <f>'Entrada datos'!U79</f>
        <v>0</v>
      </c>
      <c r="M82" s="76"/>
      <c r="N82" s="76"/>
      <c r="O82" s="76"/>
      <c r="P82" s="76"/>
      <c r="Q82" s="76"/>
      <c r="R82" s="76"/>
      <c r="S82" s="77" t="s">
        <v>74</v>
      </c>
      <c r="T82" s="77"/>
      <c r="U82" s="77"/>
      <c r="V82" s="77">
        <f t="shared" si="6"/>
        <v>0</v>
      </c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  <c r="AI82" s="77"/>
      <c r="AJ82" s="77"/>
      <c r="AK82" s="77"/>
      <c r="AL82" s="77"/>
      <c r="AM82" s="77"/>
      <c r="AN82" s="77"/>
      <c r="AO82" s="77"/>
      <c r="AP82" s="77"/>
      <c r="AQ82" s="77"/>
      <c r="AR82" s="77"/>
      <c r="AS82" s="77"/>
      <c r="AT82" s="77"/>
      <c r="AU82" s="77"/>
      <c r="AV82" s="77"/>
      <c r="AW82" s="77"/>
      <c r="AX82" s="77"/>
      <c r="AY82" s="77"/>
      <c r="AZ82" s="77"/>
      <c r="BA82" s="77"/>
      <c r="BB82" s="77"/>
      <c r="BC82" s="77"/>
      <c r="BD82" s="77"/>
      <c r="BE82" s="77"/>
      <c r="BF82" s="77"/>
      <c r="BG82" s="77"/>
      <c r="BH82" s="77"/>
      <c r="BI82" s="77"/>
      <c r="BJ82" s="77"/>
      <c r="BK82" s="77"/>
      <c r="BL82" s="77"/>
      <c r="BM82" s="77"/>
      <c r="BN82" s="77"/>
      <c r="BO82" s="77"/>
      <c r="BP82" s="77"/>
      <c r="BQ82" s="77"/>
      <c r="BR82" s="77"/>
      <c r="BS82" s="77"/>
      <c r="BT82" s="77"/>
      <c r="BU82" s="77"/>
      <c r="BV82" s="77"/>
      <c r="BW82" s="77"/>
      <c r="BX82" s="77"/>
      <c r="BY82" s="77"/>
      <c r="BZ82" s="77"/>
      <c r="CA82" s="77"/>
      <c r="CB82" s="77"/>
      <c r="CC82" s="77"/>
      <c r="CD82" s="77"/>
      <c r="CE82" s="77"/>
      <c r="CF82" s="77"/>
      <c r="CG82" s="77"/>
      <c r="CH82" s="77"/>
      <c r="CI82" s="77"/>
      <c r="CJ82" s="77"/>
      <c r="CK82" s="77"/>
      <c r="CL82" s="77"/>
      <c r="CM82" s="77"/>
      <c r="CN82" s="77"/>
      <c r="CO82" s="77"/>
      <c r="CP82" s="77"/>
      <c r="CQ82" s="77"/>
      <c r="CR82" s="77"/>
      <c r="CS82" s="77"/>
      <c r="CT82" s="77"/>
      <c r="CU82" s="77"/>
      <c r="CV82" s="77"/>
      <c r="CW82" s="77"/>
      <c r="CX82" s="77"/>
      <c r="CY82" s="77"/>
      <c r="CZ82" s="77"/>
      <c r="DA82" s="77"/>
      <c r="DB82" s="77"/>
      <c r="DC82" s="77"/>
      <c r="DD82" s="77"/>
      <c r="DE82" s="77"/>
      <c r="DF82" s="77"/>
      <c r="DG82" s="77"/>
      <c r="DH82" s="77"/>
      <c r="DI82" s="77"/>
      <c r="DJ82" s="77"/>
      <c r="DK82" s="77"/>
      <c r="DL82" s="77"/>
      <c r="DM82" s="77"/>
      <c r="DN82" s="77"/>
      <c r="DO82" s="77"/>
      <c r="DP82" s="77"/>
      <c r="DQ82" s="77"/>
      <c r="DR82" s="77"/>
      <c r="DS82" s="77"/>
      <c r="DT82" s="77"/>
      <c r="DU82" s="77"/>
      <c r="DV82" s="77"/>
      <c r="DW82" s="77"/>
      <c r="DX82" s="77"/>
      <c r="DY82" s="77"/>
      <c r="DZ82" s="77"/>
      <c r="EA82" s="77"/>
      <c r="EB82" s="77"/>
      <c r="EC82" s="77"/>
      <c r="ED82" s="77"/>
      <c r="EE82" s="77"/>
      <c r="EF82" s="77"/>
      <c r="EG82" s="77"/>
      <c r="EH82" s="77"/>
      <c r="EI82" s="77"/>
      <c r="EJ82" s="77"/>
      <c r="EK82" s="77"/>
      <c r="EL82" s="77"/>
      <c r="EM82" s="77"/>
      <c r="EN82" s="77"/>
      <c r="EO82" s="77"/>
      <c r="EP82" s="77"/>
      <c r="EQ82" s="77"/>
      <c r="ER82" s="77"/>
      <c r="ES82" s="77"/>
      <c r="ET82" s="77"/>
      <c r="EU82" s="77"/>
      <c r="EV82" s="77"/>
      <c r="EW82" s="77"/>
      <c r="EX82" s="77"/>
      <c r="EY82" s="77"/>
      <c r="EZ82" s="77"/>
      <c r="FA82" s="77"/>
      <c r="FB82" s="77"/>
      <c r="FC82" s="77"/>
      <c r="FD82" s="77"/>
      <c r="FE82" s="77"/>
      <c r="FF82" s="77"/>
      <c r="FG82" s="77"/>
      <c r="FH82" s="77"/>
      <c r="FI82" s="77"/>
      <c r="FJ82" s="77"/>
      <c r="FK82" s="77"/>
      <c r="FL82" s="77"/>
      <c r="FM82" s="77"/>
      <c r="FN82" s="77"/>
      <c r="FO82" s="77"/>
      <c r="FP82" s="77"/>
      <c r="FQ82" s="77"/>
      <c r="FR82" s="77"/>
      <c r="FS82" s="77"/>
      <c r="FT82" s="77"/>
      <c r="FU82" s="77"/>
      <c r="FV82" s="77"/>
      <c r="FW82" s="77"/>
      <c r="FX82" s="77"/>
      <c r="FY82" s="77"/>
      <c r="FZ82" s="77"/>
      <c r="GA82" s="77"/>
      <c r="GB82" s="77"/>
      <c r="GC82" s="77"/>
      <c r="GD82" s="77"/>
      <c r="GE82" s="77"/>
      <c r="GF82" s="77"/>
      <c r="GG82" s="77"/>
      <c r="GH82" s="77"/>
      <c r="GI82" s="77"/>
      <c r="GJ82" s="77"/>
      <c r="GK82" s="77"/>
      <c r="GL82" s="77"/>
      <c r="GM82" s="77"/>
      <c r="GN82" s="77"/>
      <c r="GO82" s="77"/>
      <c r="GP82" s="77"/>
      <c r="GQ82" s="77"/>
      <c r="GR82" s="77"/>
      <c r="GS82" s="77"/>
      <c r="GT82" s="77"/>
      <c r="GU82" s="77"/>
      <c r="GV82" s="77"/>
      <c r="GW82" s="77"/>
      <c r="GX82" s="77"/>
      <c r="GY82" s="77"/>
      <c r="GZ82" s="77"/>
      <c r="HA82" s="77"/>
      <c r="HB82" s="77"/>
      <c r="HC82" s="77"/>
      <c r="HD82" s="77"/>
      <c r="HE82" s="77"/>
      <c r="HF82" s="77"/>
      <c r="HG82" s="77"/>
      <c r="HH82" s="77"/>
      <c r="HI82" s="77"/>
      <c r="HJ82" s="77"/>
      <c r="HK82" s="77"/>
      <c r="HL82" s="77"/>
      <c r="HM82" s="77"/>
      <c r="HN82" s="77"/>
      <c r="HO82" s="77"/>
      <c r="HP82" s="77"/>
      <c r="HQ82" s="77"/>
    </row>
    <row r="83" spans="1:225" hidden="1" x14ac:dyDescent="0.3">
      <c r="A83" s="78">
        <f>'Entrada datos'!C80</f>
        <v>0</v>
      </c>
      <c r="B83" s="74">
        <f>'Entrada datos'!D80</f>
        <v>0</v>
      </c>
      <c r="C83" s="75">
        <f>'Entrada datos'!G80</f>
        <v>0</v>
      </c>
      <c r="D83" s="75">
        <f>'Entrada datos'!H80</f>
        <v>0</v>
      </c>
      <c r="E83" s="74">
        <f t="shared" si="4"/>
        <v>0</v>
      </c>
      <c r="F83" s="68" t="str">
        <f t="shared" si="5"/>
        <v>no procede</v>
      </c>
      <c r="G83" s="74">
        <f>'Entrada datos'!P80</f>
        <v>0</v>
      </c>
      <c r="H83" s="74">
        <f>'Entrada datos'!Q80</f>
        <v>0</v>
      </c>
      <c r="I83" s="74">
        <f>'Entrada datos'!R80</f>
        <v>0</v>
      </c>
      <c r="J83" s="74">
        <f>'Entrada datos'!S80</f>
        <v>0</v>
      </c>
      <c r="K83" s="74">
        <f>'Entrada datos'!T80</f>
        <v>0</v>
      </c>
      <c r="L83" s="74">
        <f>'Entrada datos'!U80</f>
        <v>0</v>
      </c>
      <c r="M83" s="76"/>
      <c r="N83" s="76"/>
      <c r="O83" s="76"/>
      <c r="P83" s="76"/>
      <c r="Q83" s="76"/>
      <c r="R83" s="76"/>
      <c r="S83" s="77" t="s">
        <v>74</v>
      </c>
      <c r="T83" s="77"/>
      <c r="U83" s="77"/>
      <c r="V83" s="77">
        <f t="shared" si="6"/>
        <v>0</v>
      </c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  <c r="AW83" s="77"/>
      <c r="AX83" s="77"/>
      <c r="AY83" s="77"/>
      <c r="AZ83" s="77"/>
      <c r="BA83" s="77"/>
      <c r="BB83" s="77"/>
      <c r="BC83" s="77"/>
      <c r="BD83" s="77"/>
      <c r="BE83" s="77"/>
      <c r="BF83" s="77"/>
      <c r="BG83" s="77"/>
      <c r="BH83" s="77"/>
      <c r="BI83" s="77"/>
      <c r="BJ83" s="77"/>
      <c r="BK83" s="77"/>
      <c r="BL83" s="77"/>
      <c r="BM83" s="77"/>
      <c r="BN83" s="77"/>
      <c r="BO83" s="77"/>
      <c r="BP83" s="77"/>
      <c r="BQ83" s="77"/>
      <c r="BR83" s="77"/>
      <c r="BS83" s="77"/>
      <c r="BT83" s="77"/>
      <c r="BU83" s="77"/>
      <c r="BV83" s="77"/>
      <c r="BW83" s="77"/>
      <c r="BX83" s="77"/>
      <c r="BY83" s="77"/>
      <c r="BZ83" s="77"/>
      <c r="CA83" s="77"/>
      <c r="CB83" s="77"/>
      <c r="CC83" s="77"/>
      <c r="CD83" s="77"/>
      <c r="CE83" s="77"/>
      <c r="CF83" s="77"/>
      <c r="CG83" s="77"/>
      <c r="CH83" s="77"/>
      <c r="CI83" s="77"/>
      <c r="CJ83" s="77"/>
      <c r="CK83" s="77"/>
      <c r="CL83" s="77"/>
      <c r="CM83" s="77"/>
      <c r="CN83" s="77"/>
      <c r="CO83" s="77"/>
      <c r="CP83" s="77"/>
      <c r="CQ83" s="77"/>
      <c r="CR83" s="77"/>
      <c r="CS83" s="77"/>
      <c r="CT83" s="77"/>
      <c r="CU83" s="77"/>
      <c r="CV83" s="77"/>
      <c r="CW83" s="77"/>
      <c r="CX83" s="77"/>
      <c r="CY83" s="77"/>
      <c r="CZ83" s="77"/>
      <c r="DA83" s="77"/>
      <c r="DB83" s="77"/>
      <c r="DC83" s="77"/>
      <c r="DD83" s="77"/>
      <c r="DE83" s="77"/>
      <c r="DF83" s="77"/>
      <c r="DG83" s="77"/>
      <c r="DH83" s="77"/>
      <c r="DI83" s="77"/>
      <c r="DJ83" s="77"/>
      <c r="DK83" s="77"/>
      <c r="DL83" s="77"/>
      <c r="DM83" s="77"/>
      <c r="DN83" s="77"/>
      <c r="DO83" s="77"/>
      <c r="DP83" s="77"/>
      <c r="DQ83" s="77"/>
      <c r="DR83" s="77"/>
      <c r="DS83" s="77"/>
      <c r="DT83" s="77"/>
      <c r="DU83" s="77"/>
      <c r="DV83" s="77"/>
      <c r="DW83" s="77"/>
      <c r="DX83" s="77"/>
      <c r="DY83" s="77"/>
      <c r="DZ83" s="77"/>
      <c r="EA83" s="77"/>
      <c r="EB83" s="77"/>
      <c r="EC83" s="77"/>
      <c r="ED83" s="77"/>
      <c r="EE83" s="77"/>
      <c r="EF83" s="77"/>
      <c r="EG83" s="77"/>
      <c r="EH83" s="77"/>
      <c r="EI83" s="77"/>
      <c r="EJ83" s="77"/>
      <c r="EK83" s="77"/>
      <c r="EL83" s="77"/>
      <c r="EM83" s="77"/>
      <c r="EN83" s="77"/>
      <c r="EO83" s="77"/>
      <c r="EP83" s="77"/>
      <c r="EQ83" s="77"/>
      <c r="ER83" s="77"/>
      <c r="ES83" s="77"/>
      <c r="ET83" s="77"/>
      <c r="EU83" s="77"/>
      <c r="EV83" s="77"/>
      <c r="EW83" s="77"/>
      <c r="EX83" s="77"/>
      <c r="EY83" s="77"/>
      <c r="EZ83" s="77"/>
      <c r="FA83" s="77"/>
      <c r="FB83" s="77"/>
      <c r="FC83" s="77"/>
      <c r="FD83" s="77"/>
      <c r="FE83" s="77"/>
      <c r="FF83" s="77"/>
      <c r="FG83" s="77"/>
      <c r="FH83" s="77"/>
      <c r="FI83" s="77"/>
      <c r="FJ83" s="77"/>
      <c r="FK83" s="77"/>
      <c r="FL83" s="77"/>
      <c r="FM83" s="77"/>
      <c r="FN83" s="77"/>
      <c r="FO83" s="77"/>
      <c r="FP83" s="77"/>
      <c r="FQ83" s="77"/>
      <c r="FR83" s="77"/>
      <c r="FS83" s="77"/>
      <c r="FT83" s="77"/>
      <c r="FU83" s="77"/>
      <c r="FV83" s="77"/>
      <c r="FW83" s="77"/>
      <c r="FX83" s="77"/>
      <c r="FY83" s="77"/>
      <c r="FZ83" s="77"/>
      <c r="GA83" s="77"/>
      <c r="GB83" s="77"/>
      <c r="GC83" s="77"/>
      <c r="GD83" s="77"/>
      <c r="GE83" s="77"/>
      <c r="GF83" s="77"/>
      <c r="GG83" s="77"/>
      <c r="GH83" s="77"/>
      <c r="GI83" s="77"/>
      <c r="GJ83" s="77"/>
      <c r="GK83" s="77"/>
      <c r="GL83" s="77"/>
      <c r="GM83" s="77"/>
      <c r="GN83" s="77"/>
      <c r="GO83" s="77"/>
      <c r="GP83" s="77"/>
      <c r="GQ83" s="77"/>
      <c r="GR83" s="77"/>
      <c r="GS83" s="77"/>
      <c r="GT83" s="77"/>
      <c r="GU83" s="77"/>
      <c r="GV83" s="77"/>
      <c r="GW83" s="77"/>
      <c r="GX83" s="77"/>
      <c r="GY83" s="77"/>
      <c r="GZ83" s="77"/>
      <c r="HA83" s="77"/>
      <c r="HB83" s="77"/>
      <c r="HC83" s="77"/>
      <c r="HD83" s="77"/>
      <c r="HE83" s="77"/>
      <c r="HF83" s="77"/>
      <c r="HG83" s="77"/>
      <c r="HH83" s="77"/>
      <c r="HI83" s="77"/>
      <c r="HJ83" s="77"/>
      <c r="HK83" s="77"/>
      <c r="HL83" s="77"/>
      <c r="HM83" s="77"/>
      <c r="HN83" s="77"/>
      <c r="HO83" s="77"/>
      <c r="HP83" s="77"/>
      <c r="HQ83" s="77"/>
    </row>
    <row r="84" spans="1:225" hidden="1" x14ac:dyDescent="0.3">
      <c r="A84" s="78">
        <f>'Entrada datos'!C81</f>
        <v>0</v>
      </c>
      <c r="B84" s="74">
        <f>'Entrada datos'!D81</f>
        <v>0</v>
      </c>
      <c r="C84" s="75">
        <f>'Entrada datos'!G81</f>
        <v>0</v>
      </c>
      <c r="D84" s="75">
        <f>'Entrada datos'!H81</f>
        <v>0</v>
      </c>
      <c r="E84" s="74">
        <f t="shared" si="4"/>
        <v>0</v>
      </c>
      <c r="F84" s="68" t="str">
        <f t="shared" si="5"/>
        <v>no procede</v>
      </c>
      <c r="G84" s="74">
        <f>'Entrada datos'!P81</f>
        <v>0</v>
      </c>
      <c r="H84" s="74">
        <f>'Entrada datos'!Q81</f>
        <v>0</v>
      </c>
      <c r="I84" s="74">
        <f>'Entrada datos'!R81</f>
        <v>0</v>
      </c>
      <c r="J84" s="74">
        <f>'Entrada datos'!S81</f>
        <v>0</v>
      </c>
      <c r="K84" s="74">
        <f>'Entrada datos'!T81</f>
        <v>0</v>
      </c>
      <c r="L84" s="74">
        <f>'Entrada datos'!U81</f>
        <v>0</v>
      </c>
      <c r="M84" s="76"/>
      <c r="N84" s="76"/>
      <c r="O84" s="76"/>
      <c r="P84" s="76"/>
      <c r="Q84" s="76"/>
      <c r="R84" s="76"/>
      <c r="S84" s="77" t="s">
        <v>74</v>
      </c>
      <c r="T84" s="77"/>
      <c r="U84" s="77"/>
      <c r="V84" s="77">
        <f t="shared" si="6"/>
        <v>0</v>
      </c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  <c r="AI84" s="77"/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  <c r="AW84" s="77"/>
      <c r="AX84" s="77"/>
      <c r="AY84" s="77"/>
      <c r="AZ84" s="77"/>
      <c r="BA84" s="77"/>
      <c r="BB84" s="77"/>
      <c r="BC84" s="77"/>
      <c r="BD84" s="77"/>
      <c r="BE84" s="77"/>
      <c r="BF84" s="77"/>
      <c r="BG84" s="77"/>
      <c r="BH84" s="77"/>
      <c r="BI84" s="77"/>
      <c r="BJ84" s="77"/>
      <c r="BK84" s="77"/>
      <c r="BL84" s="77"/>
      <c r="BM84" s="77"/>
      <c r="BN84" s="77"/>
      <c r="BO84" s="77"/>
      <c r="BP84" s="77"/>
      <c r="BQ84" s="77"/>
      <c r="BR84" s="77"/>
      <c r="BS84" s="77"/>
      <c r="BT84" s="77"/>
      <c r="BU84" s="77"/>
      <c r="BV84" s="77"/>
      <c r="BW84" s="77"/>
      <c r="BX84" s="77"/>
      <c r="BY84" s="77"/>
      <c r="BZ84" s="77"/>
      <c r="CA84" s="77"/>
      <c r="CB84" s="77"/>
      <c r="CC84" s="77"/>
      <c r="CD84" s="77"/>
      <c r="CE84" s="77"/>
      <c r="CF84" s="77"/>
      <c r="CG84" s="77"/>
      <c r="CH84" s="77"/>
      <c r="CI84" s="77"/>
      <c r="CJ84" s="77"/>
      <c r="CK84" s="77"/>
      <c r="CL84" s="77"/>
      <c r="CM84" s="77"/>
      <c r="CN84" s="77"/>
      <c r="CO84" s="77"/>
      <c r="CP84" s="77"/>
      <c r="CQ84" s="77"/>
      <c r="CR84" s="77"/>
      <c r="CS84" s="77"/>
      <c r="CT84" s="77"/>
      <c r="CU84" s="77"/>
      <c r="CV84" s="77"/>
      <c r="CW84" s="77"/>
      <c r="CX84" s="77"/>
      <c r="CY84" s="77"/>
      <c r="CZ84" s="77"/>
      <c r="DA84" s="77"/>
      <c r="DB84" s="77"/>
      <c r="DC84" s="77"/>
      <c r="DD84" s="77"/>
      <c r="DE84" s="77"/>
      <c r="DF84" s="77"/>
      <c r="DG84" s="77"/>
      <c r="DH84" s="77"/>
      <c r="DI84" s="77"/>
      <c r="DJ84" s="77"/>
      <c r="DK84" s="77"/>
      <c r="DL84" s="77"/>
      <c r="DM84" s="77"/>
      <c r="DN84" s="77"/>
      <c r="DO84" s="77"/>
      <c r="DP84" s="77"/>
      <c r="DQ84" s="77"/>
      <c r="DR84" s="77"/>
      <c r="DS84" s="77"/>
      <c r="DT84" s="77"/>
      <c r="DU84" s="77"/>
      <c r="DV84" s="77"/>
      <c r="DW84" s="77"/>
      <c r="DX84" s="77"/>
      <c r="DY84" s="77"/>
      <c r="DZ84" s="77"/>
      <c r="EA84" s="77"/>
      <c r="EB84" s="77"/>
      <c r="EC84" s="77"/>
      <c r="ED84" s="77"/>
      <c r="EE84" s="77"/>
      <c r="EF84" s="77"/>
      <c r="EG84" s="77"/>
      <c r="EH84" s="77"/>
      <c r="EI84" s="77"/>
      <c r="EJ84" s="77"/>
      <c r="EK84" s="77"/>
      <c r="EL84" s="77"/>
      <c r="EM84" s="77"/>
      <c r="EN84" s="77"/>
      <c r="EO84" s="77"/>
      <c r="EP84" s="77"/>
      <c r="EQ84" s="77"/>
      <c r="ER84" s="77"/>
      <c r="ES84" s="77"/>
      <c r="ET84" s="77"/>
      <c r="EU84" s="77"/>
      <c r="EV84" s="77"/>
      <c r="EW84" s="77"/>
      <c r="EX84" s="77"/>
      <c r="EY84" s="77"/>
      <c r="EZ84" s="77"/>
      <c r="FA84" s="77"/>
      <c r="FB84" s="77"/>
      <c r="FC84" s="77"/>
      <c r="FD84" s="77"/>
      <c r="FE84" s="77"/>
      <c r="FF84" s="77"/>
      <c r="FG84" s="77"/>
      <c r="FH84" s="77"/>
      <c r="FI84" s="77"/>
      <c r="FJ84" s="77"/>
      <c r="FK84" s="77"/>
      <c r="FL84" s="77"/>
      <c r="FM84" s="77"/>
      <c r="FN84" s="77"/>
      <c r="FO84" s="77"/>
      <c r="FP84" s="77"/>
      <c r="FQ84" s="77"/>
      <c r="FR84" s="77"/>
      <c r="FS84" s="77"/>
      <c r="FT84" s="77"/>
      <c r="FU84" s="77"/>
      <c r="FV84" s="77"/>
      <c r="FW84" s="77"/>
      <c r="FX84" s="77"/>
      <c r="FY84" s="77"/>
      <c r="FZ84" s="77"/>
      <c r="GA84" s="77"/>
      <c r="GB84" s="77"/>
      <c r="GC84" s="77"/>
      <c r="GD84" s="77"/>
      <c r="GE84" s="77"/>
      <c r="GF84" s="77"/>
      <c r="GG84" s="77"/>
      <c r="GH84" s="77"/>
      <c r="GI84" s="77"/>
      <c r="GJ84" s="77"/>
      <c r="GK84" s="77"/>
      <c r="GL84" s="77"/>
      <c r="GM84" s="77"/>
      <c r="GN84" s="77"/>
      <c r="GO84" s="77"/>
      <c r="GP84" s="77"/>
      <c r="GQ84" s="77"/>
      <c r="GR84" s="77"/>
      <c r="GS84" s="77"/>
      <c r="GT84" s="77"/>
      <c r="GU84" s="77"/>
      <c r="GV84" s="77"/>
      <c r="GW84" s="77"/>
      <c r="GX84" s="77"/>
      <c r="GY84" s="77"/>
      <c r="GZ84" s="77"/>
      <c r="HA84" s="77"/>
      <c r="HB84" s="77"/>
      <c r="HC84" s="77"/>
      <c r="HD84" s="77"/>
      <c r="HE84" s="77"/>
      <c r="HF84" s="77"/>
      <c r="HG84" s="77"/>
      <c r="HH84" s="77"/>
      <c r="HI84" s="77"/>
      <c r="HJ84" s="77"/>
      <c r="HK84" s="77"/>
      <c r="HL84" s="77"/>
      <c r="HM84" s="77"/>
      <c r="HN84" s="77"/>
      <c r="HO84" s="77"/>
      <c r="HP84" s="77"/>
      <c r="HQ84" s="77"/>
    </row>
    <row r="85" spans="1:225" hidden="1" x14ac:dyDescent="0.3">
      <c r="A85" s="78">
        <f>'Entrada datos'!C82</f>
        <v>0</v>
      </c>
      <c r="B85" s="74">
        <f>'Entrada datos'!D82</f>
        <v>0</v>
      </c>
      <c r="C85" s="75">
        <f>'Entrada datos'!G82</f>
        <v>0</v>
      </c>
      <c r="D85" s="75">
        <f>'Entrada datos'!H82</f>
        <v>0</v>
      </c>
      <c r="E85" s="74">
        <f t="shared" si="4"/>
        <v>0</v>
      </c>
      <c r="F85" s="68" t="str">
        <f t="shared" si="5"/>
        <v>no procede</v>
      </c>
      <c r="G85" s="74">
        <f>'Entrada datos'!P82</f>
        <v>0</v>
      </c>
      <c r="H85" s="74">
        <f>'Entrada datos'!Q82</f>
        <v>0</v>
      </c>
      <c r="I85" s="74">
        <f>'Entrada datos'!R82</f>
        <v>0</v>
      </c>
      <c r="J85" s="74">
        <f>'Entrada datos'!S82</f>
        <v>0</v>
      </c>
      <c r="K85" s="74">
        <f>'Entrada datos'!T82</f>
        <v>0</v>
      </c>
      <c r="L85" s="74">
        <f>'Entrada datos'!U82</f>
        <v>0</v>
      </c>
      <c r="M85" s="76"/>
      <c r="N85" s="76"/>
      <c r="O85" s="76"/>
      <c r="P85" s="76"/>
      <c r="Q85" s="76"/>
      <c r="R85" s="76"/>
      <c r="S85" s="77" t="s">
        <v>74</v>
      </c>
      <c r="T85" s="77"/>
      <c r="U85" s="77"/>
      <c r="V85" s="77">
        <f t="shared" si="6"/>
        <v>0</v>
      </c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  <c r="AI85" s="77"/>
      <c r="AJ85" s="77"/>
      <c r="AK85" s="77"/>
      <c r="AL85" s="77"/>
      <c r="AM85" s="77"/>
      <c r="AN85" s="77"/>
      <c r="AO85" s="77"/>
      <c r="AP85" s="77"/>
      <c r="AQ85" s="77"/>
      <c r="AR85" s="77"/>
      <c r="AS85" s="77"/>
      <c r="AT85" s="77"/>
      <c r="AU85" s="77"/>
      <c r="AV85" s="77"/>
      <c r="AW85" s="77"/>
      <c r="AX85" s="77"/>
      <c r="AY85" s="77"/>
      <c r="AZ85" s="77"/>
      <c r="BA85" s="77"/>
      <c r="BB85" s="77"/>
      <c r="BC85" s="77"/>
      <c r="BD85" s="77"/>
      <c r="BE85" s="77"/>
      <c r="BF85" s="77"/>
      <c r="BG85" s="77"/>
      <c r="BH85" s="77"/>
      <c r="BI85" s="77"/>
      <c r="BJ85" s="77"/>
      <c r="BK85" s="77"/>
      <c r="BL85" s="77"/>
      <c r="BM85" s="77"/>
      <c r="BN85" s="77"/>
      <c r="BO85" s="77"/>
      <c r="BP85" s="77"/>
      <c r="BQ85" s="77"/>
      <c r="BR85" s="77"/>
      <c r="BS85" s="77"/>
      <c r="BT85" s="77"/>
      <c r="BU85" s="77"/>
      <c r="BV85" s="77"/>
      <c r="BW85" s="77"/>
      <c r="BX85" s="77"/>
      <c r="BY85" s="77"/>
      <c r="BZ85" s="77"/>
      <c r="CA85" s="77"/>
      <c r="CB85" s="77"/>
      <c r="CC85" s="77"/>
      <c r="CD85" s="77"/>
      <c r="CE85" s="77"/>
      <c r="CF85" s="77"/>
      <c r="CG85" s="77"/>
      <c r="CH85" s="77"/>
      <c r="CI85" s="77"/>
      <c r="CJ85" s="77"/>
      <c r="CK85" s="77"/>
      <c r="CL85" s="77"/>
      <c r="CM85" s="77"/>
      <c r="CN85" s="77"/>
      <c r="CO85" s="77"/>
      <c r="CP85" s="77"/>
      <c r="CQ85" s="77"/>
      <c r="CR85" s="77"/>
      <c r="CS85" s="77"/>
      <c r="CT85" s="77"/>
      <c r="CU85" s="77"/>
      <c r="CV85" s="77"/>
      <c r="CW85" s="77"/>
      <c r="CX85" s="77"/>
      <c r="CY85" s="77"/>
      <c r="CZ85" s="77"/>
      <c r="DA85" s="77"/>
      <c r="DB85" s="77"/>
      <c r="DC85" s="77"/>
      <c r="DD85" s="77"/>
      <c r="DE85" s="77"/>
      <c r="DF85" s="77"/>
      <c r="DG85" s="77"/>
      <c r="DH85" s="77"/>
      <c r="DI85" s="77"/>
      <c r="DJ85" s="77"/>
      <c r="DK85" s="77"/>
      <c r="DL85" s="77"/>
      <c r="DM85" s="77"/>
      <c r="DN85" s="77"/>
      <c r="DO85" s="77"/>
      <c r="DP85" s="77"/>
      <c r="DQ85" s="77"/>
      <c r="DR85" s="77"/>
      <c r="DS85" s="77"/>
      <c r="DT85" s="77"/>
      <c r="DU85" s="77"/>
      <c r="DV85" s="77"/>
      <c r="DW85" s="77"/>
      <c r="DX85" s="77"/>
      <c r="DY85" s="77"/>
      <c r="DZ85" s="77"/>
      <c r="EA85" s="77"/>
      <c r="EB85" s="77"/>
      <c r="EC85" s="77"/>
      <c r="ED85" s="77"/>
      <c r="EE85" s="77"/>
      <c r="EF85" s="77"/>
      <c r="EG85" s="77"/>
      <c r="EH85" s="77"/>
      <c r="EI85" s="77"/>
      <c r="EJ85" s="77"/>
      <c r="EK85" s="77"/>
      <c r="EL85" s="77"/>
      <c r="EM85" s="77"/>
      <c r="EN85" s="77"/>
      <c r="EO85" s="77"/>
      <c r="EP85" s="77"/>
      <c r="EQ85" s="77"/>
      <c r="ER85" s="77"/>
      <c r="ES85" s="77"/>
      <c r="ET85" s="77"/>
      <c r="EU85" s="77"/>
      <c r="EV85" s="77"/>
      <c r="EW85" s="77"/>
      <c r="EX85" s="77"/>
      <c r="EY85" s="77"/>
      <c r="EZ85" s="77"/>
      <c r="FA85" s="77"/>
      <c r="FB85" s="77"/>
      <c r="FC85" s="77"/>
      <c r="FD85" s="77"/>
      <c r="FE85" s="77"/>
      <c r="FF85" s="77"/>
      <c r="FG85" s="77"/>
      <c r="FH85" s="77"/>
      <c r="FI85" s="77"/>
      <c r="FJ85" s="77"/>
      <c r="FK85" s="77"/>
      <c r="FL85" s="77"/>
      <c r="FM85" s="77"/>
      <c r="FN85" s="77"/>
      <c r="FO85" s="77"/>
      <c r="FP85" s="77"/>
      <c r="FQ85" s="77"/>
      <c r="FR85" s="77"/>
      <c r="FS85" s="77"/>
      <c r="FT85" s="77"/>
      <c r="FU85" s="77"/>
      <c r="FV85" s="77"/>
      <c r="FW85" s="77"/>
      <c r="FX85" s="77"/>
      <c r="FY85" s="77"/>
      <c r="FZ85" s="77"/>
      <c r="GA85" s="77"/>
      <c r="GB85" s="77"/>
      <c r="GC85" s="77"/>
      <c r="GD85" s="77"/>
      <c r="GE85" s="77"/>
      <c r="GF85" s="77"/>
      <c r="GG85" s="77"/>
      <c r="GH85" s="77"/>
      <c r="GI85" s="77"/>
      <c r="GJ85" s="77"/>
      <c r="GK85" s="77"/>
      <c r="GL85" s="77"/>
      <c r="GM85" s="77"/>
      <c r="GN85" s="77"/>
      <c r="GO85" s="77"/>
      <c r="GP85" s="77"/>
      <c r="GQ85" s="77"/>
      <c r="GR85" s="77"/>
      <c r="GS85" s="77"/>
      <c r="GT85" s="77"/>
      <c r="GU85" s="77"/>
      <c r="GV85" s="77"/>
      <c r="GW85" s="77"/>
      <c r="GX85" s="77"/>
      <c r="GY85" s="77"/>
      <c r="GZ85" s="77"/>
      <c r="HA85" s="77"/>
      <c r="HB85" s="77"/>
      <c r="HC85" s="77"/>
      <c r="HD85" s="77"/>
      <c r="HE85" s="77"/>
      <c r="HF85" s="77"/>
      <c r="HG85" s="77"/>
      <c r="HH85" s="77"/>
      <c r="HI85" s="77"/>
      <c r="HJ85" s="77"/>
      <c r="HK85" s="77"/>
      <c r="HL85" s="77"/>
      <c r="HM85" s="77"/>
      <c r="HN85" s="77"/>
      <c r="HO85" s="77"/>
      <c r="HP85" s="77"/>
      <c r="HQ85" s="77"/>
    </row>
    <row r="86" spans="1:225" hidden="1" x14ac:dyDescent="0.3">
      <c r="A86" s="78">
        <f>'Entrada datos'!C83</f>
        <v>0</v>
      </c>
      <c r="B86" s="74">
        <f>'Entrada datos'!D83</f>
        <v>0</v>
      </c>
      <c r="C86" s="75">
        <f>'Entrada datos'!G83</f>
        <v>0</v>
      </c>
      <c r="D86" s="75">
        <f>'Entrada datos'!H83</f>
        <v>0</v>
      </c>
      <c r="E86" s="74">
        <f t="shared" si="4"/>
        <v>0</v>
      </c>
      <c r="F86" s="68" t="str">
        <f t="shared" si="5"/>
        <v>no procede</v>
      </c>
      <c r="G86" s="74">
        <f>'Entrada datos'!P83</f>
        <v>0</v>
      </c>
      <c r="H86" s="74">
        <f>'Entrada datos'!Q83</f>
        <v>0</v>
      </c>
      <c r="I86" s="74">
        <f>'Entrada datos'!R83</f>
        <v>0</v>
      </c>
      <c r="J86" s="74">
        <f>'Entrada datos'!S83</f>
        <v>0</v>
      </c>
      <c r="K86" s="74">
        <f>'Entrada datos'!T83</f>
        <v>0</v>
      </c>
      <c r="L86" s="74">
        <f>'Entrada datos'!U83</f>
        <v>0</v>
      </c>
      <c r="M86" s="76"/>
      <c r="N86" s="76"/>
      <c r="O86" s="76"/>
      <c r="P86" s="76"/>
      <c r="Q86" s="76"/>
      <c r="R86" s="76"/>
      <c r="S86" s="77" t="s">
        <v>74</v>
      </c>
      <c r="T86" s="77"/>
      <c r="U86" s="77"/>
      <c r="V86" s="77">
        <f t="shared" si="6"/>
        <v>0</v>
      </c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  <c r="AW86" s="77"/>
      <c r="AX86" s="77"/>
      <c r="AY86" s="77"/>
      <c r="AZ86" s="77"/>
      <c r="BA86" s="77"/>
      <c r="BB86" s="77"/>
      <c r="BC86" s="77"/>
      <c r="BD86" s="77"/>
      <c r="BE86" s="77"/>
      <c r="BF86" s="77"/>
      <c r="BG86" s="77"/>
      <c r="BH86" s="77"/>
      <c r="BI86" s="77"/>
      <c r="BJ86" s="77"/>
      <c r="BK86" s="77"/>
      <c r="BL86" s="77"/>
      <c r="BM86" s="77"/>
      <c r="BN86" s="77"/>
      <c r="BO86" s="77"/>
      <c r="BP86" s="77"/>
      <c r="BQ86" s="77"/>
      <c r="BR86" s="77"/>
      <c r="BS86" s="77"/>
      <c r="BT86" s="77"/>
      <c r="BU86" s="77"/>
      <c r="BV86" s="77"/>
      <c r="BW86" s="77"/>
      <c r="BX86" s="77"/>
      <c r="BY86" s="77"/>
      <c r="BZ86" s="77"/>
      <c r="CA86" s="77"/>
      <c r="CB86" s="77"/>
      <c r="CC86" s="77"/>
      <c r="CD86" s="77"/>
      <c r="CE86" s="77"/>
      <c r="CF86" s="77"/>
      <c r="CG86" s="77"/>
      <c r="CH86" s="77"/>
      <c r="CI86" s="77"/>
      <c r="CJ86" s="77"/>
      <c r="CK86" s="77"/>
      <c r="CL86" s="77"/>
      <c r="CM86" s="77"/>
      <c r="CN86" s="77"/>
      <c r="CO86" s="77"/>
      <c r="CP86" s="77"/>
      <c r="CQ86" s="77"/>
      <c r="CR86" s="77"/>
      <c r="CS86" s="77"/>
      <c r="CT86" s="77"/>
      <c r="CU86" s="77"/>
      <c r="CV86" s="77"/>
      <c r="CW86" s="77"/>
      <c r="CX86" s="77"/>
      <c r="CY86" s="77"/>
      <c r="CZ86" s="77"/>
      <c r="DA86" s="77"/>
      <c r="DB86" s="77"/>
      <c r="DC86" s="77"/>
      <c r="DD86" s="77"/>
      <c r="DE86" s="77"/>
      <c r="DF86" s="77"/>
      <c r="DG86" s="77"/>
      <c r="DH86" s="77"/>
      <c r="DI86" s="77"/>
      <c r="DJ86" s="77"/>
      <c r="DK86" s="77"/>
      <c r="DL86" s="77"/>
      <c r="DM86" s="77"/>
      <c r="DN86" s="77"/>
      <c r="DO86" s="77"/>
      <c r="DP86" s="77"/>
      <c r="DQ86" s="77"/>
      <c r="DR86" s="77"/>
      <c r="DS86" s="77"/>
      <c r="DT86" s="77"/>
      <c r="DU86" s="77"/>
      <c r="DV86" s="77"/>
      <c r="DW86" s="77"/>
      <c r="DX86" s="77"/>
      <c r="DY86" s="77"/>
      <c r="DZ86" s="77"/>
      <c r="EA86" s="77"/>
      <c r="EB86" s="77"/>
      <c r="EC86" s="77"/>
      <c r="ED86" s="77"/>
      <c r="EE86" s="77"/>
      <c r="EF86" s="77"/>
      <c r="EG86" s="77"/>
      <c r="EH86" s="77"/>
      <c r="EI86" s="77"/>
      <c r="EJ86" s="77"/>
      <c r="EK86" s="77"/>
      <c r="EL86" s="77"/>
      <c r="EM86" s="77"/>
      <c r="EN86" s="77"/>
      <c r="EO86" s="77"/>
      <c r="EP86" s="77"/>
      <c r="EQ86" s="77"/>
      <c r="ER86" s="77"/>
      <c r="ES86" s="77"/>
      <c r="ET86" s="77"/>
      <c r="EU86" s="77"/>
      <c r="EV86" s="77"/>
      <c r="EW86" s="77"/>
      <c r="EX86" s="77"/>
      <c r="EY86" s="77"/>
      <c r="EZ86" s="77"/>
      <c r="FA86" s="77"/>
      <c r="FB86" s="77"/>
      <c r="FC86" s="77"/>
      <c r="FD86" s="77"/>
      <c r="FE86" s="77"/>
      <c r="FF86" s="77"/>
      <c r="FG86" s="77"/>
      <c r="FH86" s="77"/>
      <c r="FI86" s="77"/>
      <c r="FJ86" s="77"/>
      <c r="FK86" s="77"/>
      <c r="FL86" s="77"/>
      <c r="FM86" s="77"/>
      <c r="FN86" s="77"/>
      <c r="FO86" s="77"/>
      <c r="FP86" s="77"/>
      <c r="FQ86" s="77"/>
      <c r="FR86" s="77"/>
      <c r="FS86" s="77"/>
      <c r="FT86" s="77"/>
      <c r="FU86" s="77"/>
      <c r="FV86" s="77"/>
      <c r="FW86" s="77"/>
      <c r="FX86" s="77"/>
      <c r="FY86" s="77"/>
      <c r="FZ86" s="77"/>
      <c r="GA86" s="77"/>
      <c r="GB86" s="77"/>
      <c r="GC86" s="77"/>
      <c r="GD86" s="77"/>
      <c r="GE86" s="77"/>
      <c r="GF86" s="77"/>
      <c r="GG86" s="77"/>
      <c r="GH86" s="77"/>
      <c r="GI86" s="77"/>
      <c r="GJ86" s="77"/>
      <c r="GK86" s="77"/>
      <c r="GL86" s="77"/>
      <c r="GM86" s="77"/>
      <c r="GN86" s="77"/>
      <c r="GO86" s="77"/>
      <c r="GP86" s="77"/>
      <c r="GQ86" s="77"/>
      <c r="GR86" s="77"/>
      <c r="GS86" s="77"/>
      <c r="GT86" s="77"/>
      <c r="GU86" s="77"/>
      <c r="GV86" s="77"/>
      <c r="GW86" s="77"/>
      <c r="GX86" s="77"/>
      <c r="GY86" s="77"/>
      <c r="GZ86" s="77"/>
      <c r="HA86" s="77"/>
      <c r="HB86" s="77"/>
      <c r="HC86" s="77"/>
      <c r="HD86" s="77"/>
      <c r="HE86" s="77"/>
      <c r="HF86" s="77"/>
      <c r="HG86" s="77"/>
      <c r="HH86" s="77"/>
      <c r="HI86" s="77"/>
      <c r="HJ86" s="77"/>
      <c r="HK86" s="77"/>
      <c r="HL86" s="77"/>
      <c r="HM86" s="77"/>
      <c r="HN86" s="77"/>
      <c r="HO86" s="77"/>
      <c r="HP86" s="77"/>
      <c r="HQ86" s="77"/>
    </row>
    <row r="87" spans="1:225" hidden="1" x14ac:dyDescent="0.3">
      <c r="A87" s="78">
        <f>'Entrada datos'!C84</f>
        <v>0</v>
      </c>
      <c r="B87" s="74">
        <f>'Entrada datos'!D84</f>
        <v>0</v>
      </c>
      <c r="C87" s="75">
        <f>'Entrada datos'!G84</f>
        <v>0</v>
      </c>
      <c r="D87" s="75">
        <f>'Entrada datos'!H84</f>
        <v>0</v>
      </c>
      <c r="E87" s="74">
        <f t="shared" si="4"/>
        <v>0</v>
      </c>
      <c r="F87" s="68" t="str">
        <f t="shared" si="5"/>
        <v>no procede</v>
      </c>
      <c r="G87" s="74">
        <f>'Entrada datos'!P84</f>
        <v>0</v>
      </c>
      <c r="H87" s="74">
        <f>'Entrada datos'!Q84</f>
        <v>0</v>
      </c>
      <c r="I87" s="74">
        <f>'Entrada datos'!R84</f>
        <v>0</v>
      </c>
      <c r="J87" s="74">
        <f>'Entrada datos'!S84</f>
        <v>0</v>
      </c>
      <c r="K87" s="74">
        <f>'Entrada datos'!T84</f>
        <v>0</v>
      </c>
      <c r="L87" s="74">
        <f>'Entrada datos'!U84</f>
        <v>0</v>
      </c>
      <c r="M87" s="76"/>
      <c r="N87" s="76"/>
      <c r="O87" s="76"/>
      <c r="P87" s="76"/>
      <c r="Q87" s="76"/>
      <c r="R87" s="76"/>
      <c r="S87" s="77" t="s">
        <v>74</v>
      </c>
      <c r="T87" s="77"/>
      <c r="U87" s="77"/>
      <c r="V87" s="77">
        <f t="shared" si="6"/>
        <v>0</v>
      </c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  <c r="AW87" s="77"/>
      <c r="AX87" s="77"/>
      <c r="AY87" s="77"/>
      <c r="AZ87" s="77"/>
      <c r="BA87" s="77"/>
      <c r="BB87" s="77"/>
      <c r="BC87" s="77"/>
      <c r="BD87" s="77"/>
      <c r="BE87" s="77"/>
      <c r="BF87" s="77"/>
      <c r="BG87" s="77"/>
      <c r="BH87" s="77"/>
      <c r="BI87" s="77"/>
      <c r="BJ87" s="77"/>
      <c r="BK87" s="77"/>
      <c r="BL87" s="77"/>
      <c r="BM87" s="77"/>
      <c r="BN87" s="77"/>
      <c r="BO87" s="77"/>
      <c r="BP87" s="77"/>
      <c r="BQ87" s="77"/>
      <c r="BR87" s="77"/>
      <c r="BS87" s="77"/>
      <c r="BT87" s="77"/>
      <c r="BU87" s="77"/>
      <c r="BV87" s="77"/>
      <c r="BW87" s="77"/>
      <c r="BX87" s="77"/>
      <c r="BY87" s="77"/>
      <c r="BZ87" s="77"/>
      <c r="CA87" s="77"/>
      <c r="CB87" s="77"/>
      <c r="CC87" s="77"/>
      <c r="CD87" s="77"/>
      <c r="CE87" s="77"/>
      <c r="CF87" s="77"/>
      <c r="CG87" s="77"/>
      <c r="CH87" s="77"/>
      <c r="CI87" s="77"/>
      <c r="CJ87" s="77"/>
      <c r="CK87" s="77"/>
      <c r="CL87" s="77"/>
      <c r="CM87" s="77"/>
      <c r="CN87" s="77"/>
      <c r="CO87" s="77"/>
      <c r="CP87" s="77"/>
      <c r="CQ87" s="77"/>
      <c r="CR87" s="77"/>
      <c r="CS87" s="77"/>
      <c r="CT87" s="77"/>
      <c r="CU87" s="77"/>
      <c r="CV87" s="77"/>
      <c r="CW87" s="77"/>
      <c r="CX87" s="77"/>
      <c r="CY87" s="77"/>
      <c r="CZ87" s="77"/>
      <c r="DA87" s="77"/>
      <c r="DB87" s="77"/>
      <c r="DC87" s="77"/>
      <c r="DD87" s="77"/>
      <c r="DE87" s="77"/>
      <c r="DF87" s="77"/>
      <c r="DG87" s="77"/>
      <c r="DH87" s="77"/>
      <c r="DI87" s="77"/>
      <c r="DJ87" s="77"/>
      <c r="DK87" s="77"/>
      <c r="DL87" s="77"/>
      <c r="DM87" s="77"/>
      <c r="DN87" s="77"/>
      <c r="DO87" s="77"/>
      <c r="DP87" s="77"/>
      <c r="DQ87" s="77"/>
      <c r="DR87" s="77"/>
      <c r="DS87" s="77"/>
      <c r="DT87" s="77"/>
      <c r="DU87" s="77"/>
      <c r="DV87" s="77"/>
      <c r="DW87" s="77"/>
      <c r="DX87" s="77"/>
      <c r="DY87" s="77"/>
      <c r="DZ87" s="77"/>
      <c r="EA87" s="77"/>
      <c r="EB87" s="77"/>
      <c r="EC87" s="77"/>
      <c r="ED87" s="77"/>
      <c r="EE87" s="77"/>
      <c r="EF87" s="77"/>
      <c r="EG87" s="77"/>
      <c r="EH87" s="77"/>
      <c r="EI87" s="77"/>
      <c r="EJ87" s="77"/>
      <c r="EK87" s="77"/>
      <c r="EL87" s="77"/>
      <c r="EM87" s="77"/>
      <c r="EN87" s="77"/>
      <c r="EO87" s="77"/>
      <c r="EP87" s="77"/>
      <c r="EQ87" s="77"/>
      <c r="ER87" s="77"/>
      <c r="ES87" s="77"/>
      <c r="ET87" s="77"/>
      <c r="EU87" s="77"/>
      <c r="EV87" s="77"/>
      <c r="EW87" s="77"/>
      <c r="EX87" s="77"/>
      <c r="EY87" s="77"/>
      <c r="EZ87" s="77"/>
      <c r="FA87" s="77"/>
      <c r="FB87" s="77"/>
      <c r="FC87" s="77"/>
      <c r="FD87" s="77"/>
      <c r="FE87" s="77"/>
      <c r="FF87" s="77"/>
      <c r="FG87" s="77"/>
      <c r="FH87" s="77"/>
      <c r="FI87" s="77"/>
      <c r="FJ87" s="77"/>
      <c r="FK87" s="77"/>
      <c r="FL87" s="77"/>
      <c r="FM87" s="77"/>
      <c r="FN87" s="77"/>
      <c r="FO87" s="77"/>
      <c r="FP87" s="77"/>
      <c r="FQ87" s="77"/>
      <c r="FR87" s="77"/>
      <c r="FS87" s="77"/>
      <c r="FT87" s="77"/>
      <c r="FU87" s="77"/>
      <c r="FV87" s="77"/>
      <c r="FW87" s="77"/>
      <c r="FX87" s="77"/>
      <c r="FY87" s="77"/>
      <c r="FZ87" s="77"/>
      <c r="GA87" s="77"/>
      <c r="GB87" s="77"/>
      <c r="GC87" s="77"/>
      <c r="GD87" s="77"/>
      <c r="GE87" s="77"/>
      <c r="GF87" s="77"/>
      <c r="GG87" s="77"/>
      <c r="GH87" s="77"/>
      <c r="GI87" s="77"/>
      <c r="GJ87" s="77"/>
      <c r="GK87" s="77"/>
      <c r="GL87" s="77"/>
      <c r="GM87" s="77"/>
      <c r="GN87" s="77"/>
      <c r="GO87" s="77"/>
      <c r="GP87" s="77"/>
      <c r="GQ87" s="77"/>
      <c r="GR87" s="77"/>
      <c r="GS87" s="77"/>
      <c r="GT87" s="77"/>
      <c r="GU87" s="77"/>
      <c r="GV87" s="77"/>
      <c r="GW87" s="77"/>
      <c r="GX87" s="77"/>
      <c r="GY87" s="77"/>
      <c r="GZ87" s="77"/>
      <c r="HA87" s="77"/>
      <c r="HB87" s="77"/>
      <c r="HC87" s="77"/>
      <c r="HD87" s="77"/>
      <c r="HE87" s="77"/>
      <c r="HF87" s="77"/>
      <c r="HG87" s="77"/>
      <c r="HH87" s="77"/>
      <c r="HI87" s="77"/>
      <c r="HJ87" s="77"/>
      <c r="HK87" s="77"/>
      <c r="HL87" s="77"/>
      <c r="HM87" s="77"/>
      <c r="HN87" s="77"/>
      <c r="HO87" s="77"/>
      <c r="HP87" s="77"/>
      <c r="HQ87" s="77"/>
    </row>
    <row r="88" spans="1:225" hidden="1" x14ac:dyDescent="0.3">
      <c r="A88" s="78">
        <f>'Entrada datos'!C85</f>
        <v>0</v>
      </c>
      <c r="B88" s="74">
        <f>'Entrada datos'!D85</f>
        <v>0</v>
      </c>
      <c r="C88" s="75">
        <f>'Entrada datos'!G85</f>
        <v>0</v>
      </c>
      <c r="D88" s="75">
        <f>'Entrada datos'!H85</f>
        <v>0</v>
      </c>
      <c r="E88" s="74">
        <f t="shared" si="4"/>
        <v>0</v>
      </c>
      <c r="F88" s="68" t="str">
        <f t="shared" si="5"/>
        <v>no procede</v>
      </c>
      <c r="G88" s="74">
        <f>'Entrada datos'!P85</f>
        <v>0</v>
      </c>
      <c r="H88" s="74">
        <f>'Entrada datos'!Q85</f>
        <v>0</v>
      </c>
      <c r="I88" s="74">
        <f>'Entrada datos'!R85</f>
        <v>0</v>
      </c>
      <c r="J88" s="74">
        <f>'Entrada datos'!S85</f>
        <v>0</v>
      </c>
      <c r="K88" s="74">
        <f>'Entrada datos'!T85</f>
        <v>0</v>
      </c>
      <c r="L88" s="74">
        <f>'Entrada datos'!U85</f>
        <v>0</v>
      </c>
      <c r="M88" s="76"/>
      <c r="N88" s="76"/>
      <c r="O88" s="76"/>
      <c r="P88" s="76"/>
      <c r="Q88" s="76"/>
      <c r="R88" s="76"/>
      <c r="S88" s="77" t="s">
        <v>74</v>
      </c>
      <c r="T88" s="77"/>
      <c r="U88" s="77"/>
      <c r="V88" s="77">
        <f t="shared" si="6"/>
        <v>0</v>
      </c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77"/>
      <c r="BE88" s="77"/>
      <c r="BF88" s="77"/>
      <c r="BG88" s="77"/>
      <c r="BH88" s="77"/>
      <c r="BI88" s="77"/>
      <c r="BJ88" s="77"/>
      <c r="BK88" s="77"/>
      <c r="BL88" s="77"/>
      <c r="BM88" s="77"/>
      <c r="BN88" s="77"/>
      <c r="BO88" s="77"/>
      <c r="BP88" s="77"/>
      <c r="BQ88" s="77"/>
      <c r="BR88" s="77"/>
      <c r="BS88" s="77"/>
      <c r="BT88" s="77"/>
      <c r="BU88" s="77"/>
      <c r="BV88" s="77"/>
      <c r="BW88" s="77"/>
      <c r="BX88" s="77"/>
      <c r="BY88" s="77"/>
      <c r="BZ88" s="77"/>
      <c r="CA88" s="77"/>
      <c r="CB88" s="77"/>
      <c r="CC88" s="77"/>
      <c r="CD88" s="77"/>
      <c r="CE88" s="77"/>
      <c r="CF88" s="77"/>
      <c r="CG88" s="77"/>
      <c r="CH88" s="77"/>
      <c r="CI88" s="77"/>
      <c r="CJ88" s="77"/>
      <c r="CK88" s="77"/>
      <c r="CL88" s="77"/>
      <c r="CM88" s="77"/>
      <c r="CN88" s="77"/>
      <c r="CO88" s="77"/>
      <c r="CP88" s="77"/>
      <c r="CQ88" s="77"/>
      <c r="CR88" s="77"/>
      <c r="CS88" s="77"/>
      <c r="CT88" s="77"/>
      <c r="CU88" s="77"/>
      <c r="CV88" s="77"/>
      <c r="CW88" s="77"/>
      <c r="CX88" s="77"/>
      <c r="CY88" s="77"/>
      <c r="CZ88" s="77"/>
      <c r="DA88" s="77"/>
      <c r="DB88" s="77"/>
      <c r="DC88" s="77"/>
      <c r="DD88" s="77"/>
      <c r="DE88" s="77"/>
      <c r="DF88" s="77"/>
      <c r="DG88" s="77"/>
      <c r="DH88" s="77"/>
      <c r="DI88" s="77"/>
      <c r="DJ88" s="77"/>
      <c r="DK88" s="77"/>
      <c r="DL88" s="77"/>
      <c r="DM88" s="77"/>
      <c r="DN88" s="77"/>
      <c r="DO88" s="77"/>
      <c r="DP88" s="77"/>
      <c r="DQ88" s="77"/>
      <c r="DR88" s="77"/>
      <c r="DS88" s="77"/>
      <c r="DT88" s="77"/>
      <c r="DU88" s="77"/>
      <c r="DV88" s="77"/>
      <c r="DW88" s="77"/>
      <c r="DX88" s="77"/>
      <c r="DY88" s="77"/>
      <c r="DZ88" s="77"/>
      <c r="EA88" s="77"/>
      <c r="EB88" s="77"/>
      <c r="EC88" s="77"/>
      <c r="ED88" s="77"/>
      <c r="EE88" s="77"/>
      <c r="EF88" s="77"/>
      <c r="EG88" s="77"/>
      <c r="EH88" s="77"/>
      <c r="EI88" s="77"/>
      <c r="EJ88" s="77"/>
      <c r="EK88" s="77"/>
      <c r="EL88" s="77"/>
      <c r="EM88" s="77"/>
      <c r="EN88" s="77"/>
      <c r="EO88" s="77"/>
      <c r="EP88" s="77"/>
      <c r="EQ88" s="77"/>
      <c r="ER88" s="77"/>
      <c r="ES88" s="77"/>
      <c r="ET88" s="77"/>
      <c r="EU88" s="77"/>
      <c r="EV88" s="77"/>
      <c r="EW88" s="77"/>
      <c r="EX88" s="77"/>
      <c r="EY88" s="77"/>
      <c r="EZ88" s="77"/>
      <c r="FA88" s="77"/>
      <c r="FB88" s="77"/>
      <c r="FC88" s="77"/>
      <c r="FD88" s="77"/>
      <c r="FE88" s="77"/>
      <c r="FF88" s="77"/>
      <c r="FG88" s="77"/>
      <c r="FH88" s="77"/>
      <c r="FI88" s="77"/>
      <c r="FJ88" s="77"/>
      <c r="FK88" s="77"/>
      <c r="FL88" s="77"/>
      <c r="FM88" s="77"/>
      <c r="FN88" s="77"/>
      <c r="FO88" s="77"/>
      <c r="FP88" s="77"/>
      <c r="FQ88" s="77"/>
      <c r="FR88" s="77"/>
      <c r="FS88" s="77"/>
      <c r="FT88" s="77"/>
      <c r="FU88" s="77"/>
      <c r="FV88" s="77"/>
      <c r="FW88" s="77"/>
      <c r="FX88" s="77"/>
      <c r="FY88" s="77"/>
      <c r="FZ88" s="77"/>
      <c r="GA88" s="77"/>
      <c r="GB88" s="77"/>
      <c r="GC88" s="77"/>
      <c r="GD88" s="77"/>
      <c r="GE88" s="77"/>
      <c r="GF88" s="77"/>
      <c r="GG88" s="77"/>
      <c r="GH88" s="77"/>
      <c r="GI88" s="77"/>
      <c r="GJ88" s="77"/>
      <c r="GK88" s="77"/>
      <c r="GL88" s="77"/>
      <c r="GM88" s="77"/>
      <c r="GN88" s="77"/>
      <c r="GO88" s="77"/>
      <c r="GP88" s="77"/>
      <c r="GQ88" s="77"/>
      <c r="GR88" s="77"/>
      <c r="GS88" s="77"/>
      <c r="GT88" s="77"/>
      <c r="GU88" s="77"/>
      <c r="GV88" s="77"/>
      <c r="GW88" s="77"/>
      <c r="GX88" s="77"/>
      <c r="GY88" s="77"/>
      <c r="GZ88" s="77"/>
      <c r="HA88" s="77"/>
      <c r="HB88" s="77"/>
      <c r="HC88" s="77"/>
      <c r="HD88" s="77"/>
      <c r="HE88" s="77"/>
      <c r="HF88" s="77"/>
      <c r="HG88" s="77"/>
      <c r="HH88" s="77"/>
      <c r="HI88" s="77"/>
      <c r="HJ88" s="77"/>
      <c r="HK88" s="77"/>
      <c r="HL88" s="77"/>
      <c r="HM88" s="77"/>
      <c r="HN88" s="77"/>
      <c r="HO88" s="77"/>
      <c r="HP88" s="77"/>
      <c r="HQ88" s="77"/>
    </row>
    <row r="89" spans="1:225" hidden="1" x14ac:dyDescent="0.3">
      <c r="A89" s="78">
        <f>'Entrada datos'!C86</f>
        <v>0</v>
      </c>
      <c r="B89" s="74">
        <f>'Entrada datos'!D86</f>
        <v>0</v>
      </c>
      <c r="C89" s="75">
        <f>'Entrada datos'!G86</f>
        <v>0</v>
      </c>
      <c r="D89" s="75">
        <f>'Entrada datos'!H86</f>
        <v>0</v>
      </c>
      <c r="E89" s="74">
        <f t="shared" si="4"/>
        <v>0</v>
      </c>
      <c r="F89" s="68" t="str">
        <f t="shared" si="5"/>
        <v>no procede</v>
      </c>
      <c r="G89" s="74">
        <f>'Entrada datos'!P86</f>
        <v>0</v>
      </c>
      <c r="H89" s="74">
        <f>'Entrada datos'!Q86</f>
        <v>0</v>
      </c>
      <c r="I89" s="74">
        <f>'Entrada datos'!R86</f>
        <v>0</v>
      </c>
      <c r="J89" s="74">
        <f>'Entrada datos'!S86</f>
        <v>0</v>
      </c>
      <c r="K89" s="74">
        <f>'Entrada datos'!T86</f>
        <v>0</v>
      </c>
      <c r="L89" s="74">
        <f>'Entrada datos'!U86</f>
        <v>0</v>
      </c>
      <c r="M89" s="76"/>
      <c r="N89" s="76"/>
      <c r="O89" s="76"/>
      <c r="P89" s="76"/>
      <c r="Q89" s="76"/>
      <c r="R89" s="76"/>
      <c r="S89" s="77" t="s">
        <v>74</v>
      </c>
      <c r="T89" s="77"/>
      <c r="U89" s="77"/>
      <c r="V89" s="77">
        <f t="shared" si="6"/>
        <v>0</v>
      </c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  <c r="AW89" s="77"/>
      <c r="AX89" s="77"/>
      <c r="AY89" s="77"/>
      <c r="AZ89" s="77"/>
      <c r="BA89" s="77"/>
      <c r="BB89" s="77"/>
      <c r="BC89" s="77"/>
      <c r="BD89" s="77"/>
      <c r="BE89" s="77"/>
      <c r="BF89" s="77"/>
      <c r="BG89" s="77"/>
      <c r="BH89" s="77"/>
      <c r="BI89" s="77"/>
      <c r="BJ89" s="77"/>
      <c r="BK89" s="77"/>
      <c r="BL89" s="77"/>
      <c r="BM89" s="77"/>
      <c r="BN89" s="77"/>
      <c r="BO89" s="77"/>
      <c r="BP89" s="77"/>
      <c r="BQ89" s="77"/>
      <c r="BR89" s="77"/>
      <c r="BS89" s="77"/>
      <c r="BT89" s="77"/>
      <c r="BU89" s="77"/>
      <c r="BV89" s="77"/>
      <c r="BW89" s="77"/>
      <c r="BX89" s="77"/>
      <c r="BY89" s="77"/>
      <c r="BZ89" s="77"/>
      <c r="CA89" s="77"/>
      <c r="CB89" s="77"/>
      <c r="CC89" s="77"/>
      <c r="CD89" s="77"/>
      <c r="CE89" s="77"/>
      <c r="CF89" s="77"/>
      <c r="CG89" s="77"/>
      <c r="CH89" s="77"/>
      <c r="CI89" s="77"/>
      <c r="CJ89" s="77"/>
      <c r="CK89" s="77"/>
      <c r="CL89" s="77"/>
      <c r="CM89" s="77"/>
      <c r="CN89" s="77"/>
      <c r="CO89" s="77"/>
      <c r="CP89" s="77"/>
      <c r="CQ89" s="77"/>
      <c r="CR89" s="77"/>
      <c r="CS89" s="77"/>
      <c r="CT89" s="77"/>
      <c r="CU89" s="77"/>
      <c r="CV89" s="77"/>
      <c r="CW89" s="77"/>
      <c r="CX89" s="77"/>
      <c r="CY89" s="77"/>
      <c r="CZ89" s="77"/>
      <c r="DA89" s="77"/>
      <c r="DB89" s="77"/>
      <c r="DC89" s="77"/>
      <c r="DD89" s="77"/>
      <c r="DE89" s="77"/>
      <c r="DF89" s="77"/>
      <c r="DG89" s="77"/>
      <c r="DH89" s="77"/>
      <c r="DI89" s="77"/>
      <c r="DJ89" s="77"/>
      <c r="DK89" s="77"/>
      <c r="DL89" s="77"/>
      <c r="DM89" s="77"/>
      <c r="DN89" s="77"/>
      <c r="DO89" s="77"/>
      <c r="DP89" s="77"/>
      <c r="DQ89" s="77"/>
      <c r="DR89" s="77"/>
      <c r="DS89" s="77"/>
      <c r="DT89" s="77"/>
      <c r="DU89" s="77"/>
      <c r="DV89" s="77"/>
      <c r="DW89" s="77"/>
      <c r="DX89" s="77"/>
      <c r="DY89" s="77"/>
      <c r="DZ89" s="77"/>
      <c r="EA89" s="77"/>
      <c r="EB89" s="77"/>
      <c r="EC89" s="77"/>
      <c r="ED89" s="77"/>
      <c r="EE89" s="77"/>
      <c r="EF89" s="77"/>
      <c r="EG89" s="77"/>
      <c r="EH89" s="77"/>
      <c r="EI89" s="77"/>
      <c r="EJ89" s="77"/>
      <c r="EK89" s="77"/>
      <c r="EL89" s="77"/>
      <c r="EM89" s="77"/>
      <c r="EN89" s="77"/>
      <c r="EO89" s="77"/>
      <c r="EP89" s="77"/>
      <c r="EQ89" s="77"/>
      <c r="ER89" s="77"/>
      <c r="ES89" s="77"/>
      <c r="ET89" s="77"/>
      <c r="EU89" s="77"/>
      <c r="EV89" s="77"/>
      <c r="EW89" s="77"/>
      <c r="EX89" s="77"/>
      <c r="EY89" s="77"/>
      <c r="EZ89" s="77"/>
      <c r="FA89" s="77"/>
      <c r="FB89" s="77"/>
      <c r="FC89" s="77"/>
      <c r="FD89" s="77"/>
      <c r="FE89" s="77"/>
      <c r="FF89" s="77"/>
      <c r="FG89" s="77"/>
      <c r="FH89" s="77"/>
      <c r="FI89" s="77"/>
      <c r="FJ89" s="77"/>
      <c r="FK89" s="77"/>
      <c r="FL89" s="77"/>
      <c r="FM89" s="77"/>
      <c r="FN89" s="77"/>
      <c r="FO89" s="77"/>
      <c r="FP89" s="77"/>
      <c r="FQ89" s="77"/>
      <c r="FR89" s="77"/>
      <c r="FS89" s="77"/>
      <c r="FT89" s="77"/>
      <c r="FU89" s="77"/>
      <c r="FV89" s="77"/>
      <c r="FW89" s="77"/>
      <c r="FX89" s="77"/>
      <c r="FY89" s="77"/>
      <c r="FZ89" s="77"/>
      <c r="GA89" s="77"/>
      <c r="GB89" s="77"/>
      <c r="GC89" s="77"/>
      <c r="GD89" s="77"/>
      <c r="GE89" s="77"/>
      <c r="GF89" s="77"/>
      <c r="GG89" s="77"/>
      <c r="GH89" s="77"/>
      <c r="GI89" s="77"/>
      <c r="GJ89" s="77"/>
      <c r="GK89" s="77"/>
      <c r="GL89" s="77"/>
      <c r="GM89" s="77"/>
      <c r="GN89" s="77"/>
      <c r="GO89" s="77"/>
      <c r="GP89" s="77"/>
      <c r="GQ89" s="77"/>
      <c r="GR89" s="77"/>
      <c r="GS89" s="77"/>
      <c r="GT89" s="77"/>
      <c r="GU89" s="77"/>
      <c r="GV89" s="77"/>
      <c r="GW89" s="77"/>
      <c r="GX89" s="77"/>
      <c r="GY89" s="77"/>
      <c r="GZ89" s="77"/>
      <c r="HA89" s="77"/>
      <c r="HB89" s="77"/>
      <c r="HC89" s="77"/>
      <c r="HD89" s="77"/>
      <c r="HE89" s="77"/>
      <c r="HF89" s="77"/>
      <c r="HG89" s="77"/>
      <c r="HH89" s="77"/>
      <c r="HI89" s="77"/>
      <c r="HJ89" s="77"/>
      <c r="HK89" s="77"/>
      <c r="HL89" s="77"/>
      <c r="HM89" s="77"/>
      <c r="HN89" s="77"/>
      <c r="HO89" s="77"/>
      <c r="HP89" s="77"/>
      <c r="HQ89" s="77"/>
    </row>
    <row r="90" spans="1:225" hidden="1" x14ac:dyDescent="0.3">
      <c r="A90" s="78">
        <f>'Entrada datos'!C87</f>
        <v>0</v>
      </c>
      <c r="B90" s="74">
        <f>'Entrada datos'!D87</f>
        <v>0</v>
      </c>
      <c r="C90" s="75">
        <f>'Entrada datos'!G87</f>
        <v>0</v>
      </c>
      <c r="D90" s="75">
        <f>'Entrada datos'!H87</f>
        <v>0</v>
      </c>
      <c r="E90" s="74">
        <f t="shared" si="4"/>
        <v>0</v>
      </c>
      <c r="F90" s="68" t="str">
        <f t="shared" si="5"/>
        <v>no procede</v>
      </c>
      <c r="G90" s="74">
        <f>'Entrada datos'!P87</f>
        <v>0</v>
      </c>
      <c r="H90" s="74">
        <f>'Entrada datos'!Q87</f>
        <v>0</v>
      </c>
      <c r="I90" s="74">
        <f>'Entrada datos'!R87</f>
        <v>0</v>
      </c>
      <c r="J90" s="74">
        <f>'Entrada datos'!S87</f>
        <v>0</v>
      </c>
      <c r="K90" s="74">
        <f>'Entrada datos'!T87</f>
        <v>0</v>
      </c>
      <c r="L90" s="74">
        <f>'Entrada datos'!U87</f>
        <v>0</v>
      </c>
      <c r="M90" s="76"/>
      <c r="N90" s="76"/>
      <c r="O90" s="76"/>
      <c r="P90" s="76"/>
      <c r="Q90" s="76"/>
      <c r="R90" s="76"/>
      <c r="S90" s="77" t="s">
        <v>74</v>
      </c>
      <c r="T90" s="77"/>
      <c r="U90" s="77"/>
      <c r="V90" s="77">
        <f t="shared" si="6"/>
        <v>0</v>
      </c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  <c r="AI90" s="77"/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  <c r="AW90" s="77"/>
      <c r="AX90" s="77"/>
      <c r="AY90" s="77"/>
      <c r="AZ90" s="77"/>
      <c r="BA90" s="77"/>
      <c r="BB90" s="77"/>
      <c r="BC90" s="77"/>
      <c r="BD90" s="77"/>
      <c r="BE90" s="77"/>
      <c r="BF90" s="77"/>
      <c r="BG90" s="77"/>
      <c r="BH90" s="77"/>
      <c r="BI90" s="77"/>
      <c r="BJ90" s="77"/>
      <c r="BK90" s="77"/>
      <c r="BL90" s="77"/>
      <c r="BM90" s="77"/>
      <c r="BN90" s="77"/>
      <c r="BO90" s="77"/>
      <c r="BP90" s="77"/>
      <c r="BQ90" s="77"/>
      <c r="BR90" s="77"/>
      <c r="BS90" s="77"/>
      <c r="BT90" s="77"/>
      <c r="BU90" s="77"/>
      <c r="BV90" s="77"/>
      <c r="BW90" s="77"/>
      <c r="BX90" s="77"/>
      <c r="BY90" s="77"/>
      <c r="BZ90" s="77"/>
      <c r="CA90" s="77"/>
      <c r="CB90" s="77"/>
      <c r="CC90" s="77"/>
      <c r="CD90" s="77"/>
      <c r="CE90" s="77"/>
      <c r="CF90" s="77"/>
      <c r="CG90" s="77"/>
      <c r="CH90" s="77"/>
      <c r="CI90" s="77"/>
      <c r="CJ90" s="77"/>
      <c r="CK90" s="77"/>
      <c r="CL90" s="77"/>
      <c r="CM90" s="77"/>
      <c r="CN90" s="77"/>
      <c r="CO90" s="77"/>
      <c r="CP90" s="77"/>
      <c r="CQ90" s="77"/>
      <c r="CR90" s="77"/>
      <c r="CS90" s="77"/>
      <c r="CT90" s="77"/>
      <c r="CU90" s="77"/>
      <c r="CV90" s="77"/>
      <c r="CW90" s="77"/>
      <c r="CX90" s="77"/>
      <c r="CY90" s="77"/>
      <c r="CZ90" s="77"/>
      <c r="DA90" s="77"/>
      <c r="DB90" s="77"/>
      <c r="DC90" s="77"/>
      <c r="DD90" s="77"/>
      <c r="DE90" s="77"/>
      <c r="DF90" s="77"/>
      <c r="DG90" s="77"/>
      <c r="DH90" s="77"/>
      <c r="DI90" s="77"/>
      <c r="DJ90" s="77"/>
      <c r="DK90" s="77"/>
      <c r="DL90" s="77"/>
      <c r="DM90" s="77"/>
      <c r="DN90" s="77"/>
      <c r="DO90" s="77"/>
      <c r="DP90" s="77"/>
      <c r="DQ90" s="77"/>
      <c r="DR90" s="77"/>
      <c r="DS90" s="77"/>
      <c r="DT90" s="77"/>
      <c r="DU90" s="77"/>
      <c r="DV90" s="77"/>
      <c r="DW90" s="77"/>
      <c r="DX90" s="77"/>
      <c r="DY90" s="77"/>
      <c r="DZ90" s="77"/>
      <c r="EA90" s="77"/>
      <c r="EB90" s="77"/>
      <c r="EC90" s="77"/>
      <c r="ED90" s="77"/>
      <c r="EE90" s="77"/>
      <c r="EF90" s="77"/>
      <c r="EG90" s="77"/>
      <c r="EH90" s="77"/>
      <c r="EI90" s="77"/>
      <c r="EJ90" s="77"/>
      <c r="EK90" s="77"/>
      <c r="EL90" s="77"/>
      <c r="EM90" s="77"/>
      <c r="EN90" s="77"/>
      <c r="EO90" s="77"/>
      <c r="EP90" s="77"/>
      <c r="EQ90" s="77"/>
      <c r="ER90" s="77"/>
      <c r="ES90" s="77"/>
      <c r="ET90" s="77"/>
      <c r="EU90" s="77"/>
      <c r="EV90" s="77"/>
      <c r="EW90" s="77"/>
      <c r="EX90" s="77"/>
      <c r="EY90" s="77"/>
      <c r="EZ90" s="77"/>
      <c r="FA90" s="77"/>
      <c r="FB90" s="77"/>
      <c r="FC90" s="77"/>
      <c r="FD90" s="77"/>
      <c r="FE90" s="77"/>
      <c r="FF90" s="77"/>
      <c r="FG90" s="77"/>
      <c r="FH90" s="77"/>
      <c r="FI90" s="77"/>
      <c r="FJ90" s="77"/>
      <c r="FK90" s="77"/>
      <c r="FL90" s="77"/>
      <c r="FM90" s="77"/>
      <c r="FN90" s="77"/>
      <c r="FO90" s="77"/>
      <c r="FP90" s="77"/>
      <c r="FQ90" s="77"/>
      <c r="FR90" s="77"/>
      <c r="FS90" s="77"/>
      <c r="FT90" s="77"/>
      <c r="FU90" s="77"/>
      <c r="FV90" s="77"/>
      <c r="FW90" s="77"/>
      <c r="FX90" s="77"/>
      <c r="FY90" s="77"/>
      <c r="FZ90" s="77"/>
      <c r="GA90" s="77"/>
      <c r="GB90" s="77"/>
      <c r="GC90" s="77"/>
      <c r="GD90" s="77"/>
      <c r="GE90" s="77"/>
      <c r="GF90" s="77"/>
      <c r="GG90" s="77"/>
      <c r="GH90" s="77"/>
      <c r="GI90" s="77"/>
      <c r="GJ90" s="77"/>
      <c r="GK90" s="77"/>
      <c r="GL90" s="77"/>
      <c r="GM90" s="77"/>
      <c r="GN90" s="77"/>
      <c r="GO90" s="77"/>
      <c r="GP90" s="77"/>
      <c r="GQ90" s="77"/>
      <c r="GR90" s="77"/>
      <c r="GS90" s="77"/>
      <c r="GT90" s="77"/>
      <c r="GU90" s="77"/>
      <c r="GV90" s="77"/>
      <c r="GW90" s="77"/>
      <c r="GX90" s="77"/>
      <c r="GY90" s="77"/>
      <c r="GZ90" s="77"/>
      <c r="HA90" s="77"/>
      <c r="HB90" s="77"/>
      <c r="HC90" s="77"/>
      <c r="HD90" s="77"/>
      <c r="HE90" s="77"/>
      <c r="HF90" s="77"/>
      <c r="HG90" s="77"/>
      <c r="HH90" s="77"/>
      <c r="HI90" s="77"/>
      <c r="HJ90" s="77"/>
      <c r="HK90" s="77"/>
      <c r="HL90" s="77"/>
      <c r="HM90" s="77"/>
      <c r="HN90" s="77"/>
      <c r="HO90" s="77"/>
      <c r="HP90" s="77"/>
      <c r="HQ90" s="77"/>
    </row>
    <row r="91" spans="1:225" hidden="1" x14ac:dyDescent="0.3">
      <c r="A91" s="78">
        <f>'Entrada datos'!C88</f>
        <v>0</v>
      </c>
      <c r="B91" s="74">
        <f>'Entrada datos'!D88</f>
        <v>0</v>
      </c>
      <c r="C91" s="75">
        <f>'Entrada datos'!G88</f>
        <v>0</v>
      </c>
      <c r="D91" s="75">
        <f>'Entrada datos'!H88</f>
        <v>0</v>
      </c>
      <c r="E91" s="74">
        <f t="shared" si="4"/>
        <v>0</v>
      </c>
      <c r="F91" s="68" t="str">
        <f t="shared" si="5"/>
        <v>no procede</v>
      </c>
      <c r="G91" s="74">
        <f>'Entrada datos'!P88</f>
        <v>0</v>
      </c>
      <c r="H91" s="74">
        <f>'Entrada datos'!Q88</f>
        <v>0</v>
      </c>
      <c r="I91" s="74">
        <f>'Entrada datos'!R88</f>
        <v>0</v>
      </c>
      <c r="J91" s="74">
        <f>'Entrada datos'!S88</f>
        <v>0</v>
      </c>
      <c r="K91" s="74">
        <f>'Entrada datos'!T88</f>
        <v>0</v>
      </c>
      <c r="L91" s="74">
        <f>'Entrada datos'!U88</f>
        <v>0</v>
      </c>
      <c r="M91" s="76"/>
      <c r="N91" s="76"/>
      <c r="O91" s="76"/>
      <c r="P91" s="76"/>
      <c r="Q91" s="76"/>
      <c r="R91" s="76"/>
      <c r="S91" s="77" t="s">
        <v>74</v>
      </c>
      <c r="T91" s="77"/>
      <c r="U91" s="77"/>
      <c r="V91" s="77">
        <f t="shared" si="6"/>
        <v>0</v>
      </c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  <c r="AO91" s="77"/>
      <c r="AP91" s="77"/>
      <c r="AQ91" s="77"/>
      <c r="AR91" s="77"/>
      <c r="AS91" s="77"/>
      <c r="AT91" s="77"/>
      <c r="AU91" s="77"/>
      <c r="AV91" s="77"/>
      <c r="AW91" s="77"/>
      <c r="AX91" s="77"/>
      <c r="AY91" s="77"/>
      <c r="AZ91" s="77"/>
      <c r="BA91" s="77"/>
      <c r="BB91" s="77"/>
      <c r="BC91" s="77"/>
      <c r="BD91" s="77"/>
      <c r="BE91" s="77"/>
      <c r="BF91" s="77"/>
      <c r="BG91" s="77"/>
      <c r="BH91" s="77"/>
      <c r="BI91" s="77"/>
      <c r="BJ91" s="77"/>
      <c r="BK91" s="77"/>
      <c r="BL91" s="77"/>
      <c r="BM91" s="77"/>
      <c r="BN91" s="77"/>
      <c r="BO91" s="77"/>
      <c r="BP91" s="77"/>
      <c r="BQ91" s="77"/>
      <c r="BR91" s="77"/>
      <c r="BS91" s="77"/>
      <c r="BT91" s="77"/>
      <c r="BU91" s="77"/>
      <c r="BV91" s="77"/>
      <c r="BW91" s="77"/>
      <c r="BX91" s="77"/>
      <c r="BY91" s="77"/>
      <c r="BZ91" s="77"/>
      <c r="CA91" s="77"/>
      <c r="CB91" s="77"/>
      <c r="CC91" s="77"/>
      <c r="CD91" s="77"/>
      <c r="CE91" s="77"/>
      <c r="CF91" s="77"/>
      <c r="CG91" s="77"/>
      <c r="CH91" s="77"/>
      <c r="CI91" s="77"/>
      <c r="CJ91" s="77"/>
      <c r="CK91" s="77"/>
      <c r="CL91" s="77"/>
      <c r="CM91" s="77"/>
      <c r="CN91" s="77"/>
      <c r="CO91" s="77"/>
      <c r="CP91" s="77"/>
      <c r="CQ91" s="77"/>
      <c r="CR91" s="77"/>
      <c r="CS91" s="77"/>
      <c r="CT91" s="77"/>
      <c r="CU91" s="77"/>
      <c r="CV91" s="77"/>
      <c r="CW91" s="77"/>
      <c r="CX91" s="77"/>
      <c r="CY91" s="77"/>
      <c r="CZ91" s="77"/>
      <c r="DA91" s="77"/>
      <c r="DB91" s="77"/>
      <c r="DC91" s="77"/>
      <c r="DD91" s="77"/>
      <c r="DE91" s="77"/>
      <c r="DF91" s="77"/>
      <c r="DG91" s="77"/>
      <c r="DH91" s="77"/>
      <c r="DI91" s="77"/>
      <c r="DJ91" s="77"/>
      <c r="DK91" s="77"/>
      <c r="DL91" s="77"/>
      <c r="DM91" s="77"/>
      <c r="DN91" s="77"/>
      <c r="DO91" s="77"/>
      <c r="DP91" s="77"/>
      <c r="DQ91" s="77"/>
      <c r="DR91" s="77"/>
      <c r="DS91" s="77"/>
      <c r="DT91" s="77"/>
      <c r="DU91" s="77"/>
      <c r="DV91" s="77"/>
      <c r="DW91" s="77"/>
      <c r="DX91" s="77"/>
      <c r="DY91" s="77"/>
      <c r="DZ91" s="77"/>
      <c r="EA91" s="77"/>
      <c r="EB91" s="77"/>
      <c r="EC91" s="77"/>
      <c r="ED91" s="77"/>
      <c r="EE91" s="77"/>
      <c r="EF91" s="77"/>
      <c r="EG91" s="77"/>
      <c r="EH91" s="77"/>
      <c r="EI91" s="77"/>
      <c r="EJ91" s="77"/>
      <c r="EK91" s="77"/>
      <c r="EL91" s="77"/>
      <c r="EM91" s="77"/>
      <c r="EN91" s="77"/>
      <c r="EO91" s="77"/>
      <c r="EP91" s="77"/>
      <c r="EQ91" s="77"/>
      <c r="ER91" s="77"/>
      <c r="ES91" s="77"/>
      <c r="ET91" s="77"/>
      <c r="EU91" s="77"/>
      <c r="EV91" s="77"/>
      <c r="EW91" s="77"/>
      <c r="EX91" s="77"/>
      <c r="EY91" s="77"/>
      <c r="EZ91" s="77"/>
      <c r="FA91" s="77"/>
      <c r="FB91" s="77"/>
      <c r="FC91" s="77"/>
      <c r="FD91" s="77"/>
      <c r="FE91" s="77"/>
      <c r="FF91" s="77"/>
      <c r="FG91" s="77"/>
      <c r="FH91" s="77"/>
      <c r="FI91" s="77"/>
      <c r="FJ91" s="77"/>
      <c r="FK91" s="77"/>
      <c r="FL91" s="77"/>
      <c r="FM91" s="77"/>
      <c r="FN91" s="77"/>
      <c r="FO91" s="77"/>
      <c r="FP91" s="77"/>
      <c r="FQ91" s="77"/>
      <c r="FR91" s="77"/>
      <c r="FS91" s="77"/>
      <c r="FT91" s="77"/>
      <c r="FU91" s="77"/>
      <c r="FV91" s="77"/>
      <c r="FW91" s="77"/>
      <c r="FX91" s="77"/>
      <c r="FY91" s="77"/>
      <c r="FZ91" s="77"/>
      <c r="GA91" s="77"/>
      <c r="GB91" s="77"/>
      <c r="GC91" s="77"/>
      <c r="GD91" s="77"/>
      <c r="GE91" s="77"/>
      <c r="GF91" s="77"/>
      <c r="GG91" s="77"/>
      <c r="GH91" s="77"/>
      <c r="GI91" s="77"/>
      <c r="GJ91" s="77"/>
      <c r="GK91" s="77"/>
      <c r="GL91" s="77"/>
      <c r="GM91" s="77"/>
      <c r="GN91" s="77"/>
      <c r="GO91" s="77"/>
      <c r="GP91" s="77"/>
      <c r="GQ91" s="77"/>
      <c r="GR91" s="77"/>
      <c r="GS91" s="77"/>
      <c r="GT91" s="77"/>
      <c r="GU91" s="77"/>
      <c r="GV91" s="77"/>
      <c r="GW91" s="77"/>
      <c r="GX91" s="77"/>
      <c r="GY91" s="77"/>
      <c r="GZ91" s="77"/>
      <c r="HA91" s="77"/>
      <c r="HB91" s="77"/>
      <c r="HC91" s="77"/>
      <c r="HD91" s="77"/>
      <c r="HE91" s="77"/>
      <c r="HF91" s="77"/>
      <c r="HG91" s="77"/>
      <c r="HH91" s="77"/>
      <c r="HI91" s="77"/>
      <c r="HJ91" s="77"/>
      <c r="HK91" s="77"/>
      <c r="HL91" s="77"/>
      <c r="HM91" s="77"/>
      <c r="HN91" s="77"/>
      <c r="HO91" s="77"/>
      <c r="HP91" s="77"/>
      <c r="HQ91" s="77"/>
    </row>
    <row r="92" spans="1:225" hidden="1" x14ac:dyDescent="0.3">
      <c r="A92" s="78">
        <f>'Entrada datos'!C89</f>
        <v>0</v>
      </c>
      <c r="B92" s="74">
        <f>'Entrada datos'!D89</f>
        <v>0</v>
      </c>
      <c r="C92" s="75">
        <f>'Entrada datos'!G89</f>
        <v>0</v>
      </c>
      <c r="D92" s="75">
        <f>'Entrada datos'!H89</f>
        <v>0</v>
      </c>
      <c r="E92" s="74">
        <f t="shared" si="4"/>
        <v>0</v>
      </c>
      <c r="F92" s="68" t="str">
        <f t="shared" si="5"/>
        <v>no procede</v>
      </c>
      <c r="G92" s="74">
        <f>'Entrada datos'!P89</f>
        <v>0</v>
      </c>
      <c r="H92" s="74">
        <f>'Entrada datos'!Q89</f>
        <v>0</v>
      </c>
      <c r="I92" s="74">
        <f>'Entrada datos'!R89</f>
        <v>0</v>
      </c>
      <c r="J92" s="74">
        <f>'Entrada datos'!S89</f>
        <v>0</v>
      </c>
      <c r="K92" s="74">
        <f>'Entrada datos'!T89</f>
        <v>0</v>
      </c>
      <c r="L92" s="74">
        <f>'Entrada datos'!U89</f>
        <v>0</v>
      </c>
      <c r="M92" s="76"/>
      <c r="N92" s="76"/>
      <c r="O92" s="76"/>
      <c r="P92" s="76"/>
      <c r="Q92" s="76"/>
      <c r="R92" s="76"/>
      <c r="S92" s="77" t="s">
        <v>74</v>
      </c>
      <c r="T92" s="77"/>
      <c r="U92" s="77"/>
      <c r="V92" s="77">
        <f t="shared" si="6"/>
        <v>0</v>
      </c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  <c r="AW92" s="77"/>
      <c r="AX92" s="77"/>
      <c r="AY92" s="77"/>
      <c r="AZ92" s="77"/>
      <c r="BA92" s="77"/>
      <c r="BB92" s="77"/>
      <c r="BC92" s="77"/>
      <c r="BD92" s="77"/>
      <c r="BE92" s="77"/>
      <c r="BF92" s="77"/>
      <c r="BG92" s="77"/>
      <c r="BH92" s="77"/>
      <c r="BI92" s="77"/>
      <c r="BJ92" s="77"/>
      <c r="BK92" s="77"/>
      <c r="BL92" s="77"/>
      <c r="BM92" s="77"/>
      <c r="BN92" s="77"/>
      <c r="BO92" s="77"/>
      <c r="BP92" s="77"/>
      <c r="BQ92" s="77"/>
      <c r="BR92" s="77"/>
      <c r="BS92" s="77"/>
      <c r="BT92" s="77"/>
      <c r="BU92" s="77"/>
      <c r="BV92" s="77"/>
      <c r="BW92" s="77"/>
      <c r="BX92" s="77"/>
      <c r="BY92" s="77"/>
      <c r="BZ92" s="77"/>
      <c r="CA92" s="77"/>
      <c r="CB92" s="77"/>
      <c r="CC92" s="77"/>
      <c r="CD92" s="77"/>
      <c r="CE92" s="77"/>
      <c r="CF92" s="77"/>
      <c r="CG92" s="77"/>
      <c r="CH92" s="77"/>
      <c r="CI92" s="77"/>
      <c r="CJ92" s="77"/>
      <c r="CK92" s="77"/>
      <c r="CL92" s="77"/>
      <c r="CM92" s="77"/>
      <c r="CN92" s="77"/>
      <c r="CO92" s="77"/>
      <c r="CP92" s="77"/>
      <c r="CQ92" s="77"/>
      <c r="CR92" s="77"/>
      <c r="CS92" s="77"/>
      <c r="CT92" s="77"/>
      <c r="CU92" s="77"/>
      <c r="CV92" s="77"/>
      <c r="CW92" s="77"/>
      <c r="CX92" s="77"/>
      <c r="CY92" s="77"/>
      <c r="CZ92" s="77"/>
      <c r="DA92" s="77"/>
      <c r="DB92" s="77"/>
      <c r="DC92" s="77"/>
      <c r="DD92" s="77"/>
      <c r="DE92" s="77"/>
      <c r="DF92" s="77"/>
      <c r="DG92" s="77"/>
      <c r="DH92" s="77"/>
      <c r="DI92" s="77"/>
      <c r="DJ92" s="77"/>
      <c r="DK92" s="77"/>
      <c r="DL92" s="77"/>
      <c r="DM92" s="77"/>
      <c r="DN92" s="77"/>
      <c r="DO92" s="77"/>
      <c r="DP92" s="77"/>
      <c r="DQ92" s="77"/>
      <c r="DR92" s="77"/>
      <c r="DS92" s="77"/>
      <c r="DT92" s="77"/>
      <c r="DU92" s="77"/>
      <c r="DV92" s="77"/>
      <c r="DW92" s="77"/>
      <c r="DX92" s="77"/>
      <c r="DY92" s="77"/>
      <c r="DZ92" s="77"/>
      <c r="EA92" s="77"/>
      <c r="EB92" s="77"/>
      <c r="EC92" s="77"/>
      <c r="ED92" s="77"/>
      <c r="EE92" s="77"/>
      <c r="EF92" s="77"/>
      <c r="EG92" s="77"/>
      <c r="EH92" s="77"/>
      <c r="EI92" s="77"/>
      <c r="EJ92" s="77"/>
      <c r="EK92" s="77"/>
      <c r="EL92" s="77"/>
      <c r="EM92" s="77"/>
      <c r="EN92" s="77"/>
      <c r="EO92" s="77"/>
      <c r="EP92" s="77"/>
      <c r="EQ92" s="77"/>
      <c r="ER92" s="77"/>
      <c r="ES92" s="77"/>
      <c r="ET92" s="77"/>
      <c r="EU92" s="77"/>
      <c r="EV92" s="77"/>
      <c r="EW92" s="77"/>
      <c r="EX92" s="77"/>
      <c r="EY92" s="77"/>
      <c r="EZ92" s="77"/>
      <c r="FA92" s="77"/>
      <c r="FB92" s="77"/>
      <c r="FC92" s="77"/>
      <c r="FD92" s="77"/>
      <c r="FE92" s="77"/>
      <c r="FF92" s="77"/>
      <c r="FG92" s="77"/>
      <c r="FH92" s="77"/>
      <c r="FI92" s="77"/>
      <c r="FJ92" s="77"/>
      <c r="FK92" s="77"/>
      <c r="FL92" s="77"/>
      <c r="FM92" s="77"/>
      <c r="FN92" s="77"/>
      <c r="FO92" s="77"/>
      <c r="FP92" s="77"/>
      <c r="FQ92" s="77"/>
      <c r="FR92" s="77"/>
      <c r="FS92" s="77"/>
      <c r="FT92" s="77"/>
      <c r="FU92" s="77"/>
      <c r="FV92" s="77"/>
      <c r="FW92" s="77"/>
      <c r="FX92" s="77"/>
      <c r="FY92" s="77"/>
      <c r="FZ92" s="77"/>
      <c r="GA92" s="77"/>
      <c r="GB92" s="77"/>
      <c r="GC92" s="77"/>
      <c r="GD92" s="77"/>
      <c r="GE92" s="77"/>
      <c r="GF92" s="77"/>
      <c r="GG92" s="77"/>
      <c r="GH92" s="77"/>
      <c r="GI92" s="77"/>
      <c r="GJ92" s="77"/>
      <c r="GK92" s="77"/>
      <c r="GL92" s="77"/>
      <c r="GM92" s="77"/>
      <c r="GN92" s="77"/>
      <c r="GO92" s="77"/>
      <c r="GP92" s="77"/>
      <c r="GQ92" s="77"/>
      <c r="GR92" s="77"/>
      <c r="GS92" s="77"/>
      <c r="GT92" s="77"/>
      <c r="GU92" s="77"/>
      <c r="GV92" s="77"/>
      <c r="GW92" s="77"/>
      <c r="GX92" s="77"/>
      <c r="GY92" s="77"/>
      <c r="GZ92" s="77"/>
      <c r="HA92" s="77"/>
      <c r="HB92" s="77"/>
      <c r="HC92" s="77"/>
      <c r="HD92" s="77"/>
      <c r="HE92" s="77"/>
      <c r="HF92" s="77"/>
      <c r="HG92" s="77"/>
      <c r="HH92" s="77"/>
      <c r="HI92" s="77"/>
      <c r="HJ92" s="77"/>
      <c r="HK92" s="77"/>
      <c r="HL92" s="77"/>
      <c r="HM92" s="77"/>
      <c r="HN92" s="77"/>
      <c r="HO92" s="77"/>
      <c r="HP92" s="77"/>
      <c r="HQ92" s="77"/>
    </row>
    <row r="93" spans="1:225" hidden="1" x14ac:dyDescent="0.3">
      <c r="A93" s="78">
        <f>'Entrada datos'!C90</f>
        <v>0</v>
      </c>
      <c r="B93" s="74">
        <f>'Entrada datos'!D90</f>
        <v>0</v>
      </c>
      <c r="C93" s="75">
        <f>'Entrada datos'!G90</f>
        <v>0</v>
      </c>
      <c r="D93" s="75">
        <f>'Entrada datos'!H90</f>
        <v>0</v>
      </c>
      <c r="E93" s="74">
        <f t="shared" si="4"/>
        <v>0</v>
      </c>
      <c r="F93" s="68" t="str">
        <f t="shared" si="5"/>
        <v>no procede</v>
      </c>
      <c r="G93" s="74">
        <f>'Entrada datos'!P90</f>
        <v>0</v>
      </c>
      <c r="H93" s="74">
        <f>'Entrada datos'!Q90</f>
        <v>0</v>
      </c>
      <c r="I93" s="74">
        <f>'Entrada datos'!R90</f>
        <v>0</v>
      </c>
      <c r="J93" s="74">
        <f>'Entrada datos'!S90</f>
        <v>0</v>
      </c>
      <c r="K93" s="74">
        <f>'Entrada datos'!T90</f>
        <v>0</v>
      </c>
      <c r="L93" s="74">
        <f>'Entrada datos'!U90</f>
        <v>0</v>
      </c>
      <c r="M93" s="76"/>
      <c r="N93" s="76"/>
      <c r="O93" s="76"/>
      <c r="P93" s="76"/>
      <c r="Q93" s="76"/>
      <c r="R93" s="76"/>
      <c r="S93" s="77" t="s">
        <v>74</v>
      </c>
      <c r="T93" s="77"/>
      <c r="U93" s="77"/>
      <c r="V93" s="77">
        <f t="shared" si="6"/>
        <v>0</v>
      </c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  <c r="AO93" s="77"/>
      <c r="AP93" s="77"/>
      <c r="AQ93" s="77"/>
      <c r="AR93" s="77"/>
      <c r="AS93" s="77"/>
      <c r="AT93" s="77"/>
      <c r="AU93" s="77"/>
      <c r="AV93" s="77"/>
      <c r="AW93" s="77"/>
      <c r="AX93" s="77"/>
      <c r="AY93" s="77"/>
      <c r="AZ93" s="77"/>
      <c r="BA93" s="77"/>
      <c r="BB93" s="77"/>
      <c r="BC93" s="77"/>
      <c r="BD93" s="77"/>
      <c r="BE93" s="77"/>
      <c r="BF93" s="77"/>
      <c r="BG93" s="77"/>
      <c r="BH93" s="77"/>
      <c r="BI93" s="77"/>
      <c r="BJ93" s="77"/>
      <c r="BK93" s="77"/>
      <c r="BL93" s="77"/>
      <c r="BM93" s="77"/>
      <c r="BN93" s="77"/>
      <c r="BO93" s="77"/>
      <c r="BP93" s="77"/>
      <c r="BQ93" s="77"/>
      <c r="BR93" s="77"/>
      <c r="BS93" s="77"/>
      <c r="BT93" s="77"/>
      <c r="BU93" s="77"/>
      <c r="BV93" s="77"/>
      <c r="BW93" s="77"/>
      <c r="BX93" s="77"/>
      <c r="BY93" s="77"/>
      <c r="BZ93" s="77"/>
      <c r="CA93" s="77"/>
      <c r="CB93" s="77"/>
      <c r="CC93" s="77"/>
      <c r="CD93" s="77"/>
      <c r="CE93" s="77"/>
      <c r="CF93" s="77"/>
      <c r="CG93" s="77"/>
      <c r="CH93" s="77"/>
      <c r="CI93" s="77"/>
      <c r="CJ93" s="77"/>
      <c r="CK93" s="77"/>
      <c r="CL93" s="77"/>
      <c r="CM93" s="77"/>
      <c r="CN93" s="77"/>
      <c r="CO93" s="77"/>
      <c r="CP93" s="77"/>
      <c r="CQ93" s="77"/>
      <c r="CR93" s="77"/>
      <c r="CS93" s="77"/>
      <c r="CT93" s="77"/>
      <c r="CU93" s="77"/>
      <c r="CV93" s="77"/>
      <c r="CW93" s="77"/>
      <c r="CX93" s="77"/>
      <c r="CY93" s="77"/>
      <c r="CZ93" s="77"/>
      <c r="DA93" s="77"/>
      <c r="DB93" s="77"/>
      <c r="DC93" s="77"/>
      <c r="DD93" s="77"/>
      <c r="DE93" s="77"/>
      <c r="DF93" s="77"/>
      <c r="DG93" s="77"/>
      <c r="DH93" s="77"/>
      <c r="DI93" s="77"/>
      <c r="DJ93" s="77"/>
      <c r="DK93" s="77"/>
      <c r="DL93" s="77"/>
      <c r="DM93" s="77"/>
      <c r="DN93" s="77"/>
      <c r="DO93" s="77"/>
      <c r="DP93" s="77"/>
      <c r="DQ93" s="77"/>
      <c r="DR93" s="77"/>
      <c r="DS93" s="77"/>
      <c r="DT93" s="77"/>
      <c r="DU93" s="77"/>
      <c r="DV93" s="77"/>
      <c r="DW93" s="77"/>
      <c r="DX93" s="77"/>
      <c r="DY93" s="77"/>
      <c r="DZ93" s="77"/>
      <c r="EA93" s="77"/>
      <c r="EB93" s="77"/>
      <c r="EC93" s="77"/>
      <c r="ED93" s="77"/>
      <c r="EE93" s="77"/>
      <c r="EF93" s="77"/>
      <c r="EG93" s="77"/>
      <c r="EH93" s="77"/>
      <c r="EI93" s="77"/>
      <c r="EJ93" s="77"/>
      <c r="EK93" s="77"/>
      <c r="EL93" s="77"/>
      <c r="EM93" s="77"/>
      <c r="EN93" s="77"/>
      <c r="EO93" s="77"/>
      <c r="EP93" s="77"/>
      <c r="EQ93" s="77"/>
      <c r="ER93" s="77"/>
      <c r="ES93" s="77"/>
      <c r="ET93" s="77"/>
      <c r="EU93" s="77"/>
      <c r="EV93" s="77"/>
      <c r="EW93" s="77"/>
      <c r="EX93" s="77"/>
      <c r="EY93" s="77"/>
      <c r="EZ93" s="77"/>
      <c r="FA93" s="77"/>
      <c r="FB93" s="77"/>
      <c r="FC93" s="77"/>
      <c r="FD93" s="77"/>
      <c r="FE93" s="77"/>
      <c r="FF93" s="77"/>
      <c r="FG93" s="77"/>
      <c r="FH93" s="77"/>
      <c r="FI93" s="77"/>
      <c r="FJ93" s="77"/>
      <c r="FK93" s="77"/>
      <c r="FL93" s="77"/>
      <c r="FM93" s="77"/>
      <c r="FN93" s="77"/>
      <c r="FO93" s="77"/>
      <c r="FP93" s="77"/>
      <c r="FQ93" s="77"/>
      <c r="FR93" s="77"/>
      <c r="FS93" s="77"/>
      <c r="FT93" s="77"/>
      <c r="FU93" s="77"/>
      <c r="FV93" s="77"/>
      <c r="FW93" s="77"/>
      <c r="FX93" s="77"/>
      <c r="FY93" s="77"/>
      <c r="FZ93" s="77"/>
      <c r="GA93" s="77"/>
      <c r="GB93" s="77"/>
      <c r="GC93" s="77"/>
      <c r="GD93" s="77"/>
      <c r="GE93" s="77"/>
      <c r="GF93" s="77"/>
      <c r="GG93" s="77"/>
      <c r="GH93" s="77"/>
      <c r="GI93" s="77"/>
      <c r="GJ93" s="77"/>
      <c r="GK93" s="77"/>
      <c r="GL93" s="77"/>
      <c r="GM93" s="77"/>
      <c r="GN93" s="77"/>
      <c r="GO93" s="77"/>
      <c r="GP93" s="77"/>
      <c r="GQ93" s="77"/>
      <c r="GR93" s="77"/>
      <c r="GS93" s="77"/>
      <c r="GT93" s="77"/>
      <c r="GU93" s="77"/>
      <c r="GV93" s="77"/>
      <c r="GW93" s="77"/>
      <c r="GX93" s="77"/>
      <c r="GY93" s="77"/>
      <c r="GZ93" s="77"/>
      <c r="HA93" s="77"/>
      <c r="HB93" s="77"/>
      <c r="HC93" s="77"/>
      <c r="HD93" s="77"/>
      <c r="HE93" s="77"/>
      <c r="HF93" s="77"/>
      <c r="HG93" s="77"/>
      <c r="HH93" s="77"/>
      <c r="HI93" s="77"/>
      <c r="HJ93" s="77"/>
      <c r="HK93" s="77"/>
      <c r="HL93" s="77"/>
      <c r="HM93" s="77"/>
      <c r="HN93" s="77"/>
      <c r="HO93" s="77"/>
      <c r="HP93" s="77"/>
      <c r="HQ93" s="77"/>
    </row>
    <row r="94" spans="1:225" hidden="1" x14ac:dyDescent="0.3">
      <c r="A94" s="78">
        <f>'Entrada datos'!C91</f>
        <v>0</v>
      </c>
      <c r="B94" s="74">
        <f>'Entrada datos'!D91</f>
        <v>0</v>
      </c>
      <c r="C94" s="75">
        <f>'Entrada datos'!G91</f>
        <v>0</v>
      </c>
      <c r="D94" s="75">
        <f>'Entrada datos'!H91</f>
        <v>0</v>
      </c>
      <c r="E94" s="74">
        <f t="shared" si="4"/>
        <v>0</v>
      </c>
      <c r="F94" s="68" t="str">
        <f t="shared" si="5"/>
        <v>no procede</v>
      </c>
      <c r="G94" s="74">
        <f>'Entrada datos'!P91</f>
        <v>0</v>
      </c>
      <c r="H94" s="74">
        <f>'Entrada datos'!Q91</f>
        <v>0</v>
      </c>
      <c r="I94" s="74">
        <f>'Entrada datos'!R91</f>
        <v>0</v>
      </c>
      <c r="J94" s="74">
        <f>'Entrada datos'!S91</f>
        <v>0</v>
      </c>
      <c r="K94" s="74">
        <f>'Entrada datos'!T91</f>
        <v>0</v>
      </c>
      <c r="L94" s="74">
        <f>'Entrada datos'!U91</f>
        <v>0</v>
      </c>
      <c r="M94" s="76"/>
      <c r="N94" s="76"/>
      <c r="O94" s="76"/>
      <c r="P94" s="76"/>
      <c r="Q94" s="76"/>
      <c r="R94" s="76"/>
      <c r="S94" s="77" t="s">
        <v>74</v>
      </c>
      <c r="T94" s="77"/>
      <c r="U94" s="77"/>
      <c r="V94" s="77">
        <f t="shared" si="6"/>
        <v>0</v>
      </c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  <c r="AO94" s="77"/>
      <c r="AP94" s="77"/>
      <c r="AQ94" s="77"/>
      <c r="AR94" s="77"/>
      <c r="AS94" s="77"/>
      <c r="AT94" s="77"/>
      <c r="AU94" s="77"/>
      <c r="AV94" s="77"/>
      <c r="AW94" s="77"/>
      <c r="AX94" s="77"/>
      <c r="AY94" s="77"/>
      <c r="AZ94" s="77"/>
      <c r="BA94" s="77"/>
      <c r="BB94" s="77"/>
      <c r="BC94" s="77"/>
      <c r="BD94" s="77"/>
      <c r="BE94" s="77"/>
      <c r="BF94" s="77"/>
      <c r="BG94" s="77"/>
      <c r="BH94" s="77"/>
      <c r="BI94" s="77"/>
      <c r="BJ94" s="77"/>
      <c r="BK94" s="77"/>
      <c r="BL94" s="77"/>
      <c r="BM94" s="77"/>
      <c r="BN94" s="77"/>
      <c r="BO94" s="77"/>
      <c r="BP94" s="77"/>
      <c r="BQ94" s="77"/>
      <c r="BR94" s="77"/>
      <c r="BS94" s="77"/>
      <c r="BT94" s="77"/>
      <c r="BU94" s="77"/>
      <c r="BV94" s="77"/>
      <c r="BW94" s="77"/>
      <c r="BX94" s="77"/>
      <c r="BY94" s="77"/>
      <c r="BZ94" s="77"/>
      <c r="CA94" s="77"/>
      <c r="CB94" s="77"/>
      <c r="CC94" s="77"/>
      <c r="CD94" s="77"/>
      <c r="CE94" s="77"/>
      <c r="CF94" s="77"/>
      <c r="CG94" s="77"/>
      <c r="CH94" s="77"/>
      <c r="CI94" s="77"/>
      <c r="CJ94" s="77"/>
      <c r="CK94" s="77"/>
      <c r="CL94" s="77"/>
      <c r="CM94" s="77"/>
      <c r="CN94" s="77"/>
      <c r="CO94" s="77"/>
      <c r="CP94" s="77"/>
      <c r="CQ94" s="77"/>
      <c r="CR94" s="77"/>
      <c r="CS94" s="77"/>
      <c r="CT94" s="77"/>
      <c r="CU94" s="77"/>
      <c r="CV94" s="77"/>
      <c r="CW94" s="77"/>
      <c r="CX94" s="77"/>
      <c r="CY94" s="77"/>
      <c r="CZ94" s="77"/>
      <c r="DA94" s="77"/>
      <c r="DB94" s="77"/>
      <c r="DC94" s="77"/>
      <c r="DD94" s="77"/>
      <c r="DE94" s="77"/>
      <c r="DF94" s="77"/>
      <c r="DG94" s="77"/>
      <c r="DH94" s="77"/>
      <c r="DI94" s="77"/>
      <c r="DJ94" s="77"/>
      <c r="DK94" s="77"/>
      <c r="DL94" s="77"/>
      <c r="DM94" s="77"/>
      <c r="DN94" s="77"/>
      <c r="DO94" s="77"/>
      <c r="DP94" s="77"/>
      <c r="DQ94" s="77"/>
      <c r="DR94" s="77"/>
      <c r="DS94" s="77"/>
      <c r="DT94" s="77"/>
      <c r="DU94" s="77"/>
      <c r="DV94" s="77"/>
      <c r="DW94" s="77"/>
      <c r="DX94" s="77"/>
      <c r="DY94" s="77"/>
      <c r="DZ94" s="77"/>
      <c r="EA94" s="77"/>
      <c r="EB94" s="77"/>
      <c r="EC94" s="77"/>
      <c r="ED94" s="77"/>
      <c r="EE94" s="77"/>
      <c r="EF94" s="77"/>
      <c r="EG94" s="77"/>
      <c r="EH94" s="77"/>
      <c r="EI94" s="77"/>
      <c r="EJ94" s="77"/>
      <c r="EK94" s="77"/>
      <c r="EL94" s="77"/>
      <c r="EM94" s="77"/>
      <c r="EN94" s="77"/>
      <c r="EO94" s="77"/>
      <c r="EP94" s="77"/>
      <c r="EQ94" s="77"/>
      <c r="ER94" s="77"/>
      <c r="ES94" s="77"/>
      <c r="ET94" s="77"/>
      <c r="EU94" s="77"/>
      <c r="EV94" s="77"/>
      <c r="EW94" s="77"/>
      <c r="EX94" s="77"/>
      <c r="EY94" s="77"/>
      <c r="EZ94" s="77"/>
      <c r="FA94" s="77"/>
      <c r="FB94" s="77"/>
      <c r="FC94" s="77"/>
      <c r="FD94" s="77"/>
      <c r="FE94" s="77"/>
      <c r="FF94" s="77"/>
      <c r="FG94" s="77"/>
      <c r="FH94" s="77"/>
      <c r="FI94" s="77"/>
      <c r="FJ94" s="77"/>
      <c r="FK94" s="77"/>
      <c r="FL94" s="77"/>
      <c r="FM94" s="77"/>
      <c r="FN94" s="77"/>
      <c r="FO94" s="77"/>
      <c r="FP94" s="77"/>
      <c r="FQ94" s="77"/>
      <c r="FR94" s="77"/>
      <c r="FS94" s="77"/>
      <c r="FT94" s="77"/>
      <c r="FU94" s="77"/>
      <c r="FV94" s="77"/>
      <c r="FW94" s="77"/>
      <c r="FX94" s="77"/>
      <c r="FY94" s="77"/>
      <c r="FZ94" s="77"/>
      <c r="GA94" s="77"/>
      <c r="GB94" s="77"/>
      <c r="GC94" s="77"/>
      <c r="GD94" s="77"/>
      <c r="GE94" s="77"/>
      <c r="GF94" s="77"/>
      <c r="GG94" s="77"/>
      <c r="GH94" s="77"/>
      <c r="GI94" s="77"/>
      <c r="GJ94" s="77"/>
      <c r="GK94" s="77"/>
      <c r="GL94" s="77"/>
      <c r="GM94" s="77"/>
      <c r="GN94" s="77"/>
      <c r="GO94" s="77"/>
      <c r="GP94" s="77"/>
      <c r="GQ94" s="77"/>
      <c r="GR94" s="77"/>
      <c r="GS94" s="77"/>
      <c r="GT94" s="77"/>
      <c r="GU94" s="77"/>
      <c r="GV94" s="77"/>
      <c r="GW94" s="77"/>
      <c r="GX94" s="77"/>
      <c r="GY94" s="77"/>
      <c r="GZ94" s="77"/>
      <c r="HA94" s="77"/>
      <c r="HB94" s="77"/>
      <c r="HC94" s="77"/>
      <c r="HD94" s="77"/>
      <c r="HE94" s="77"/>
      <c r="HF94" s="77"/>
      <c r="HG94" s="77"/>
      <c r="HH94" s="77"/>
      <c r="HI94" s="77"/>
      <c r="HJ94" s="77"/>
      <c r="HK94" s="77"/>
      <c r="HL94" s="77"/>
      <c r="HM94" s="77"/>
      <c r="HN94" s="77"/>
      <c r="HO94" s="77"/>
      <c r="HP94" s="77"/>
      <c r="HQ94" s="77"/>
    </row>
    <row r="95" spans="1:225" hidden="1" x14ac:dyDescent="0.3">
      <c r="A95" s="78">
        <f>'Entrada datos'!C92</f>
        <v>0</v>
      </c>
      <c r="B95" s="74">
        <f>'Entrada datos'!D92</f>
        <v>0</v>
      </c>
      <c r="C95" s="75">
        <f>'Entrada datos'!G92</f>
        <v>0</v>
      </c>
      <c r="D95" s="75">
        <f>'Entrada datos'!H92</f>
        <v>0</v>
      </c>
      <c r="E95" s="74">
        <f t="shared" si="4"/>
        <v>0</v>
      </c>
      <c r="F95" s="68" t="str">
        <f t="shared" si="5"/>
        <v>no procede</v>
      </c>
      <c r="G95" s="74">
        <f>'Entrada datos'!P92</f>
        <v>0</v>
      </c>
      <c r="H95" s="74">
        <f>'Entrada datos'!Q92</f>
        <v>0</v>
      </c>
      <c r="I95" s="74">
        <f>'Entrada datos'!R92</f>
        <v>0</v>
      </c>
      <c r="J95" s="74">
        <f>'Entrada datos'!S92</f>
        <v>0</v>
      </c>
      <c r="K95" s="74">
        <f>'Entrada datos'!T92</f>
        <v>0</v>
      </c>
      <c r="L95" s="74">
        <f>'Entrada datos'!U92</f>
        <v>0</v>
      </c>
      <c r="M95" s="76"/>
      <c r="N95" s="76"/>
      <c r="O95" s="76"/>
      <c r="P95" s="76"/>
      <c r="Q95" s="76"/>
      <c r="R95" s="76"/>
      <c r="S95" s="77" t="s">
        <v>74</v>
      </c>
      <c r="T95" s="77"/>
      <c r="U95" s="77"/>
      <c r="V95" s="77">
        <f t="shared" si="6"/>
        <v>0</v>
      </c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  <c r="AW95" s="77"/>
      <c r="AX95" s="77"/>
      <c r="AY95" s="77"/>
      <c r="AZ95" s="77"/>
      <c r="BA95" s="77"/>
      <c r="BB95" s="77"/>
      <c r="BC95" s="77"/>
      <c r="BD95" s="77"/>
      <c r="BE95" s="77"/>
      <c r="BF95" s="77"/>
      <c r="BG95" s="77"/>
      <c r="BH95" s="77"/>
      <c r="BI95" s="77"/>
      <c r="BJ95" s="77"/>
      <c r="BK95" s="77"/>
      <c r="BL95" s="77"/>
      <c r="BM95" s="77"/>
      <c r="BN95" s="77"/>
      <c r="BO95" s="77"/>
      <c r="BP95" s="77"/>
      <c r="BQ95" s="77"/>
      <c r="BR95" s="77"/>
      <c r="BS95" s="77"/>
      <c r="BT95" s="77"/>
      <c r="BU95" s="77"/>
      <c r="BV95" s="77"/>
      <c r="BW95" s="77"/>
      <c r="BX95" s="77"/>
      <c r="BY95" s="77"/>
      <c r="BZ95" s="77"/>
      <c r="CA95" s="77"/>
      <c r="CB95" s="77"/>
      <c r="CC95" s="77"/>
      <c r="CD95" s="77"/>
      <c r="CE95" s="77"/>
      <c r="CF95" s="77"/>
      <c r="CG95" s="77"/>
      <c r="CH95" s="77"/>
      <c r="CI95" s="77"/>
      <c r="CJ95" s="77"/>
      <c r="CK95" s="77"/>
      <c r="CL95" s="77"/>
      <c r="CM95" s="77"/>
      <c r="CN95" s="77"/>
      <c r="CO95" s="77"/>
      <c r="CP95" s="77"/>
      <c r="CQ95" s="77"/>
      <c r="CR95" s="77"/>
      <c r="CS95" s="77"/>
      <c r="CT95" s="77"/>
      <c r="CU95" s="77"/>
      <c r="CV95" s="77"/>
      <c r="CW95" s="77"/>
      <c r="CX95" s="77"/>
      <c r="CY95" s="77"/>
      <c r="CZ95" s="77"/>
      <c r="DA95" s="77"/>
      <c r="DB95" s="77"/>
      <c r="DC95" s="77"/>
      <c r="DD95" s="77"/>
      <c r="DE95" s="77"/>
      <c r="DF95" s="77"/>
      <c r="DG95" s="77"/>
      <c r="DH95" s="77"/>
      <c r="DI95" s="77"/>
      <c r="DJ95" s="77"/>
      <c r="DK95" s="77"/>
      <c r="DL95" s="77"/>
      <c r="DM95" s="77"/>
      <c r="DN95" s="77"/>
      <c r="DO95" s="77"/>
      <c r="DP95" s="77"/>
      <c r="DQ95" s="77"/>
      <c r="DR95" s="77"/>
      <c r="DS95" s="77"/>
      <c r="DT95" s="77"/>
      <c r="DU95" s="77"/>
      <c r="DV95" s="77"/>
      <c r="DW95" s="77"/>
      <c r="DX95" s="77"/>
      <c r="DY95" s="77"/>
      <c r="DZ95" s="77"/>
      <c r="EA95" s="77"/>
      <c r="EB95" s="77"/>
      <c r="EC95" s="77"/>
      <c r="ED95" s="77"/>
      <c r="EE95" s="77"/>
      <c r="EF95" s="77"/>
      <c r="EG95" s="77"/>
      <c r="EH95" s="77"/>
      <c r="EI95" s="77"/>
      <c r="EJ95" s="77"/>
      <c r="EK95" s="77"/>
      <c r="EL95" s="77"/>
      <c r="EM95" s="77"/>
      <c r="EN95" s="77"/>
      <c r="EO95" s="77"/>
      <c r="EP95" s="77"/>
      <c r="EQ95" s="77"/>
      <c r="ER95" s="77"/>
      <c r="ES95" s="77"/>
      <c r="ET95" s="77"/>
      <c r="EU95" s="77"/>
      <c r="EV95" s="77"/>
      <c r="EW95" s="77"/>
      <c r="EX95" s="77"/>
      <c r="EY95" s="77"/>
      <c r="EZ95" s="77"/>
      <c r="FA95" s="77"/>
      <c r="FB95" s="77"/>
      <c r="FC95" s="77"/>
      <c r="FD95" s="77"/>
      <c r="FE95" s="77"/>
      <c r="FF95" s="77"/>
      <c r="FG95" s="77"/>
      <c r="FH95" s="77"/>
      <c r="FI95" s="77"/>
      <c r="FJ95" s="77"/>
      <c r="FK95" s="77"/>
      <c r="FL95" s="77"/>
      <c r="FM95" s="77"/>
      <c r="FN95" s="77"/>
      <c r="FO95" s="77"/>
      <c r="FP95" s="77"/>
      <c r="FQ95" s="77"/>
      <c r="FR95" s="77"/>
      <c r="FS95" s="77"/>
      <c r="FT95" s="77"/>
      <c r="FU95" s="77"/>
      <c r="FV95" s="77"/>
      <c r="FW95" s="77"/>
      <c r="FX95" s="77"/>
      <c r="FY95" s="77"/>
      <c r="FZ95" s="77"/>
      <c r="GA95" s="77"/>
      <c r="GB95" s="77"/>
      <c r="GC95" s="77"/>
      <c r="GD95" s="77"/>
      <c r="GE95" s="77"/>
      <c r="GF95" s="77"/>
      <c r="GG95" s="77"/>
      <c r="GH95" s="77"/>
      <c r="GI95" s="77"/>
      <c r="GJ95" s="77"/>
      <c r="GK95" s="77"/>
      <c r="GL95" s="77"/>
      <c r="GM95" s="77"/>
      <c r="GN95" s="77"/>
      <c r="GO95" s="77"/>
      <c r="GP95" s="77"/>
      <c r="GQ95" s="77"/>
      <c r="GR95" s="77"/>
      <c r="GS95" s="77"/>
      <c r="GT95" s="77"/>
      <c r="GU95" s="77"/>
      <c r="GV95" s="77"/>
      <c r="GW95" s="77"/>
      <c r="GX95" s="77"/>
      <c r="GY95" s="77"/>
      <c r="GZ95" s="77"/>
      <c r="HA95" s="77"/>
      <c r="HB95" s="77"/>
      <c r="HC95" s="77"/>
      <c r="HD95" s="77"/>
      <c r="HE95" s="77"/>
      <c r="HF95" s="77"/>
      <c r="HG95" s="77"/>
      <c r="HH95" s="77"/>
      <c r="HI95" s="77"/>
      <c r="HJ95" s="77"/>
      <c r="HK95" s="77"/>
      <c r="HL95" s="77"/>
      <c r="HM95" s="77"/>
      <c r="HN95" s="77"/>
      <c r="HO95" s="77"/>
      <c r="HP95" s="77"/>
      <c r="HQ95" s="77"/>
    </row>
    <row r="96" spans="1:225" hidden="1" x14ac:dyDescent="0.3">
      <c r="A96" s="78">
        <f>'Entrada datos'!C93</f>
        <v>0</v>
      </c>
      <c r="B96" s="74">
        <f>'Entrada datos'!D93</f>
        <v>0</v>
      </c>
      <c r="C96" s="75">
        <f>'Entrada datos'!G93</f>
        <v>0</v>
      </c>
      <c r="D96" s="75">
        <f>'Entrada datos'!H93</f>
        <v>0</v>
      </c>
      <c r="E96" s="74">
        <f t="shared" si="4"/>
        <v>0</v>
      </c>
      <c r="F96" s="68" t="str">
        <f t="shared" si="5"/>
        <v>no procede</v>
      </c>
      <c r="G96" s="74">
        <f>'Entrada datos'!P93</f>
        <v>0</v>
      </c>
      <c r="H96" s="74">
        <f>'Entrada datos'!Q93</f>
        <v>0</v>
      </c>
      <c r="I96" s="74">
        <f>'Entrada datos'!R93</f>
        <v>0</v>
      </c>
      <c r="J96" s="74">
        <f>'Entrada datos'!S93</f>
        <v>0</v>
      </c>
      <c r="K96" s="74">
        <f>'Entrada datos'!T93</f>
        <v>0</v>
      </c>
      <c r="L96" s="74">
        <f>'Entrada datos'!U93</f>
        <v>0</v>
      </c>
      <c r="M96" s="76"/>
      <c r="N96" s="76"/>
      <c r="O96" s="76"/>
      <c r="P96" s="76"/>
      <c r="Q96" s="76"/>
      <c r="R96" s="76"/>
      <c r="S96" s="77" t="s">
        <v>74</v>
      </c>
      <c r="T96" s="77"/>
      <c r="U96" s="77"/>
      <c r="V96" s="77">
        <f t="shared" si="6"/>
        <v>0</v>
      </c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  <c r="AW96" s="77"/>
      <c r="AX96" s="77"/>
      <c r="AY96" s="77"/>
      <c r="AZ96" s="77"/>
      <c r="BA96" s="77"/>
      <c r="BB96" s="77"/>
      <c r="BC96" s="77"/>
      <c r="BD96" s="77"/>
      <c r="BE96" s="77"/>
      <c r="BF96" s="77"/>
      <c r="BG96" s="77"/>
      <c r="BH96" s="77"/>
      <c r="BI96" s="77"/>
      <c r="BJ96" s="77"/>
      <c r="BK96" s="77"/>
      <c r="BL96" s="77"/>
      <c r="BM96" s="77"/>
      <c r="BN96" s="77"/>
      <c r="BO96" s="77"/>
      <c r="BP96" s="77"/>
      <c r="BQ96" s="77"/>
      <c r="BR96" s="77"/>
      <c r="BS96" s="77"/>
      <c r="BT96" s="77"/>
      <c r="BU96" s="77"/>
      <c r="BV96" s="77"/>
      <c r="BW96" s="77"/>
      <c r="BX96" s="77"/>
      <c r="BY96" s="77"/>
      <c r="BZ96" s="77"/>
      <c r="CA96" s="77"/>
      <c r="CB96" s="77"/>
      <c r="CC96" s="77"/>
      <c r="CD96" s="77"/>
      <c r="CE96" s="77"/>
      <c r="CF96" s="77"/>
      <c r="CG96" s="77"/>
      <c r="CH96" s="77"/>
      <c r="CI96" s="77"/>
      <c r="CJ96" s="77"/>
      <c r="CK96" s="77"/>
      <c r="CL96" s="77"/>
      <c r="CM96" s="77"/>
      <c r="CN96" s="77"/>
      <c r="CO96" s="77"/>
      <c r="CP96" s="77"/>
      <c r="CQ96" s="77"/>
      <c r="CR96" s="77"/>
      <c r="CS96" s="77"/>
      <c r="CT96" s="77"/>
      <c r="CU96" s="77"/>
      <c r="CV96" s="77"/>
      <c r="CW96" s="77"/>
      <c r="CX96" s="77"/>
      <c r="CY96" s="77"/>
      <c r="CZ96" s="77"/>
      <c r="DA96" s="77"/>
      <c r="DB96" s="77"/>
      <c r="DC96" s="77"/>
      <c r="DD96" s="77"/>
      <c r="DE96" s="77"/>
      <c r="DF96" s="77"/>
      <c r="DG96" s="77"/>
      <c r="DH96" s="77"/>
      <c r="DI96" s="77"/>
      <c r="DJ96" s="77"/>
      <c r="DK96" s="77"/>
      <c r="DL96" s="77"/>
      <c r="DM96" s="77"/>
      <c r="DN96" s="77"/>
      <c r="DO96" s="77"/>
      <c r="DP96" s="77"/>
      <c r="DQ96" s="77"/>
      <c r="DR96" s="77"/>
      <c r="DS96" s="77"/>
      <c r="DT96" s="77"/>
      <c r="DU96" s="77"/>
      <c r="DV96" s="77"/>
      <c r="DW96" s="77"/>
      <c r="DX96" s="77"/>
      <c r="DY96" s="77"/>
      <c r="DZ96" s="77"/>
      <c r="EA96" s="77"/>
      <c r="EB96" s="77"/>
      <c r="EC96" s="77"/>
      <c r="ED96" s="77"/>
      <c r="EE96" s="77"/>
      <c r="EF96" s="77"/>
      <c r="EG96" s="77"/>
      <c r="EH96" s="77"/>
      <c r="EI96" s="77"/>
      <c r="EJ96" s="77"/>
      <c r="EK96" s="77"/>
      <c r="EL96" s="77"/>
      <c r="EM96" s="77"/>
      <c r="EN96" s="77"/>
      <c r="EO96" s="77"/>
      <c r="EP96" s="77"/>
      <c r="EQ96" s="77"/>
      <c r="ER96" s="77"/>
      <c r="ES96" s="77"/>
      <c r="ET96" s="77"/>
      <c r="EU96" s="77"/>
      <c r="EV96" s="77"/>
      <c r="EW96" s="77"/>
      <c r="EX96" s="77"/>
      <c r="EY96" s="77"/>
      <c r="EZ96" s="77"/>
      <c r="FA96" s="77"/>
      <c r="FB96" s="77"/>
      <c r="FC96" s="77"/>
      <c r="FD96" s="77"/>
      <c r="FE96" s="77"/>
      <c r="FF96" s="77"/>
      <c r="FG96" s="77"/>
      <c r="FH96" s="77"/>
      <c r="FI96" s="77"/>
      <c r="FJ96" s="77"/>
      <c r="FK96" s="77"/>
      <c r="FL96" s="77"/>
      <c r="FM96" s="77"/>
      <c r="FN96" s="77"/>
      <c r="FO96" s="77"/>
      <c r="FP96" s="77"/>
      <c r="FQ96" s="77"/>
      <c r="FR96" s="77"/>
      <c r="FS96" s="77"/>
      <c r="FT96" s="77"/>
      <c r="FU96" s="77"/>
      <c r="FV96" s="77"/>
      <c r="FW96" s="77"/>
      <c r="FX96" s="77"/>
      <c r="FY96" s="77"/>
      <c r="FZ96" s="77"/>
      <c r="GA96" s="77"/>
      <c r="GB96" s="77"/>
      <c r="GC96" s="77"/>
      <c r="GD96" s="77"/>
      <c r="GE96" s="77"/>
      <c r="GF96" s="77"/>
      <c r="GG96" s="77"/>
      <c r="GH96" s="77"/>
      <c r="GI96" s="77"/>
      <c r="GJ96" s="77"/>
      <c r="GK96" s="77"/>
      <c r="GL96" s="77"/>
      <c r="GM96" s="77"/>
      <c r="GN96" s="77"/>
      <c r="GO96" s="77"/>
      <c r="GP96" s="77"/>
      <c r="GQ96" s="77"/>
      <c r="GR96" s="77"/>
      <c r="GS96" s="77"/>
      <c r="GT96" s="77"/>
      <c r="GU96" s="77"/>
      <c r="GV96" s="77"/>
      <c r="GW96" s="77"/>
      <c r="GX96" s="77"/>
      <c r="GY96" s="77"/>
      <c r="GZ96" s="77"/>
      <c r="HA96" s="77"/>
      <c r="HB96" s="77"/>
      <c r="HC96" s="77"/>
      <c r="HD96" s="77"/>
      <c r="HE96" s="77"/>
      <c r="HF96" s="77"/>
      <c r="HG96" s="77"/>
      <c r="HH96" s="77"/>
      <c r="HI96" s="77"/>
      <c r="HJ96" s="77"/>
      <c r="HK96" s="77"/>
      <c r="HL96" s="77"/>
      <c r="HM96" s="77"/>
      <c r="HN96" s="77"/>
      <c r="HO96" s="77"/>
      <c r="HP96" s="77"/>
      <c r="HQ96" s="77"/>
    </row>
    <row r="97" spans="1:225" hidden="1" x14ac:dyDescent="0.3">
      <c r="A97" s="78">
        <f>'Entrada datos'!C94</f>
        <v>0</v>
      </c>
      <c r="B97" s="74">
        <f>'Entrada datos'!D94</f>
        <v>0</v>
      </c>
      <c r="C97" s="75">
        <f>'Entrada datos'!G94</f>
        <v>0</v>
      </c>
      <c r="D97" s="75">
        <f>'Entrada datos'!H94</f>
        <v>0</v>
      </c>
      <c r="E97" s="74">
        <f t="shared" si="4"/>
        <v>0</v>
      </c>
      <c r="F97" s="68" t="str">
        <f t="shared" si="5"/>
        <v>no procede</v>
      </c>
      <c r="G97" s="74">
        <f>'Entrada datos'!P94</f>
        <v>0</v>
      </c>
      <c r="H97" s="74">
        <f>'Entrada datos'!Q94</f>
        <v>0</v>
      </c>
      <c r="I97" s="74">
        <f>'Entrada datos'!R94</f>
        <v>0</v>
      </c>
      <c r="J97" s="74">
        <f>'Entrada datos'!S94</f>
        <v>0</v>
      </c>
      <c r="K97" s="74">
        <f>'Entrada datos'!T94</f>
        <v>0</v>
      </c>
      <c r="L97" s="74">
        <f>'Entrada datos'!U94</f>
        <v>0</v>
      </c>
      <c r="M97" s="76"/>
      <c r="N97" s="76"/>
      <c r="O97" s="76"/>
      <c r="P97" s="76"/>
      <c r="Q97" s="76"/>
      <c r="R97" s="76"/>
      <c r="S97" s="77" t="s">
        <v>74</v>
      </c>
      <c r="T97" s="77"/>
      <c r="U97" s="77"/>
      <c r="V97" s="77">
        <f t="shared" si="6"/>
        <v>0</v>
      </c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  <c r="AO97" s="77"/>
      <c r="AP97" s="77"/>
      <c r="AQ97" s="77"/>
      <c r="AR97" s="77"/>
      <c r="AS97" s="77"/>
      <c r="AT97" s="77"/>
      <c r="AU97" s="77"/>
      <c r="AV97" s="77"/>
      <c r="AW97" s="77"/>
      <c r="AX97" s="77"/>
      <c r="AY97" s="77"/>
      <c r="AZ97" s="77"/>
      <c r="BA97" s="77"/>
      <c r="BB97" s="77"/>
      <c r="BC97" s="77"/>
      <c r="BD97" s="77"/>
      <c r="BE97" s="77"/>
      <c r="BF97" s="77"/>
      <c r="BG97" s="77"/>
      <c r="BH97" s="77"/>
      <c r="BI97" s="77"/>
      <c r="BJ97" s="77"/>
      <c r="BK97" s="77"/>
      <c r="BL97" s="77"/>
      <c r="BM97" s="77"/>
      <c r="BN97" s="77"/>
      <c r="BO97" s="77"/>
      <c r="BP97" s="77"/>
      <c r="BQ97" s="77"/>
      <c r="BR97" s="77"/>
      <c r="BS97" s="77"/>
      <c r="BT97" s="77"/>
      <c r="BU97" s="77"/>
      <c r="BV97" s="77"/>
      <c r="BW97" s="77"/>
      <c r="BX97" s="77"/>
      <c r="BY97" s="77"/>
      <c r="BZ97" s="77"/>
      <c r="CA97" s="77"/>
      <c r="CB97" s="77"/>
      <c r="CC97" s="77"/>
      <c r="CD97" s="77"/>
      <c r="CE97" s="77"/>
      <c r="CF97" s="77"/>
      <c r="CG97" s="77"/>
      <c r="CH97" s="77"/>
      <c r="CI97" s="77"/>
      <c r="CJ97" s="77"/>
      <c r="CK97" s="77"/>
      <c r="CL97" s="77"/>
      <c r="CM97" s="77"/>
      <c r="CN97" s="77"/>
      <c r="CO97" s="77"/>
      <c r="CP97" s="77"/>
      <c r="CQ97" s="77"/>
      <c r="CR97" s="77"/>
      <c r="CS97" s="77"/>
      <c r="CT97" s="77"/>
      <c r="CU97" s="77"/>
      <c r="CV97" s="77"/>
      <c r="CW97" s="77"/>
      <c r="CX97" s="77"/>
      <c r="CY97" s="77"/>
      <c r="CZ97" s="77"/>
      <c r="DA97" s="77"/>
      <c r="DB97" s="77"/>
      <c r="DC97" s="77"/>
      <c r="DD97" s="77"/>
      <c r="DE97" s="77"/>
      <c r="DF97" s="77"/>
      <c r="DG97" s="77"/>
      <c r="DH97" s="77"/>
      <c r="DI97" s="77"/>
      <c r="DJ97" s="77"/>
      <c r="DK97" s="77"/>
      <c r="DL97" s="77"/>
      <c r="DM97" s="77"/>
      <c r="DN97" s="77"/>
      <c r="DO97" s="77"/>
      <c r="DP97" s="77"/>
      <c r="DQ97" s="77"/>
      <c r="DR97" s="77"/>
      <c r="DS97" s="77"/>
      <c r="DT97" s="77"/>
      <c r="DU97" s="77"/>
      <c r="DV97" s="77"/>
      <c r="DW97" s="77"/>
      <c r="DX97" s="77"/>
      <c r="DY97" s="77"/>
      <c r="DZ97" s="77"/>
      <c r="EA97" s="77"/>
      <c r="EB97" s="77"/>
      <c r="EC97" s="77"/>
      <c r="ED97" s="77"/>
      <c r="EE97" s="77"/>
      <c r="EF97" s="77"/>
      <c r="EG97" s="77"/>
      <c r="EH97" s="77"/>
      <c r="EI97" s="77"/>
      <c r="EJ97" s="77"/>
      <c r="EK97" s="77"/>
      <c r="EL97" s="77"/>
      <c r="EM97" s="77"/>
      <c r="EN97" s="77"/>
      <c r="EO97" s="77"/>
      <c r="EP97" s="77"/>
      <c r="EQ97" s="77"/>
      <c r="ER97" s="77"/>
      <c r="ES97" s="77"/>
      <c r="ET97" s="77"/>
      <c r="EU97" s="77"/>
      <c r="EV97" s="77"/>
      <c r="EW97" s="77"/>
      <c r="EX97" s="77"/>
      <c r="EY97" s="77"/>
      <c r="EZ97" s="77"/>
      <c r="FA97" s="77"/>
      <c r="FB97" s="77"/>
      <c r="FC97" s="77"/>
      <c r="FD97" s="77"/>
      <c r="FE97" s="77"/>
      <c r="FF97" s="77"/>
      <c r="FG97" s="77"/>
      <c r="FH97" s="77"/>
      <c r="FI97" s="77"/>
      <c r="FJ97" s="77"/>
      <c r="FK97" s="77"/>
      <c r="FL97" s="77"/>
      <c r="FM97" s="77"/>
      <c r="FN97" s="77"/>
      <c r="FO97" s="77"/>
      <c r="FP97" s="77"/>
      <c r="FQ97" s="77"/>
      <c r="FR97" s="77"/>
      <c r="FS97" s="77"/>
      <c r="FT97" s="77"/>
      <c r="FU97" s="77"/>
      <c r="FV97" s="77"/>
      <c r="FW97" s="77"/>
      <c r="FX97" s="77"/>
      <c r="FY97" s="77"/>
      <c r="FZ97" s="77"/>
      <c r="GA97" s="77"/>
      <c r="GB97" s="77"/>
      <c r="GC97" s="77"/>
      <c r="GD97" s="77"/>
      <c r="GE97" s="77"/>
      <c r="GF97" s="77"/>
      <c r="GG97" s="77"/>
      <c r="GH97" s="77"/>
      <c r="GI97" s="77"/>
      <c r="GJ97" s="77"/>
      <c r="GK97" s="77"/>
      <c r="GL97" s="77"/>
      <c r="GM97" s="77"/>
      <c r="GN97" s="77"/>
      <c r="GO97" s="77"/>
      <c r="GP97" s="77"/>
      <c r="GQ97" s="77"/>
      <c r="GR97" s="77"/>
      <c r="GS97" s="77"/>
      <c r="GT97" s="77"/>
      <c r="GU97" s="77"/>
      <c r="GV97" s="77"/>
      <c r="GW97" s="77"/>
      <c r="GX97" s="77"/>
      <c r="GY97" s="77"/>
      <c r="GZ97" s="77"/>
      <c r="HA97" s="77"/>
      <c r="HB97" s="77"/>
      <c r="HC97" s="77"/>
      <c r="HD97" s="77"/>
      <c r="HE97" s="77"/>
      <c r="HF97" s="77"/>
      <c r="HG97" s="77"/>
      <c r="HH97" s="77"/>
      <c r="HI97" s="77"/>
      <c r="HJ97" s="77"/>
      <c r="HK97" s="77"/>
      <c r="HL97" s="77"/>
      <c r="HM97" s="77"/>
      <c r="HN97" s="77"/>
      <c r="HO97" s="77"/>
      <c r="HP97" s="77"/>
      <c r="HQ97" s="77"/>
    </row>
    <row r="98" spans="1:225" hidden="1" x14ac:dyDescent="0.3">
      <c r="A98" s="78">
        <f>'Entrada datos'!C95</f>
        <v>0</v>
      </c>
      <c r="B98" s="74">
        <f>'Entrada datos'!D95</f>
        <v>0</v>
      </c>
      <c r="C98" s="75">
        <f>'Entrada datos'!G95</f>
        <v>0</v>
      </c>
      <c r="D98" s="75">
        <f>'Entrada datos'!H95</f>
        <v>0</v>
      </c>
      <c r="E98" s="74">
        <f t="shared" si="4"/>
        <v>0</v>
      </c>
      <c r="F98" s="68" t="str">
        <f t="shared" si="5"/>
        <v>no procede</v>
      </c>
      <c r="G98" s="74">
        <f>'Entrada datos'!P95</f>
        <v>0</v>
      </c>
      <c r="H98" s="74">
        <f>'Entrada datos'!Q95</f>
        <v>0</v>
      </c>
      <c r="I98" s="74">
        <f>'Entrada datos'!R95</f>
        <v>0</v>
      </c>
      <c r="J98" s="74">
        <f>'Entrada datos'!S95</f>
        <v>0</v>
      </c>
      <c r="K98" s="74">
        <f>'Entrada datos'!T95</f>
        <v>0</v>
      </c>
      <c r="L98" s="74">
        <f>'Entrada datos'!U95</f>
        <v>0</v>
      </c>
      <c r="M98" s="76"/>
      <c r="N98" s="76"/>
      <c r="O98" s="76"/>
      <c r="P98" s="76"/>
      <c r="Q98" s="76"/>
      <c r="R98" s="76"/>
      <c r="S98" s="77" t="s">
        <v>74</v>
      </c>
      <c r="T98" s="77"/>
      <c r="U98" s="77"/>
      <c r="V98" s="77">
        <f t="shared" si="6"/>
        <v>0</v>
      </c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C98" s="77"/>
      <c r="BD98" s="77"/>
      <c r="BE98" s="77"/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W98" s="77"/>
      <c r="BX98" s="77"/>
      <c r="BY98" s="77"/>
      <c r="BZ98" s="77"/>
      <c r="CA98" s="77"/>
      <c r="CB98" s="77"/>
      <c r="CC98" s="77"/>
      <c r="CD98" s="77"/>
      <c r="CE98" s="77"/>
      <c r="CF98" s="77"/>
      <c r="CG98" s="77"/>
      <c r="CH98" s="77"/>
      <c r="CI98" s="77"/>
      <c r="CJ98" s="77"/>
      <c r="CK98" s="77"/>
      <c r="CL98" s="77"/>
      <c r="CM98" s="77"/>
      <c r="CN98" s="77"/>
      <c r="CO98" s="77"/>
      <c r="CP98" s="77"/>
      <c r="CQ98" s="77"/>
      <c r="CR98" s="77"/>
      <c r="CS98" s="77"/>
      <c r="CT98" s="77"/>
      <c r="CU98" s="77"/>
      <c r="CV98" s="77"/>
      <c r="CW98" s="77"/>
      <c r="CX98" s="77"/>
      <c r="CY98" s="77"/>
      <c r="CZ98" s="77"/>
      <c r="DA98" s="77"/>
      <c r="DB98" s="77"/>
      <c r="DC98" s="77"/>
      <c r="DD98" s="77"/>
      <c r="DE98" s="77"/>
      <c r="DF98" s="77"/>
      <c r="DG98" s="77"/>
      <c r="DH98" s="77"/>
      <c r="DI98" s="77"/>
      <c r="DJ98" s="77"/>
      <c r="DK98" s="77"/>
      <c r="DL98" s="77"/>
      <c r="DM98" s="77"/>
      <c r="DN98" s="77"/>
      <c r="DO98" s="77"/>
      <c r="DP98" s="77"/>
      <c r="DQ98" s="77"/>
      <c r="DR98" s="77"/>
      <c r="DS98" s="77"/>
      <c r="DT98" s="77"/>
      <c r="DU98" s="77"/>
      <c r="DV98" s="77"/>
      <c r="DW98" s="77"/>
      <c r="DX98" s="77"/>
      <c r="DY98" s="77"/>
      <c r="DZ98" s="77"/>
      <c r="EA98" s="77"/>
      <c r="EB98" s="77"/>
      <c r="EC98" s="77"/>
      <c r="ED98" s="77"/>
      <c r="EE98" s="77"/>
      <c r="EF98" s="77"/>
      <c r="EG98" s="77"/>
      <c r="EH98" s="77"/>
      <c r="EI98" s="77"/>
      <c r="EJ98" s="77"/>
      <c r="EK98" s="77"/>
      <c r="EL98" s="77"/>
      <c r="EM98" s="77"/>
      <c r="EN98" s="77"/>
      <c r="EO98" s="77"/>
      <c r="EP98" s="77"/>
      <c r="EQ98" s="77"/>
      <c r="ER98" s="77"/>
      <c r="ES98" s="77"/>
      <c r="ET98" s="77"/>
      <c r="EU98" s="77"/>
      <c r="EV98" s="77"/>
      <c r="EW98" s="77"/>
      <c r="EX98" s="77"/>
      <c r="EY98" s="77"/>
      <c r="EZ98" s="77"/>
      <c r="FA98" s="77"/>
      <c r="FB98" s="77"/>
      <c r="FC98" s="77"/>
      <c r="FD98" s="77"/>
      <c r="FE98" s="77"/>
      <c r="FF98" s="77"/>
      <c r="FG98" s="77"/>
      <c r="FH98" s="77"/>
      <c r="FI98" s="77"/>
      <c r="FJ98" s="77"/>
      <c r="FK98" s="77"/>
      <c r="FL98" s="77"/>
      <c r="FM98" s="77"/>
      <c r="FN98" s="77"/>
      <c r="FO98" s="77"/>
      <c r="FP98" s="77"/>
      <c r="FQ98" s="77"/>
      <c r="FR98" s="77"/>
      <c r="FS98" s="77"/>
      <c r="FT98" s="77"/>
      <c r="FU98" s="77"/>
      <c r="FV98" s="77"/>
      <c r="FW98" s="77"/>
      <c r="FX98" s="77"/>
      <c r="FY98" s="77"/>
      <c r="FZ98" s="77"/>
      <c r="GA98" s="77"/>
      <c r="GB98" s="77"/>
      <c r="GC98" s="77"/>
      <c r="GD98" s="77"/>
      <c r="GE98" s="77"/>
      <c r="GF98" s="77"/>
      <c r="GG98" s="77"/>
      <c r="GH98" s="77"/>
      <c r="GI98" s="77"/>
      <c r="GJ98" s="77"/>
      <c r="GK98" s="77"/>
      <c r="GL98" s="77"/>
      <c r="GM98" s="77"/>
      <c r="GN98" s="77"/>
      <c r="GO98" s="77"/>
      <c r="GP98" s="77"/>
      <c r="GQ98" s="77"/>
      <c r="GR98" s="77"/>
      <c r="GS98" s="77"/>
      <c r="GT98" s="77"/>
      <c r="GU98" s="77"/>
      <c r="GV98" s="77"/>
      <c r="GW98" s="77"/>
      <c r="GX98" s="77"/>
      <c r="GY98" s="77"/>
      <c r="GZ98" s="77"/>
      <c r="HA98" s="77"/>
      <c r="HB98" s="77"/>
      <c r="HC98" s="77"/>
      <c r="HD98" s="77"/>
      <c r="HE98" s="77"/>
      <c r="HF98" s="77"/>
      <c r="HG98" s="77"/>
      <c r="HH98" s="77"/>
      <c r="HI98" s="77"/>
      <c r="HJ98" s="77"/>
      <c r="HK98" s="77"/>
      <c r="HL98" s="77"/>
      <c r="HM98" s="77"/>
      <c r="HN98" s="77"/>
      <c r="HO98" s="77"/>
      <c r="HP98" s="77"/>
      <c r="HQ98" s="77"/>
    </row>
    <row r="99" spans="1:225" hidden="1" x14ac:dyDescent="0.3">
      <c r="A99" s="78">
        <f>'Entrada datos'!C96</f>
        <v>0</v>
      </c>
      <c r="B99" s="74">
        <f>'Entrada datos'!D96</f>
        <v>0</v>
      </c>
      <c r="C99" s="75">
        <f>'Entrada datos'!G96</f>
        <v>0</v>
      </c>
      <c r="D99" s="75">
        <f>'Entrada datos'!H96</f>
        <v>0</v>
      </c>
      <c r="E99" s="74">
        <f t="shared" si="4"/>
        <v>0</v>
      </c>
      <c r="F99" s="68" t="str">
        <f t="shared" si="5"/>
        <v>no procede</v>
      </c>
      <c r="G99" s="74">
        <f>'Entrada datos'!P96</f>
        <v>0</v>
      </c>
      <c r="H99" s="74">
        <f>'Entrada datos'!Q96</f>
        <v>0</v>
      </c>
      <c r="I99" s="74">
        <f>'Entrada datos'!R96</f>
        <v>0</v>
      </c>
      <c r="J99" s="74">
        <f>'Entrada datos'!S96</f>
        <v>0</v>
      </c>
      <c r="K99" s="74">
        <f>'Entrada datos'!T96</f>
        <v>0</v>
      </c>
      <c r="L99" s="74">
        <f>'Entrada datos'!U96</f>
        <v>0</v>
      </c>
      <c r="M99" s="76"/>
      <c r="N99" s="76"/>
      <c r="O99" s="76"/>
      <c r="P99" s="76"/>
      <c r="Q99" s="76"/>
      <c r="R99" s="76"/>
      <c r="S99" s="77" t="s">
        <v>74</v>
      </c>
      <c r="T99" s="77"/>
      <c r="U99" s="77"/>
      <c r="V99" s="77">
        <f t="shared" si="6"/>
        <v>0</v>
      </c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  <c r="AO99" s="77"/>
      <c r="AP99" s="77"/>
      <c r="AQ99" s="77"/>
      <c r="AR99" s="77"/>
      <c r="AS99" s="77"/>
      <c r="AT99" s="77"/>
      <c r="AU99" s="77"/>
      <c r="AV99" s="77"/>
      <c r="AW99" s="77"/>
      <c r="AX99" s="77"/>
      <c r="AY99" s="77"/>
      <c r="AZ99" s="77"/>
      <c r="BA99" s="77"/>
      <c r="BB99" s="77"/>
      <c r="BC99" s="77"/>
      <c r="BD99" s="77"/>
      <c r="BE99" s="77"/>
      <c r="BF99" s="77"/>
      <c r="BG99" s="77"/>
      <c r="BH99" s="77"/>
      <c r="BI99" s="77"/>
      <c r="BJ99" s="77"/>
      <c r="BK99" s="77"/>
      <c r="BL99" s="77"/>
      <c r="BM99" s="77"/>
      <c r="BN99" s="77"/>
      <c r="BO99" s="77"/>
      <c r="BP99" s="77"/>
      <c r="BQ99" s="77"/>
      <c r="BR99" s="77"/>
      <c r="BS99" s="77"/>
      <c r="BT99" s="77"/>
      <c r="BU99" s="77"/>
      <c r="BV99" s="77"/>
      <c r="BW99" s="77"/>
      <c r="BX99" s="77"/>
      <c r="BY99" s="77"/>
      <c r="BZ99" s="77"/>
      <c r="CA99" s="77"/>
      <c r="CB99" s="77"/>
      <c r="CC99" s="77"/>
      <c r="CD99" s="77"/>
      <c r="CE99" s="77"/>
      <c r="CF99" s="77"/>
      <c r="CG99" s="77"/>
      <c r="CH99" s="77"/>
      <c r="CI99" s="77"/>
      <c r="CJ99" s="77"/>
      <c r="CK99" s="77"/>
      <c r="CL99" s="77"/>
      <c r="CM99" s="77"/>
      <c r="CN99" s="77"/>
      <c r="CO99" s="77"/>
      <c r="CP99" s="77"/>
      <c r="CQ99" s="77"/>
      <c r="CR99" s="77"/>
      <c r="CS99" s="77"/>
      <c r="CT99" s="77"/>
      <c r="CU99" s="77"/>
      <c r="CV99" s="77"/>
      <c r="CW99" s="77"/>
      <c r="CX99" s="77"/>
      <c r="CY99" s="77"/>
      <c r="CZ99" s="77"/>
      <c r="DA99" s="77"/>
      <c r="DB99" s="77"/>
      <c r="DC99" s="77"/>
      <c r="DD99" s="77"/>
      <c r="DE99" s="77"/>
      <c r="DF99" s="77"/>
      <c r="DG99" s="77"/>
      <c r="DH99" s="77"/>
      <c r="DI99" s="77"/>
      <c r="DJ99" s="77"/>
      <c r="DK99" s="77"/>
      <c r="DL99" s="77"/>
      <c r="DM99" s="77"/>
      <c r="DN99" s="77"/>
      <c r="DO99" s="77"/>
      <c r="DP99" s="77"/>
      <c r="DQ99" s="77"/>
      <c r="DR99" s="77"/>
      <c r="DS99" s="77"/>
      <c r="DT99" s="77"/>
      <c r="DU99" s="77"/>
      <c r="DV99" s="77"/>
      <c r="DW99" s="77"/>
      <c r="DX99" s="77"/>
      <c r="DY99" s="77"/>
      <c r="DZ99" s="77"/>
      <c r="EA99" s="77"/>
      <c r="EB99" s="77"/>
      <c r="EC99" s="77"/>
      <c r="ED99" s="77"/>
      <c r="EE99" s="77"/>
      <c r="EF99" s="77"/>
      <c r="EG99" s="77"/>
      <c r="EH99" s="77"/>
      <c r="EI99" s="77"/>
      <c r="EJ99" s="77"/>
      <c r="EK99" s="77"/>
      <c r="EL99" s="77"/>
      <c r="EM99" s="77"/>
      <c r="EN99" s="77"/>
      <c r="EO99" s="77"/>
      <c r="EP99" s="77"/>
      <c r="EQ99" s="77"/>
      <c r="ER99" s="77"/>
      <c r="ES99" s="77"/>
      <c r="ET99" s="77"/>
      <c r="EU99" s="77"/>
      <c r="EV99" s="77"/>
      <c r="EW99" s="77"/>
      <c r="EX99" s="77"/>
      <c r="EY99" s="77"/>
      <c r="EZ99" s="77"/>
      <c r="FA99" s="77"/>
      <c r="FB99" s="77"/>
      <c r="FC99" s="77"/>
      <c r="FD99" s="77"/>
      <c r="FE99" s="77"/>
      <c r="FF99" s="77"/>
      <c r="FG99" s="77"/>
      <c r="FH99" s="77"/>
      <c r="FI99" s="77"/>
      <c r="FJ99" s="77"/>
      <c r="FK99" s="77"/>
      <c r="FL99" s="77"/>
      <c r="FM99" s="77"/>
      <c r="FN99" s="77"/>
      <c r="FO99" s="77"/>
      <c r="FP99" s="77"/>
      <c r="FQ99" s="77"/>
      <c r="FR99" s="77"/>
      <c r="FS99" s="77"/>
      <c r="FT99" s="77"/>
      <c r="FU99" s="77"/>
      <c r="FV99" s="77"/>
      <c r="FW99" s="77"/>
      <c r="FX99" s="77"/>
      <c r="FY99" s="77"/>
      <c r="FZ99" s="77"/>
      <c r="GA99" s="77"/>
      <c r="GB99" s="77"/>
      <c r="GC99" s="77"/>
      <c r="GD99" s="77"/>
      <c r="GE99" s="77"/>
      <c r="GF99" s="77"/>
      <c r="GG99" s="77"/>
      <c r="GH99" s="77"/>
      <c r="GI99" s="77"/>
      <c r="GJ99" s="77"/>
      <c r="GK99" s="77"/>
      <c r="GL99" s="77"/>
      <c r="GM99" s="77"/>
      <c r="GN99" s="77"/>
      <c r="GO99" s="77"/>
      <c r="GP99" s="77"/>
      <c r="GQ99" s="77"/>
      <c r="GR99" s="77"/>
      <c r="GS99" s="77"/>
      <c r="GT99" s="77"/>
      <c r="GU99" s="77"/>
      <c r="GV99" s="77"/>
      <c r="GW99" s="77"/>
      <c r="GX99" s="77"/>
      <c r="GY99" s="77"/>
      <c r="GZ99" s="77"/>
      <c r="HA99" s="77"/>
      <c r="HB99" s="77"/>
      <c r="HC99" s="77"/>
      <c r="HD99" s="77"/>
      <c r="HE99" s="77"/>
      <c r="HF99" s="77"/>
      <c r="HG99" s="77"/>
      <c r="HH99" s="77"/>
      <c r="HI99" s="77"/>
      <c r="HJ99" s="77"/>
      <c r="HK99" s="77"/>
      <c r="HL99" s="77"/>
      <c r="HM99" s="77"/>
      <c r="HN99" s="77"/>
      <c r="HO99" s="77"/>
      <c r="HP99" s="77"/>
      <c r="HQ99" s="77"/>
    </row>
    <row r="100" spans="1:225" hidden="1" x14ac:dyDescent="0.3">
      <c r="A100" s="78">
        <f>'Entrada datos'!C97</f>
        <v>0</v>
      </c>
      <c r="B100" s="74">
        <f>'Entrada datos'!D97</f>
        <v>0</v>
      </c>
      <c r="C100" s="75">
        <f>'Entrada datos'!G97</f>
        <v>0</v>
      </c>
      <c r="D100" s="75">
        <f>'Entrada datos'!H97</f>
        <v>0</v>
      </c>
      <c r="E100" s="74">
        <f t="shared" si="4"/>
        <v>0</v>
      </c>
      <c r="F100" s="68" t="str">
        <f t="shared" si="5"/>
        <v>no procede</v>
      </c>
      <c r="G100" s="74">
        <f>'Entrada datos'!P97</f>
        <v>0</v>
      </c>
      <c r="H100" s="74">
        <f>'Entrada datos'!Q97</f>
        <v>0</v>
      </c>
      <c r="I100" s="74">
        <f>'Entrada datos'!R97</f>
        <v>0</v>
      </c>
      <c r="J100" s="74">
        <f>'Entrada datos'!S97</f>
        <v>0</v>
      </c>
      <c r="K100" s="74">
        <f>'Entrada datos'!T97</f>
        <v>0</v>
      </c>
      <c r="L100" s="74">
        <f>'Entrada datos'!U97</f>
        <v>0</v>
      </c>
      <c r="M100" s="76"/>
      <c r="N100" s="76"/>
      <c r="O100" s="76"/>
      <c r="P100" s="76"/>
      <c r="Q100" s="76"/>
      <c r="R100" s="76"/>
      <c r="S100" s="77" t="s">
        <v>74</v>
      </c>
      <c r="T100" s="77"/>
      <c r="U100" s="77"/>
      <c r="V100" s="77">
        <f t="shared" si="6"/>
        <v>0</v>
      </c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  <c r="AW100" s="77"/>
      <c r="AX100" s="77"/>
      <c r="AY100" s="77"/>
      <c r="AZ100" s="77"/>
      <c r="BA100" s="77"/>
      <c r="BB100" s="77"/>
      <c r="BC100" s="77"/>
      <c r="BD100" s="77"/>
      <c r="BE100" s="77"/>
      <c r="BF100" s="77"/>
      <c r="BG100" s="77"/>
      <c r="BH100" s="77"/>
      <c r="BI100" s="77"/>
      <c r="BJ100" s="77"/>
      <c r="BK100" s="77"/>
      <c r="BL100" s="77"/>
      <c r="BM100" s="77"/>
      <c r="BN100" s="77"/>
      <c r="BO100" s="77"/>
      <c r="BP100" s="77"/>
      <c r="BQ100" s="77"/>
      <c r="BR100" s="77"/>
      <c r="BS100" s="77"/>
      <c r="BT100" s="77"/>
      <c r="BU100" s="77"/>
      <c r="BV100" s="77"/>
      <c r="BW100" s="77"/>
      <c r="BX100" s="77"/>
      <c r="BY100" s="77"/>
      <c r="BZ100" s="77"/>
      <c r="CA100" s="77"/>
      <c r="CB100" s="77"/>
      <c r="CC100" s="77"/>
      <c r="CD100" s="77"/>
      <c r="CE100" s="77"/>
      <c r="CF100" s="77"/>
      <c r="CG100" s="77"/>
      <c r="CH100" s="77"/>
      <c r="CI100" s="77"/>
      <c r="CJ100" s="77"/>
      <c r="CK100" s="77"/>
      <c r="CL100" s="77"/>
      <c r="CM100" s="77"/>
      <c r="CN100" s="77"/>
      <c r="CO100" s="77"/>
      <c r="CP100" s="77"/>
      <c r="CQ100" s="77"/>
      <c r="CR100" s="77"/>
      <c r="CS100" s="77"/>
      <c r="CT100" s="77"/>
      <c r="CU100" s="77"/>
      <c r="CV100" s="77"/>
      <c r="CW100" s="77"/>
      <c r="CX100" s="77"/>
      <c r="CY100" s="77"/>
      <c r="CZ100" s="77"/>
      <c r="DA100" s="77"/>
      <c r="DB100" s="77"/>
      <c r="DC100" s="77"/>
      <c r="DD100" s="77"/>
      <c r="DE100" s="77"/>
      <c r="DF100" s="77"/>
      <c r="DG100" s="77"/>
      <c r="DH100" s="77"/>
      <c r="DI100" s="77"/>
      <c r="DJ100" s="77"/>
      <c r="DK100" s="77"/>
      <c r="DL100" s="77"/>
      <c r="DM100" s="77"/>
      <c r="DN100" s="77"/>
      <c r="DO100" s="77"/>
      <c r="DP100" s="77"/>
      <c r="DQ100" s="77"/>
      <c r="DR100" s="77"/>
      <c r="DS100" s="77"/>
      <c r="DT100" s="77"/>
      <c r="DU100" s="77"/>
      <c r="DV100" s="77"/>
      <c r="DW100" s="77"/>
      <c r="DX100" s="77"/>
      <c r="DY100" s="77"/>
      <c r="DZ100" s="77"/>
      <c r="EA100" s="77"/>
      <c r="EB100" s="77"/>
      <c r="EC100" s="77"/>
      <c r="ED100" s="77"/>
      <c r="EE100" s="77"/>
      <c r="EF100" s="77"/>
      <c r="EG100" s="77"/>
      <c r="EH100" s="77"/>
      <c r="EI100" s="77"/>
      <c r="EJ100" s="77"/>
      <c r="EK100" s="77"/>
      <c r="EL100" s="77"/>
      <c r="EM100" s="77"/>
      <c r="EN100" s="77"/>
      <c r="EO100" s="77"/>
      <c r="EP100" s="77"/>
      <c r="EQ100" s="77"/>
      <c r="ER100" s="77"/>
      <c r="ES100" s="77"/>
      <c r="ET100" s="77"/>
      <c r="EU100" s="77"/>
      <c r="EV100" s="77"/>
      <c r="EW100" s="77"/>
      <c r="EX100" s="77"/>
      <c r="EY100" s="77"/>
      <c r="EZ100" s="77"/>
      <c r="FA100" s="77"/>
      <c r="FB100" s="77"/>
      <c r="FC100" s="77"/>
      <c r="FD100" s="77"/>
      <c r="FE100" s="77"/>
      <c r="FF100" s="77"/>
      <c r="FG100" s="77"/>
      <c r="FH100" s="77"/>
      <c r="FI100" s="77"/>
      <c r="FJ100" s="77"/>
      <c r="FK100" s="77"/>
      <c r="FL100" s="77"/>
      <c r="FM100" s="77"/>
      <c r="FN100" s="77"/>
      <c r="FO100" s="77"/>
      <c r="FP100" s="77"/>
      <c r="FQ100" s="77"/>
      <c r="FR100" s="77"/>
      <c r="FS100" s="77"/>
      <c r="FT100" s="77"/>
      <c r="FU100" s="77"/>
      <c r="FV100" s="77"/>
      <c r="FW100" s="77"/>
      <c r="FX100" s="77"/>
      <c r="FY100" s="77"/>
      <c r="FZ100" s="77"/>
      <c r="GA100" s="77"/>
      <c r="GB100" s="77"/>
      <c r="GC100" s="77"/>
      <c r="GD100" s="77"/>
      <c r="GE100" s="77"/>
      <c r="GF100" s="77"/>
      <c r="GG100" s="77"/>
      <c r="GH100" s="77"/>
      <c r="GI100" s="77"/>
      <c r="GJ100" s="77"/>
      <c r="GK100" s="77"/>
      <c r="GL100" s="77"/>
      <c r="GM100" s="77"/>
      <c r="GN100" s="77"/>
      <c r="GO100" s="77"/>
      <c r="GP100" s="77"/>
      <c r="GQ100" s="77"/>
      <c r="GR100" s="77"/>
      <c r="GS100" s="77"/>
      <c r="GT100" s="77"/>
      <c r="GU100" s="77"/>
      <c r="GV100" s="77"/>
      <c r="GW100" s="77"/>
      <c r="GX100" s="77"/>
      <c r="GY100" s="77"/>
      <c r="GZ100" s="77"/>
      <c r="HA100" s="77"/>
      <c r="HB100" s="77"/>
      <c r="HC100" s="77"/>
      <c r="HD100" s="77"/>
      <c r="HE100" s="77"/>
      <c r="HF100" s="77"/>
      <c r="HG100" s="77"/>
      <c r="HH100" s="77"/>
      <c r="HI100" s="77"/>
      <c r="HJ100" s="77"/>
      <c r="HK100" s="77"/>
      <c r="HL100" s="77"/>
      <c r="HM100" s="77"/>
      <c r="HN100" s="77"/>
      <c r="HO100" s="77"/>
      <c r="HP100" s="77"/>
      <c r="HQ100" s="77"/>
    </row>
    <row r="101" spans="1:225" hidden="1" x14ac:dyDescent="0.3">
      <c r="A101" s="78">
        <f>'Entrada datos'!C98</f>
        <v>0</v>
      </c>
      <c r="B101" s="74">
        <f>'Entrada datos'!D98</f>
        <v>0</v>
      </c>
      <c r="C101" s="75">
        <f>'Entrada datos'!G98</f>
        <v>0</v>
      </c>
      <c r="D101" s="75">
        <f>'Entrada datos'!H98</f>
        <v>0</v>
      </c>
      <c r="E101" s="74">
        <f t="shared" si="4"/>
        <v>0</v>
      </c>
      <c r="F101" s="68" t="str">
        <f t="shared" si="5"/>
        <v>no procede</v>
      </c>
      <c r="G101" s="74">
        <f>'Entrada datos'!P98</f>
        <v>0</v>
      </c>
      <c r="H101" s="74">
        <f>'Entrada datos'!Q98</f>
        <v>0</v>
      </c>
      <c r="I101" s="74">
        <f>'Entrada datos'!R98</f>
        <v>0</v>
      </c>
      <c r="J101" s="74">
        <f>'Entrada datos'!S98</f>
        <v>0</v>
      </c>
      <c r="K101" s="74">
        <f>'Entrada datos'!T98</f>
        <v>0</v>
      </c>
      <c r="L101" s="74">
        <f>'Entrada datos'!U98</f>
        <v>0</v>
      </c>
      <c r="M101" s="76"/>
      <c r="N101" s="76"/>
      <c r="O101" s="76"/>
      <c r="P101" s="76"/>
      <c r="Q101" s="76"/>
      <c r="R101" s="76"/>
      <c r="S101" s="77" t="s">
        <v>74</v>
      </c>
      <c r="T101" s="77"/>
      <c r="U101" s="77"/>
      <c r="V101" s="77">
        <f t="shared" si="6"/>
        <v>0</v>
      </c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  <c r="AW101" s="77"/>
      <c r="AX101" s="77"/>
      <c r="AY101" s="77"/>
      <c r="AZ101" s="77"/>
      <c r="BA101" s="77"/>
      <c r="BB101" s="77"/>
      <c r="BC101" s="77"/>
      <c r="BD101" s="77"/>
      <c r="BE101" s="77"/>
      <c r="BF101" s="77"/>
      <c r="BG101" s="77"/>
      <c r="BH101" s="77"/>
      <c r="BI101" s="77"/>
      <c r="BJ101" s="77"/>
      <c r="BK101" s="77"/>
      <c r="BL101" s="77"/>
      <c r="BM101" s="77"/>
      <c r="BN101" s="77"/>
      <c r="BO101" s="77"/>
      <c r="BP101" s="77"/>
      <c r="BQ101" s="77"/>
      <c r="BR101" s="77"/>
      <c r="BS101" s="77"/>
      <c r="BT101" s="77"/>
      <c r="BU101" s="77"/>
      <c r="BV101" s="77"/>
      <c r="BW101" s="77"/>
      <c r="BX101" s="77"/>
      <c r="BY101" s="77"/>
      <c r="BZ101" s="77"/>
      <c r="CA101" s="77"/>
      <c r="CB101" s="77"/>
      <c r="CC101" s="77"/>
      <c r="CD101" s="77"/>
      <c r="CE101" s="77"/>
      <c r="CF101" s="77"/>
      <c r="CG101" s="77"/>
      <c r="CH101" s="77"/>
      <c r="CI101" s="77"/>
      <c r="CJ101" s="77"/>
      <c r="CK101" s="77"/>
      <c r="CL101" s="77"/>
      <c r="CM101" s="77"/>
      <c r="CN101" s="77"/>
      <c r="CO101" s="77"/>
      <c r="CP101" s="77"/>
      <c r="CQ101" s="77"/>
      <c r="CR101" s="77"/>
      <c r="CS101" s="77"/>
      <c r="CT101" s="77"/>
      <c r="CU101" s="77"/>
      <c r="CV101" s="77"/>
      <c r="CW101" s="77"/>
      <c r="CX101" s="77"/>
      <c r="CY101" s="77"/>
      <c r="CZ101" s="77"/>
      <c r="DA101" s="77"/>
      <c r="DB101" s="77"/>
      <c r="DC101" s="77"/>
      <c r="DD101" s="77"/>
      <c r="DE101" s="77"/>
      <c r="DF101" s="77"/>
      <c r="DG101" s="77"/>
      <c r="DH101" s="77"/>
      <c r="DI101" s="77"/>
      <c r="DJ101" s="77"/>
      <c r="DK101" s="77"/>
      <c r="DL101" s="77"/>
      <c r="DM101" s="77"/>
      <c r="DN101" s="77"/>
      <c r="DO101" s="77"/>
      <c r="DP101" s="77"/>
      <c r="DQ101" s="77"/>
      <c r="DR101" s="77"/>
      <c r="DS101" s="77"/>
      <c r="DT101" s="77"/>
      <c r="DU101" s="77"/>
      <c r="DV101" s="77"/>
      <c r="DW101" s="77"/>
      <c r="DX101" s="77"/>
      <c r="DY101" s="77"/>
      <c r="DZ101" s="77"/>
      <c r="EA101" s="77"/>
      <c r="EB101" s="77"/>
      <c r="EC101" s="77"/>
      <c r="ED101" s="77"/>
      <c r="EE101" s="77"/>
      <c r="EF101" s="77"/>
      <c r="EG101" s="77"/>
      <c r="EH101" s="77"/>
      <c r="EI101" s="77"/>
      <c r="EJ101" s="77"/>
      <c r="EK101" s="77"/>
      <c r="EL101" s="77"/>
      <c r="EM101" s="77"/>
      <c r="EN101" s="77"/>
      <c r="EO101" s="77"/>
      <c r="EP101" s="77"/>
      <c r="EQ101" s="77"/>
      <c r="ER101" s="77"/>
      <c r="ES101" s="77"/>
      <c r="ET101" s="77"/>
      <c r="EU101" s="77"/>
      <c r="EV101" s="77"/>
      <c r="EW101" s="77"/>
      <c r="EX101" s="77"/>
      <c r="EY101" s="77"/>
      <c r="EZ101" s="77"/>
      <c r="FA101" s="77"/>
      <c r="FB101" s="77"/>
      <c r="FC101" s="77"/>
      <c r="FD101" s="77"/>
      <c r="FE101" s="77"/>
      <c r="FF101" s="77"/>
      <c r="FG101" s="77"/>
      <c r="FH101" s="77"/>
      <c r="FI101" s="77"/>
      <c r="FJ101" s="77"/>
      <c r="FK101" s="77"/>
      <c r="FL101" s="77"/>
      <c r="FM101" s="77"/>
      <c r="FN101" s="77"/>
      <c r="FO101" s="77"/>
      <c r="FP101" s="77"/>
      <c r="FQ101" s="77"/>
      <c r="FR101" s="77"/>
      <c r="FS101" s="77"/>
      <c r="FT101" s="77"/>
      <c r="FU101" s="77"/>
      <c r="FV101" s="77"/>
      <c r="FW101" s="77"/>
      <c r="FX101" s="77"/>
      <c r="FY101" s="77"/>
      <c r="FZ101" s="77"/>
      <c r="GA101" s="77"/>
      <c r="GB101" s="77"/>
      <c r="GC101" s="77"/>
      <c r="GD101" s="77"/>
      <c r="GE101" s="77"/>
      <c r="GF101" s="77"/>
      <c r="GG101" s="77"/>
      <c r="GH101" s="77"/>
      <c r="GI101" s="77"/>
      <c r="GJ101" s="77"/>
      <c r="GK101" s="77"/>
      <c r="GL101" s="77"/>
      <c r="GM101" s="77"/>
      <c r="GN101" s="77"/>
      <c r="GO101" s="77"/>
      <c r="GP101" s="77"/>
      <c r="GQ101" s="77"/>
      <c r="GR101" s="77"/>
      <c r="GS101" s="77"/>
      <c r="GT101" s="77"/>
      <c r="GU101" s="77"/>
      <c r="GV101" s="77"/>
      <c r="GW101" s="77"/>
      <c r="GX101" s="77"/>
      <c r="GY101" s="77"/>
      <c r="GZ101" s="77"/>
      <c r="HA101" s="77"/>
      <c r="HB101" s="77"/>
      <c r="HC101" s="77"/>
      <c r="HD101" s="77"/>
      <c r="HE101" s="77"/>
      <c r="HF101" s="77"/>
      <c r="HG101" s="77"/>
      <c r="HH101" s="77"/>
      <c r="HI101" s="77"/>
      <c r="HJ101" s="77"/>
      <c r="HK101" s="77"/>
      <c r="HL101" s="77"/>
      <c r="HM101" s="77"/>
      <c r="HN101" s="77"/>
      <c r="HO101" s="77"/>
      <c r="HP101" s="77"/>
      <c r="HQ101" s="77"/>
    </row>
    <row r="102" spans="1:225" hidden="1" x14ac:dyDescent="0.3">
      <c r="A102" s="78">
        <f>'Entrada datos'!C99</f>
        <v>0</v>
      </c>
      <c r="B102" s="74">
        <f>'Entrada datos'!D99</f>
        <v>0</v>
      </c>
      <c r="C102" s="75">
        <f>'Entrada datos'!G99</f>
        <v>0</v>
      </c>
      <c r="D102" s="75">
        <f>'Entrada datos'!H99</f>
        <v>0</v>
      </c>
      <c r="E102" s="74">
        <f t="shared" si="4"/>
        <v>0</v>
      </c>
      <c r="F102" s="68" t="str">
        <f t="shared" si="5"/>
        <v>no procede</v>
      </c>
      <c r="G102" s="74">
        <f>'Entrada datos'!P99</f>
        <v>0</v>
      </c>
      <c r="H102" s="74">
        <f>'Entrada datos'!Q99</f>
        <v>0</v>
      </c>
      <c r="I102" s="74">
        <f>'Entrada datos'!R99</f>
        <v>0</v>
      </c>
      <c r="J102" s="74">
        <f>'Entrada datos'!S99</f>
        <v>0</v>
      </c>
      <c r="K102" s="74">
        <f>'Entrada datos'!T99</f>
        <v>0</v>
      </c>
      <c r="L102" s="74">
        <f>'Entrada datos'!U99</f>
        <v>0</v>
      </c>
      <c r="M102" s="76"/>
      <c r="N102" s="76"/>
      <c r="O102" s="76"/>
      <c r="P102" s="76"/>
      <c r="Q102" s="76"/>
      <c r="R102" s="76"/>
      <c r="S102" s="77" t="s">
        <v>74</v>
      </c>
      <c r="T102" s="77"/>
      <c r="U102" s="77"/>
      <c r="V102" s="77">
        <f t="shared" si="6"/>
        <v>0</v>
      </c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  <c r="AO102" s="77"/>
      <c r="AP102" s="77"/>
      <c r="AQ102" s="77"/>
      <c r="AR102" s="77"/>
      <c r="AS102" s="77"/>
      <c r="AT102" s="77"/>
      <c r="AU102" s="77"/>
      <c r="AV102" s="77"/>
      <c r="AW102" s="77"/>
      <c r="AX102" s="77"/>
      <c r="AY102" s="77"/>
      <c r="AZ102" s="77"/>
      <c r="BA102" s="77"/>
      <c r="BB102" s="77"/>
      <c r="BC102" s="77"/>
      <c r="BD102" s="77"/>
      <c r="BE102" s="77"/>
      <c r="BF102" s="77"/>
      <c r="BG102" s="77"/>
      <c r="BH102" s="77"/>
      <c r="BI102" s="77"/>
      <c r="BJ102" s="77"/>
      <c r="BK102" s="77"/>
      <c r="BL102" s="77"/>
      <c r="BM102" s="77"/>
      <c r="BN102" s="77"/>
      <c r="BO102" s="77"/>
      <c r="BP102" s="77"/>
      <c r="BQ102" s="77"/>
      <c r="BR102" s="77"/>
      <c r="BS102" s="77"/>
      <c r="BT102" s="77"/>
      <c r="BU102" s="77"/>
      <c r="BV102" s="77"/>
      <c r="BW102" s="77"/>
      <c r="BX102" s="77"/>
      <c r="BY102" s="77"/>
      <c r="BZ102" s="77"/>
      <c r="CA102" s="77"/>
      <c r="CB102" s="77"/>
      <c r="CC102" s="77"/>
      <c r="CD102" s="77"/>
      <c r="CE102" s="77"/>
      <c r="CF102" s="77"/>
      <c r="CG102" s="77"/>
      <c r="CH102" s="77"/>
      <c r="CI102" s="77"/>
      <c r="CJ102" s="77"/>
      <c r="CK102" s="77"/>
      <c r="CL102" s="77"/>
      <c r="CM102" s="77"/>
      <c r="CN102" s="77"/>
      <c r="CO102" s="77"/>
      <c r="CP102" s="77"/>
      <c r="CQ102" s="77"/>
      <c r="CR102" s="77"/>
      <c r="CS102" s="77"/>
      <c r="CT102" s="77"/>
      <c r="CU102" s="77"/>
      <c r="CV102" s="77"/>
      <c r="CW102" s="77"/>
      <c r="CX102" s="77"/>
      <c r="CY102" s="77"/>
      <c r="CZ102" s="77"/>
      <c r="DA102" s="77"/>
      <c r="DB102" s="77"/>
      <c r="DC102" s="77"/>
      <c r="DD102" s="77"/>
      <c r="DE102" s="77"/>
      <c r="DF102" s="77"/>
      <c r="DG102" s="77"/>
      <c r="DH102" s="77"/>
      <c r="DI102" s="77"/>
      <c r="DJ102" s="77"/>
      <c r="DK102" s="77"/>
      <c r="DL102" s="77"/>
      <c r="DM102" s="77"/>
      <c r="DN102" s="77"/>
      <c r="DO102" s="77"/>
      <c r="DP102" s="77"/>
      <c r="DQ102" s="77"/>
      <c r="DR102" s="77"/>
      <c r="DS102" s="77"/>
      <c r="DT102" s="77"/>
      <c r="DU102" s="77"/>
      <c r="DV102" s="77"/>
      <c r="DW102" s="77"/>
      <c r="DX102" s="77"/>
      <c r="DY102" s="77"/>
      <c r="DZ102" s="77"/>
      <c r="EA102" s="77"/>
      <c r="EB102" s="77"/>
      <c r="EC102" s="77"/>
      <c r="ED102" s="77"/>
      <c r="EE102" s="77"/>
      <c r="EF102" s="77"/>
      <c r="EG102" s="77"/>
      <c r="EH102" s="77"/>
      <c r="EI102" s="77"/>
      <c r="EJ102" s="77"/>
      <c r="EK102" s="77"/>
      <c r="EL102" s="77"/>
      <c r="EM102" s="77"/>
      <c r="EN102" s="77"/>
      <c r="EO102" s="77"/>
      <c r="EP102" s="77"/>
      <c r="EQ102" s="77"/>
      <c r="ER102" s="77"/>
      <c r="ES102" s="77"/>
      <c r="ET102" s="77"/>
      <c r="EU102" s="77"/>
      <c r="EV102" s="77"/>
      <c r="EW102" s="77"/>
      <c r="EX102" s="77"/>
      <c r="EY102" s="77"/>
      <c r="EZ102" s="77"/>
      <c r="FA102" s="77"/>
      <c r="FB102" s="77"/>
      <c r="FC102" s="77"/>
      <c r="FD102" s="77"/>
      <c r="FE102" s="77"/>
      <c r="FF102" s="77"/>
      <c r="FG102" s="77"/>
      <c r="FH102" s="77"/>
      <c r="FI102" s="77"/>
      <c r="FJ102" s="77"/>
      <c r="FK102" s="77"/>
      <c r="FL102" s="77"/>
      <c r="FM102" s="77"/>
      <c r="FN102" s="77"/>
      <c r="FO102" s="77"/>
      <c r="FP102" s="77"/>
      <c r="FQ102" s="77"/>
      <c r="FR102" s="77"/>
      <c r="FS102" s="77"/>
      <c r="FT102" s="77"/>
      <c r="FU102" s="77"/>
      <c r="FV102" s="77"/>
      <c r="FW102" s="77"/>
      <c r="FX102" s="77"/>
      <c r="FY102" s="77"/>
      <c r="FZ102" s="77"/>
      <c r="GA102" s="77"/>
      <c r="GB102" s="77"/>
      <c r="GC102" s="77"/>
      <c r="GD102" s="77"/>
      <c r="GE102" s="77"/>
      <c r="GF102" s="77"/>
      <c r="GG102" s="77"/>
      <c r="GH102" s="77"/>
      <c r="GI102" s="77"/>
      <c r="GJ102" s="77"/>
      <c r="GK102" s="77"/>
      <c r="GL102" s="77"/>
      <c r="GM102" s="77"/>
      <c r="GN102" s="77"/>
      <c r="GO102" s="77"/>
      <c r="GP102" s="77"/>
      <c r="GQ102" s="77"/>
      <c r="GR102" s="77"/>
      <c r="GS102" s="77"/>
      <c r="GT102" s="77"/>
      <c r="GU102" s="77"/>
      <c r="GV102" s="77"/>
      <c r="GW102" s="77"/>
      <c r="GX102" s="77"/>
      <c r="GY102" s="77"/>
      <c r="GZ102" s="77"/>
      <c r="HA102" s="77"/>
      <c r="HB102" s="77"/>
      <c r="HC102" s="77"/>
      <c r="HD102" s="77"/>
      <c r="HE102" s="77"/>
      <c r="HF102" s="77"/>
      <c r="HG102" s="77"/>
      <c r="HH102" s="77"/>
      <c r="HI102" s="77"/>
      <c r="HJ102" s="77"/>
      <c r="HK102" s="77"/>
      <c r="HL102" s="77"/>
      <c r="HM102" s="77"/>
      <c r="HN102" s="77"/>
      <c r="HO102" s="77"/>
      <c r="HP102" s="77"/>
      <c r="HQ102" s="77"/>
    </row>
    <row r="103" spans="1:225" hidden="1" x14ac:dyDescent="0.3">
      <c r="A103" s="78">
        <f>'Entrada datos'!C100</f>
        <v>0</v>
      </c>
      <c r="B103" s="74">
        <f>'Entrada datos'!D100</f>
        <v>0</v>
      </c>
      <c r="C103" s="75">
        <f>'Entrada datos'!G100</f>
        <v>0</v>
      </c>
      <c r="D103" s="75">
        <f>'Entrada datos'!H100</f>
        <v>0</v>
      </c>
      <c r="E103" s="74">
        <f t="shared" si="4"/>
        <v>0</v>
      </c>
      <c r="F103" s="68" t="str">
        <f t="shared" si="5"/>
        <v>no procede</v>
      </c>
      <c r="G103" s="74">
        <f>'Entrada datos'!P100</f>
        <v>0</v>
      </c>
      <c r="H103" s="74">
        <f>'Entrada datos'!Q100</f>
        <v>0</v>
      </c>
      <c r="I103" s="74">
        <f>'Entrada datos'!R100</f>
        <v>0</v>
      </c>
      <c r="J103" s="74">
        <f>'Entrada datos'!S100</f>
        <v>0</v>
      </c>
      <c r="K103" s="74">
        <f>'Entrada datos'!T100</f>
        <v>0</v>
      </c>
      <c r="L103" s="74">
        <f>'Entrada datos'!U100</f>
        <v>0</v>
      </c>
      <c r="M103" s="76"/>
      <c r="N103" s="76"/>
      <c r="O103" s="76"/>
      <c r="P103" s="76"/>
      <c r="Q103" s="76"/>
      <c r="R103" s="76"/>
      <c r="S103" s="77" t="s">
        <v>74</v>
      </c>
      <c r="T103" s="77"/>
      <c r="U103" s="77"/>
      <c r="V103" s="77">
        <f t="shared" si="6"/>
        <v>0</v>
      </c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  <c r="AO103" s="77"/>
      <c r="AP103" s="77"/>
      <c r="AQ103" s="77"/>
      <c r="AR103" s="77"/>
      <c r="AS103" s="77"/>
      <c r="AT103" s="77"/>
      <c r="AU103" s="77"/>
      <c r="AV103" s="77"/>
      <c r="AW103" s="77"/>
      <c r="AX103" s="77"/>
      <c r="AY103" s="77"/>
      <c r="AZ103" s="77"/>
      <c r="BA103" s="77"/>
      <c r="BB103" s="77"/>
      <c r="BC103" s="77"/>
      <c r="BD103" s="77"/>
      <c r="BE103" s="77"/>
      <c r="BF103" s="77"/>
      <c r="BG103" s="77"/>
      <c r="BH103" s="77"/>
      <c r="BI103" s="77"/>
      <c r="BJ103" s="77"/>
      <c r="BK103" s="77"/>
      <c r="BL103" s="77"/>
      <c r="BM103" s="77"/>
      <c r="BN103" s="77"/>
      <c r="BO103" s="77"/>
      <c r="BP103" s="77"/>
      <c r="BQ103" s="77"/>
      <c r="BR103" s="77"/>
      <c r="BS103" s="77"/>
      <c r="BT103" s="77"/>
      <c r="BU103" s="77"/>
      <c r="BV103" s="77"/>
      <c r="BW103" s="77"/>
      <c r="BX103" s="77"/>
      <c r="BY103" s="77"/>
      <c r="BZ103" s="77"/>
      <c r="CA103" s="77"/>
      <c r="CB103" s="77"/>
      <c r="CC103" s="77"/>
      <c r="CD103" s="77"/>
      <c r="CE103" s="77"/>
      <c r="CF103" s="77"/>
      <c r="CG103" s="77"/>
      <c r="CH103" s="77"/>
      <c r="CI103" s="77"/>
      <c r="CJ103" s="77"/>
      <c r="CK103" s="77"/>
      <c r="CL103" s="77"/>
      <c r="CM103" s="77"/>
      <c r="CN103" s="77"/>
      <c r="CO103" s="77"/>
      <c r="CP103" s="77"/>
      <c r="CQ103" s="77"/>
      <c r="CR103" s="77"/>
      <c r="CS103" s="77"/>
      <c r="CT103" s="77"/>
      <c r="CU103" s="77"/>
      <c r="CV103" s="77"/>
      <c r="CW103" s="77"/>
      <c r="CX103" s="77"/>
      <c r="CY103" s="77"/>
      <c r="CZ103" s="77"/>
      <c r="DA103" s="77"/>
      <c r="DB103" s="77"/>
      <c r="DC103" s="77"/>
      <c r="DD103" s="77"/>
      <c r="DE103" s="77"/>
      <c r="DF103" s="77"/>
      <c r="DG103" s="77"/>
      <c r="DH103" s="77"/>
      <c r="DI103" s="77"/>
      <c r="DJ103" s="77"/>
      <c r="DK103" s="77"/>
      <c r="DL103" s="77"/>
      <c r="DM103" s="77"/>
      <c r="DN103" s="77"/>
      <c r="DO103" s="77"/>
      <c r="DP103" s="77"/>
      <c r="DQ103" s="77"/>
      <c r="DR103" s="77"/>
      <c r="DS103" s="77"/>
      <c r="DT103" s="77"/>
      <c r="DU103" s="77"/>
      <c r="DV103" s="77"/>
      <c r="DW103" s="77"/>
      <c r="DX103" s="77"/>
      <c r="DY103" s="77"/>
      <c r="DZ103" s="77"/>
      <c r="EA103" s="77"/>
      <c r="EB103" s="77"/>
      <c r="EC103" s="77"/>
      <c r="ED103" s="77"/>
      <c r="EE103" s="77"/>
      <c r="EF103" s="77"/>
      <c r="EG103" s="77"/>
      <c r="EH103" s="77"/>
      <c r="EI103" s="77"/>
      <c r="EJ103" s="77"/>
      <c r="EK103" s="77"/>
      <c r="EL103" s="77"/>
      <c r="EM103" s="77"/>
      <c r="EN103" s="77"/>
      <c r="EO103" s="77"/>
      <c r="EP103" s="77"/>
      <c r="EQ103" s="77"/>
      <c r="ER103" s="77"/>
      <c r="ES103" s="77"/>
      <c r="ET103" s="77"/>
      <c r="EU103" s="77"/>
      <c r="EV103" s="77"/>
      <c r="EW103" s="77"/>
      <c r="EX103" s="77"/>
      <c r="EY103" s="77"/>
      <c r="EZ103" s="77"/>
      <c r="FA103" s="77"/>
      <c r="FB103" s="77"/>
      <c r="FC103" s="77"/>
      <c r="FD103" s="77"/>
      <c r="FE103" s="77"/>
      <c r="FF103" s="77"/>
      <c r="FG103" s="77"/>
      <c r="FH103" s="77"/>
      <c r="FI103" s="77"/>
      <c r="FJ103" s="77"/>
      <c r="FK103" s="77"/>
      <c r="FL103" s="77"/>
      <c r="FM103" s="77"/>
      <c r="FN103" s="77"/>
      <c r="FO103" s="77"/>
      <c r="FP103" s="77"/>
      <c r="FQ103" s="77"/>
      <c r="FR103" s="77"/>
      <c r="FS103" s="77"/>
      <c r="FT103" s="77"/>
      <c r="FU103" s="77"/>
      <c r="FV103" s="77"/>
      <c r="FW103" s="77"/>
      <c r="FX103" s="77"/>
      <c r="FY103" s="77"/>
      <c r="FZ103" s="77"/>
      <c r="GA103" s="77"/>
      <c r="GB103" s="77"/>
      <c r="GC103" s="77"/>
      <c r="GD103" s="77"/>
      <c r="GE103" s="77"/>
      <c r="GF103" s="77"/>
      <c r="GG103" s="77"/>
      <c r="GH103" s="77"/>
      <c r="GI103" s="77"/>
      <c r="GJ103" s="77"/>
      <c r="GK103" s="77"/>
      <c r="GL103" s="77"/>
      <c r="GM103" s="77"/>
      <c r="GN103" s="77"/>
      <c r="GO103" s="77"/>
      <c r="GP103" s="77"/>
      <c r="GQ103" s="77"/>
      <c r="GR103" s="77"/>
      <c r="GS103" s="77"/>
      <c r="GT103" s="77"/>
      <c r="GU103" s="77"/>
      <c r="GV103" s="77"/>
      <c r="GW103" s="77"/>
      <c r="GX103" s="77"/>
      <c r="GY103" s="77"/>
      <c r="GZ103" s="77"/>
      <c r="HA103" s="77"/>
      <c r="HB103" s="77"/>
      <c r="HC103" s="77"/>
      <c r="HD103" s="77"/>
      <c r="HE103" s="77"/>
      <c r="HF103" s="77"/>
      <c r="HG103" s="77"/>
      <c r="HH103" s="77"/>
      <c r="HI103" s="77"/>
      <c r="HJ103" s="77"/>
      <c r="HK103" s="77"/>
      <c r="HL103" s="77"/>
      <c r="HM103" s="77"/>
      <c r="HN103" s="77"/>
      <c r="HO103" s="77"/>
      <c r="HP103" s="77"/>
      <c r="HQ103" s="77"/>
    </row>
    <row r="104" spans="1:225" hidden="1" x14ac:dyDescent="0.3">
      <c r="A104" s="78">
        <f>'Entrada datos'!C101</f>
        <v>0</v>
      </c>
      <c r="B104" s="74">
        <f>'Entrada datos'!D101</f>
        <v>0</v>
      </c>
      <c r="C104" s="75">
        <f>'Entrada datos'!G101</f>
        <v>0</v>
      </c>
      <c r="D104" s="75">
        <f>'Entrada datos'!H101</f>
        <v>0</v>
      </c>
      <c r="E104" s="74">
        <f t="shared" si="4"/>
        <v>0</v>
      </c>
      <c r="F104" s="68" t="str">
        <f t="shared" si="5"/>
        <v>no procede</v>
      </c>
      <c r="G104" s="74">
        <f>'Entrada datos'!P101</f>
        <v>0</v>
      </c>
      <c r="H104" s="74">
        <f>'Entrada datos'!Q101</f>
        <v>0</v>
      </c>
      <c r="I104" s="74">
        <f>'Entrada datos'!R101</f>
        <v>0</v>
      </c>
      <c r="J104" s="74">
        <f>'Entrada datos'!S101</f>
        <v>0</v>
      </c>
      <c r="K104" s="74">
        <f>'Entrada datos'!T101</f>
        <v>0</v>
      </c>
      <c r="L104" s="74">
        <f>'Entrada datos'!U101</f>
        <v>0</v>
      </c>
      <c r="M104" s="76"/>
      <c r="N104" s="76"/>
      <c r="O104" s="76"/>
      <c r="P104" s="76"/>
      <c r="Q104" s="76"/>
      <c r="R104" s="76"/>
      <c r="S104" s="77" t="s">
        <v>74</v>
      </c>
      <c r="T104" s="77"/>
      <c r="U104" s="77"/>
      <c r="V104" s="77">
        <f t="shared" si="6"/>
        <v>0</v>
      </c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  <c r="AI104" s="77"/>
      <c r="AJ104" s="77"/>
      <c r="AK104" s="77"/>
      <c r="AL104" s="77"/>
      <c r="AM104" s="77"/>
      <c r="AN104" s="77"/>
      <c r="AO104" s="77"/>
      <c r="AP104" s="77"/>
      <c r="AQ104" s="77"/>
      <c r="AR104" s="77"/>
      <c r="AS104" s="77"/>
      <c r="AT104" s="77"/>
      <c r="AU104" s="77"/>
      <c r="AV104" s="77"/>
      <c r="AW104" s="77"/>
      <c r="AX104" s="77"/>
      <c r="AY104" s="77"/>
      <c r="AZ104" s="77"/>
      <c r="BA104" s="77"/>
      <c r="BB104" s="77"/>
      <c r="BC104" s="77"/>
      <c r="BD104" s="77"/>
      <c r="BE104" s="77"/>
      <c r="BF104" s="77"/>
      <c r="BG104" s="77"/>
      <c r="BH104" s="77"/>
      <c r="BI104" s="77"/>
      <c r="BJ104" s="77"/>
      <c r="BK104" s="77"/>
      <c r="BL104" s="77"/>
      <c r="BM104" s="77"/>
      <c r="BN104" s="77"/>
      <c r="BO104" s="77"/>
      <c r="BP104" s="77"/>
      <c r="BQ104" s="77"/>
      <c r="BR104" s="77"/>
      <c r="BS104" s="77"/>
      <c r="BT104" s="77"/>
      <c r="BU104" s="77"/>
      <c r="BV104" s="77"/>
      <c r="BW104" s="77"/>
      <c r="BX104" s="77"/>
      <c r="BY104" s="77"/>
      <c r="BZ104" s="77"/>
      <c r="CA104" s="77"/>
      <c r="CB104" s="77"/>
      <c r="CC104" s="77"/>
      <c r="CD104" s="77"/>
      <c r="CE104" s="77"/>
      <c r="CF104" s="77"/>
      <c r="CG104" s="77"/>
      <c r="CH104" s="77"/>
      <c r="CI104" s="77"/>
      <c r="CJ104" s="77"/>
      <c r="CK104" s="77"/>
      <c r="CL104" s="77"/>
      <c r="CM104" s="77"/>
      <c r="CN104" s="77"/>
      <c r="CO104" s="77"/>
      <c r="CP104" s="77"/>
      <c r="CQ104" s="77"/>
      <c r="CR104" s="77"/>
      <c r="CS104" s="77"/>
      <c r="CT104" s="77"/>
      <c r="CU104" s="77"/>
      <c r="CV104" s="77"/>
      <c r="CW104" s="77"/>
      <c r="CX104" s="77"/>
      <c r="CY104" s="77"/>
      <c r="CZ104" s="77"/>
      <c r="DA104" s="77"/>
      <c r="DB104" s="77"/>
      <c r="DC104" s="77"/>
      <c r="DD104" s="77"/>
      <c r="DE104" s="77"/>
      <c r="DF104" s="77"/>
      <c r="DG104" s="77"/>
      <c r="DH104" s="77"/>
      <c r="DI104" s="77"/>
      <c r="DJ104" s="77"/>
      <c r="DK104" s="77"/>
      <c r="DL104" s="77"/>
      <c r="DM104" s="77"/>
      <c r="DN104" s="77"/>
      <c r="DO104" s="77"/>
      <c r="DP104" s="77"/>
      <c r="DQ104" s="77"/>
      <c r="DR104" s="77"/>
      <c r="DS104" s="77"/>
      <c r="DT104" s="77"/>
      <c r="DU104" s="77"/>
      <c r="DV104" s="77"/>
      <c r="DW104" s="77"/>
      <c r="DX104" s="77"/>
      <c r="DY104" s="77"/>
      <c r="DZ104" s="77"/>
      <c r="EA104" s="77"/>
      <c r="EB104" s="77"/>
      <c r="EC104" s="77"/>
      <c r="ED104" s="77"/>
      <c r="EE104" s="77"/>
      <c r="EF104" s="77"/>
      <c r="EG104" s="77"/>
      <c r="EH104" s="77"/>
      <c r="EI104" s="77"/>
      <c r="EJ104" s="77"/>
      <c r="EK104" s="77"/>
      <c r="EL104" s="77"/>
      <c r="EM104" s="77"/>
      <c r="EN104" s="77"/>
      <c r="EO104" s="77"/>
      <c r="EP104" s="77"/>
      <c r="EQ104" s="77"/>
      <c r="ER104" s="77"/>
      <c r="ES104" s="77"/>
      <c r="ET104" s="77"/>
      <c r="EU104" s="77"/>
      <c r="EV104" s="77"/>
      <c r="EW104" s="77"/>
      <c r="EX104" s="77"/>
      <c r="EY104" s="77"/>
      <c r="EZ104" s="77"/>
      <c r="FA104" s="77"/>
      <c r="FB104" s="77"/>
      <c r="FC104" s="77"/>
      <c r="FD104" s="77"/>
      <c r="FE104" s="77"/>
      <c r="FF104" s="77"/>
      <c r="FG104" s="77"/>
      <c r="FH104" s="77"/>
      <c r="FI104" s="77"/>
      <c r="FJ104" s="77"/>
      <c r="FK104" s="77"/>
      <c r="FL104" s="77"/>
      <c r="FM104" s="77"/>
      <c r="FN104" s="77"/>
      <c r="FO104" s="77"/>
      <c r="FP104" s="77"/>
      <c r="FQ104" s="77"/>
      <c r="FR104" s="77"/>
      <c r="FS104" s="77"/>
      <c r="FT104" s="77"/>
      <c r="FU104" s="77"/>
      <c r="FV104" s="77"/>
      <c r="FW104" s="77"/>
      <c r="FX104" s="77"/>
      <c r="FY104" s="77"/>
      <c r="FZ104" s="77"/>
      <c r="GA104" s="77"/>
      <c r="GB104" s="77"/>
      <c r="GC104" s="77"/>
      <c r="GD104" s="77"/>
      <c r="GE104" s="77"/>
      <c r="GF104" s="77"/>
      <c r="GG104" s="77"/>
      <c r="GH104" s="77"/>
      <c r="GI104" s="77"/>
      <c r="GJ104" s="77"/>
      <c r="GK104" s="77"/>
      <c r="GL104" s="77"/>
      <c r="GM104" s="77"/>
      <c r="GN104" s="77"/>
      <c r="GO104" s="77"/>
      <c r="GP104" s="77"/>
      <c r="GQ104" s="77"/>
      <c r="GR104" s="77"/>
      <c r="GS104" s="77"/>
      <c r="GT104" s="77"/>
      <c r="GU104" s="77"/>
      <c r="GV104" s="77"/>
      <c r="GW104" s="77"/>
      <c r="GX104" s="77"/>
      <c r="GY104" s="77"/>
      <c r="GZ104" s="77"/>
      <c r="HA104" s="77"/>
      <c r="HB104" s="77"/>
      <c r="HC104" s="77"/>
      <c r="HD104" s="77"/>
      <c r="HE104" s="77"/>
      <c r="HF104" s="77"/>
      <c r="HG104" s="77"/>
      <c r="HH104" s="77"/>
      <c r="HI104" s="77"/>
      <c r="HJ104" s="77"/>
      <c r="HK104" s="77"/>
      <c r="HL104" s="77"/>
      <c r="HM104" s="77"/>
      <c r="HN104" s="77"/>
      <c r="HO104" s="77"/>
      <c r="HP104" s="77"/>
      <c r="HQ104" s="77"/>
    </row>
    <row r="105" spans="1:225" hidden="1" x14ac:dyDescent="0.3">
      <c r="A105" s="78">
        <f>'Entrada datos'!C102</f>
        <v>0</v>
      </c>
      <c r="B105" s="74">
        <f>'Entrada datos'!D102</f>
        <v>0</v>
      </c>
      <c r="C105" s="75">
        <f>'Entrada datos'!G102</f>
        <v>0</v>
      </c>
      <c r="D105" s="75">
        <f>'Entrada datos'!H102</f>
        <v>0</v>
      </c>
      <c r="E105" s="74">
        <f t="shared" si="4"/>
        <v>0</v>
      </c>
      <c r="F105" s="68" t="str">
        <f t="shared" si="5"/>
        <v>no procede</v>
      </c>
      <c r="G105" s="74">
        <f>'Entrada datos'!P102</f>
        <v>0</v>
      </c>
      <c r="H105" s="74">
        <f>'Entrada datos'!Q102</f>
        <v>0</v>
      </c>
      <c r="I105" s="74">
        <f>'Entrada datos'!R102</f>
        <v>0</v>
      </c>
      <c r="J105" s="74">
        <f>'Entrada datos'!S102</f>
        <v>0</v>
      </c>
      <c r="K105" s="74">
        <f>'Entrada datos'!T102</f>
        <v>0</v>
      </c>
      <c r="L105" s="74">
        <f>'Entrada datos'!U102</f>
        <v>0</v>
      </c>
      <c r="M105" s="76"/>
      <c r="N105" s="76"/>
      <c r="O105" s="76"/>
      <c r="P105" s="76"/>
      <c r="Q105" s="76"/>
      <c r="R105" s="76"/>
      <c r="S105" s="77" t="s">
        <v>74</v>
      </c>
      <c r="T105" s="77"/>
      <c r="U105" s="77"/>
      <c r="V105" s="77">
        <f t="shared" si="6"/>
        <v>0</v>
      </c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  <c r="AO105" s="77"/>
      <c r="AP105" s="77"/>
      <c r="AQ105" s="77"/>
      <c r="AR105" s="77"/>
      <c r="AS105" s="77"/>
      <c r="AT105" s="77"/>
      <c r="AU105" s="77"/>
      <c r="AV105" s="77"/>
      <c r="AW105" s="77"/>
      <c r="AX105" s="77"/>
      <c r="AY105" s="77"/>
      <c r="AZ105" s="77"/>
      <c r="BA105" s="77"/>
      <c r="BB105" s="77"/>
      <c r="BC105" s="77"/>
      <c r="BD105" s="77"/>
      <c r="BE105" s="77"/>
      <c r="BF105" s="77"/>
      <c r="BG105" s="77"/>
      <c r="BH105" s="77"/>
      <c r="BI105" s="77"/>
      <c r="BJ105" s="77"/>
      <c r="BK105" s="77"/>
      <c r="BL105" s="77"/>
      <c r="BM105" s="77"/>
      <c r="BN105" s="77"/>
      <c r="BO105" s="77"/>
      <c r="BP105" s="77"/>
      <c r="BQ105" s="77"/>
      <c r="BR105" s="77"/>
      <c r="BS105" s="77"/>
      <c r="BT105" s="77"/>
      <c r="BU105" s="77"/>
      <c r="BV105" s="77"/>
      <c r="BW105" s="77"/>
      <c r="BX105" s="77"/>
      <c r="BY105" s="77"/>
      <c r="BZ105" s="77"/>
      <c r="CA105" s="77"/>
      <c r="CB105" s="77"/>
      <c r="CC105" s="77"/>
      <c r="CD105" s="77"/>
      <c r="CE105" s="77"/>
      <c r="CF105" s="77"/>
      <c r="CG105" s="77"/>
      <c r="CH105" s="77"/>
      <c r="CI105" s="77"/>
      <c r="CJ105" s="77"/>
      <c r="CK105" s="77"/>
      <c r="CL105" s="77"/>
      <c r="CM105" s="77"/>
      <c r="CN105" s="77"/>
      <c r="CO105" s="77"/>
      <c r="CP105" s="77"/>
      <c r="CQ105" s="77"/>
      <c r="CR105" s="77"/>
      <c r="CS105" s="77"/>
      <c r="CT105" s="77"/>
      <c r="CU105" s="77"/>
      <c r="CV105" s="77"/>
      <c r="CW105" s="77"/>
      <c r="CX105" s="77"/>
      <c r="CY105" s="77"/>
      <c r="CZ105" s="77"/>
      <c r="DA105" s="77"/>
      <c r="DB105" s="77"/>
      <c r="DC105" s="77"/>
      <c r="DD105" s="77"/>
      <c r="DE105" s="77"/>
      <c r="DF105" s="77"/>
      <c r="DG105" s="77"/>
      <c r="DH105" s="77"/>
      <c r="DI105" s="77"/>
      <c r="DJ105" s="77"/>
      <c r="DK105" s="77"/>
      <c r="DL105" s="77"/>
      <c r="DM105" s="77"/>
      <c r="DN105" s="77"/>
      <c r="DO105" s="77"/>
      <c r="DP105" s="77"/>
      <c r="DQ105" s="77"/>
      <c r="DR105" s="77"/>
      <c r="DS105" s="77"/>
      <c r="DT105" s="77"/>
      <c r="DU105" s="77"/>
      <c r="DV105" s="77"/>
      <c r="DW105" s="77"/>
      <c r="DX105" s="77"/>
      <c r="DY105" s="77"/>
      <c r="DZ105" s="77"/>
      <c r="EA105" s="77"/>
      <c r="EB105" s="77"/>
      <c r="EC105" s="77"/>
      <c r="ED105" s="77"/>
      <c r="EE105" s="77"/>
      <c r="EF105" s="77"/>
      <c r="EG105" s="77"/>
      <c r="EH105" s="77"/>
      <c r="EI105" s="77"/>
      <c r="EJ105" s="77"/>
      <c r="EK105" s="77"/>
      <c r="EL105" s="77"/>
      <c r="EM105" s="77"/>
      <c r="EN105" s="77"/>
      <c r="EO105" s="77"/>
      <c r="EP105" s="77"/>
      <c r="EQ105" s="77"/>
      <c r="ER105" s="77"/>
      <c r="ES105" s="77"/>
      <c r="ET105" s="77"/>
      <c r="EU105" s="77"/>
      <c r="EV105" s="77"/>
      <c r="EW105" s="77"/>
      <c r="EX105" s="77"/>
      <c r="EY105" s="77"/>
      <c r="EZ105" s="77"/>
      <c r="FA105" s="77"/>
      <c r="FB105" s="77"/>
      <c r="FC105" s="77"/>
      <c r="FD105" s="77"/>
      <c r="FE105" s="77"/>
      <c r="FF105" s="77"/>
      <c r="FG105" s="77"/>
      <c r="FH105" s="77"/>
      <c r="FI105" s="77"/>
      <c r="FJ105" s="77"/>
      <c r="FK105" s="77"/>
      <c r="FL105" s="77"/>
      <c r="FM105" s="77"/>
      <c r="FN105" s="77"/>
      <c r="FO105" s="77"/>
      <c r="FP105" s="77"/>
      <c r="FQ105" s="77"/>
      <c r="FR105" s="77"/>
      <c r="FS105" s="77"/>
      <c r="FT105" s="77"/>
      <c r="FU105" s="77"/>
      <c r="FV105" s="77"/>
      <c r="FW105" s="77"/>
      <c r="FX105" s="77"/>
      <c r="FY105" s="77"/>
      <c r="FZ105" s="77"/>
      <c r="GA105" s="77"/>
      <c r="GB105" s="77"/>
      <c r="GC105" s="77"/>
      <c r="GD105" s="77"/>
      <c r="GE105" s="77"/>
      <c r="GF105" s="77"/>
      <c r="GG105" s="77"/>
      <c r="GH105" s="77"/>
      <c r="GI105" s="77"/>
      <c r="GJ105" s="77"/>
      <c r="GK105" s="77"/>
      <c r="GL105" s="77"/>
      <c r="GM105" s="77"/>
      <c r="GN105" s="77"/>
      <c r="GO105" s="77"/>
      <c r="GP105" s="77"/>
      <c r="GQ105" s="77"/>
      <c r="GR105" s="77"/>
      <c r="GS105" s="77"/>
      <c r="GT105" s="77"/>
      <c r="GU105" s="77"/>
      <c r="GV105" s="77"/>
      <c r="GW105" s="77"/>
      <c r="GX105" s="77"/>
      <c r="GY105" s="77"/>
      <c r="GZ105" s="77"/>
      <c r="HA105" s="77"/>
      <c r="HB105" s="77"/>
      <c r="HC105" s="77"/>
      <c r="HD105" s="77"/>
      <c r="HE105" s="77"/>
      <c r="HF105" s="77"/>
      <c r="HG105" s="77"/>
      <c r="HH105" s="77"/>
      <c r="HI105" s="77"/>
      <c r="HJ105" s="77"/>
      <c r="HK105" s="77"/>
      <c r="HL105" s="77"/>
      <c r="HM105" s="77"/>
      <c r="HN105" s="77"/>
      <c r="HO105" s="77"/>
      <c r="HP105" s="77"/>
      <c r="HQ105" s="77"/>
    </row>
    <row r="106" spans="1:225" hidden="1" x14ac:dyDescent="0.3">
      <c r="A106" s="78">
        <f>'Entrada datos'!C103</f>
        <v>0</v>
      </c>
      <c r="B106" s="74">
        <f>'Entrada datos'!D103</f>
        <v>0</v>
      </c>
      <c r="C106" s="75">
        <f>'Entrada datos'!G103</f>
        <v>0</v>
      </c>
      <c r="D106" s="75">
        <f>'Entrada datos'!H103</f>
        <v>0</v>
      </c>
      <c r="E106" s="74">
        <f t="shared" si="4"/>
        <v>0</v>
      </c>
      <c r="F106" s="68" t="str">
        <f t="shared" si="5"/>
        <v>no procede</v>
      </c>
      <c r="G106" s="74">
        <f>'Entrada datos'!P103</f>
        <v>0</v>
      </c>
      <c r="H106" s="74">
        <f>'Entrada datos'!Q103</f>
        <v>0</v>
      </c>
      <c r="I106" s="74">
        <f>'Entrada datos'!R103</f>
        <v>0</v>
      </c>
      <c r="J106" s="74">
        <f>'Entrada datos'!S103</f>
        <v>0</v>
      </c>
      <c r="K106" s="74">
        <f>'Entrada datos'!T103</f>
        <v>0</v>
      </c>
      <c r="L106" s="74">
        <f>'Entrada datos'!U103</f>
        <v>0</v>
      </c>
      <c r="M106" s="76"/>
      <c r="N106" s="76"/>
      <c r="O106" s="76"/>
      <c r="P106" s="76"/>
      <c r="Q106" s="76"/>
      <c r="R106" s="76"/>
      <c r="S106" s="77" t="s">
        <v>74</v>
      </c>
      <c r="T106" s="77"/>
      <c r="U106" s="77"/>
      <c r="V106" s="77">
        <f t="shared" si="6"/>
        <v>0</v>
      </c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  <c r="AI106" s="77"/>
      <c r="AJ106" s="77"/>
      <c r="AK106" s="77"/>
      <c r="AL106" s="77"/>
      <c r="AM106" s="77"/>
      <c r="AN106" s="77"/>
      <c r="AO106" s="77"/>
      <c r="AP106" s="77"/>
      <c r="AQ106" s="77"/>
      <c r="AR106" s="77"/>
      <c r="AS106" s="77"/>
      <c r="AT106" s="77"/>
      <c r="AU106" s="77"/>
      <c r="AV106" s="77"/>
      <c r="AW106" s="77"/>
      <c r="AX106" s="77"/>
      <c r="AY106" s="77"/>
      <c r="AZ106" s="77"/>
      <c r="BA106" s="77"/>
      <c r="BB106" s="77"/>
      <c r="BC106" s="77"/>
      <c r="BD106" s="77"/>
      <c r="BE106" s="77"/>
      <c r="BF106" s="77"/>
      <c r="BG106" s="77"/>
      <c r="BH106" s="77"/>
      <c r="BI106" s="77"/>
      <c r="BJ106" s="77"/>
      <c r="BK106" s="77"/>
      <c r="BL106" s="77"/>
      <c r="BM106" s="77"/>
      <c r="BN106" s="77"/>
      <c r="BO106" s="77"/>
      <c r="BP106" s="77"/>
      <c r="BQ106" s="77"/>
      <c r="BR106" s="77"/>
      <c r="BS106" s="77"/>
      <c r="BT106" s="77"/>
      <c r="BU106" s="77"/>
      <c r="BV106" s="77"/>
      <c r="BW106" s="77"/>
      <c r="BX106" s="77"/>
      <c r="BY106" s="77"/>
      <c r="BZ106" s="77"/>
      <c r="CA106" s="77"/>
      <c r="CB106" s="77"/>
      <c r="CC106" s="77"/>
      <c r="CD106" s="77"/>
      <c r="CE106" s="77"/>
      <c r="CF106" s="77"/>
      <c r="CG106" s="77"/>
      <c r="CH106" s="77"/>
      <c r="CI106" s="77"/>
      <c r="CJ106" s="77"/>
      <c r="CK106" s="77"/>
      <c r="CL106" s="77"/>
      <c r="CM106" s="77"/>
      <c r="CN106" s="77"/>
      <c r="CO106" s="77"/>
      <c r="CP106" s="77"/>
      <c r="CQ106" s="77"/>
      <c r="CR106" s="77"/>
      <c r="CS106" s="77"/>
      <c r="CT106" s="77"/>
      <c r="CU106" s="77"/>
      <c r="CV106" s="77"/>
      <c r="CW106" s="77"/>
      <c r="CX106" s="77"/>
      <c r="CY106" s="77"/>
      <c r="CZ106" s="77"/>
      <c r="DA106" s="77"/>
      <c r="DB106" s="77"/>
      <c r="DC106" s="77"/>
      <c r="DD106" s="77"/>
      <c r="DE106" s="77"/>
      <c r="DF106" s="77"/>
      <c r="DG106" s="77"/>
      <c r="DH106" s="77"/>
      <c r="DI106" s="77"/>
      <c r="DJ106" s="77"/>
      <c r="DK106" s="77"/>
      <c r="DL106" s="77"/>
      <c r="DM106" s="77"/>
      <c r="DN106" s="77"/>
      <c r="DO106" s="77"/>
      <c r="DP106" s="77"/>
      <c r="DQ106" s="77"/>
      <c r="DR106" s="77"/>
      <c r="DS106" s="77"/>
      <c r="DT106" s="77"/>
      <c r="DU106" s="77"/>
      <c r="DV106" s="77"/>
      <c r="DW106" s="77"/>
      <c r="DX106" s="77"/>
      <c r="DY106" s="77"/>
      <c r="DZ106" s="77"/>
      <c r="EA106" s="77"/>
      <c r="EB106" s="77"/>
      <c r="EC106" s="77"/>
      <c r="ED106" s="77"/>
      <c r="EE106" s="77"/>
      <c r="EF106" s="77"/>
      <c r="EG106" s="77"/>
      <c r="EH106" s="77"/>
      <c r="EI106" s="77"/>
      <c r="EJ106" s="77"/>
      <c r="EK106" s="77"/>
      <c r="EL106" s="77"/>
      <c r="EM106" s="77"/>
      <c r="EN106" s="77"/>
      <c r="EO106" s="77"/>
      <c r="EP106" s="77"/>
      <c r="EQ106" s="77"/>
      <c r="ER106" s="77"/>
      <c r="ES106" s="77"/>
      <c r="ET106" s="77"/>
      <c r="EU106" s="77"/>
      <c r="EV106" s="77"/>
      <c r="EW106" s="77"/>
      <c r="EX106" s="77"/>
      <c r="EY106" s="77"/>
      <c r="EZ106" s="77"/>
      <c r="FA106" s="77"/>
      <c r="FB106" s="77"/>
      <c r="FC106" s="77"/>
      <c r="FD106" s="77"/>
      <c r="FE106" s="77"/>
      <c r="FF106" s="77"/>
      <c r="FG106" s="77"/>
      <c r="FH106" s="77"/>
      <c r="FI106" s="77"/>
      <c r="FJ106" s="77"/>
      <c r="FK106" s="77"/>
      <c r="FL106" s="77"/>
      <c r="FM106" s="77"/>
      <c r="FN106" s="77"/>
      <c r="FO106" s="77"/>
      <c r="FP106" s="77"/>
      <c r="FQ106" s="77"/>
      <c r="FR106" s="77"/>
      <c r="FS106" s="77"/>
      <c r="FT106" s="77"/>
      <c r="FU106" s="77"/>
      <c r="FV106" s="77"/>
      <c r="FW106" s="77"/>
      <c r="FX106" s="77"/>
      <c r="FY106" s="77"/>
      <c r="FZ106" s="77"/>
      <c r="GA106" s="77"/>
      <c r="GB106" s="77"/>
      <c r="GC106" s="77"/>
      <c r="GD106" s="77"/>
      <c r="GE106" s="77"/>
      <c r="GF106" s="77"/>
      <c r="GG106" s="77"/>
      <c r="GH106" s="77"/>
      <c r="GI106" s="77"/>
      <c r="GJ106" s="77"/>
      <c r="GK106" s="77"/>
      <c r="GL106" s="77"/>
      <c r="GM106" s="77"/>
      <c r="GN106" s="77"/>
      <c r="GO106" s="77"/>
      <c r="GP106" s="77"/>
      <c r="GQ106" s="77"/>
      <c r="GR106" s="77"/>
      <c r="GS106" s="77"/>
      <c r="GT106" s="77"/>
      <c r="GU106" s="77"/>
      <c r="GV106" s="77"/>
      <c r="GW106" s="77"/>
      <c r="GX106" s="77"/>
      <c r="GY106" s="77"/>
      <c r="GZ106" s="77"/>
      <c r="HA106" s="77"/>
      <c r="HB106" s="77"/>
      <c r="HC106" s="77"/>
      <c r="HD106" s="77"/>
      <c r="HE106" s="77"/>
      <c r="HF106" s="77"/>
      <c r="HG106" s="77"/>
      <c r="HH106" s="77"/>
      <c r="HI106" s="77"/>
      <c r="HJ106" s="77"/>
      <c r="HK106" s="77"/>
      <c r="HL106" s="77"/>
      <c r="HM106" s="77"/>
      <c r="HN106" s="77"/>
      <c r="HO106" s="77"/>
      <c r="HP106" s="77"/>
      <c r="HQ106" s="77"/>
    </row>
    <row r="107" spans="1:225" hidden="1" x14ac:dyDescent="0.3">
      <c r="A107" s="78">
        <f>'Entrada datos'!C104</f>
        <v>0</v>
      </c>
      <c r="B107" s="74">
        <f>'Entrada datos'!D104</f>
        <v>0</v>
      </c>
      <c r="C107" s="75">
        <f>'Entrada datos'!G104</f>
        <v>0</v>
      </c>
      <c r="D107" s="75">
        <f>'Entrada datos'!H104</f>
        <v>0</v>
      </c>
      <c r="E107" s="74">
        <f t="shared" si="4"/>
        <v>0</v>
      </c>
      <c r="F107" s="68" t="str">
        <f t="shared" si="5"/>
        <v>no procede</v>
      </c>
      <c r="G107" s="74">
        <f>'Entrada datos'!P104</f>
        <v>0</v>
      </c>
      <c r="H107" s="74">
        <f>'Entrada datos'!Q104</f>
        <v>0</v>
      </c>
      <c r="I107" s="74">
        <f>'Entrada datos'!R104</f>
        <v>0</v>
      </c>
      <c r="J107" s="74">
        <f>'Entrada datos'!S104</f>
        <v>0</v>
      </c>
      <c r="K107" s="74">
        <f>'Entrada datos'!T104</f>
        <v>0</v>
      </c>
      <c r="L107" s="74">
        <f>'Entrada datos'!U104</f>
        <v>0</v>
      </c>
      <c r="M107" s="76"/>
      <c r="N107" s="76"/>
      <c r="O107" s="76"/>
      <c r="P107" s="76"/>
      <c r="Q107" s="76"/>
      <c r="R107" s="76"/>
      <c r="S107" s="77" t="s">
        <v>74</v>
      </c>
      <c r="T107" s="77"/>
      <c r="U107" s="77"/>
      <c r="V107" s="77">
        <f t="shared" si="6"/>
        <v>0</v>
      </c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  <c r="AI107" s="77"/>
      <c r="AJ107" s="77"/>
      <c r="AK107" s="77"/>
      <c r="AL107" s="77"/>
      <c r="AM107" s="77"/>
      <c r="AN107" s="77"/>
      <c r="AO107" s="77"/>
      <c r="AP107" s="77"/>
      <c r="AQ107" s="77"/>
      <c r="AR107" s="77"/>
      <c r="AS107" s="77"/>
      <c r="AT107" s="77"/>
      <c r="AU107" s="77"/>
      <c r="AV107" s="77"/>
      <c r="AW107" s="77"/>
      <c r="AX107" s="77"/>
      <c r="AY107" s="77"/>
      <c r="AZ107" s="77"/>
      <c r="BA107" s="77"/>
      <c r="BB107" s="77"/>
      <c r="BC107" s="77"/>
      <c r="BD107" s="77"/>
      <c r="BE107" s="77"/>
      <c r="BF107" s="77"/>
      <c r="BG107" s="77"/>
      <c r="BH107" s="77"/>
      <c r="BI107" s="77"/>
      <c r="BJ107" s="77"/>
      <c r="BK107" s="77"/>
      <c r="BL107" s="77"/>
      <c r="BM107" s="77"/>
      <c r="BN107" s="77"/>
      <c r="BO107" s="77"/>
      <c r="BP107" s="77"/>
      <c r="BQ107" s="77"/>
      <c r="BR107" s="77"/>
      <c r="BS107" s="77"/>
      <c r="BT107" s="77"/>
      <c r="BU107" s="77"/>
      <c r="BV107" s="77"/>
      <c r="BW107" s="77"/>
      <c r="BX107" s="77"/>
      <c r="BY107" s="77"/>
      <c r="BZ107" s="77"/>
      <c r="CA107" s="77"/>
      <c r="CB107" s="77"/>
      <c r="CC107" s="77"/>
      <c r="CD107" s="77"/>
      <c r="CE107" s="77"/>
      <c r="CF107" s="77"/>
      <c r="CG107" s="77"/>
      <c r="CH107" s="77"/>
      <c r="CI107" s="77"/>
      <c r="CJ107" s="77"/>
      <c r="CK107" s="77"/>
      <c r="CL107" s="77"/>
      <c r="CM107" s="77"/>
      <c r="CN107" s="77"/>
      <c r="CO107" s="77"/>
      <c r="CP107" s="77"/>
      <c r="CQ107" s="77"/>
      <c r="CR107" s="77"/>
      <c r="CS107" s="77"/>
      <c r="CT107" s="77"/>
      <c r="CU107" s="77"/>
      <c r="CV107" s="77"/>
      <c r="CW107" s="77"/>
      <c r="CX107" s="77"/>
      <c r="CY107" s="77"/>
      <c r="CZ107" s="77"/>
      <c r="DA107" s="77"/>
      <c r="DB107" s="77"/>
      <c r="DC107" s="77"/>
      <c r="DD107" s="77"/>
      <c r="DE107" s="77"/>
      <c r="DF107" s="77"/>
      <c r="DG107" s="77"/>
      <c r="DH107" s="77"/>
      <c r="DI107" s="77"/>
      <c r="DJ107" s="77"/>
      <c r="DK107" s="77"/>
      <c r="DL107" s="77"/>
      <c r="DM107" s="77"/>
      <c r="DN107" s="77"/>
      <c r="DO107" s="77"/>
      <c r="DP107" s="77"/>
      <c r="DQ107" s="77"/>
      <c r="DR107" s="77"/>
      <c r="DS107" s="77"/>
      <c r="DT107" s="77"/>
      <c r="DU107" s="77"/>
      <c r="DV107" s="77"/>
      <c r="DW107" s="77"/>
      <c r="DX107" s="77"/>
      <c r="DY107" s="77"/>
      <c r="DZ107" s="77"/>
      <c r="EA107" s="77"/>
      <c r="EB107" s="77"/>
      <c r="EC107" s="77"/>
      <c r="ED107" s="77"/>
      <c r="EE107" s="77"/>
      <c r="EF107" s="77"/>
      <c r="EG107" s="77"/>
      <c r="EH107" s="77"/>
      <c r="EI107" s="77"/>
      <c r="EJ107" s="77"/>
      <c r="EK107" s="77"/>
      <c r="EL107" s="77"/>
      <c r="EM107" s="77"/>
      <c r="EN107" s="77"/>
      <c r="EO107" s="77"/>
      <c r="EP107" s="77"/>
      <c r="EQ107" s="77"/>
      <c r="ER107" s="77"/>
      <c r="ES107" s="77"/>
      <c r="ET107" s="77"/>
      <c r="EU107" s="77"/>
      <c r="EV107" s="77"/>
      <c r="EW107" s="77"/>
      <c r="EX107" s="77"/>
      <c r="EY107" s="77"/>
      <c r="EZ107" s="77"/>
      <c r="FA107" s="77"/>
      <c r="FB107" s="77"/>
      <c r="FC107" s="77"/>
      <c r="FD107" s="77"/>
      <c r="FE107" s="77"/>
      <c r="FF107" s="77"/>
      <c r="FG107" s="77"/>
      <c r="FH107" s="77"/>
      <c r="FI107" s="77"/>
      <c r="FJ107" s="77"/>
      <c r="FK107" s="77"/>
      <c r="FL107" s="77"/>
      <c r="FM107" s="77"/>
      <c r="FN107" s="77"/>
      <c r="FO107" s="77"/>
      <c r="FP107" s="77"/>
      <c r="FQ107" s="77"/>
      <c r="FR107" s="77"/>
      <c r="FS107" s="77"/>
      <c r="FT107" s="77"/>
      <c r="FU107" s="77"/>
      <c r="FV107" s="77"/>
      <c r="FW107" s="77"/>
      <c r="FX107" s="77"/>
      <c r="FY107" s="77"/>
      <c r="FZ107" s="77"/>
      <c r="GA107" s="77"/>
      <c r="GB107" s="77"/>
      <c r="GC107" s="77"/>
      <c r="GD107" s="77"/>
      <c r="GE107" s="77"/>
      <c r="GF107" s="77"/>
      <c r="GG107" s="77"/>
      <c r="GH107" s="77"/>
      <c r="GI107" s="77"/>
      <c r="GJ107" s="77"/>
      <c r="GK107" s="77"/>
      <c r="GL107" s="77"/>
      <c r="GM107" s="77"/>
      <c r="GN107" s="77"/>
      <c r="GO107" s="77"/>
      <c r="GP107" s="77"/>
      <c r="GQ107" s="77"/>
      <c r="GR107" s="77"/>
      <c r="GS107" s="77"/>
      <c r="GT107" s="77"/>
      <c r="GU107" s="77"/>
      <c r="GV107" s="77"/>
      <c r="GW107" s="77"/>
      <c r="GX107" s="77"/>
      <c r="GY107" s="77"/>
      <c r="GZ107" s="77"/>
      <c r="HA107" s="77"/>
      <c r="HB107" s="77"/>
      <c r="HC107" s="77"/>
      <c r="HD107" s="77"/>
      <c r="HE107" s="77"/>
      <c r="HF107" s="77"/>
      <c r="HG107" s="77"/>
      <c r="HH107" s="77"/>
      <c r="HI107" s="77"/>
      <c r="HJ107" s="77"/>
      <c r="HK107" s="77"/>
      <c r="HL107" s="77"/>
      <c r="HM107" s="77"/>
      <c r="HN107" s="77"/>
      <c r="HO107" s="77"/>
      <c r="HP107" s="77"/>
      <c r="HQ107" s="77"/>
    </row>
    <row r="108" spans="1:225" hidden="1" x14ac:dyDescent="0.3">
      <c r="A108" s="78">
        <f>'Entrada datos'!C105</f>
        <v>0</v>
      </c>
      <c r="B108" s="74">
        <f>'Entrada datos'!D105</f>
        <v>0</v>
      </c>
      <c r="C108" s="75">
        <f>'Entrada datos'!G105</f>
        <v>0</v>
      </c>
      <c r="D108" s="75">
        <f>'Entrada datos'!H105</f>
        <v>0</v>
      </c>
      <c r="E108" s="74">
        <f t="shared" si="4"/>
        <v>0</v>
      </c>
      <c r="F108" s="68" t="str">
        <f t="shared" si="5"/>
        <v>no procede</v>
      </c>
      <c r="G108" s="74">
        <f>'Entrada datos'!P105</f>
        <v>0</v>
      </c>
      <c r="H108" s="74">
        <f>'Entrada datos'!Q105</f>
        <v>0</v>
      </c>
      <c r="I108" s="74">
        <f>'Entrada datos'!R105</f>
        <v>0</v>
      </c>
      <c r="J108" s="74">
        <f>'Entrada datos'!S105</f>
        <v>0</v>
      </c>
      <c r="K108" s="74">
        <f>'Entrada datos'!T105</f>
        <v>0</v>
      </c>
      <c r="L108" s="74">
        <f>'Entrada datos'!U105</f>
        <v>0</v>
      </c>
      <c r="M108" s="76"/>
      <c r="N108" s="76"/>
      <c r="O108" s="76"/>
      <c r="P108" s="76"/>
      <c r="Q108" s="76"/>
      <c r="R108" s="76"/>
      <c r="S108" s="77" t="s">
        <v>74</v>
      </c>
      <c r="T108" s="77"/>
      <c r="U108" s="77"/>
      <c r="V108" s="77">
        <f t="shared" si="6"/>
        <v>0</v>
      </c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  <c r="AO108" s="77"/>
      <c r="AP108" s="77"/>
      <c r="AQ108" s="77"/>
      <c r="AR108" s="77"/>
      <c r="AS108" s="77"/>
      <c r="AT108" s="77"/>
      <c r="AU108" s="77"/>
      <c r="AV108" s="77"/>
      <c r="AW108" s="77"/>
      <c r="AX108" s="77"/>
      <c r="AY108" s="77"/>
      <c r="AZ108" s="77"/>
      <c r="BA108" s="77"/>
      <c r="BB108" s="77"/>
      <c r="BC108" s="77"/>
      <c r="BD108" s="77"/>
      <c r="BE108" s="77"/>
      <c r="BF108" s="77"/>
      <c r="BG108" s="77"/>
      <c r="BH108" s="77"/>
      <c r="BI108" s="77"/>
      <c r="BJ108" s="77"/>
      <c r="BK108" s="77"/>
      <c r="BL108" s="77"/>
      <c r="BM108" s="77"/>
      <c r="BN108" s="77"/>
      <c r="BO108" s="77"/>
      <c r="BP108" s="77"/>
      <c r="BQ108" s="77"/>
      <c r="BR108" s="77"/>
      <c r="BS108" s="77"/>
      <c r="BT108" s="77"/>
      <c r="BU108" s="77"/>
      <c r="BV108" s="77"/>
      <c r="BW108" s="77"/>
      <c r="BX108" s="77"/>
      <c r="BY108" s="77"/>
      <c r="BZ108" s="77"/>
      <c r="CA108" s="77"/>
      <c r="CB108" s="77"/>
      <c r="CC108" s="77"/>
      <c r="CD108" s="77"/>
      <c r="CE108" s="77"/>
      <c r="CF108" s="77"/>
      <c r="CG108" s="77"/>
      <c r="CH108" s="77"/>
      <c r="CI108" s="77"/>
      <c r="CJ108" s="77"/>
      <c r="CK108" s="77"/>
      <c r="CL108" s="77"/>
      <c r="CM108" s="77"/>
      <c r="CN108" s="77"/>
      <c r="CO108" s="77"/>
      <c r="CP108" s="77"/>
      <c r="CQ108" s="77"/>
      <c r="CR108" s="77"/>
      <c r="CS108" s="77"/>
      <c r="CT108" s="77"/>
      <c r="CU108" s="77"/>
      <c r="CV108" s="77"/>
      <c r="CW108" s="77"/>
      <c r="CX108" s="77"/>
      <c r="CY108" s="77"/>
      <c r="CZ108" s="77"/>
      <c r="DA108" s="77"/>
      <c r="DB108" s="77"/>
      <c r="DC108" s="77"/>
      <c r="DD108" s="77"/>
      <c r="DE108" s="77"/>
      <c r="DF108" s="77"/>
      <c r="DG108" s="77"/>
      <c r="DH108" s="77"/>
      <c r="DI108" s="77"/>
      <c r="DJ108" s="77"/>
      <c r="DK108" s="77"/>
      <c r="DL108" s="77"/>
      <c r="DM108" s="77"/>
      <c r="DN108" s="77"/>
      <c r="DO108" s="77"/>
      <c r="DP108" s="77"/>
      <c r="DQ108" s="77"/>
      <c r="DR108" s="77"/>
      <c r="DS108" s="77"/>
      <c r="DT108" s="77"/>
      <c r="DU108" s="77"/>
      <c r="DV108" s="77"/>
      <c r="DW108" s="77"/>
      <c r="DX108" s="77"/>
      <c r="DY108" s="77"/>
      <c r="DZ108" s="77"/>
      <c r="EA108" s="77"/>
      <c r="EB108" s="77"/>
      <c r="EC108" s="77"/>
      <c r="ED108" s="77"/>
      <c r="EE108" s="77"/>
      <c r="EF108" s="77"/>
      <c r="EG108" s="77"/>
      <c r="EH108" s="77"/>
      <c r="EI108" s="77"/>
      <c r="EJ108" s="77"/>
      <c r="EK108" s="77"/>
      <c r="EL108" s="77"/>
      <c r="EM108" s="77"/>
      <c r="EN108" s="77"/>
      <c r="EO108" s="77"/>
      <c r="EP108" s="77"/>
      <c r="EQ108" s="77"/>
      <c r="ER108" s="77"/>
      <c r="ES108" s="77"/>
      <c r="ET108" s="77"/>
      <c r="EU108" s="77"/>
      <c r="EV108" s="77"/>
      <c r="EW108" s="77"/>
      <c r="EX108" s="77"/>
      <c r="EY108" s="77"/>
      <c r="EZ108" s="77"/>
      <c r="FA108" s="77"/>
      <c r="FB108" s="77"/>
      <c r="FC108" s="77"/>
      <c r="FD108" s="77"/>
      <c r="FE108" s="77"/>
      <c r="FF108" s="77"/>
      <c r="FG108" s="77"/>
      <c r="FH108" s="77"/>
      <c r="FI108" s="77"/>
      <c r="FJ108" s="77"/>
      <c r="FK108" s="77"/>
      <c r="FL108" s="77"/>
      <c r="FM108" s="77"/>
      <c r="FN108" s="77"/>
      <c r="FO108" s="77"/>
      <c r="FP108" s="77"/>
      <c r="FQ108" s="77"/>
      <c r="FR108" s="77"/>
      <c r="FS108" s="77"/>
      <c r="FT108" s="77"/>
      <c r="FU108" s="77"/>
      <c r="FV108" s="77"/>
      <c r="FW108" s="77"/>
      <c r="FX108" s="77"/>
      <c r="FY108" s="77"/>
      <c r="FZ108" s="77"/>
      <c r="GA108" s="77"/>
      <c r="GB108" s="77"/>
      <c r="GC108" s="77"/>
      <c r="GD108" s="77"/>
      <c r="GE108" s="77"/>
      <c r="GF108" s="77"/>
      <c r="GG108" s="77"/>
      <c r="GH108" s="77"/>
      <c r="GI108" s="77"/>
      <c r="GJ108" s="77"/>
      <c r="GK108" s="77"/>
      <c r="GL108" s="77"/>
      <c r="GM108" s="77"/>
      <c r="GN108" s="77"/>
      <c r="GO108" s="77"/>
      <c r="GP108" s="77"/>
      <c r="GQ108" s="77"/>
      <c r="GR108" s="77"/>
      <c r="GS108" s="77"/>
      <c r="GT108" s="77"/>
      <c r="GU108" s="77"/>
      <c r="GV108" s="77"/>
      <c r="GW108" s="77"/>
      <c r="GX108" s="77"/>
      <c r="GY108" s="77"/>
      <c r="GZ108" s="77"/>
      <c r="HA108" s="77"/>
      <c r="HB108" s="77"/>
      <c r="HC108" s="77"/>
      <c r="HD108" s="77"/>
      <c r="HE108" s="77"/>
      <c r="HF108" s="77"/>
      <c r="HG108" s="77"/>
      <c r="HH108" s="77"/>
      <c r="HI108" s="77"/>
      <c r="HJ108" s="77"/>
      <c r="HK108" s="77"/>
      <c r="HL108" s="77"/>
      <c r="HM108" s="77"/>
      <c r="HN108" s="77"/>
      <c r="HO108" s="77"/>
      <c r="HP108" s="77"/>
      <c r="HQ108" s="77"/>
    </row>
    <row r="109" spans="1:225" hidden="1" x14ac:dyDescent="0.3">
      <c r="A109" s="78">
        <f>'Entrada datos'!C106</f>
        <v>0</v>
      </c>
      <c r="B109" s="74">
        <f>'Entrada datos'!D106</f>
        <v>0</v>
      </c>
      <c r="C109" s="75">
        <f>'Entrada datos'!G106</f>
        <v>0</v>
      </c>
      <c r="D109" s="75">
        <f>'Entrada datos'!H106</f>
        <v>0</v>
      </c>
      <c r="E109" s="74">
        <f t="shared" si="4"/>
        <v>0</v>
      </c>
      <c r="F109" s="68" t="str">
        <f t="shared" si="5"/>
        <v>no procede</v>
      </c>
      <c r="G109" s="74">
        <f>'Entrada datos'!P106</f>
        <v>0</v>
      </c>
      <c r="H109" s="74">
        <f>'Entrada datos'!Q106</f>
        <v>0</v>
      </c>
      <c r="I109" s="74">
        <f>'Entrada datos'!R106</f>
        <v>0</v>
      </c>
      <c r="J109" s="74">
        <f>'Entrada datos'!S106</f>
        <v>0</v>
      </c>
      <c r="K109" s="74">
        <f>'Entrada datos'!T106</f>
        <v>0</v>
      </c>
      <c r="L109" s="74">
        <f>'Entrada datos'!U106</f>
        <v>0</v>
      </c>
      <c r="M109" s="76"/>
      <c r="N109" s="76"/>
      <c r="O109" s="76"/>
      <c r="P109" s="76"/>
      <c r="Q109" s="76"/>
      <c r="R109" s="76"/>
      <c r="S109" s="77" t="s">
        <v>74</v>
      </c>
      <c r="T109" s="77"/>
      <c r="U109" s="77"/>
      <c r="V109" s="77">
        <f t="shared" si="6"/>
        <v>0</v>
      </c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  <c r="AO109" s="77"/>
      <c r="AP109" s="77"/>
      <c r="AQ109" s="77"/>
      <c r="AR109" s="77"/>
      <c r="AS109" s="77"/>
      <c r="AT109" s="77"/>
      <c r="AU109" s="77"/>
      <c r="AV109" s="77"/>
      <c r="AW109" s="77"/>
      <c r="AX109" s="77"/>
      <c r="AY109" s="77"/>
      <c r="AZ109" s="77"/>
      <c r="BA109" s="77"/>
      <c r="BB109" s="77"/>
      <c r="BC109" s="77"/>
      <c r="BD109" s="77"/>
      <c r="BE109" s="77"/>
      <c r="BF109" s="77"/>
      <c r="BG109" s="77"/>
      <c r="BH109" s="77"/>
      <c r="BI109" s="77"/>
      <c r="BJ109" s="77"/>
      <c r="BK109" s="77"/>
      <c r="BL109" s="77"/>
      <c r="BM109" s="77"/>
      <c r="BN109" s="77"/>
      <c r="BO109" s="77"/>
      <c r="BP109" s="77"/>
      <c r="BQ109" s="77"/>
      <c r="BR109" s="77"/>
      <c r="BS109" s="77"/>
      <c r="BT109" s="77"/>
      <c r="BU109" s="77"/>
      <c r="BV109" s="77"/>
      <c r="BW109" s="77"/>
      <c r="BX109" s="77"/>
      <c r="BY109" s="77"/>
      <c r="BZ109" s="77"/>
      <c r="CA109" s="77"/>
      <c r="CB109" s="77"/>
      <c r="CC109" s="77"/>
      <c r="CD109" s="77"/>
      <c r="CE109" s="77"/>
      <c r="CF109" s="77"/>
      <c r="CG109" s="77"/>
      <c r="CH109" s="77"/>
      <c r="CI109" s="77"/>
      <c r="CJ109" s="77"/>
      <c r="CK109" s="77"/>
      <c r="CL109" s="77"/>
      <c r="CM109" s="77"/>
      <c r="CN109" s="77"/>
      <c r="CO109" s="77"/>
      <c r="CP109" s="77"/>
      <c r="CQ109" s="77"/>
      <c r="CR109" s="77"/>
      <c r="CS109" s="77"/>
      <c r="CT109" s="77"/>
      <c r="CU109" s="77"/>
      <c r="CV109" s="77"/>
      <c r="CW109" s="77"/>
      <c r="CX109" s="77"/>
      <c r="CY109" s="77"/>
      <c r="CZ109" s="77"/>
      <c r="DA109" s="77"/>
      <c r="DB109" s="77"/>
      <c r="DC109" s="77"/>
      <c r="DD109" s="77"/>
      <c r="DE109" s="77"/>
      <c r="DF109" s="77"/>
      <c r="DG109" s="77"/>
      <c r="DH109" s="77"/>
      <c r="DI109" s="77"/>
      <c r="DJ109" s="77"/>
      <c r="DK109" s="77"/>
      <c r="DL109" s="77"/>
      <c r="DM109" s="77"/>
      <c r="DN109" s="77"/>
      <c r="DO109" s="77"/>
      <c r="DP109" s="77"/>
      <c r="DQ109" s="77"/>
      <c r="DR109" s="77"/>
      <c r="DS109" s="77"/>
      <c r="DT109" s="77"/>
      <c r="DU109" s="77"/>
      <c r="DV109" s="77"/>
      <c r="DW109" s="77"/>
      <c r="DX109" s="77"/>
      <c r="DY109" s="77"/>
      <c r="DZ109" s="77"/>
      <c r="EA109" s="77"/>
      <c r="EB109" s="77"/>
      <c r="EC109" s="77"/>
      <c r="ED109" s="77"/>
      <c r="EE109" s="77"/>
      <c r="EF109" s="77"/>
      <c r="EG109" s="77"/>
      <c r="EH109" s="77"/>
      <c r="EI109" s="77"/>
      <c r="EJ109" s="77"/>
      <c r="EK109" s="77"/>
      <c r="EL109" s="77"/>
      <c r="EM109" s="77"/>
      <c r="EN109" s="77"/>
      <c r="EO109" s="77"/>
      <c r="EP109" s="77"/>
      <c r="EQ109" s="77"/>
      <c r="ER109" s="77"/>
      <c r="ES109" s="77"/>
      <c r="ET109" s="77"/>
      <c r="EU109" s="77"/>
      <c r="EV109" s="77"/>
      <c r="EW109" s="77"/>
      <c r="EX109" s="77"/>
      <c r="EY109" s="77"/>
      <c r="EZ109" s="77"/>
      <c r="FA109" s="77"/>
      <c r="FB109" s="77"/>
      <c r="FC109" s="77"/>
      <c r="FD109" s="77"/>
      <c r="FE109" s="77"/>
      <c r="FF109" s="77"/>
      <c r="FG109" s="77"/>
      <c r="FH109" s="77"/>
      <c r="FI109" s="77"/>
      <c r="FJ109" s="77"/>
      <c r="FK109" s="77"/>
      <c r="FL109" s="77"/>
      <c r="FM109" s="77"/>
      <c r="FN109" s="77"/>
      <c r="FO109" s="77"/>
      <c r="FP109" s="77"/>
      <c r="FQ109" s="77"/>
      <c r="FR109" s="77"/>
      <c r="FS109" s="77"/>
      <c r="FT109" s="77"/>
      <c r="FU109" s="77"/>
      <c r="FV109" s="77"/>
      <c r="FW109" s="77"/>
      <c r="FX109" s="77"/>
      <c r="FY109" s="77"/>
      <c r="FZ109" s="77"/>
      <c r="GA109" s="77"/>
      <c r="GB109" s="77"/>
      <c r="GC109" s="77"/>
      <c r="GD109" s="77"/>
      <c r="GE109" s="77"/>
      <c r="GF109" s="77"/>
      <c r="GG109" s="77"/>
      <c r="GH109" s="77"/>
      <c r="GI109" s="77"/>
      <c r="GJ109" s="77"/>
      <c r="GK109" s="77"/>
      <c r="GL109" s="77"/>
      <c r="GM109" s="77"/>
      <c r="GN109" s="77"/>
      <c r="GO109" s="77"/>
      <c r="GP109" s="77"/>
      <c r="GQ109" s="77"/>
      <c r="GR109" s="77"/>
      <c r="GS109" s="77"/>
      <c r="GT109" s="77"/>
      <c r="GU109" s="77"/>
      <c r="GV109" s="77"/>
      <c r="GW109" s="77"/>
      <c r="GX109" s="77"/>
      <c r="GY109" s="77"/>
      <c r="GZ109" s="77"/>
      <c r="HA109" s="77"/>
      <c r="HB109" s="77"/>
      <c r="HC109" s="77"/>
      <c r="HD109" s="77"/>
      <c r="HE109" s="77"/>
      <c r="HF109" s="77"/>
      <c r="HG109" s="77"/>
      <c r="HH109" s="77"/>
      <c r="HI109" s="77"/>
      <c r="HJ109" s="77"/>
      <c r="HK109" s="77"/>
      <c r="HL109" s="77"/>
      <c r="HM109" s="77"/>
      <c r="HN109" s="77"/>
      <c r="HO109" s="77"/>
      <c r="HP109" s="77"/>
      <c r="HQ109" s="77"/>
    </row>
    <row r="110" spans="1:225" hidden="1" x14ac:dyDescent="0.3">
      <c r="A110" s="78">
        <f>'Entrada datos'!C107</f>
        <v>0</v>
      </c>
      <c r="B110" s="74">
        <f>'Entrada datos'!D107</f>
        <v>0</v>
      </c>
      <c r="C110" s="75">
        <f>'Entrada datos'!G107</f>
        <v>0</v>
      </c>
      <c r="D110" s="75">
        <f>'Entrada datos'!H107</f>
        <v>0</v>
      </c>
      <c r="E110" s="74">
        <f t="shared" si="4"/>
        <v>0</v>
      </c>
      <c r="F110" s="68" t="str">
        <f t="shared" si="5"/>
        <v>no procede</v>
      </c>
      <c r="G110" s="74">
        <f>'Entrada datos'!P107</f>
        <v>0</v>
      </c>
      <c r="H110" s="74">
        <f>'Entrada datos'!Q107</f>
        <v>0</v>
      </c>
      <c r="I110" s="74">
        <f>'Entrada datos'!R107</f>
        <v>0</v>
      </c>
      <c r="J110" s="74">
        <f>'Entrada datos'!S107</f>
        <v>0</v>
      </c>
      <c r="K110" s="74">
        <f>'Entrada datos'!T107</f>
        <v>0</v>
      </c>
      <c r="L110" s="74">
        <f>'Entrada datos'!U107</f>
        <v>0</v>
      </c>
      <c r="M110" s="76"/>
      <c r="N110" s="76"/>
      <c r="O110" s="76"/>
      <c r="P110" s="76"/>
      <c r="Q110" s="76"/>
      <c r="R110" s="76"/>
      <c r="S110" s="77" t="s">
        <v>74</v>
      </c>
      <c r="T110" s="77"/>
      <c r="U110" s="77"/>
      <c r="V110" s="77">
        <f t="shared" si="6"/>
        <v>0</v>
      </c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  <c r="AI110" s="77"/>
      <c r="AJ110" s="77"/>
      <c r="AK110" s="77"/>
      <c r="AL110" s="77"/>
      <c r="AM110" s="77"/>
      <c r="AN110" s="77"/>
      <c r="AO110" s="77"/>
      <c r="AP110" s="77"/>
      <c r="AQ110" s="77"/>
      <c r="AR110" s="77"/>
      <c r="AS110" s="77"/>
      <c r="AT110" s="77"/>
      <c r="AU110" s="77"/>
      <c r="AV110" s="77"/>
      <c r="AW110" s="77"/>
      <c r="AX110" s="77"/>
      <c r="AY110" s="77"/>
      <c r="AZ110" s="77"/>
      <c r="BA110" s="77"/>
      <c r="BB110" s="77"/>
      <c r="BC110" s="77"/>
      <c r="BD110" s="77"/>
      <c r="BE110" s="77"/>
      <c r="BF110" s="77"/>
      <c r="BG110" s="77"/>
      <c r="BH110" s="77"/>
      <c r="BI110" s="77"/>
      <c r="BJ110" s="77"/>
      <c r="BK110" s="77"/>
      <c r="BL110" s="77"/>
      <c r="BM110" s="77"/>
      <c r="BN110" s="77"/>
      <c r="BO110" s="77"/>
      <c r="BP110" s="77"/>
      <c r="BQ110" s="77"/>
      <c r="BR110" s="77"/>
      <c r="BS110" s="77"/>
      <c r="BT110" s="77"/>
      <c r="BU110" s="77"/>
      <c r="BV110" s="77"/>
      <c r="BW110" s="77"/>
      <c r="BX110" s="77"/>
      <c r="BY110" s="77"/>
      <c r="BZ110" s="77"/>
      <c r="CA110" s="77"/>
      <c r="CB110" s="77"/>
      <c r="CC110" s="77"/>
      <c r="CD110" s="77"/>
      <c r="CE110" s="77"/>
      <c r="CF110" s="77"/>
      <c r="CG110" s="77"/>
      <c r="CH110" s="77"/>
      <c r="CI110" s="77"/>
      <c r="CJ110" s="77"/>
      <c r="CK110" s="77"/>
      <c r="CL110" s="77"/>
      <c r="CM110" s="77"/>
      <c r="CN110" s="77"/>
      <c r="CO110" s="77"/>
      <c r="CP110" s="77"/>
      <c r="CQ110" s="77"/>
      <c r="CR110" s="77"/>
      <c r="CS110" s="77"/>
      <c r="CT110" s="77"/>
      <c r="CU110" s="77"/>
      <c r="CV110" s="77"/>
      <c r="CW110" s="77"/>
      <c r="CX110" s="77"/>
      <c r="CY110" s="77"/>
      <c r="CZ110" s="77"/>
      <c r="DA110" s="77"/>
      <c r="DB110" s="77"/>
      <c r="DC110" s="77"/>
      <c r="DD110" s="77"/>
      <c r="DE110" s="77"/>
      <c r="DF110" s="77"/>
      <c r="DG110" s="77"/>
      <c r="DH110" s="77"/>
      <c r="DI110" s="77"/>
      <c r="DJ110" s="77"/>
      <c r="DK110" s="77"/>
      <c r="DL110" s="77"/>
      <c r="DM110" s="77"/>
      <c r="DN110" s="77"/>
      <c r="DO110" s="77"/>
      <c r="DP110" s="77"/>
      <c r="DQ110" s="77"/>
      <c r="DR110" s="77"/>
      <c r="DS110" s="77"/>
      <c r="DT110" s="77"/>
      <c r="DU110" s="77"/>
      <c r="DV110" s="77"/>
      <c r="DW110" s="77"/>
      <c r="DX110" s="77"/>
      <c r="DY110" s="77"/>
      <c r="DZ110" s="77"/>
      <c r="EA110" s="77"/>
      <c r="EB110" s="77"/>
      <c r="EC110" s="77"/>
      <c r="ED110" s="77"/>
      <c r="EE110" s="77"/>
      <c r="EF110" s="77"/>
      <c r="EG110" s="77"/>
      <c r="EH110" s="77"/>
      <c r="EI110" s="77"/>
      <c r="EJ110" s="77"/>
      <c r="EK110" s="77"/>
      <c r="EL110" s="77"/>
      <c r="EM110" s="77"/>
      <c r="EN110" s="77"/>
      <c r="EO110" s="77"/>
      <c r="EP110" s="77"/>
      <c r="EQ110" s="77"/>
      <c r="ER110" s="77"/>
      <c r="ES110" s="77"/>
      <c r="ET110" s="77"/>
      <c r="EU110" s="77"/>
      <c r="EV110" s="77"/>
      <c r="EW110" s="77"/>
      <c r="EX110" s="77"/>
      <c r="EY110" s="77"/>
      <c r="EZ110" s="77"/>
      <c r="FA110" s="77"/>
      <c r="FB110" s="77"/>
      <c r="FC110" s="77"/>
      <c r="FD110" s="77"/>
      <c r="FE110" s="77"/>
      <c r="FF110" s="77"/>
      <c r="FG110" s="77"/>
      <c r="FH110" s="77"/>
      <c r="FI110" s="77"/>
      <c r="FJ110" s="77"/>
      <c r="FK110" s="77"/>
      <c r="FL110" s="77"/>
      <c r="FM110" s="77"/>
      <c r="FN110" s="77"/>
      <c r="FO110" s="77"/>
      <c r="FP110" s="77"/>
      <c r="FQ110" s="77"/>
      <c r="FR110" s="77"/>
      <c r="FS110" s="77"/>
      <c r="FT110" s="77"/>
      <c r="FU110" s="77"/>
      <c r="FV110" s="77"/>
      <c r="FW110" s="77"/>
      <c r="FX110" s="77"/>
      <c r="FY110" s="77"/>
      <c r="FZ110" s="77"/>
      <c r="GA110" s="77"/>
      <c r="GB110" s="77"/>
      <c r="GC110" s="77"/>
      <c r="GD110" s="77"/>
      <c r="GE110" s="77"/>
      <c r="GF110" s="77"/>
      <c r="GG110" s="77"/>
      <c r="GH110" s="77"/>
      <c r="GI110" s="77"/>
      <c r="GJ110" s="77"/>
      <c r="GK110" s="77"/>
      <c r="GL110" s="77"/>
      <c r="GM110" s="77"/>
      <c r="GN110" s="77"/>
      <c r="GO110" s="77"/>
      <c r="GP110" s="77"/>
      <c r="GQ110" s="77"/>
      <c r="GR110" s="77"/>
      <c r="GS110" s="77"/>
      <c r="GT110" s="77"/>
      <c r="GU110" s="77"/>
      <c r="GV110" s="77"/>
      <c r="GW110" s="77"/>
      <c r="GX110" s="77"/>
      <c r="GY110" s="77"/>
      <c r="GZ110" s="77"/>
      <c r="HA110" s="77"/>
      <c r="HB110" s="77"/>
      <c r="HC110" s="77"/>
      <c r="HD110" s="77"/>
      <c r="HE110" s="77"/>
      <c r="HF110" s="77"/>
      <c r="HG110" s="77"/>
      <c r="HH110" s="77"/>
      <c r="HI110" s="77"/>
      <c r="HJ110" s="77"/>
      <c r="HK110" s="77"/>
      <c r="HL110" s="77"/>
      <c r="HM110" s="77"/>
      <c r="HN110" s="77"/>
      <c r="HO110" s="77"/>
      <c r="HP110" s="77"/>
      <c r="HQ110" s="77"/>
    </row>
    <row r="111" spans="1:225" hidden="1" x14ac:dyDescent="0.3">
      <c r="A111" s="78">
        <f>'Entrada datos'!C108</f>
        <v>0</v>
      </c>
      <c r="B111" s="74">
        <f>'Entrada datos'!D108</f>
        <v>0</v>
      </c>
      <c r="C111" s="75">
        <f>'Entrada datos'!G108</f>
        <v>0</v>
      </c>
      <c r="D111" s="75">
        <f>'Entrada datos'!H108</f>
        <v>0</v>
      </c>
      <c r="E111" s="74">
        <f t="shared" si="4"/>
        <v>0</v>
      </c>
      <c r="F111" s="68" t="str">
        <f t="shared" si="5"/>
        <v>no procede</v>
      </c>
      <c r="G111" s="74">
        <f>'Entrada datos'!P108</f>
        <v>0</v>
      </c>
      <c r="H111" s="74">
        <f>'Entrada datos'!Q108</f>
        <v>0</v>
      </c>
      <c r="I111" s="74">
        <f>'Entrada datos'!R108</f>
        <v>0</v>
      </c>
      <c r="J111" s="74">
        <f>'Entrada datos'!S108</f>
        <v>0</v>
      </c>
      <c r="K111" s="74">
        <f>'Entrada datos'!T108</f>
        <v>0</v>
      </c>
      <c r="L111" s="74">
        <f>'Entrada datos'!U108</f>
        <v>0</v>
      </c>
      <c r="M111" s="76"/>
      <c r="N111" s="76"/>
      <c r="O111" s="76"/>
      <c r="P111" s="76"/>
      <c r="Q111" s="76"/>
      <c r="R111" s="76"/>
      <c r="S111" s="77" t="s">
        <v>74</v>
      </c>
      <c r="T111" s="77"/>
      <c r="U111" s="77"/>
      <c r="V111" s="77">
        <f t="shared" si="6"/>
        <v>0</v>
      </c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  <c r="AO111" s="77"/>
      <c r="AP111" s="77"/>
      <c r="AQ111" s="77"/>
      <c r="AR111" s="77"/>
      <c r="AS111" s="77"/>
      <c r="AT111" s="77"/>
      <c r="AU111" s="77"/>
      <c r="AV111" s="77"/>
      <c r="AW111" s="77"/>
      <c r="AX111" s="77"/>
      <c r="AY111" s="77"/>
      <c r="AZ111" s="77"/>
      <c r="BA111" s="77"/>
      <c r="BB111" s="77"/>
      <c r="BC111" s="77"/>
      <c r="BD111" s="77"/>
      <c r="BE111" s="77"/>
      <c r="BF111" s="77"/>
      <c r="BG111" s="77"/>
      <c r="BH111" s="77"/>
      <c r="BI111" s="77"/>
      <c r="BJ111" s="77"/>
      <c r="BK111" s="77"/>
      <c r="BL111" s="77"/>
      <c r="BM111" s="77"/>
      <c r="BN111" s="77"/>
      <c r="BO111" s="77"/>
      <c r="BP111" s="77"/>
      <c r="BQ111" s="77"/>
      <c r="BR111" s="77"/>
      <c r="BS111" s="77"/>
      <c r="BT111" s="77"/>
      <c r="BU111" s="77"/>
      <c r="BV111" s="77"/>
      <c r="BW111" s="77"/>
      <c r="BX111" s="77"/>
      <c r="BY111" s="77"/>
      <c r="BZ111" s="77"/>
      <c r="CA111" s="77"/>
      <c r="CB111" s="77"/>
      <c r="CC111" s="77"/>
      <c r="CD111" s="77"/>
      <c r="CE111" s="77"/>
      <c r="CF111" s="77"/>
      <c r="CG111" s="77"/>
      <c r="CH111" s="77"/>
      <c r="CI111" s="77"/>
      <c r="CJ111" s="77"/>
      <c r="CK111" s="77"/>
      <c r="CL111" s="77"/>
      <c r="CM111" s="77"/>
      <c r="CN111" s="77"/>
      <c r="CO111" s="77"/>
      <c r="CP111" s="77"/>
      <c r="CQ111" s="77"/>
      <c r="CR111" s="77"/>
      <c r="CS111" s="77"/>
      <c r="CT111" s="77"/>
      <c r="CU111" s="77"/>
      <c r="CV111" s="77"/>
      <c r="CW111" s="77"/>
      <c r="CX111" s="77"/>
      <c r="CY111" s="77"/>
      <c r="CZ111" s="77"/>
      <c r="DA111" s="77"/>
      <c r="DB111" s="77"/>
      <c r="DC111" s="77"/>
      <c r="DD111" s="77"/>
      <c r="DE111" s="77"/>
      <c r="DF111" s="77"/>
      <c r="DG111" s="77"/>
      <c r="DH111" s="77"/>
      <c r="DI111" s="77"/>
      <c r="DJ111" s="77"/>
      <c r="DK111" s="77"/>
      <c r="DL111" s="77"/>
      <c r="DM111" s="77"/>
      <c r="DN111" s="77"/>
      <c r="DO111" s="77"/>
      <c r="DP111" s="77"/>
      <c r="DQ111" s="77"/>
      <c r="DR111" s="77"/>
      <c r="DS111" s="77"/>
      <c r="DT111" s="77"/>
      <c r="DU111" s="77"/>
      <c r="DV111" s="77"/>
      <c r="DW111" s="77"/>
      <c r="DX111" s="77"/>
      <c r="DY111" s="77"/>
      <c r="DZ111" s="77"/>
      <c r="EA111" s="77"/>
      <c r="EB111" s="77"/>
      <c r="EC111" s="77"/>
      <c r="ED111" s="77"/>
      <c r="EE111" s="77"/>
      <c r="EF111" s="77"/>
      <c r="EG111" s="77"/>
      <c r="EH111" s="77"/>
      <c r="EI111" s="77"/>
      <c r="EJ111" s="77"/>
      <c r="EK111" s="77"/>
      <c r="EL111" s="77"/>
      <c r="EM111" s="77"/>
      <c r="EN111" s="77"/>
      <c r="EO111" s="77"/>
      <c r="EP111" s="77"/>
      <c r="EQ111" s="77"/>
      <c r="ER111" s="77"/>
      <c r="ES111" s="77"/>
      <c r="ET111" s="77"/>
      <c r="EU111" s="77"/>
      <c r="EV111" s="77"/>
      <c r="EW111" s="77"/>
      <c r="EX111" s="77"/>
      <c r="EY111" s="77"/>
      <c r="EZ111" s="77"/>
      <c r="FA111" s="77"/>
      <c r="FB111" s="77"/>
      <c r="FC111" s="77"/>
      <c r="FD111" s="77"/>
      <c r="FE111" s="77"/>
      <c r="FF111" s="77"/>
      <c r="FG111" s="77"/>
      <c r="FH111" s="77"/>
      <c r="FI111" s="77"/>
      <c r="FJ111" s="77"/>
      <c r="FK111" s="77"/>
      <c r="FL111" s="77"/>
      <c r="FM111" s="77"/>
      <c r="FN111" s="77"/>
      <c r="FO111" s="77"/>
      <c r="FP111" s="77"/>
      <c r="FQ111" s="77"/>
      <c r="FR111" s="77"/>
      <c r="FS111" s="77"/>
      <c r="FT111" s="77"/>
      <c r="FU111" s="77"/>
      <c r="FV111" s="77"/>
      <c r="FW111" s="77"/>
      <c r="FX111" s="77"/>
      <c r="FY111" s="77"/>
      <c r="FZ111" s="77"/>
      <c r="GA111" s="77"/>
      <c r="GB111" s="77"/>
      <c r="GC111" s="77"/>
      <c r="GD111" s="77"/>
      <c r="GE111" s="77"/>
      <c r="GF111" s="77"/>
      <c r="GG111" s="77"/>
      <c r="GH111" s="77"/>
      <c r="GI111" s="77"/>
      <c r="GJ111" s="77"/>
      <c r="GK111" s="77"/>
      <c r="GL111" s="77"/>
      <c r="GM111" s="77"/>
      <c r="GN111" s="77"/>
      <c r="GO111" s="77"/>
      <c r="GP111" s="77"/>
      <c r="GQ111" s="77"/>
      <c r="GR111" s="77"/>
      <c r="GS111" s="77"/>
      <c r="GT111" s="77"/>
      <c r="GU111" s="77"/>
      <c r="GV111" s="77"/>
      <c r="GW111" s="77"/>
      <c r="GX111" s="77"/>
      <c r="GY111" s="77"/>
      <c r="GZ111" s="77"/>
      <c r="HA111" s="77"/>
      <c r="HB111" s="77"/>
      <c r="HC111" s="77"/>
      <c r="HD111" s="77"/>
      <c r="HE111" s="77"/>
      <c r="HF111" s="77"/>
      <c r="HG111" s="77"/>
      <c r="HH111" s="77"/>
      <c r="HI111" s="77"/>
      <c r="HJ111" s="77"/>
      <c r="HK111" s="77"/>
      <c r="HL111" s="77"/>
      <c r="HM111" s="77"/>
      <c r="HN111" s="77"/>
      <c r="HO111" s="77"/>
      <c r="HP111" s="77"/>
      <c r="HQ111" s="77"/>
    </row>
    <row r="112" spans="1:225" hidden="1" x14ac:dyDescent="0.3">
      <c r="A112" s="78">
        <f>'Entrada datos'!C109</f>
        <v>0</v>
      </c>
      <c r="B112" s="74">
        <f>'Entrada datos'!D109</f>
        <v>0</v>
      </c>
      <c r="C112" s="75">
        <f>'Entrada datos'!G109</f>
        <v>0</v>
      </c>
      <c r="D112" s="75">
        <f>'Entrada datos'!H109</f>
        <v>0</v>
      </c>
      <c r="E112" s="74">
        <f t="shared" si="4"/>
        <v>0</v>
      </c>
      <c r="F112" s="68" t="str">
        <f t="shared" si="5"/>
        <v>no procede</v>
      </c>
      <c r="G112" s="74">
        <f>'Entrada datos'!P109</f>
        <v>0</v>
      </c>
      <c r="H112" s="74">
        <f>'Entrada datos'!Q109</f>
        <v>0</v>
      </c>
      <c r="I112" s="74">
        <f>'Entrada datos'!R109</f>
        <v>0</v>
      </c>
      <c r="J112" s="74">
        <f>'Entrada datos'!S109</f>
        <v>0</v>
      </c>
      <c r="K112" s="74">
        <f>'Entrada datos'!T109</f>
        <v>0</v>
      </c>
      <c r="L112" s="74">
        <f>'Entrada datos'!U109</f>
        <v>0</v>
      </c>
      <c r="M112" s="76"/>
      <c r="N112" s="76"/>
      <c r="O112" s="76"/>
      <c r="P112" s="76"/>
      <c r="Q112" s="76"/>
      <c r="R112" s="76"/>
      <c r="S112" s="77" t="s">
        <v>74</v>
      </c>
      <c r="T112" s="77"/>
      <c r="U112" s="77"/>
      <c r="V112" s="77">
        <f t="shared" si="6"/>
        <v>0</v>
      </c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  <c r="AI112" s="77"/>
      <c r="AJ112" s="77"/>
      <c r="AK112" s="77"/>
      <c r="AL112" s="77"/>
      <c r="AM112" s="77"/>
      <c r="AN112" s="77"/>
      <c r="AO112" s="77"/>
      <c r="AP112" s="77"/>
      <c r="AQ112" s="77"/>
      <c r="AR112" s="77"/>
      <c r="AS112" s="77"/>
      <c r="AT112" s="77"/>
      <c r="AU112" s="77"/>
      <c r="AV112" s="77"/>
      <c r="AW112" s="77"/>
      <c r="AX112" s="77"/>
      <c r="AY112" s="77"/>
      <c r="AZ112" s="77"/>
      <c r="BA112" s="77"/>
      <c r="BB112" s="77"/>
      <c r="BC112" s="77"/>
      <c r="BD112" s="77"/>
      <c r="BE112" s="77"/>
      <c r="BF112" s="77"/>
      <c r="BG112" s="77"/>
      <c r="BH112" s="77"/>
      <c r="BI112" s="77"/>
      <c r="BJ112" s="77"/>
      <c r="BK112" s="77"/>
      <c r="BL112" s="77"/>
      <c r="BM112" s="77"/>
      <c r="BN112" s="77"/>
      <c r="BO112" s="77"/>
      <c r="BP112" s="77"/>
      <c r="BQ112" s="77"/>
      <c r="BR112" s="77"/>
      <c r="BS112" s="77"/>
      <c r="BT112" s="77"/>
      <c r="BU112" s="77"/>
      <c r="BV112" s="77"/>
      <c r="BW112" s="77"/>
      <c r="BX112" s="77"/>
      <c r="BY112" s="77"/>
      <c r="BZ112" s="77"/>
      <c r="CA112" s="77"/>
      <c r="CB112" s="77"/>
      <c r="CC112" s="77"/>
      <c r="CD112" s="77"/>
      <c r="CE112" s="77"/>
      <c r="CF112" s="77"/>
      <c r="CG112" s="77"/>
      <c r="CH112" s="77"/>
      <c r="CI112" s="77"/>
      <c r="CJ112" s="77"/>
      <c r="CK112" s="77"/>
      <c r="CL112" s="77"/>
      <c r="CM112" s="77"/>
      <c r="CN112" s="77"/>
      <c r="CO112" s="77"/>
      <c r="CP112" s="77"/>
      <c r="CQ112" s="77"/>
      <c r="CR112" s="77"/>
      <c r="CS112" s="77"/>
      <c r="CT112" s="77"/>
      <c r="CU112" s="77"/>
      <c r="CV112" s="77"/>
      <c r="CW112" s="77"/>
      <c r="CX112" s="77"/>
      <c r="CY112" s="77"/>
      <c r="CZ112" s="77"/>
      <c r="DA112" s="77"/>
      <c r="DB112" s="77"/>
      <c r="DC112" s="77"/>
      <c r="DD112" s="77"/>
      <c r="DE112" s="77"/>
      <c r="DF112" s="77"/>
      <c r="DG112" s="77"/>
      <c r="DH112" s="77"/>
      <c r="DI112" s="77"/>
      <c r="DJ112" s="77"/>
      <c r="DK112" s="77"/>
      <c r="DL112" s="77"/>
      <c r="DM112" s="77"/>
      <c r="DN112" s="77"/>
      <c r="DO112" s="77"/>
      <c r="DP112" s="77"/>
      <c r="DQ112" s="77"/>
      <c r="DR112" s="77"/>
      <c r="DS112" s="77"/>
      <c r="DT112" s="77"/>
      <c r="DU112" s="77"/>
      <c r="DV112" s="77"/>
      <c r="DW112" s="77"/>
      <c r="DX112" s="77"/>
      <c r="DY112" s="77"/>
      <c r="DZ112" s="77"/>
      <c r="EA112" s="77"/>
      <c r="EB112" s="77"/>
      <c r="EC112" s="77"/>
      <c r="ED112" s="77"/>
      <c r="EE112" s="77"/>
      <c r="EF112" s="77"/>
      <c r="EG112" s="77"/>
      <c r="EH112" s="77"/>
      <c r="EI112" s="77"/>
      <c r="EJ112" s="77"/>
      <c r="EK112" s="77"/>
      <c r="EL112" s="77"/>
      <c r="EM112" s="77"/>
      <c r="EN112" s="77"/>
      <c r="EO112" s="77"/>
      <c r="EP112" s="77"/>
      <c r="EQ112" s="77"/>
      <c r="ER112" s="77"/>
      <c r="ES112" s="77"/>
      <c r="ET112" s="77"/>
      <c r="EU112" s="77"/>
      <c r="EV112" s="77"/>
      <c r="EW112" s="77"/>
      <c r="EX112" s="77"/>
      <c r="EY112" s="77"/>
      <c r="EZ112" s="77"/>
      <c r="FA112" s="77"/>
      <c r="FB112" s="77"/>
      <c r="FC112" s="77"/>
      <c r="FD112" s="77"/>
      <c r="FE112" s="77"/>
      <c r="FF112" s="77"/>
      <c r="FG112" s="77"/>
      <c r="FH112" s="77"/>
      <c r="FI112" s="77"/>
      <c r="FJ112" s="77"/>
      <c r="FK112" s="77"/>
      <c r="FL112" s="77"/>
      <c r="FM112" s="77"/>
      <c r="FN112" s="77"/>
      <c r="FO112" s="77"/>
      <c r="FP112" s="77"/>
      <c r="FQ112" s="77"/>
      <c r="FR112" s="77"/>
      <c r="FS112" s="77"/>
      <c r="FT112" s="77"/>
      <c r="FU112" s="77"/>
      <c r="FV112" s="77"/>
      <c r="FW112" s="77"/>
      <c r="FX112" s="77"/>
      <c r="FY112" s="77"/>
      <c r="FZ112" s="77"/>
      <c r="GA112" s="77"/>
      <c r="GB112" s="77"/>
      <c r="GC112" s="77"/>
      <c r="GD112" s="77"/>
      <c r="GE112" s="77"/>
      <c r="GF112" s="77"/>
      <c r="GG112" s="77"/>
      <c r="GH112" s="77"/>
      <c r="GI112" s="77"/>
      <c r="GJ112" s="77"/>
      <c r="GK112" s="77"/>
      <c r="GL112" s="77"/>
      <c r="GM112" s="77"/>
      <c r="GN112" s="77"/>
      <c r="GO112" s="77"/>
      <c r="GP112" s="77"/>
      <c r="GQ112" s="77"/>
      <c r="GR112" s="77"/>
      <c r="GS112" s="77"/>
      <c r="GT112" s="77"/>
      <c r="GU112" s="77"/>
      <c r="GV112" s="77"/>
      <c r="GW112" s="77"/>
      <c r="GX112" s="77"/>
      <c r="GY112" s="77"/>
      <c r="GZ112" s="77"/>
      <c r="HA112" s="77"/>
      <c r="HB112" s="77"/>
      <c r="HC112" s="77"/>
      <c r="HD112" s="77"/>
      <c r="HE112" s="77"/>
      <c r="HF112" s="77"/>
      <c r="HG112" s="77"/>
      <c r="HH112" s="77"/>
      <c r="HI112" s="77"/>
      <c r="HJ112" s="77"/>
      <c r="HK112" s="77"/>
      <c r="HL112" s="77"/>
      <c r="HM112" s="77"/>
      <c r="HN112" s="77"/>
      <c r="HO112" s="77"/>
      <c r="HP112" s="77"/>
      <c r="HQ112" s="77"/>
    </row>
    <row r="113" spans="1:225" hidden="1" x14ac:dyDescent="0.3">
      <c r="A113" s="78">
        <f>'Entrada datos'!C110</f>
        <v>0</v>
      </c>
      <c r="B113" s="74">
        <f>'Entrada datos'!D110</f>
        <v>0</v>
      </c>
      <c r="C113" s="75">
        <f>'Entrada datos'!G110</f>
        <v>0</v>
      </c>
      <c r="D113" s="75">
        <f>'Entrada datos'!H110</f>
        <v>0</v>
      </c>
      <c r="E113" s="74">
        <f t="shared" si="4"/>
        <v>0</v>
      </c>
      <c r="F113" s="68" t="str">
        <f t="shared" si="5"/>
        <v>no procede</v>
      </c>
      <c r="G113" s="74">
        <f>'Entrada datos'!P110</f>
        <v>0</v>
      </c>
      <c r="H113" s="74">
        <f>'Entrada datos'!Q110</f>
        <v>0</v>
      </c>
      <c r="I113" s="74">
        <f>'Entrada datos'!R110</f>
        <v>0</v>
      </c>
      <c r="J113" s="74">
        <f>'Entrada datos'!S110</f>
        <v>0</v>
      </c>
      <c r="K113" s="74">
        <f>'Entrada datos'!T110</f>
        <v>0</v>
      </c>
      <c r="L113" s="74">
        <f>'Entrada datos'!U110</f>
        <v>0</v>
      </c>
      <c r="M113" s="76"/>
      <c r="N113" s="76"/>
      <c r="O113" s="76"/>
      <c r="P113" s="76"/>
      <c r="Q113" s="76"/>
      <c r="R113" s="76"/>
      <c r="S113" s="77" t="s">
        <v>74</v>
      </c>
      <c r="T113" s="77"/>
      <c r="U113" s="77"/>
      <c r="V113" s="77">
        <f t="shared" si="6"/>
        <v>0</v>
      </c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  <c r="AI113" s="77"/>
      <c r="AJ113" s="77"/>
      <c r="AK113" s="77"/>
      <c r="AL113" s="77"/>
      <c r="AM113" s="77"/>
      <c r="AN113" s="77"/>
      <c r="AO113" s="77"/>
      <c r="AP113" s="77"/>
      <c r="AQ113" s="77"/>
      <c r="AR113" s="77"/>
      <c r="AS113" s="77"/>
      <c r="AT113" s="77"/>
      <c r="AU113" s="77"/>
      <c r="AV113" s="77"/>
      <c r="AW113" s="77"/>
      <c r="AX113" s="77"/>
      <c r="AY113" s="77"/>
      <c r="AZ113" s="77"/>
      <c r="BA113" s="77"/>
      <c r="BB113" s="77"/>
      <c r="BC113" s="77"/>
      <c r="BD113" s="77"/>
      <c r="BE113" s="77"/>
      <c r="BF113" s="77"/>
      <c r="BG113" s="77"/>
      <c r="BH113" s="77"/>
      <c r="BI113" s="77"/>
      <c r="BJ113" s="77"/>
      <c r="BK113" s="77"/>
      <c r="BL113" s="77"/>
      <c r="BM113" s="77"/>
      <c r="BN113" s="77"/>
      <c r="BO113" s="77"/>
      <c r="BP113" s="77"/>
      <c r="BQ113" s="77"/>
      <c r="BR113" s="77"/>
      <c r="BS113" s="77"/>
      <c r="BT113" s="77"/>
      <c r="BU113" s="77"/>
      <c r="BV113" s="77"/>
      <c r="BW113" s="77"/>
      <c r="BX113" s="77"/>
      <c r="BY113" s="77"/>
      <c r="BZ113" s="77"/>
      <c r="CA113" s="77"/>
      <c r="CB113" s="77"/>
      <c r="CC113" s="77"/>
      <c r="CD113" s="77"/>
      <c r="CE113" s="77"/>
      <c r="CF113" s="77"/>
      <c r="CG113" s="77"/>
      <c r="CH113" s="77"/>
      <c r="CI113" s="77"/>
      <c r="CJ113" s="77"/>
      <c r="CK113" s="77"/>
      <c r="CL113" s="77"/>
      <c r="CM113" s="77"/>
      <c r="CN113" s="77"/>
      <c r="CO113" s="77"/>
      <c r="CP113" s="77"/>
      <c r="CQ113" s="77"/>
      <c r="CR113" s="77"/>
      <c r="CS113" s="77"/>
      <c r="CT113" s="77"/>
      <c r="CU113" s="77"/>
      <c r="CV113" s="77"/>
      <c r="CW113" s="77"/>
      <c r="CX113" s="77"/>
      <c r="CY113" s="77"/>
      <c r="CZ113" s="77"/>
      <c r="DA113" s="77"/>
      <c r="DB113" s="77"/>
      <c r="DC113" s="77"/>
      <c r="DD113" s="77"/>
      <c r="DE113" s="77"/>
      <c r="DF113" s="77"/>
      <c r="DG113" s="77"/>
      <c r="DH113" s="77"/>
      <c r="DI113" s="77"/>
      <c r="DJ113" s="77"/>
      <c r="DK113" s="77"/>
      <c r="DL113" s="77"/>
      <c r="DM113" s="77"/>
      <c r="DN113" s="77"/>
      <c r="DO113" s="77"/>
      <c r="DP113" s="77"/>
      <c r="DQ113" s="77"/>
      <c r="DR113" s="77"/>
      <c r="DS113" s="77"/>
      <c r="DT113" s="77"/>
      <c r="DU113" s="77"/>
      <c r="DV113" s="77"/>
      <c r="DW113" s="77"/>
      <c r="DX113" s="77"/>
      <c r="DY113" s="77"/>
      <c r="DZ113" s="77"/>
      <c r="EA113" s="77"/>
      <c r="EB113" s="77"/>
      <c r="EC113" s="77"/>
      <c r="ED113" s="77"/>
      <c r="EE113" s="77"/>
      <c r="EF113" s="77"/>
      <c r="EG113" s="77"/>
      <c r="EH113" s="77"/>
      <c r="EI113" s="77"/>
      <c r="EJ113" s="77"/>
      <c r="EK113" s="77"/>
      <c r="EL113" s="77"/>
      <c r="EM113" s="77"/>
      <c r="EN113" s="77"/>
      <c r="EO113" s="77"/>
      <c r="EP113" s="77"/>
      <c r="EQ113" s="77"/>
      <c r="ER113" s="77"/>
      <c r="ES113" s="77"/>
      <c r="ET113" s="77"/>
      <c r="EU113" s="77"/>
      <c r="EV113" s="77"/>
      <c r="EW113" s="77"/>
      <c r="EX113" s="77"/>
      <c r="EY113" s="77"/>
      <c r="EZ113" s="77"/>
      <c r="FA113" s="77"/>
      <c r="FB113" s="77"/>
      <c r="FC113" s="77"/>
      <c r="FD113" s="77"/>
      <c r="FE113" s="77"/>
      <c r="FF113" s="77"/>
      <c r="FG113" s="77"/>
      <c r="FH113" s="77"/>
      <c r="FI113" s="77"/>
      <c r="FJ113" s="77"/>
      <c r="FK113" s="77"/>
      <c r="FL113" s="77"/>
      <c r="FM113" s="77"/>
      <c r="FN113" s="77"/>
      <c r="FO113" s="77"/>
      <c r="FP113" s="77"/>
      <c r="FQ113" s="77"/>
      <c r="FR113" s="77"/>
      <c r="FS113" s="77"/>
      <c r="FT113" s="77"/>
      <c r="FU113" s="77"/>
      <c r="FV113" s="77"/>
      <c r="FW113" s="77"/>
      <c r="FX113" s="77"/>
      <c r="FY113" s="77"/>
      <c r="FZ113" s="77"/>
      <c r="GA113" s="77"/>
      <c r="GB113" s="77"/>
      <c r="GC113" s="77"/>
      <c r="GD113" s="77"/>
      <c r="GE113" s="77"/>
      <c r="GF113" s="77"/>
      <c r="GG113" s="77"/>
      <c r="GH113" s="77"/>
      <c r="GI113" s="77"/>
      <c r="GJ113" s="77"/>
      <c r="GK113" s="77"/>
      <c r="GL113" s="77"/>
      <c r="GM113" s="77"/>
      <c r="GN113" s="77"/>
      <c r="GO113" s="77"/>
      <c r="GP113" s="77"/>
      <c r="GQ113" s="77"/>
      <c r="GR113" s="77"/>
      <c r="GS113" s="77"/>
      <c r="GT113" s="77"/>
      <c r="GU113" s="77"/>
      <c r="GV113" s="77"/>
      <c r="GW113" s="77"/>
      <c r="GX113" s="77"/>
      <c r="GY113" s="77"/>
      <c r="GZ113" s="77"/>
      <c r="HA113" s="77"/>
      <c r="HB113" s="77"/>
      <c r="HC113" s="77"/>
      <c r="HD113" s="77"/>
      <c r="HE113" s="77"/>
      <c r="HF113" s="77"/>
      <c r="HG113" s="77"/>
      <c r="HH113" s="77"/>
      <c r="HI113" s="77"/>
      <c r="HJ113" s="77"/>
      <c r="HK113" s="77"/>
      <c r="HL113" s="77"/>
      <c r="HM113" s="77"/>
      <c r="HN113" s="77"/>
      <c r="HO113" s="77"/>
      <c r="HP113" s="77"/>
      <c r="HQ113" s="77"/>
    </row>
    <row r="114" spans="1:225" hidden="1" x14ac:dyDescent="0.3">
      <c r="A114" s="78">
        <f>'Entrada datos'!C111</f>
        <v>0</v>
      </c>
      <c r="B114" s="74">
        <f>'Entrada datos'!D111</f>
        <v>0</v>
      </c>
      <c r="C114" s="75">
        <f>'Entrada datos'!G111</f>
        <v>0</v>
      </c>
      <c r="D114" s="75">
        <f>'Entrada datos'!H111</f>
        <v>0</v>
      </c>
      <c r="E114" s="74">
        <f t="shared" si="4"/>
        <v>0</v>
      </c>
      <c r="F114" s="68" t="str">
        <f t="shared" si="5"/>
        <v>no procede</v>
      </c>
      <c r="G114" s="74">
        <f>'Entrada datos'!P111</f>
        <v>0</v>
      </c>
      <c r="H114" s="74">
        <f>'Entrada datos'!Q111</f>
        <v>0</v>
      </c>
      <c r="I114" s="74">
        <f>'Entrada datos'!R111</f>
        <v>0</v>
      </c>
      <c r="J114" s="74">
        <f>'Entrada datos'!S111</f>
        <v>0</v>
      </c>
      <c r="K114" s="74">
        <f>'Entrada datos'!T111</f>
        <v>0</v>
      </c>
      <c r="L114" s="74">
        <f>'Entrada datos'!U111</f>
        <v>0</v>
      </c>
      <c r="M114" s="76"/>
      <c r="N114" s="76"/>
      <c r="O114" s="76"/>
      <c r="P114" s="76"/>
      <c r="Q114" s="76"/>
      <c r="R114" s="76"/>
      <c r="S114" s="77" t="s">
        <v>74</v>
      </c>
      <c r="T114" s="77"/>
      <c r="U114" s="77"/>
      <c r="V114" s="77">
        <f t="shared" si="6"/>
        <v>0</v>
      </c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  <c r="AO114" s="77"/>
      <c r="AP114" s="77"/>
      <c r="AQ114" s="77"/>
      <c r="AR114" s="77"/>
      <c r="AS114" s="77"/>
      <c r="AT114" s="77"/>
      <c r="AU114" s="77"/>
      <c r="AV114" s="77"/>
      <c r="AW114" s="77"/>
      <c r="AX114" s="77"/>
      <c r="AY114" s="77"/>
      <c r="AZ114" s="77"/>
      <c r="BA114" s="77"/>
      <c r="BB114" s="77"/>
      <c r="BC114" s="77"/>
      <c r="BD114" s="77"/>
      <c r="BE114" s="77"/>
      <c r="BF114" s="77"/>
      <c r="BG114" s="77"/>
      <c r="BH114" s="77"/>
      <c r="BI114" s="77"/>
      <c r="BJ114" s="77"/>
      <c r="BK114" s="77"/>
      <c r="BL114" s="77"/>
      <c r="BM114" s="77"/>
      <c r="BN114" s="77"/>
      <c r="BO114" s="77"/>
      <c r="BP114" s="77"/>
      <c r="BQ114" s="77"/>
      <c r="BR114" s="77"/>
      <c r="BS114" s="77"/>
      <c r="BT114" s="77"/>
      <c r="BU114" s="77"/>
      <c r="BV114" s="77"/>
      <c r="BW114" s="77"/>
      <c r="BX114" s="77"/>
      <c r="BY114" s="77"/>
      <c r="BZ114" s="77"/>
      <c r="CA114" s="77"/>
      <c r="CB114" s="77"/>
      <c r="CC114" s="77"/>
      <c r="CD114" s="77"/>
      <c r="CE114" s="77"/>
      <c r="CF114" s="77"/>
      <c r="CG114" s="77"/>
      <c r="CH114" s="77"/>
      <c r="CI114" s="77"/>
      <c r="CJ114" s="77"/>
      <c r="CK114" s="77"/>
      <c r="CL114" s="77"/>
      <c r="CM114" s="77"/>
      <c r="CN114" s="77"/>
      <c r="CO114" s="77"/>
      <c r="CP114" s="77"/>
      <c r="CQ114" s="77"/>
      <c r="CR114" s="77"/>
      <c r="CS114" s="77"/>
      <c r="CT114" s="77"/>
      <c r="CU114" s="77"/>
      <c r="CV114" s="77"/>
      <c r="CW114" s="77"/>
      <c r="CX114" s="77"/>
      <c r="CY114" s="77"/>
      <c r="CZ114" s="77"/>
      <c r="DA114" s="77"/>
      <c r="DB114" s="77"/>
      <c r="DC114" s="77"/>
      <c r="DD114" s="77"/>
      <c r="DE114" s="77"/>
      <c r="DF114" s="77"/>
      <c r="DG114" s="77"/>
      <c r="DH114" s="77"/>
      <c r="DI114" s="77"/>
      <c r="DJ114" s="77"/>
      <c r="DK114" s="77"/>
      <c r="DL114" s="77"/>
      <c r="DM114" s="77"/>
      <c r="DN114" s="77"/>
      <c r="DO114" s="77"/>
      <c r="DP114" s="77"/>
      <c r="DQ114" s="77"/>
      <c r="DR114" s="77"/>
      <c r="DS114" s="77"/>
      <c r="DT114" s="77"/>
      <c r="DU114" s="77"/>
      <c r="DV114" s="77"/>
      <c r="DW114" s="77"/>
      <c r="DX114" s="77"/>
      <c r="DY114" s="77"/>
      <c r="DZ114" s="77"/>
      <c r="EA114" s="77"/>
      <c r="EB114" s="77"/>
      <c r="EC114" s="77"/>
      <c r="ED114" s="77"/>
      <c r="EE114" s="77"/>
      <c r="EF114" s="77"/>
      <c r="EG114" s="77"/>
      <c r="EH114" s="77"/>
      <c r="EI114" s="77"/>
      <c r="EJ114" s="77"/>
      <c r="EK114" s="77"/>
      <c r="EL114" s="77"/>
      <c r="EM114" s="77"/>
      <c r="EN114" s="77"/>
      <c r="EO114" s="77"/>
      <c r="EP114" s="77"/>
      <c r="EQ114" s="77"/>
      <c r="ER114" s="77"/>
      <c r="ES114" s="77"/>
      <c r="ET114" s="77"/>
      <c r="EU114" s="77"/>
      <c r="EV114" s="77"/>
      <c r="EW114" s="77"/>
      <c r="EX114" s="77"/>
      <c r="EY114" s="77"/>
      <c r="EZ114" s="77"/>
      <c r="FA114" s="77"/>
      <c r="FB114" s="77"/>
      <c r="FC114" s="77"/>
      <c r="FD114" s="77"/>
      <c r="FE114" s="77"/>
      <c r="FF114" s="77"/>
      <c r="FG114" s="77"/>
      <c r="FH114" s="77"/>
      <c r="FI114" s="77"/>
      <c r="FJ114" s="77"/>
      <c r="FK114" s="77"/>
      <c r="FL114" s="77"/>
      <c r="FM114" s="77"/>
      <c r="FN114" s="77"/>
      <c r="FO114" s="77"/>
      <c r="FP114" s="77"/>
      <c r="FQ114" s="77"/>
      <c r="FR114" s="77"/>
      <c r="FS114" s="77"/>
      <c r="FT114" s="77"/>
      <c r="FU114" s="77"/>
      <c r="FV114" s="77"/>
      <c r="FW114" s="77"/>
      <c r="FX114" s="77"/>
      <c r="FY114" s="77"/>
      <c r="FZ114" s="77"/>
      <c r="GA114" s="77"/>
      <c r="GB114" s="77"/>
      <c r="GC114" s="77"/>
      <c r="GD114" s="77"/>
      <c r="GE114" s="77"/>
      <c r="GF114" s="77"/>
      <c r="GG114" s="77"/>
      <c r="GH114" s="77"/>
      <c r="GI114" s="77"/>
      <c r="GJ114" s="77"/>
      <c r="GK114" s="77"/>
      <c r="GL114" s="77"/>
      <c r="GM114" s="77"/>
      <c r="GN114" s="77"/>
      <c r="GO114" s="77"/>
      <c r="GP114" s="77"/>
      <c r="GQ114" s="77"/>
      <c r="GR114" s="77"/>
      <c r="GS114" s="77"/>
      <c r="GT114" s="77"/>
      <c r="GU114" s="77"/>
      <c r="GV114" s="77"/>
      <c r="GW114" s="77"/>
      <c r="GX114" s="77"/>
      <c r="GY114" s="77"/>
      <c r="GZ114" s="77"/>
      <c r="HA114" s="77"/>
      <c r="HB114" s="77"/>
      <c r="HC114" s="77"/>
      <c r="HD114" s="77"/>
      <c r="HE114" s="77"/>
      <c r="HF114" s="77"/>
      <c r="HG114" s="77"/>
      <c r="HH114" s="77"/>
      <c r="HI114" s="77"/>
      <c r="HJ114" s="77"/>
      <c r="HK114" s="77"/>
      <c r="HL114" s="77"/>
      <c r="HM114" s="77"/>
      <c r="HN114" s="77"/>
      <c r="HO114" s="77"/>
      <c r="HP114" s="77"/>
      <c r="HQ114" s="77"/>
    </row>
    <row r="115" spans="1:225" hidden="1" x14ac:dyDescent="0.3">
      <c r="A115" s="78">
        <f>'Entrada datos'!C112</f>
        <v>0</v>
      </c>
      <c r="B115" s="74">
        <f>'Entrada datos'!D112</f>
        <v>0</v>
      </c>
      <c r="C115" s="75">
        <f>'Entrada datos'!G112</f>
        <v>0</v>
      </c>
      <c r="D115" s="75">
        <f>'Entrada datos'!H112</f>
        <v>0</v>
      </c>
      <c r="E115" s="74">
        <f t="shared" si="4"/>
        <v>0</v>
      </c>
      <c r="F115" s="68" t="str">
        <f t="shared" si="5"/>
        <v>no procede</v>
      </c>
      <c r="G115" s="74">
        <f>'Entrada datos'!P112</f>
        <v>0</v>
      </c>
      <c r="H115" s="74">
        <f>'Entrada datos'!Q112</f>
        <v>0</v>
      </c>
      <c r="I115" s="74">
        <f>'Entrada datos'!R112</f>
        <v>0</v>
      </c>
      <c r="J115" s="74">
        <f>'Entrada datos'!S112</f>
        <v>0</v>
      </c>
      <c r="K115" s="74">
        <f>'Entrada datos'!T112</f>
        <v>0</v>
      </c>
      <c r="L115" s="74">
        <f>'Entrada datos'!U112</f>
        <v>0</v>
      </c>
      <c r="M115" s="76"/>
      <c r="N115" s="76"/>
      <c r="O115" s="76"/>
      <c r="P115" s="76"/>
      <c r="Q115" s="76"/>
      <c r="R115" s="76"/>
      <c r="S115" s="77" t="s">
        <v>74</v>
      </c>
      <c r="T115" s="77"/>
      <c r="U115" s="77"/>
      <c r="V115" s="77">
        <f t="shared" si="6"/>
        <v>0</v>
      </c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  <c r="AW115" s="77"/>
      <c r="AX115" s="77"/>
      <c r="AY115" s="77"/>
      <c r="AZ115" s="77"/>
      <c r="BA115" s="77"/>
      <c r="BB115" s="77"/>
      <c r="BC115" s="77"/>
      <c r="BD115" s="77"/>
      <c r="BE115" s="77"/>
      <c r="BF115" s="77"/>
      <c r="BG115" s="77"/>
      <c r="BH115" s="77"/>
      <c r="BI115" s="77"/>
      <c r="BJ115" s="77"/>
      <c r="BK115" s="77"/>
      <c r="BL115" s="77"/>
      <c r="BM115" s="77"/>
      <c r="BN115" s="77"/>
      <c r="BO115" s="77"/>
      <c r="BP115" s="77"/>
      <c r="BQ115" s="77"/>
      <c r="BR115" s="77"/>
      <c r="BS115" s="77"/>
      <c r="BT115" s="77"/>
      <c r="BU115" s="77"/>
      <c r="BV115" s="77"/>
      <c r="BW115" s="77"/>
      <c r="BX115" s="77"/>
      <c r="BY115" s="77"/>
      <c r="BZ115" s="77"/>
      <c r="CA115" s="77"/>
      <c r="CB115" s="77"/>
      <c r="CC115" s="77"/>
      <c r="CD115" s="77"/>
      <c r="CE115" s="77"/>
      <c r="CF115" s="77"/>
      <c r="CG115" s="77"/>
      <c r="CH115" s="77"/>
      <c r="CI115" s="77"/>
      <c r="CJ115" s="77"/>
      <c r="CK115" s="77"/>
      <c r="CL115" s="77"/>
      <c r="CM115" s="77"/>
      <c r="CN115" s="77"/>
      <c r="CO115" s="77"/>
      <c r="CP115" s="77"/>
      <c r="CQ115" s="77"/>
      <c r="CR115" s="77"/>
      <c r="CS115" s="77"/>
      <c r="CT115" s="77"/>
      <c r="CU115" s="77"/>
      <c r="CV115" s="77"/>
      <c r="CW115" s="77"/>
      <c r="CX115" s="77"/>
      <c r="CY115" s="77"/>
      <c r="CZ115" s="77"/>
      <c r="DA115" s="77"/>
      <c r="DB115" s="77"/>
      <c r="DC115" s="77"/>
      <c r="DD115" s="77"/>
      <c r="DE115" s="77"/>
      <c r="DF115" s="77"/>
      <c r="DG115" s="77"/>
      <c r="DH115" s="77"/>
      <c r="DI115" s="77"/>
      <c r="DJ115" s="77"/>
      <c r="DK115" s="77"/>
      <c r="DL115" s="77"/>
      <c r="DM115" s="77"/>
      <c r="DN115" s="77"/>
      <c r="DO115" s="77"/>
      <c r="DP115" s="77"/>
      <c r="DQ115" s="77"/>
      <c r="DR115" s="77"/>
      <c r="DS115" s="77"/>
      <c r="DT115" s="77"/>
      <c r="DU115" s="77"/>
      <c r="DV115" s="77"/>
      <c r="DW115" s="77"/>
      <c r="DX115" s="77"/>
      <c r="DY115" s="77"/>
      <c r="DZ115" s="77"/>
      <c r="EA115" s="77"/>
      <c r="EB115" s="77"/>
      <c r="EC115" s="77"/>
      <c r="ED115" s="77"/>
      <c r="EE115" s="77"/>
      <c r="EF115" s="77"/>
      <c r="EG115" s="77"/>
      <c r="EH115" s="77"/>
      <c r="EI115" s="77"/>
      <c r="EJ115" s="77"/>
      <c r="EK115" s="77"/>
      <c r="EL115" s="77"/>
      <c r="EM115" s="77"/>
      <c r="EN115" s="77"/>
      <c r="EO115" s="77"/>
      <c r="EP115" s="77"/>
      <c r="EQ115" s="77"/>
      <c r="ER115" s="77"/>
      <c r="ES115" s="77"/>
      <c r="ET115" s="77"/>
      <c r="EU115" s="77"/>
      <c r="EV115" s="77"/>
      <c r="EW115" s="77"/>
      <c r="EX115" s="77"/>
      <c r="EY115" s="77"/>
      <c r="EZ115" s="77"/>
      <c r="FA115" s="77"/>
      <c r="FB115" s="77"/>
      <c r="FC115" s="77"/>
      <c r="FD115" s="77"/>
      <c r="FE115" s="77"/>
      <c r="FF115" s="77"/>
      <c r="FG115" s="77"/>
      <c r="FH115" s="77"/>
      <c r="FI115" s="77"/>
      <c r="FJ115" s="77"/>
      <c r="FK115" s="77"/>
      <c r="FL115" s="77"/>
      <c r="FM115" s="77"/>
      <c r="FN115" s="77"/>
      <c r="FO115" s="77"/>
      <c r="FP115" s="77"/>
      <c r="FQ115" s="77"/>
      <c r="FR115" s="77"/>
      <c r="FS115" s="77"/>
      <c r="FT115" s="77"/>
      <c r="FU115" s="77"/>
      <c r="FV115" s="77"/>
      <c r="FW115" s="77"/>
      <c r="FX115" s="77"/>
      <c r="FY115" s="77"/>
      <c r="FZ115" s="77"/>
      <c r="GA115" s="77"/>
      <c r="GB115" s="77"/>
      <c r="GC115" s="77"/>
      <c r="GD115" s="77"/>
      <c r="GE115" s="77"/>
      <c r="GF115" s="77"/>
      <c r="GG115" s="77"/>
      <c r="GH115" s="77"/>
      <c r="GI115" s="77"/>
      <c r="GJ115" s="77"/>
      <c r="GK115" s="77"/>
      <c r="GL115" s="77"/>
      <c r="GM115" s="77"/>
      <c r="GN115" s="77"/>
      <c r="GO115" s="77"/>
      <c r="GP115" s="77"/>
      <c r="GQ115" s="77"/>
      <c r="GR115" s="77"/>
      <c r="GS115" s="77"/>
      <c r="GT115" s="77"/>
      <c r="GU115" s="77"/>
      <c r="GV115" s="77"/>
      <c r="GW115" s="77"/>
      <c r="GX115" s="77"/>
      <c r="GY115" s="77"/>
      <c r="GZ115" s="77"/>
      <c r="HA115" s="77"/>
      <c r="HB115" s="77"/>
      <c r="HC115" s="77"/>
      <c r="HD115" s="77"/>
      <c r="HE115" s="77"/>
      <c r="HF115" s="77"/>
      <c r="HG115" s="77"/>
      <c r="HH115" s="77"/>
      <c r="HI115" s="77"/>
      <c r="HJ115" s="77"/>
      <c r="HK115" s="77"/>
      <c r="HL115" s="77"/>
      <c r="HM115" s="77"/>
      <c r="HN115" s="77"/>
      <c r="HO115" s="77"/>
      <c r="HP115" s="77"/>
      <c r="HQ115" s="77"/>
    </row>
    <row r="116" spans="1:225" hidden="1" x14ac:dyDescent="0.3">
      <c r="A116" s="78">
        <f>'Entrada datos'!C113</f>
        <v>0</v>
      </c>
      <c r="B116" s="74">
        <f>'Entrada datos'!D113</f>
        <v>0</v>
      </c>
      <c r="C116" s="75">
        <f>'Entrada datos'!G113</f>
        <v>0</v>
      </c>
      <c r="D116" s="75">
        <f>'Entrada datos'!H113</f>
        <v>0</v>
      </c>
      <c r="E116" s="74">
        <f t="shared" si="4"/>
        <v>0</v>
      </c>
      <c r="F116" s="68" t="str">
        <f t="shared" si="5"/>
        <v>no procede</v>
      </c>
      <c r="G116" s="74">
        <f>'Entrada datos'!P113</f>
        <v>0</v>
      </c>
      <c r="H116" s="74">
        <f>'Entrada datos'!Q113</f>
        <v>0</v>
      </c>
      <c r="I116" s="74">
        <f>'Entrada datos'!R113</f>
        <v>0</v>
      </c>
      <c r="J116" s="74">
        <f>'Entrada datos'!S113</f>
        <v>0</v>
      </c>
      <c r="K116" s="74">
        <f>'Entrada datos'!T113</f>
        <v>0</v>
      </c>
      <c r="L116" s="74">
        <f>'Entrada datos'!U113</f>
        <v>0</v>
      </c>
      <c r="M116" s="76"/>
      <c r="N116" s="76"/>
      <c r="O116" s="76"/>
      <c r="P116" s="76"/>
      <c r="Q116" s="76"/>
      <c r="R116" s="76"/>
      <c r="S116" s="77" t="s">
        <v>74</v>
      </c>
      <c r="T116" s="77"/>
      <c r="U116" s="77"/>
      <c r="V116" s="77">
        <f t="shared" si="6"/>
        <v>0</v>
      </c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  <c r="AI116" s="77"/>
      <c r="AJ116" s="77"/>
      <c r="AK116" s="77"/>
      <c r="AL116" s="77"/>
      <c r="AM116" s="77"/>
      <c r="AN116" s="77"/>
      <c r="AO116" s="77"/>
      <c r="AP116" s="77"/>
      <c r="AQ116" s="77"/>
      <c r="AR116" s="77"/>
      <c r="AS116" s="77"/>
      <c r="AT116" s="77"/>
      <c r="AU116" s="77"/>
      <c r="AV116" s="77"/>
      <c r="AW116" s="77"/>
      <c r="AX116" s="77"/>
      <c r="AY116" s="77"/>
      <c r="AZ116" s="77"/>
      <c r="BA116" s="77"/>
      <c r="BB116" s="77"/>
      <c r="BC116" s="77"/>
      <c r="BD116" s="77"/>
      <c r="BE116" s="77"/>
      <c r="BF116" s="77"/>
      <c r="BG116" s="77"/>
      <c r="BH116" s="77"/>
      <c r="BI116" s="77"/>
      <c r="BJ116" s="77"/>
      <c r="BK116" s="77"/>
      <c r="BL116" s="77"/>
      <c r="BM116" s="77"/>
      <c r="BN116" s="77"/>
      <c r="BO116" s="77"/>
      <c r="BP116" s="77"/>
      <c r="BQ116" s="77"/>
      <c r="BR116" s="77"/>
      <c r="BS116" s="77"/>
      <c r="BT116" s="77"/>
      <c r="BU116" s="77"/>
      <c r="BV116" s="77"/>
      <c r="BW116" s="77"/>
      <c r="BX116" s="77"/>
      <c r="BY116" s="77"/>
      <c r="BZ116" s="77"/>
      <c r="CA116" s="77"/>
      <c r="CB116" s="77"/>
      <c r="CC116" s="77"/>
      <c r="CD116" s="77"/>
      <c r="CE116" s="77"/>
      <c r="CF116" s="77"/>
      <c r="CG116" s="77"/>
      <c r="CH116" s="77"/>
      <c r="CI116" s="77"/>
      <c r="CJ116" s="77"/>
      <c r="CK116" s="77"/>
      <c r="CL116" s="77"/>
      <c r="CM116" s="77"/>
      <c r="CN116" s="77"/>
      <c r="CO116" s="77"/>
      <c r="CP116" s="77"/>
      <c r="CQ116" s="77"/>
      <c r="CR116" s="77"/>
      <c r="CS116" s="77"/>
      <c r="CT116" s="77"/>
      <c r="CU116" s="77"/>
      <c r="CV116" s="77"/>
      <c r="CW116" s="77"/>
      <c r="CX116" s="77"/>
      <c r="CY116" s="77"/>
      <c r="CZ116" s="77"/>
      <c r="DA116" s="77"/>
      <c r="DB116" s="77"/>
      <c r="DC116" s="77"/>
      <c r="DD116" s="77"/>
      <c r="DE116" s="77"/>
      <c r="DF116" s="77"/>
      <c r="DG116" s="77"/>
      <c r="DH116" s="77"/>
      <c r="DI116" s="77"/>
      <c r="DJ116" s="77"/>
      <c r="DK116" s="77"/>
      <c r="DL116" s="77"/>
      <c r="DM116" s="77"/>
      <c r="DN116" s="77"/>
      <c r="DO116" s="77"/>
      <c r="DP116" s="77"/>
      <c r="DQ116" s="77"/>
      <c r="DR116" s="77"/>
      <c r="DS116" s="77"/>
      <c r="DT116" s="77"/>
      <c r="DU116" s="77"/>
      <c r="DV116" s="77"/>
      <c r="DW116" s="77"/>
      <c r="DX116" s="77"/>
      <c r="DY116" s="77"/>
      <c r="DZ116" s="77"/>
      <c r="EA116" s="77"/>
      <c r="EB116" s="77"/>
      <c r="EC116" s="77"/>
      <c r="ED116" s="77"/>
      <c r="EE116" s="77"/>
      <c r="EF116" s="77"/>
      <c r="EG116" s="77"/>
      <c r="EH116" s="77"/>
      <c r="EI116" s="77"/>
      <c r="EJ116" s="77"/>
      <c r="EK116" s="77"/>
      <c r="EL116" s="77"/>
      <c r="EM116" s="77"/>
      <c r="EN116" s="77"/>
      <c r="EO116" s="77"/>
      <c r="EP116" s="77"/>
      <c r="EQ116" s="77"/>
      <c r="ER116" s="77"/>
      <c r="ES116" s="77"/>
      <c r="ET116" s="77"/>
      <c r="EU116" s="77"/>
      <c r="EV116" s="77"/>
      <c r="EW116" s="77"/>
      <c r="EX116" s="77"/>
      <c r="EY116" s="77"/>
      <c r="EZ116" s="77"/>
      <c r="FA116" s="77"/>
      <c r="FB116" s="77"/>
      <c r="FC116" s="77"/>
      <c r="FD116" s="77"/>
      <c r="FE116" s="77"/>
      <c r="FF116" s="77"/>
      <c r="FG116" s="77"/>
      <c r="FH116" s="77"/>
      <c r="FI116" s="77"/>
      <c r="FJ116" s="77"/>
      <c r="FK116" s="77"/>
      <c r="FL116" s="77"/>
      <c r="FM116" s="77"/>
      <c r="FN116" s="77"/>
      <c r="FO116" s="77"/>
      <c r="FP116" s="77"/>
      <c r="FQ116" s="77"/>
      <c r="FR116" s="77"/>
      <c r="FS116" s="77"/>
      <c r="FT116" s="77"/>
      <c r="FU116" s="77"/>
      <c r="FV116" s="77"/>
      <c r="FW116" s="77"/>
      <c r="FX116" s="77"/>
      <c r="FY116" s="77"/>
      <c r="FZ116" s="77"/>
      <c r="GA116" s="77"/>
      <c r="GB116" s="77"/>
      <c r="GC116" s="77"/>
      <c r="GD116" s="77"/>
      <c r="GE116" s="77"/>
      <c r="GF116" s="77"/>
      <c r="GG116" s="77"/>
      <c r="GH116" s="77"/>
      <c r="GI116" s="77"/>
      <c r="GJ116" s="77"/>
      <c r="GK116" s="77"/>
      <c r="GL116" s="77"/>
      <c r="GM116" s="77"/>
      <c r="GN116" s="77"/>
      <c r="GO116" s="77"/>
      <c r="GP116" s="77"/>
      <c r="GQ116" s="77"/>
      <c r="GR116" s="77"/>
      <c r="GS116" s="77"/>
      <c r="GT116" s="77"/>
      <c r="GU116" s="77"/>
      <c r="GV116" s="77"/>
      <c r="GW116" s="77"/>
      <c r="GX116" s="77"/>
      <c r="GY116" s="77"/>
      <c r="GZ116" s="77"/>
      <c r="HA116" s="77"/>
      <c r="HB116" s="77"/>
      <c r="HC116" s="77"/>
      <c r="HD116" s="77"/>
      <c r="HE116" s="77"/>
      <c r="HF116" s="77"/>
      <c r="HG116" s="77"/>
      <c r="HH116" s="77"/>
      <c r="HI116" s="77"/>
      <c r="HJ116" s="77"/>
      <c r="HK116" s="77"/>
      <c r="HL116" s="77"/>
      <c r="HM116" s="77"/>
      <c r="HN116" s="77"/>
      <c r="HO116" s="77"/>
      <c r="HP116" s="77"/>
      <c r="HQ116" s="77"/>
    </row>
    <row r="117" spans="1:225" hidden="1" x14ac:dyDescent="0.3">
      <c r="A117" s="78">
        <f>'Entrada datos'!C114</f>
        <v>0</v>
      </c>
      <c r="B117" s="74">
        <f>'Entrada datos'!D114</f>
        <v>0</v>
      </c>
      <c r="C117" s="75">
        <f>'Entrada datos'!G114</f>
        <v>0</v>
      </c>
      <c r="D117" s="75">
        <f>'Entrada datos'!H114</f>
        <v>0</v>
      </c>
      <c r="E117" s="74">
        <f t="shared" si="4"/>
        <v>0</v>
      </c>
      <c r="F117" s="68" t="str">
        <f t="shared" si="5"/>
        <v>no procede</v>
      </c>
      <c r="G117" s="74">
        <f>'Entrada datos'!P114</f>
        <v>0</v>
      </c>
      <c r="H117" s="74">
        <f>'Entrada datos'!Q114</f>
        <v>0</v>
      </c>
      <c r="I117" s="74">
        <f>'Entrada datos'!R114</f>
        <v>0</v>
      </c>
      <c r="J117" s="74">
        <f>'Entrada datos'!S114</f>
        <v>0</v>
      </c>
      <c r="K117" s="74">
        <f>'Entrada datos'!T114</f>
        <v>0</v>
      </c>
      <c r="L117" s="74">
        <f>'Entrada datos'!U114</f>
        <v>0</v>
      </c>
      <c r="M117" s="76"/>
      <c r="N117" s="76"/>
      <c r="O117" s="76"/>
      <c r="P117" s="76"/>
      <c r="Q117" s="76"/>
      <c r="R117" s="76"/>
      <c r="S117" s="77" t="s">
        <v>74</v>
      </c>
      <c r="T117" s="77"/>
      <c r="U117" s="77"/>
      <c r="V117" s="77">
        <f t="shared" si="6"/>
        <v>0</v>
      </c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  <c r="AI117" s="77"/>
      <c r="AJ117" s="77"/>
      <c r="AK117" s="77"/>
      <c r="AL117" s="77"/>
      <c r="AM117" s="77"/>
      <c r="AN117" s="77"/>
      <c r="AO117" s="77"/>
      <c r="AP117" s="77"/>
      <c r="AQ117" s="77"/>
      <c r="AR117" s="77"/>
      <c r="AS117" s="77"/>
      <c r="AT117" s="77"/>
      <c r="AU117" s="77"/>
      <c r="AV117" s="77"/>
      <c r="AW117" s="77"/>
      <c r="AX117" s="77"/>
      <c r="AY117" s="77"/>
      <c r="AZ117" s="77"/>
      <c r="BA117" s="77"/>
      <c r="BB117" s="77"/>
      <c r="BC117" s="77"/>
      <c r="BD117" s="77"/>
      <c r="BE117" s="77"/>
      <c r="BF117" s="77"/>
      <c r="BG117" s="77"/>
      <c r="BH117" s="77"/>
      <c r="BI117" s="77"/>
      <c r="BJ117" s="77"/>
      <c r="BK117" s="77"/>
      <c r="BL117" s="77"/>
      <c r="BM117" s="77"/>
      <c r="BN117" s="77"/>
      <c r="BO117" s="77"/>
      <c r="BP117" s="77"/>
      <c r="BQ117" s="77"/>
      <c r="BR117" s="77"/>
      <c r="BS117" s="77"/>
      <c r="BT117" s="77"/>
      <c r="BU117" s="77"/>
      <c r="BV117" s="77"/>
      <c r="BW117" s="77"/>
      <c r="BX117" s="77"/>
      <c r="BY117" s="77"/>
      <c r="BZ117" s="77"/>
      <c r="CA117" s="77"/>
      <c r="CB117" s="77"/>
      <c r="CC117" s="77"/>
      <c r="CD117" s="77"/>
      <c r="CE117" s="77"/>
      <c r="CF117" s="77"/>
      <c r="CG117" s="77"/>
      <c r="CH117" s="77"/>
      <c r="CI117" s="77"/>
      <c r="CJ117" s="77"/>
      <c r="CK117" s="77"/>
      <c r="CL117" s="77"/>
      <c r="CM117" s="77"/>
      <c r="CN117" s="77"/>
      <c r="CO117" s="77"/>
      <c r="CP117" s="77"/>
      <c r="CQ117" s="77"/>
      <c r="CR117" s="77"/>
      <c r="CS117" s="77"/>
      <c r="CT117" s="77"/>
      <c r="CU117" s="77"/>
      <c r="CV117" s="77"/>
      <c r="CW117" s="77"/>
      <c r="CX117" s="77"/>
      <c r="CY117" s="77"/>
      <c r="CZ117" s="77"/>
      <c r="DA117" s="77"/>
      <c r="DB117" s="77"/>
      <c r="DC117" s="77"/>
      <c r="DD117" s="77"/>
      <c r="DE117" s="77"/>
      <c r="DF117" s="77"/>
      <c r="DG117" s="77"/>
      <c r="DH117" s="77"/>
      <c r="DI117" s="77"/>
      <c r="DJ117" s="77"/>
      <c r="DK117" s="77"/>
      <c r="DL117" s="77"/>
      <c r="DM117" s="77"/>
      <c r="DN117" s="77"/>
      <c r="DO117" s="77"/>
      <c r="DP117" s="77"/>
      <c r="DQ117" s="77"/>
      <c r="DR117" s="77"/>
      <c r="DS117" s="77"/>
      <c r="DT117" s="77"/>
      <c r="DU117" s="77"/>
      <c r="DV117" s="77"/>
      <c r="DW117" s="77"/>
      <c r="DX117" s="77"/>
      <c r="DY117" s="77"/>
      <c r="DZ117" s="77"/>
      <c r="EA117" s="77"/>
      <c r="EB117" s="77"/>
      <c r="EC117" s="77"/>
      <c r="ED117" s="77"/>
      <c r="EE117" s="77"/>
      <c r="EF117" s="77"/>
      <c r="EG117" s="77"/>
      <c r="EH117" s="77"/>
      <c r="EI117" s="77"/>
      <c r="EJ117" s="77"/>
      <c r="EK117" s="77"/>
      <c r="EL117" s="77"/>
      <c r="EM117" s="77"/>
      <c r="EN117" s="77"/>
      <c r="EO117" s="77"/>
      <c r="EP117" s="77"/>
      <c r="EQ117" s="77"/>
      <c r="ER117" s="77"/>
      <c r="ES117" s="77"/>
      <c r="ET117" s="77"/>
      <c r="EU117" s="77"/>
      <c r="EV117" s="77"/>
      <c r="EW117" s="77"/>
      <c r="EX117" s="77"/>
      <c r="EY117" s="77"/>
      <c r="EZ117" s="77"/>
      <c r="FA117" s="77"/>
      <c r="FB117" s="77"/>
      <c r="FC117" s="77"/>
      <c r="FD117" s="77"/>
      <c r="FE117" s="77"/>
      <c r="FF117" s="77"/>
      <c r="FG117" s="77"/>
      <c r="FH117" s="77"/>
      <c r="FI117" s="77"/>
      <c r="FJ117" s="77"/>
      <c r="FK117" s="77"/>
      <c r="FL117" s="77"/>
      <c r="FM117" s="77"/>
      <c r="FN117" s="77"/>
      <c r="FO117" s="77"/>
      <c r="FP117" s="77"/>
      <c r="FQ117" s="77"/>
      <c r="FR117" s="77"/>
      <c r="FS117" s="77"/>
      <c r="FT117" s="77"/>
      <c r="FU117" s="77"/>
      <c r="FV117" s="77"/>
      <c r="FW117" s="77"/>
      <c r="FX117" s="77"/>
      <c r="FY117" s="77"/>
      <c r="FZ117" s="77"/>
      <c r="GA117" s="77"/>
      <c r="GB117" s="77"/>
      <c r="GC117" s="77"/>
      <c r="GD117" s="77"/>
      <c r="GE117" s="77"/>
      <c r="GF117" s="77"/>
      <c r="GG117" s="77"/>
      <c r="GH117" s="77"/>
      <c r="GI117" s="77"/>
      <c r="GJ117" s="77"/>
      <c r="GK117" s="77"/>
      <c r="GL117" s="77"/>
      <c r="GM117" s="77"/>
      <c r="GN117" s="77"/>
      <c r="GO117" s="77"/>
      <c r="GP117" s="77"/>
      <c r="GQ117" s="77"/>
      <c r="GR117" s="77"/>
      <c r="GS117" s="77"/>
      <c r="GT117" s="77"/>
      <c r="GU117" s="77"/>
      <c r="GV117" s="77"/>
      <c r="GW117" s="77"/>
      <c r="GX117" s="77"/>
      <c r="GY117" s="77"/>
      <c r="GZ117" s="77"/>
      <c r="HA117" s="77"/>
      <c r="HB117" s="77"/>
      <c r="HC117" s="77"/>
      <c r="HD117" s="77"/>
      <c r="HE117" s="77"/>
      <c r="HF117" s="77"/>
      <c r="HG117" s="77"/>
      <c r="HH117" s="77"/>
      <c r="HI117" s="77"/>
      <c r="HJ117" s="77"/>
      <c r="HK117" s="77"/>
      <c r="HL117" s="77"/>
      <c r="HM117" s="77"/>
      <c r="HN117" s="77"/>
      <c r="HO117" s="77"/>
      <c r="HP117" s="77"/>
      <c r="HQ117" s="77"/>
    </row>
    <row r="118" spans="1:225" hidden="1" x14ac:dyDescent="0.3">
      <c r="A118" s="78">
        <f>'Entrada datos'!C115</f>
        <v>0</v>
      </c>
      <c r="B118" s="74">
        <f>'Entrada datos'!D115</f>
        <v>0</v>
      </c>
      <c r="C118" s="75">
        <f>'Entrada datos'!G115</f>
        <v>0</v>
      </c>
      <c r="D118" s="75">
        <f>'Entrada datos'!H115</f>
        <v>0</v>
      </c>
      <c r="E118" s="74">
        <f t="shared" si="4"/>
        <v>0</v>
      </c>
      <c r="F118" s="68" t="str">
        <f t="shared" si="5"/>
        <v>no procede</v>
      </c>
      <c r="G118" s="74">
        <f>'Entrada datos'!P115</f>
        <v>0</v>
      </c>
      <c r="H118" s="74">
        <f>'Entrada datos'!Q115</f>
        <v>0</v>
      </c>
      <c r="I118" s="74">
        <f>'Entrada datos'!R115</f>
        <v>0</v>
      </c>
      <c r="J118" s="74">
        <f>'Entrada datos'!S115</f>
        <v>0</v>
      </c>
      <c r="K118" s="74">
        <f>'Entrada datos'!T115</f>
        <v>0</v>
      </c>
      <c r="L118" s="74">
        <f>'Entrada datos'!U115</f>
        <v>0</v>
      </c>
      <c r="M118" s="76"/>
      <c r="N118" s="76"/>
      <c r="O118" s="76"/>
      <c r="P118" s="76"/>
      <c r="Q118" s="76"/>
      <c r="R118" s="76"/>
      <c r="S118" s="77" t="s">
        <v>74</v>
      </c>
      <c r="T118" s="77"/>
      <c r="U118" s="77"/>
      <c r="V118" s="77">
        <f t="shared" si="6"/>
        <v>0</v>
      </c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  <c r="AI118" s="77"/>
      <c r="AJ118" s="77"/>
      <c r="AK118" s="77"/>
      <c r="AL118" s="77"/>
      <c r="AM118" s="77"/>
      <c r="AN118" s="77"/>
      <c r="AO118" s="77"/>
      <c r="AP118" s="77"/>
      <c r="AQ118" s="77"/>
      <c r="AR118" s="77"/>
      <c r="AS118" s="77"/>
      <c r="AT118" s="77"/>
      <c r="AU118" s="77"/>
      <c r="AV118" s="77"/>
      <c r="AW118" s="77"/>
      <c r="AX118" s="77"/>
      <c r="AY118" s="77"/>
      <c r="AZ118" s="77"/>
      <c r="BA118" s="77"/>
      <c r="BB118" s="77"/>
      <c r="BC118" s="77"/>
      <c r="BD118" s="77"/>
      <c r="BE118" s="77"/>
      <c r="BF118" s="77"/>
      <c r="BG118" s="77"/>
      <c r="BH118" s="77"/>
      <c r="BI118" s="77"/>
      <c r="BJ118" s="77"/>
      <c r="BK118" s="77"/>
      <c r="BL118" s="77"/>
      <c r="BM118" s="77"/>
      <c r="BN118" s="77"/>
      <c r="BO118" s="77"/>
      <c r="BP118" s="77"/>
      <c r="BQ118" s="77"/>
      <c r="BR118" s="77"/>
      <c r="BS118" s="77"/>
      <c r="BT118" s="77"/>
      <c r="BU118" s="77"/>
      <c r="BV118" s="77"/>
      <c r="BW118" s="77"/>
      <c r="BX118" s="77"/>
      <c r="BY118" s="77"/>
      <c r="BZ118" s="77"/>
      <c r="CA118" s="77"/>
      <c r="CB118" s="77"/>
      <c r="CC118" s="77"/>
      <c r="CD118" s="77"/>
      <c r="CE118" s="77"/>
      <c r="CF118" s="77"/>
      <c r="CG118" s="77"/>
      <c r="CH118" s="77"/>
      <c r="CI118" s="77"/>
      <c r="CJ118" s="77"/>
      <c r="CK118" s="77"/>
      <c r="CL118" s="77"/>
      <c r="CM118" s="77"/>
      <c r="CN118" s="77"/>
      <c r="CO118" s="77"/>
      <c r="CP118" s="77"/>
      <c r="CQ118" s="77"/>
      <c r="CR118" s="77"/>
      <c r="CS118" s="77"/>
      <c r="CT118" s="77"/>
      <c r="CU118" s="77"/>
      <c r="CV118" s="77"/>
      <c r="CW118" s="77"/>
      <c r="CX118" s="77"/>
      <c r="CY118" s="77"/>
      <c r="CZ118" s="77"/>
      <c r="DA118" s="77"/>
      <c r="DB118" s="77"/>
      <c r="DC118" s="77"/>
      <c r="DD118" s="77"/>
      <c r="DE118" s="77"/>
      <c r="DF118" s="77"/>
      <c r="DG118" s="77"/>
      <c r="DH118" s="77"/>
      <c r="DI118" s="77"/>
      <c r="DJ118" s="77"/>
      <c r="DK118" s="77"/>
      <c r="DL118" s="77"/>
      <c r="DM118" s="77"/>
      <c r="DN118" s="77"/>
      <c r="DO118" s="77"/>
      <c r="DP118" s="77"/>
      <c r="DQ118" s="77"/>
      <c r="DR118" s="77"/>
      <c r="DS118" s="77"/>
      <c r="DT118" s="77"/>
      <c r="DU118" s="77"/>
      <c r="DV118" s="77"/>
      <c r="DW118" s="77"/>
      <c r="DX118" s="77"/>
      <c r="DY118" s="77"/>
      <c r="DZ118" s="77"/>
      <c r="EA118" s="77"/>
      <c r="EB118" s="77"/>
      <c r="EC118" s="77"/>
      <c r="ED118" s="77"/>
      <c r="EE118" s="77"/>
      <c r="EF118" s="77"/>
      <c r="EG118" s="77"/>
      <c r="EH118" s="77"/>
      <c r="EI118" s="77"/>
      <c r="EJ118" s="77"/>
      <c r="EK118" s="77"/>
      <c r="EL118" s="77"/>
      <c r="EM118" s="77"/>
      <c r="EN118" s="77"/>
      <c r="EO118" s="77"/>
      <c r="EP118" s="77"/>
      <c r="EQ118" s="77"/>
      <c r="ER118" s="77"/>
      <c r="ES118" s="77"/>
      <c r="ET118" s="77"/>
      <c r="EU118" s="77"/>
      <c r="EV118" s="77"/>
      <c r="EW118" s="77"/>
      <c r="EX118" s="77"/>
      <c r="EY118" s="77"/>
      <c r="EZ118" s="77"/>
      <c r="FA118" s="77"/>
      <c r="FB118" s="77"/>
      <c r="FC118" s="77"/>
      <c r="FD118" s="77"/>
      <c r="FE118" s="77"/>
      <c r="FF118" s="77"/>
      <c r="FG118" s="77"/>
      <c r="FH118" s="77"/>
      <c r="FI118" s="77"/>
      <c r="FJ118" s="77"/>
      <c r="FK118" s="77"/>
      <c r="FL118" s="77"/>
      <c r="FM118" s="77"/>
      <c r="FN118" s="77"/>
      <c r="FO118" s="77"/>
      <c r="FP118" s="77"/>
      <c r="FQ118" s="77"/>
      <c r="FR118" s="77"/>
      <c r="FS118" s="77"/>
      <c r="FT118" s="77"/>
      <c r="FU118" s="77"/>
      <c r="FV118" s="77"/>
      <c r="FW118" s="77"/>
      <c r="FX118" s="77"/>
      <c r="FY118" s="77"/>
      <c r="FZ118" s="77"/>
      <c r="GA118" s="77"/>
      <c r="GB118" s="77"/>
      <c r="GC118" s="77"/>
      <c r="GD118" s="77"/>
      <c r="GE118" s="77"/>
      <c r="GF118" s="77"/>
      <c r="GG118" s="77"/>
      <c r="GH118" s="77"/>
      <c r="GI118" s="77"/>
      <c r="GJ118" s="77"/>
      <c r="GK118" s="77"/>
      <c r="GL118" s="77"/>
      <c r="GM118" s="77"/>
      <c r="GN118" s="77"/>
      <c r="GO118" s="77"/>
      <c r="GP118" s="77"/>
      <c r="GQ118" s="77"/>
      <c r="GR118" s="77"/>
      <c r="GS118" s="77"/>
      <c r="GT118" s="77"/>
      <c r="GU118" s="77"/>
      <c r="GV118" s="77"/>
      <c r="GW118" s="77"/>
      <c r="GX118" s="77"/>
      <c r="GY118" s="77"/>
      <c r="GZ118" s="77"/>
      <c r="HA118" s="77"/>
      <c r="HB118" s="77"/>
      <c r="HC118" s="77"/>
      <c r="HD118" s="77"/>
      <c r="HE118" s="77"/>
      <c r="HF118" s="77"/>
      <c r="HG118" s="77"/>
      <c r="HH118" s="77"/>
      <c r="HI118" s="77"/>
      <c r="HJ118" s="77"/>
      <c r="HK118" s="77"/>
      <c r="HL118" s="77"/>
      <c r="HM118" s="77"/>
      <c r="HN118" s="77"/>
      <c r="HO118" s="77"/>
      <c r="HP118" s="77"/>
      <c r="HQ118" s="77"/>
    </row>
    <row r="119" spans="1:225" hidden="1" x14ac:dyDescent="0.3">
      <c r="A119" s="78">
        <f>'Entrada datos'!C116</f>
        <v>0</v>
      </c>
      <c r="B119" s="74">
        <f>'Entrada datos'!D116</f>
        <v>0</v>
      </c>
      <c r="C119" s="75">
        <f>'Entrada datos'!G116</f>
        <v>0</v>
      </c>
      <c r="D119" s="75">
        <f>'Entrada datos'!H116</f>
        <v>0</v>
      </c>
      <c r="E119" s="74">
        <f t="shared" si="4"/>
        <v>0</v>
      </c>
      <c r="F119" s="68" t="str">
        <f t="shared" si="5"/>
        <v>no procede</v>
      </c>
      <c r="G119" s="74">
        <f>'Entrada datos'!P116</f>
        <v>0</v>
      </c>
      <c r="H119" s="74">
        <f>'Entrada datos'!Q116</f>
        <v>0</v>
      </c>
      <c r="I119" s="74">
        <f>'Entrada datos'!R116</f>
        <v>0</v>
      </c>
      <c r="J119" s="74">
        <f>'Entrada datos'!S116</f>
        <v>0</v>
      </c>
      <c r="K119" s="74">
        <f>'Entrada datos'!T116</f>
        <v>0</v>
      </c>
      <c r="L119" s="74">
        <f>'Entrada datos'!U116</f>
        <v>0</v>
      </c>
      <c r="M119" s="76"/>
      <c r="N119" s="76"/>
      <c r="O119" s="76"/>
      <c r="P119" s="76"/>
      <c r="Q119" s="76"/>
      <c r="R119" s="76"/>
      <c r="S119" s="77" t="s">
        <v>74</v>
      </c>
      <c r="T119" s="77"/>
      <c r="U119" s="77"/>
      <c r="V119" s="77">
        <f t="shared" si="6"/>
        <v>0</v>
      </c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  <c r="AI119" s="77"/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  <c r="AW119" s="77"/>
      <c r="AX119" s="77"/>
      <c r="AY119" s="77"/>
      <c r="AZ119" s="77"/>
      <c r="BA119" s="77"/>
      <c r="BB119" s="77"/>
      <c r="BC119" s="77"/>
      <c r="BD119" s="77"/>
      <c r="BE119" s="77"/>
      <c r="BF119" s="77"/>
      <c r="BG119" s="77"/>
      <c r="BH119" s="77"/>
      <c r="BI119" s="77"/>
      <c r="BJ119" s="77"/>
      <c r="BK119" s="77"/>
      <c r="BL119" s="77"/>
      <c r="BM119" s="77"/>
      <c r="BN119" s="77"/>
      <c r="BO119" s="77"/>
      <c r="BP119" s="77"/>
      <c r="BQ119" s="77"/>
      <c r="BR119" s="77"/>
      <c r="BS119" s="77"/>
      <c r="BT119" s="77"/>
      <c r="BU119" s="77"/>
      <c r="BV119" s="77"/>
      <c r="BW119" s="77"/>
      <c r="BX119" s="77"/>
      <c r="BY119" s="77"/>
      <c r="BZ119" s="77"/>
      <c r="CA119" s="77"/>
      <c r="CB119" s="77"/>
      <c r="CC119" s="77"/>
      <c r="CD119" s="77"/>
      <c r="CE119" s="77"/>
      <c r="CF119" s="77"/>
      <c r="CG119" s="77"/>
      <c r="CH119" s="77"/>
      <c r="CI119" s="77"/>
      <c r="CJ119" s="77"/>
      <c r="CK119" s="77"/>
      <c r="CL119" s="77"/>
      <c r="CM119" s="77"/>
      <c r="CN119" s="77"/>
      <c r="CO119" s="77"/>
      <c r="CP119" s="77"/>
      <c r="CQ119" s="77"/>
      <c r="CR119" s="77"/>
      <c r="CS119" s="77"/>
      <c r="CT119" s="77"/>
      <c r="CU119" s="77"/>
      <c r="CV119" s="77"/>
      <c r="CW119" s="77"/>
      <c r="CX119" s="77"/>
      <c r="CY119" s="77"/>
      <c r="CZ119" s="77"/>
      <c r="DA119" s="77"/>
      <c r="DB119" s="77"/>
      <c r="DC119" s="77"/>
      <c r="DD119" s="77"/>
      <c r="DE119" s="77"/>
      <c r="DF119" s="77"/>
      <c r="DG119" s="77"/>
      <c r="DH119" s="77"/>
      <c r="DI119" s="77"/>
      <c r="DJ119" s="77"/>
      <c r="DK119" s="77"/>
      <c r="DL119" s="77"/>
      <c r="DM119" s="77"/>
      <c r="DN119" s="77"/>
      <c r="DO119" s="77"/>
      <c r="DP119" s="77"/>
      <c r="DQ119" s="77"/>
      <c r="DR119" s="77"/>
      <c r="DS119" s="77"/>
      <c r="DT119" s="77"/>
      <c r="DU119" s="77"/>
      <c r="DV119" s="77"/>
      <c r="DW119" s="77"/>
      <c r="DX119" s="77"/>
      <c r="DY119" s="77"/>
      <c r="DZ119" s="77"/>
      <c r="EA119" s="77"/>
      <c r="EB119" s="77"/>
      <c r="EC119" s="77"/>
      <c r="ED119" s="77"/>
      <c r="EE119" s="77"/>
      <c r="EF119" s="77"/>
      <c r="EG119" s="77"/>
      <c r="EH119" s="77"/>
      <c r="EI119" s="77"/>
      <c r="EJ119" s="77"/>
      <c r="EK119" s="77"/>
      <c r="EL119" s="77"/>
      <c r="EM119" s="77"/>
      <c r="EN119" s="77"/>
      <c r="EO119" s="77"/>
      <c r="EP119" s="77"/>
      <c r="EQ119" s="77"/>
      <c r="ER119" s="77"/>
      <c r="ES119" s="77"/>
      <c r="ET119" s="77"/>
      <c r="EU119" s="77"/>
      <c r="EV119" s="77"/>
      <c r="EW119" s="77"/>
      <c r="EX119" s="77"/>
      <c r="EY119" s="77"/>
      <c r="EZ119" s="77"/>
      <c r="FA119" s="77"/>
      <c r="FB119" s="77"/>
      <c r="FC119" s="77"/>
      <c r="FD119" s="77"/>
      <c r="FE119" s="77"/>
      <c r="FF119" s="77"/>
      <c r="FG119" s="77"/>
      <c r="FH119" s="77"/>
      <c r="FI119" s="77"/>
      <c r="FJ119" s="77"/>
      <c r="FK119" s="77"/>
      <c r="FL119" s="77"/>
      <c r="FM119" s="77"/>
      <c r="FN119" s="77"/>
      <c r="FO119" s="77"/>
      <c r="FP119" s="77"/>
      <c r="FQ119" s="77"/>
      <c r="FR119" s="77"/>
      <c r="FS119" s="77"/>
      <c r="FT119" s="77"/>
      <c r="FU119" s="77"/>
      <c r="FV119" s="77"/>
      <c r="FW119" s="77"/>
      <c r="FX119" s="77"/>
      <c r="FY119" s="77"/>
      <c r="FZ119" s="77"/>
      <c r="GA119" s="77"/>
      <c r="GB119" s="77"/>
      <c r="GC119" s="77"/>
      <c r="GD119" s="77"/>
      <c r="GE119" s="77"/>
      <c r="GF119" s="77"/>
      <c r="GG119" s="77"/>
      <c r="GH119" s="77"/>
      <c r="GI119" s="77"/>
      <c r="GJ119" s="77"/>
      <c r="GK119" s="77"/>
      <c r="GL119" s="77"/>
      <c r="GM119" s="77"/>
      <c r="GN119" s="77"/>
      <c r="GO119" s="77"/>
      <c r="GP119" s="77"/>
      <c r="GQ119" s="77"/>
      <c r="GR119" s="77"/>
      <c r="GS119" s="77"/>
      <c r="GT119" s="77"/>
      <c r="GU119" s="77"/>
      <c r="GV119" s="77"/>
      <c r="GW119" s="77"/>
      <c r="GX119" s="77"/>
      <c r="GY119" s="77"/>
      <c r="GZ119" s="77"/>
      <c r="HA119" s="77"/>
      <c r="HB119" s="77"/>
      <c r="HC119" s="77"/>
      <c r="HD119" s="77"/>
      <c r="HE119" s="77"/>
      <c r="HF119" s="77"/>
      <c r="HG119" s="77"/>
      <c r="HH119" s="77"/>
      <c r="HI119" s="77"/>
      <c r="HJ119" s="77"/>
      <c r="HK119" s="77"/>
      <c r="HL119" s="77"/>
      <c r="HM119" s="77"/>
      <c r="HN119" s="77"/>
      <c r="HO119" s="77"/>
      <c r="HP119" s="77"/>
      <c r="HQ119" s="77"/>
    </row>
    <row r="120" spans="1:225" hidden="1" x14ac:dyDescent="0.3">
      <c r="A120" s="78">
        <f>'Entrada datos'!C117</f>
        <v>0</v>
      </c>
      <c r="B120" s="74">
        <f>'Entrada datos'!D117</f>
        <v>0</v>
      </c>
      <c r="C120" s="75">
        <f>'Entrada datos'!G117</f>
        <v>0</v>
      </c>
      <c r="D120" s="75">
        <f>'Entrada datos'!H117</f>
        <v>0</v>
      </c>
      <c r="E120" s="74">
        <f t="shared" si="4"/>
        <v>0</v>
      </c>
      <c r="F120" s="68" t="str">
        <f t="shared" si="5"/>
        <v>no procede</v>
      </c>
      <c r="G120" s="74">
        <f>'Entrada datos'!P117</f>
        <v>0</v>
      </c>
      <c r="H120" s="74">
        <f>'Entrada datos'!Q117</f>
        <v>0</v>
      </c>
      <c r="I120" s="74">
        <f>'Entrada datos'!R117</f>
        <v>0</v>
      </c>
      <c r="J120" s="74">
        <f>'Entrada datos'!S117</f>
        <v>0</v>
      </c>
      <c r="K120" s="74">
        <f>'Entrada datos'!T117</f>
        <v>0</v>
      </c>
      <c r="L120" s="74">
        <f>'Entrada datos'!U117</f>
        <v>0</v>
      </c>
      <c r="M120" s="76"/>
      <c r="N120" s="76"/>
      <c r="O120" s="76"/>
      <c r="P120" s="76"/>
      <c r="Q120" s="76"/>
      <c r="R120" s="76"/>
      <c r="S120" s="77" t="s">
        <v>74</v>
      </c>
      <c r="T120" s="77"/>
      <c r="U120" s="77"/>
      <c r="V120" s="77">
        <f t="shared" si="6"/>
        <v>0</v>
      </c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  <c r="AI120" s="77"/>
      <c r="AJ120" s="77"/>
      <c r="AK120" s="77"/>
      <c r="AL120" s="77"/>
      <c r="AM120" s="77"/>
      <c r="AN120" s="77"/>
      <c r="AO120" s="77"/>
      <c r="AP120" s="77"/>
      <c r="AQ120" s="77"/>
      <c r="AR120" s="77"/>
      <c r="AS120" s="77"/>
      <c r="AT120" s="77"/>
      <c r="AU120" s="77"/>
      <c r="AV120" s="77"/>
      <c r="AW120" s="77"/>
      <c r="AX120" s="77"/>
      <c r="AY120" s="77"/>
      <c r="AZ120" s="77"/>
      <c r="BA120" s="77"/>
      <c r="BB120" s="77"/>
      <c r="BC120" s="77"/>
      <c r="BD120" s="77"/>
      <c r="BE120" s="77"/>
      <c r="BF120" s="77"/>
      <c r="BG120" s="77"/>
      <c r="BH120" s="77"/>
      <c r="BI120" s="77"/>
      <c r="BJ120" s="77"/>
      <c r="BK120" s="77"/>
      <c r="BL120" s="77"/>
      <c r="BM120" s="77"/>
      <c r="BN120" s="77"/>
      <c r="BO120" s="77"/>
      <c r="BP120" s="77"/>
      <c r="BQ120" s="77"/>
      <c r="BR120" s="77"/>
      <c r="BS120" s="77"/>
      <c r="BT120" s="77"/>
      <c r="BU120" s="77"/>
      <c r="BV120" s="77"/>
      <c r="BW120" s="77"/>
      <c r="BX120" s="77"/>
      <c r="BY120" s="77"/>
      <c r="BZ120" s="77"/>
      <c r="CA120" s="77"/>
      <c r="CB120" s="77"/>
      <c r="CC120" s="77"/>
      <c r="CD120" s="77"/>
      <c r="CE120" s="77"/>
      <c r="CF120" s="77"/>
      <c r="CG120" s="77"/>
      <c r="CH120" s="77"/>
      <c r="CI120" s="77"/>
      <c r="CJ120" s="77"/>
      <c r="CK120" s="77"/>
      <c r="CL120" s="77"/>
      <c r="CM120" s="77"/>
      <c r="CN120" s="77"/>
      <c r="CO120" s="77"/>
      <c r="CP120" s="77"/>
      <c r="CQ120" s="77"/>
      <c r="CR120" s="77"/>
      <c r="CS120" s="77"/>
      <c r="CT120" s="77"/>
      <c r="CU120" s="77"/>
      <c r="CV120" s="77"/>
      <c r="CW120" s="77"/>
      <c r="CX120" s="77"/>
      <c r="CY120" s="77"/>
      <c r="CZ120" s="77"/>
      <c r="DA120" s="77"/>
      <c r="DB120" s="77"/>
      <c r="DC120" s="77"/>
      <c r="DD120" s="77"/>
      <c r="DE120" s="77"/>
      <c r="DF120" s="77"/>
      <c r="DG120" s="77"/>
      <c r="DH120" s="77"/>
      <c r="DI120" s="77"/>
      <c r="DJ120" s="77"/>
      <c r="DK120" s="77"/>
      <c r="DL120" s="77"/>
      <c r="DM120" s="77"/>
      <c r="DN120" s="77"/>
      <c r="DO120" s="77"/>
      <c r="DP120" s="77"/>
      <c r="DQ120" s="77"/>
      <c r="DR120" s="77"/>
      <c r="DS120" s="77"/>
      <c r="DT120" s="77"/>
      <c r="DU120" s="77"/>
      <c r="DV120" s="77"/>
      <c r="DW120" s="77"/>
      <c r="DX120" s="77"/>
      <c r="DY120" s="77"/>
      <c r="DZ120" s="77"/>
      <c r="EA120" s="77"/>
      <c r="EB120" s="77"/>
      <c r="EC120" s="77"/>
      <c r="ED120" s="77"/>
      <c r="EE120" s="77"/>
      <c r="EF120" s="77"/>
      <c r="EG120" s="77"/>
      <c r="EH120" s="77"/>
      <c r="EI120" s="77"/>
      <c r="EJ120" s="77"/>
      <c r="EK120" s="77"/>
      <c r="EL120" s="77"/>
      <c r="EM120" s="77"/>
      <c r="EN120" s="77"/>
      <c r="EO120" s="77"/>
      <c r="EP120" s="77"/>
      <c r="EQ120" s="77"/>
      <c r="ER120" s="77"/>
      <c r="ES120" s="77"/>
      <c r="ET120" s="77"/>
      <c r="EU120" s="77"/>
      <c r="EV120" s="77"/>
      <c r="EW120" s="77"/>
      <c r="EX120" s="77"/>
      <c r="EY120" s="77"/>
      <c r="EZ120" s="77"/>
      <c r="FA120" s="77"/>
      <c r="FB120" s="77"/>
      <c r="FC120" s="77"/>
      <c r="FD120" s="77"/>
      <c r="FE120" s="77"/>
      <c r="FF120" s="77"/>
      <c r="FG120" s="77"/>
      <c r="FH120" s="77"/>
      <c r="FI120" s="77"/>
      <c r="FJ120" s="77"/>
      <c r="FK120" s="77"/>
      <c r="FL120" s="77"/>
      <c r="FM120" s="77"/>
      <c r="FN120" s="77"/>
      <c r="FO120" s="77"/>
      <c r="FP120" s="77"/>
      <c r="FQ120" s="77"/>
      <c r="FR120" s="77"/>
      <c r="FS120" s="77"/>
      <c r="FT120" s="77"/>
      <c r="FU120" s="77"/>
      <c r="FV120" s="77"/>
      <c r="FW120" s="77"/>
      <c r="FX120" s="77"/>
      <c r="FY120" s="77"/>
      <c r="FZ120" s="77"/>
      <c r="GA120" s="77"/>
      <c r="GB120" s="77"/>
      <c r="GC120" s="77"/>
      <c r="GD120" s="77"/>
      <c r="GE120" s="77"/>
      <c r="GF120" s="77"/>
      <c r="GG120" s="77"/>
      <c r="GH120" s="77"/>
      <c r="GI120" s="77"/>
      <c r="GJ120" s="77"/>
      <c r="GK120" s="77"/>
      <c r="GL120" s="77"/>
      <c r="GM120" s="77"/>
      <c r="GN120" s="77"/>
      <c r="GO120" s="77"/>
      <c r="GP120" s="77"/>
      <c r="GQ120" s="77"/>
      <c r="GR120" s="77"/>
      <c r="GS120" s="77"/>
      <c r="GT120" s="77"/>
      <c r="GU120" s="77"/>
      <c r="GV120" s="77"/>
      <c r="GW120" s="77"/>
      <c r="GX120" s="77"/>
      <c r="GY120" s="77"/>
      <c r="GZ120" s="77"/>
      <c r="HA120" s="77"/>
      <c r="HB120" s="77"/>
      <c r="HC120" s="77"/>
      <c r="HD120" s="77"/>
      <c r="HE120" s="77"/>
      <c r="HF120" s="77"/>
      <c r="HG120" s="77"/>
      <c r="HH120" s="77"/>
      <c r="HI120" s="77"/>
      <c r="HJ120" s="77"/>
      <c r="HK120" s="77"/>
      <c r="HL120" s="77"/>
      <c r="HM120" s="77"/>
      <c r="HN120" s="77"/>
      <c r="HO120" s="77"/>
      <c r="HP120" s="77"/>
      <c r="HQ120" s="77"/>
    </row>
    <row r="121" spans="1:225" hidden="1" x14ac:dyDescent="0.3">
      <c r="A121" s="78">
        <f>'Entrada datos'!C118</f>
        <v>0</v>
      </c>
      <c r="B121" s="74">
        <f>'Entrada datos'!D118</f>
        <v>0</v>
      </c>
      <c r="C121" s="75">
        <f>'Entrada datos'!G118</f>
        <v>0</v>
      </c>
      <c r="D121" s="75">
        <f>'Entrada datos'!H118</f>
        <v>0</v>
      </c>
      <c r="E121" s="74">
        <f t="shared" si="4"/>
        <v>0</v>
      </c>
      <c r="F121" s="68" t="str">
        <f t="shared" si="5"/>
        <v>no procede</v>
      </c>
      <c r="G121" s="74">
        <f>'Entrada datos'!P118</f>
        <v>0</v>
      </c>
      <c r="H121" s="74">
        <f>'Entrada datos'!Q118</f>
        <v>0</v>
      </c>
      <c r="I121" s="74">
        <f>'Entrada datos'!R118</f>
        <v>0</v>
      </c>
      <c r="J121" s="74">
        <f>'Entrada datos'!S118</f>
        <v>0</v>
      </c>
      <c r="K121" s="74">
        <f>'Entrada datos'!T118</f>
        <v>0</v>
      </c>
      <c r="L121" s="74">
        <f>'Entrada datos'!U118</f>
        <v>0</v>
      </c>
      <c r="M121" s="76"/>
      <c r="N121" s="76"/>
      <c r="O121" s="76"/>
      <c r="P121" s="76"/>
      <c r="Q121" s="76"/>
      <c r="R121" s="76"/>
      <c r="S121" s="77" t="s">
        <v>74</v>
      </c>
      <c r="T121" s="77"/>
      <c r="U121" s="77"/>
      <c r="V121" s="77">
        <f t="shared" si="6"/>
        <v>0</v>
      </c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  <c r="AI121" s="77"/>
      <c r="AJ121" s="77"/>
      <c r="AK121" s="77"/>
      <c r="AL121" s="77"/>
      <c r="AM121" s="77"/>
      <c r="AN121" s="77"/>
      <c r="AO121" s="77"/>
      <c r="AP121" s="77"/>
      <c r="AQ121" s="77"/>
      <c r="AR121" s="77"/>
      <c r="AS121" s="77"/>
      <c r="AT121" s="77"/>
      <c r="AU121" s="77"/>
      <c r="AV121" s="77"/>
      <c r="AW121" s="77"/>
      <c r="AX121" s="77"/>
      <c r="AY121" s="77"/>
      <c r="AZ121" s="77"/>
      <c r="BA121" s="77"/>
      <c r="BB121" s="77"/>
      <c r="BC121" s="77"/>
      <c r="BD121" s="77"/>
      <c r="BE121" s="77"/>
      <c r="BF121" s="77"/>
      <c r="BG121" s="77"/>
      <c r="BH121" s="77"/>
      <c r="BI121" s="77"/>
      <c r="BJ121" s="77"/>
      <c r="BK121" s="77"/>
      <c r="BL121" s="77"/>
      <c r="BM121" s="77"/>
      <c r="BN121" s="77"/>
      <c r="BO121" s="77"/>
      <c r="BP121" s="77"/>
      <c r="BQ121" s="77"/>
      <c r="BR121" s="77"/>
      <c r="BS121" s="77"/>
      <c r="BT121" s="77"/>
      <c r="BU121" s="77"/>
      <c r="BV121" s="77"/>
      <c r="BW121" s="77"/>
      <c r="BX121" s="77"/>
      <c r="BY121" s="77"/>
      <c r="BZ121" s="77"/>
      <c r="CA121" s="77"/>
      <c r="CB121" s="77"/>
      <c r="CC121" s="77"/>
      <c r="CD121" s="77"/>
      <c r="CE121" s="77"/>
      <c r="CF121" s="77"/>
      <c r="CG121" s="77"/>
      <c r="CH121" s="77"/>
      <c r="CI121" s="77"/>
      <c r="CJ121" s="77"/>
      <c r="CK121" s="77"/>
      <c r="CL121" s="77"/>
      <c r="CM121" s="77"/>
      <c r="CN121" s="77"/>
      <c r="CO121" s="77"/>
      <c r="CP121" s="77"/>
      <c r="CQ121" s="77"/>
      <c r="CR121" s="77"/>
      <c r="CS121" s="77"/>
      <c r="CT121" s="77"/>
      <c r="CU121" s="77"/>
      <c r="CV121" s="77"/>
      <c r="CW121" s="77"/>
      <c r="CX121" s="77"/>
      <c r="CY121" s="77"/>
      <c r="CZ121" s="77"/>
      <c r="DA121" s="77"/>
      <c r="DB121" s="77"/>
      <c r="DC121" s="77"/>
      <c r="DD121" s="77"/>
      <c r="DE121" s="77"/>
      <c r="DF121" s="77"/>
      <c r="DG121" s="77"/>
      <c r="DH121" s="77"/>
      <c r="DI121" s="77"/>
      <c r="DJ121" s="77"/>
      <c r="DK121" s="77"/>
      <c r="DL121" s="77"/>
      <c r="DM121" s="77"/>
      <c r="DN121" s="77"/>
      <c r="DO121" s="77"/>
      <c r="DP121" s="77"/>
      <c r="DQ121" s="77"/>
      <c r="DR121" s="77"/>
      <c r="DS121" s="77"/>
      <c r="DT121" s="77"/>
      <c r="DU121" s="77"/>
      <c r="DV121" s="77"/>
      <c r="DW121" s="77"/>
      <c r="DX121" s="77"/>
      <c r="DY121" s="77"/>
      <c r="DZ121" s="77"/>
      <c r="EA121" s="77"/>
      <c r="EB121" s="77"/>
      <c r="EC121" s="77"/>
      <c r="ED121" s="77"/>
      <c r="EE121" s="77"/>
      <c r="EF121" s="77"/>
      <c r="EG121" s="77"/>
      <c r="EH121" s="77"/>
      <c r="EI121" s="77"/>
      <c r="EJ121" s="77"/>
      <c r="EK121" s="77"/>
      <c r="EL121" s="77"/>
      <c r="EM121" s="77"/>
      <c r="EN121" s="77"/>
      <c r="EO121" s="77"/>
      <c r="EP121" s="77"/>
      <c r="EQ121" s="77"/>
      <c r="ER121" s="77"/>
      <c r="ES121" s="77"/>
      <c r="ET121" s="77"/>
      <c r="EU121" s="77"/>
      <c r="EV121" s="77"/>
      <c r="EW121" s="77"/>
      <c r="EX121" s="77"/>
      <c r="EY121" s="77"/>
      <c r="EZ121" s="77"/>
      <c r="FA121" s="77"/>
      <c r="FB121" s="77"/>
      <c r="FC121" s="77"/>
      <c r="FD121" s="77"/>
      <c r="FE121" s="77"/>
      <c r="FF121" s="77"/>
      <c r="FG121" s="77"/>
      <c r="FH121" s="77"/>
      <c r="FI121" s="77"/>
      <c r="FJ121" s="77"/>
      <c r="FK121" s="77"/>
      <c r="FL121" s="77"/>
      <c r="FM121" s="77"/>
      <c r="FN121" s="77"/>
      <c r="FO121" s="77"/>
      <c r="FP121" s="77"/>
      <c r="FQ121" s="77"/>
      <c r="FR121" s="77"/>
      <c r="FS121" s="77"/>
      <c r="FT121" s="77"/>
      <c r="FU121" s="77"/>
      <c r="FV121" s="77"/>
      <c r="FW121" s="77"/>
      <c r="FX121" s="77"/>
      <c r="FY121" s="77"/>
      <c r="FZ121" s="77"/>
      <c r="GA121" s="77"/>
      <c r="GB121" s="77"/>
      <c r="GC121" s="77"/>
      <c r="GD121" s="77"/>
      <c r="GE121" s="77"/>
      <c r="GF121" s="77"/>
      <c r="GG121" s="77"/>
      <c r="GH121" s="77"/>
      <c r="GI121" s="77"/>
      <c r="GJ121" s="77"/>
      <c r="GK121" s="77"/>
      <c r="GL121" s="77"/>
      <c r="GM121" s="77"/>
      <c r="GN121" s="77"/>
      <c r="GO121" s="77"/>
      <c r="GP121" s="77"/>
      <c r="GQ121" s="77"/>
      <c r="GR121" s="77"/>
      <c r="GS121" s="77"/>
      <c r="GT121" s="77"/>
      <c r="GU121" s="77"/>
      <c r="GV121" s="77"/>
      <c r="GW121" s="77"/>
      <c r="GX121" s="77"/>
      <c r="GY121" s="77"/>
      <c r="GZ121" s="77"/>
      <c r="HA121" s="77"/>
      <c r="HB121" s="77"/>
      <c r="HC121" s="77"/>
      <c r="HD121" s="77"/>
      <c r="HE121" s="77"/>
      <c r="HF121" s="77"/>
      <c r="HG121" s="77"/>
      <c r="HH121" s="77"/>
      <c r="HI121" s="77"/>
      <c r="HJ121" s="77"/>
      <c r="HK121" s="77"/>
      <c r="HL121" s="77"/>
      <c r="HM121" s="77"/>
      <c r="HN121" s="77"/>
      <c r="HO121" s="77"/>
      <c r="HP121" s="77"/>
      <c r="HQ121" s="77"/>
    </row>
    <row r="122" spans="1:225" hidden="1" x14ac:dyDescent="0.3">
      <c r="A122" s="78">
        <f>'Entrada datos'!C119</f>
        <v>0</v>
      </c>
      <c r="B122" s="74">
        <f>'Entrada datos'!D119</f>
        <v>0</v>
      </c>
      <c r="C122" s="75">
        <f>'Entrada datos'!G119</f>
        <v>0</v>
      </c>
      <c r="D122" s="75">
        <f>'Entrada datos'!H119</f>
        <v>0</v>
      </c>
      <c r="E122" s="74">
        <f t="shared" si="4"/>
        <v>0</v>
      </c>
      <c r="F122" s="68" t="str">
        <f t="shared" si="5"/>
        <v>no procede</v>
      </c>
      <c r="G122" s="74">
        <f>'Entrada datos'!P119</f>
        <v>0</v>
      </c>
      <c r="H122" s="74">
        <f>'Entrada datos'!Q119</f>
        <v>0</v>
      </c>
      <c r="I122" s="74">
        <f>'Entrada datos'!R119</f>
        <v>0</v>
      </c>
      <c r="J122" s="74">
        <f>'Entrada datos'!S119</f>
        <v>0</v>
      </c>
      <c r="K122" s="74">
        <f>'Entrada datos'!T119</f>
        <v>0</v>
      </c>
      <c r="L122" s="74">
        <f>'Entrada datos'!U119</f>
        <v>0</v>
      </c>
      <c r="M122" s="76"/>
      <c r="N122" s="76"/>
      <c r="O122" s="76"/>
      <c r="P122" s="76"/>
      <c r="Q122" s="76"/>
      <c r="R122" s="76"/>
      <c r="S122" s="77" t="s">
        <v>74</v>
      </c>
      <c r="T122" s="77"/>
      <c r="U122" s="77"/>
      <c r="V122" s="77">
        <f t="shared" si="6"/>
        <v>0</v>
      </c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  <c r="AI122" s="77"/>
      <c r="AJ122" s="77"/>
      <c r="AK122" s="77"/>
      <c r="AL122" s="77"/>
      <c r="AM122" s="77"/>
      <c r="AN122" s="77"/>
      <c r="AO122" s="77"/>
      <c r="AP122" s="77"/>
      <c r="AQ122" s="77"/>
      <c r="AR122" s="77"/>
      <c r="AS122" s="77"/>
      <c r="AT122" s="77"/>
      <c r="AU122" s="77"/>
      <c r="AV122" s="77"/>
      <c r="AW122" s="77"/>
      <c r="AX122" s="77"/>
      <c r="AY122" s="77"/>
      <c r="AZ122" s="77"/>
      <c r="BA122" s="77"/>
      <c r="BB122" s="77"/>
      <c r="BC122" s="77"/>
      <c r="BD122" s="77"/>
      <c r="BE122" s="77"/>
      <c r="BF122" s="77"/>
      <c r="BG122" s="77"/>
      <c r="BH122" s="77"/>
      <c r="BI122" s="77"/>
      <c r="BJ122" s="77"/>
      <c r="BK122" s="77"/>
      <c r="BL122" s="77"/>
      <c r="BM122" s="77"/>
      <c r="BN122" s="77"/>
      <c r="BO122" s="77"/>
      <c r="BP122" s="77"/>
      <c r="BQ122" s="77"/>
      <c r="BR122" s="77"/>
      <c r="BS122" s="77"/>
      <c r="BT122" s="77"/>
      <c r="BU122" s="77"/>
      <c r="BV122" s="77"/>
      <c r="BW122" s="77"/>
      <c r="BX122" s="77"/>
      <c r="BY122" s="77"/>
      <c r="BZ122" s="77"/>
      <c r="CA122" s="77"/>
      <c r="CB122" s="77"/>
      <c r="CC122" s="77"/>
      <c r="CD122" s="77"/>
      <c r="CE122" s="77"/>
      <c r="CF122" s="77"/>
      <c r="CG122" s="77"/>
      <c r="CH122" s="77"/>
      <c r="CI122" s="77"/>
      <c r="CJ122" s="77"/>
      <c r="CK122" s="77"/>
      <c r="CL122" s="77"/>
      <c r="CM122" s="77"/>
      <c r="CN122" s="77"/>
      <c r="CO122" s="77"/>
      <c r="CP122" s="77"/>
      <c r="CQ122" s="77"/>
      <c r="CR122" s="77"/>
      <c r="CS122" s="77"/>
      <c r="CT122" s="77"/>
      <c r="CU122" s="77"/>
      <c r="CV122" s="77"/>
      <c r="CW122" s="77"/>
      <c r="CX122" s="77"/>
      <c r="CY122" s="77"/>
      <c r="CZ122" s="77"/>
      <c r="DA122" s="77"/>
      <c r="DB122" s="77"/>
      <c r="DC122" s="77"/>
      <c r="DD122" s="77"/>
      <c r="DE122" s="77"/>
      <c r="DF122" s="77"/>
      <c r="DG122" s="77"/>
      <c r="DH122" s="77"/>
      <c r="DI122" s="77"/>
      <c r="DJ122" s="77"/>
      <c r="DK122" s="77"/>
      <c r="DL122" s="77"/>
      <c r="DM122" s="77"/>
      <c r="DN122" s="77"/>
      <c r="DO122" s="77"/>
      <c r="DP122" s="77"/>
      <c r="DQ122" s="77"/>
      <c r="DR122" s="77"/>
      <c r="DS122" s="77"/>
      <c r="DT122" s="77"/>
      <c r="DU122" s="77"/>
      <c r="DV122" s="77"/>
      <c r="DW122" s="77"/>
      <c r="DX122" s="77"/>
      <c r="DY122" s="77"/>
      <c r="DZ122" s="77"/>
      <c r="EA122" s="77"/>
      <c r="EB122" s="77"/>
      <c r="EC122" s="77"/>
      <c r="ED122" s="77"/>
      <c r="EE122" s="77"/>
      <c r="EF122" s="77"/>
      <c r="EG122" s="77"/>
      <c r="EH122" s="77"/>
      <c r="EI122" s="77"/>
      <c r="EJ122" s="77"/>
      <c r="EK122" s="77"/>
      <c r="EL122" s="77"/>
      <c r="EM122" s="77"/>
      <c r="EN122" s="77"/>
      <c r="EO122" s="77"/>
      <c r="EP122" s="77"/>
      <c r="EQ122" s="77"/>
      <c r="ER122" s="77"/>
      <c r="ES122" s="77"/>
      <c r="ET122" s="77"/>
      <c r="EU122" s="77"/>
      <c r="EV122" s="77"/>
      <c r="EW122" s="77"/>
      <c r="EX122" s="77"/>
      <c r="EY122" s="77"/>
      <c r="EZ122" s="77"/>
      <c r="FA122" s="77"/>
      <c r="FB122" s="77"/>
      <c r="FC122" s="77"/>
      <c r="FD122" s="77"/>
      <c r="FE122" s="77"/>
      <c r="FF122" s="77"/>
      <c r="FG122" s="77"/>
      <c r="FH122" s="77"/>
      <c r="FI122" s="77"/>
      <c r="FJ122" s="77"/>
      <c r="FK122" s="77"/>
      <c r="FL122" s="77"/>
      <c r="FM122" s="77"/>
      <c r="FN122" s="77"/>
      <c r="FO122" s="77"/>
      <c r="FP122" s="77"/>
      <c r="FQ122" s="77"/>
      <c r="FR122" s="77"/>
      <c r="FS122" s="77"/>
      <c r="FT122" s="77"/>
      <c r="FU122" s="77"/>
      <c r="FV122" s="77"/>
      <c r="FW122" s="77"/>
      <c r="FX122" s="77"/>
      <c r="FY122" s="77"/>
      <c r="FZ122" s="77"/>
      <c r="GA122" s="77"/>
      <c r="GB122" s="77"/>
      <c r="GC122" s="77"/>
      <c r="GD122" s="77"/>
      <c r="GE122" s="77"/>
      <c r="GF122" s="77"/>
      <c r="GG122" s="77"/>
      <c r="GH122" s="77"/>
      <c r="GI122" s="77"/>
      <c r="GJ122" s="77"/>
      <c r="GK122" s="77"/>
      <c r="GL122" s="77"/>
      <c r="GM122" s="77"/>
      <c r="GN122" s="77"/>
      <c r="GO122" s="77"/>
      <c r="GP122" s="77"/>
      <c r="GQ122" s="77"/>
      <c r="GR122" s="77"/>
      <c r="GS122" s="77"/>
      <c r="GT122" s="77"/>
      <c r="GU122" s="77"/>
      <c r="GV122" s="77"/>
      <c r="GW122" s="77"/>
      <c r="GX122" s="77"/>
      <c r="GY122" s="77"/>
      <c r="GZ122" s="77"/>
      <c r="HA122" s="77"/>
      <c r="HB122" s="77"/>
      <c r="HC122" s="77"/>
      <c r="HD122" s="77"/>
      <c r="HE122" s="77"/>
      <c r="HF122" s="77"/>
      <c r="HG122" s="77"/>
      <c r="HH122" s="77"/>
      <c r="HI122" s="77"/>
      <c r="HJ122" s="77"/>
      <c r="HK122" s="77"/>
      <c r="HL122" s="77"/>
      <c r="HM122" s="77"/>
      <c r="HN122" s="77"/>
      <c r="HO122" s="77"/>
      <c r="HP122" s="77"/>
      <c r="HQ122" s="77"/>
    </row>
    <row r="123" spans="1:225" hidden="1" x14ac:dyDescent="0.3">
      <c r="A123" s="78">
        <f>'Entrada datos'!C120</f>
        <v>0</v>
      </c>
      <c r="B123" s="74">
        <f>'Entrada datos'!D120</f>
        <v>0</v>
      </c>
      <c r="C123" s="75">
        <f>'Entrada datos'!G120</f>
        <v>0</v>
      </c>
      <c r="D123" s="75">
        <f>'Entrada datos'!H120</f>
        <v>0</v>
      </c>
      <c r="E123" s="74">
        <f t="shared" si="4"/>
        <v>0</v>
      </c>
      <c r="F123" s="68" t="str">
        <f t="shared" si="5"/>
        <v>no procede</v>
      </c>
      <c r="G123" s="74">
        <f>'Entrada datos'!P120</f>
        <v>0</v>
      </c>
      <c r="H123" s="74">
        <f>'Entrada datos'!Q120</f>
        <v>0</v>
      </c>
      <c r="I123" s="74">
        <f>'Entrada datos'!R120</f>
        <v>0</v>
      </c>
      <c r="J123" s="74">
        <f>'Entrada datos'!S120</f>
        <v>0</v>
      </c>
      <c r="K123" s="74">
        <f>'Entrada datos'!T120</f>
        <v>0</v>
      </c>
      <c r="L123" s="74">
        <f>'Entrada datos'!U120</f>
        <v>0</v>
      </c>
      <c r="M123" s="76"/>
      <c r="N123" s="76"/>
      <c r="O123" s="76"/>
      <c r="P123" s="76"/>
      <c r="Q123" s="76"/>
      <c r="R123" s="76"/>
      <c r="S123" s="77" t="s">
        <v>74</v>
      </c>
      <c r="T123" s="77"/>
      <c r="U123" s="77"/>
      <c r="V123" s="77">
        <f t="shared" si="6"/>
        <v>0</v>
      </c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  <c r="AI123" s="77"/>
      <c r="AJ123" s="77"/>
      <c r="AK123" s="77"/>
      <c r="AL123" s="77"/>
      <c r="AM123" s="77"/>
      <c r="AN123" s="77"/>
      <c r="AO123" s="77"/>
      <c r="AP123" s="77"/>
      <c r="AQ123" s="77"/>
      <c r="AR123" s="77"/>
      <c r="AS123" s="77"/>
      <c r="AT123" s="77"/>
      <c r="AU123" s="77"/>
      <c r="AV123" s="77"/>
      <c r="AW123" s="77"/>
      <c r="AX123" s="77"/>
      <c r="AY123" s="77"/>
      <c r="AZ123" s="77"/>
      <c r="BA123" s="77"/>
      <c r="BB123" s="77"/>
      <c r="BC123" s="77"/>
      <c r="BD123" s="77"/>
      <c r="BE123" s="77"/>
      <c r="BF123" s="77"/>
      <c r="BG123" s="77"/>
      <c r="BH123" s="77"/>
      <c r="BI123" s="77"/>
      <c r="BJ123" s="77"/>
      <c r="BK123" s="77"/>
      <c r="BL123" s="77"/>
      <c r="BM123" s="77"/>
      <c r="BN123" s="77"/>
      <c r="BO123" s="77"/>
      <c r="BP123" s="77"/>
      <c r="BQ123" s="77"/>
      <c r="BR123" s="77"/>
      <c r="BS123" s="77"/>
      <c r="BT123" s="77"/>
      <c r="BU123" s="77"/>
      <c r="BV123" s="77"/>
      <c r="BW123" s="77"/>
      <c r="BX123" s="77"/>
      <c r="BY123" s="77"/>
      <c r="BZ123" s="77"/>
      <c r="CA123" s="77"/>
      <c r="CB123" s="77"/>
      <c r="CC123" s="77"/>
      <c r="CD123" s="77"/>
      <c r="CE123" s="77"/>
      <c r="CF123" s="77"/>
      <c r="CG123" s="77"/>
      <c r="CH123" s="77"/>
      <c r="CI123" s="77"/>
      <c r="CJ123" s="77"/>
      <c r="CK123" s="77"/>
      <c r="CL123" s="77"/>
      <c r="CM123" s="77"/>
      <c r="CN123" s="77"/>
      <c r="CO123" s="77"/>
      <c r="CP123" s="77"/>
      <c r="CQ123" s="77"/>
      <c r="CR123" s="77"/>
      <c r="CS123" s="77"/>
      <c r="CT123" s="77"/>
      <c r="CU123" s="77"/>
      <c r="CV123" s="77"/>
      <c r="CW123" s="77"/>
      <c r="CX123" s="77"/>
      <c r="CY123" s="77"/>
      <c r="CZ123" s="77"/>
      <c r="DA123" s="77"/>
      <c r="DB123" s="77"/>
      <c r="DC123" s="77"/>
      <c r="DD123" s="77"/>
      <c r="DE123" s="77"/>
      <c r="DF123" s="77"/>
      <c r="DG123" s="77"/>
      <c r="DH123" s="77"/>
      <c r="DI123" s="77"/>
      <c r="DJ123" s="77"/>
      <c r="DK123" s="77"/>
      <c r="DL123" s="77"/>
      <c r="DM123" s="77"/>
      <c r="DN123" s="77"/>
      <c r="DO123" s="77"/>
      <c r="DP123" s="77"/>
      <c r="DQ123" s="77"/>
      <c r="DR123" s="77"/>
      <c r="DS123" s="77"/>
      <c r="DT123" s="77"/>
      <c r="DU123" s="77"/>
      <c r="DV123" s="77"/>
      <c r="DW123" s="77"/>
      <c r="DX123" s="77"/>
      <c r="DY123" s="77"/>
      <c r="DZ123" s="77"/>
      <c r="EA123" s="77"/>
      <c r="EB123" s="77"/>
      <c r="EC123" s="77"/>
      <c r="ED123" s="77"/>
      <c r="EE123" s="77"/>
      <c r="EF123" s="77"/>
      <c r="EG123" s="77"/>
      <c r="EH123" s="77"/>
      <c r="EI123" s="77"/>
      <c r="EJ123" s="77"/>
      <c r="EK123" s="77"/>
      <c r="EL123" s="77"/>
      <c r="EM123" s="77"/>
      <c r="EN123" s="77"/>
      <c r="EO123" s="77"/>
      <c r="EP123" s="77"/>
      <c r="EQ123" s="77"/>
      <c r="ER123" s="77"/>
      <c r="ES123" s="77"/>
      <c r="ET123" s="77"/>
      <c r="EU123" s="77"/>
      <c r="EV123" s="77"/>
      <c r="EW123" s="77"/>
      <c r="EX123" s="77"/>
      <c r="EY123" s="77"/>
      <c r="EZ123" s="77"/>
      <c r="FA123" s="77"/>
      <c r="FB123" s="77"/>
      <c r="FC123" s="77"/>
      <c r="FD123" s="77"/>
      <c r="FE123" s="77"/>
      <c r="FF123" s="77"/>
      <c r="FG123" s="77"/>
      <c r="FH123" s="77"/>
      <c r="FI123" s="77"/>
      <c r="FJ123" s="77"/>
      <c r="FK123" s="77"/>
      <c r="FL123" s="77"/>
      <c r="FM123" s="77"/>
      <c r="FN123" s="77"/>
      <c r="FO123" s="77"/>
      <c r="FP123" s="77"/>
      <c r="FQ123" s="77"/>
      <c r="FR123" s="77"/>
      <c r="FS123" s="77"/>
      <c r="FT123" s="77"/>
      <c r="FU123" s="77"/>
      <c r="FV123" s="77"/>
      <c r="FW123" s="77"/>
      <c r="FX123" s="77"/>
      <c r="FY123" s="77"/>
      <c r="FZ123" s="77"/>
      <c r="GA123" s="77"/>
      <c r="GB123" s="77"/>
      <c r="GC123" s="77"/>
      <c r="GD123" s="77"/>
      <c r="GE123" s="77"/>
      <c r="GF123" s="77"/>
      <c r="GG123" s="77"/>
      <c r="GH123" s="77"/>
      <c r="GI123" s="77"/>
      <c r="GJ123" s="77"/>
      <c r="GK123" s="77"/>
      <c r="GL123" s="77"/>
      <c r="GM123" s="77"/>
      <c r="GN123" s="77"/>
      <c r="GO123" s="77"/>
      <c r="GP123" s="77"/>
      <c r="GQ123" s="77"/>
      <c r="GR123" s="77"/>
      <c r="GS123" s="77"/>
      <c r="GT123" s="77"/>
      <c r="GU123" s="77"/>
      <c r="GV123" s="77"/>
      <c r="GW123" s="77"/>
      <c r="GX123" s="77"/>
      <c r="GY123" s="77"/>
      <c r="GZ123" s="77"/>
      <c r="HA123" s="77"/>
      <c r="HB123" s="77"/>
      <c r="HC123" s="77"/>
      <c r="HD123" s="77"/>
      <c r="HE123" s="77"/>
      <c r="HF123" s="77"/>
      <c r="HG123" s="77"/>
      <c r="HH123" s="77"/>
      <c r="HI123" s="77"/>
      <c r="HJ123" s="77"/>
      <c r="HK123" s="77"/>
      <c r="HL123" s="77"/>
      <c r="HM123" s="77"/>
      <c r="HN123" s="77"/>
      <c r="HO123" s="77"/>
      <c r="HP123" s="77"/>
      <c r="HQ123" s="77"/>
    </row>
    <row r="124" spans="1:225" hidden="1" x14ac:dyDescent="0.3">
      <c r="A124" s="78">
        <f>'Entrada datos'!C121</f>
        <v>0</v>
      </c>
      <c r="B124" s="74">
        <f>'Entrada datos'!D121</f>
        <v>0</v>
      </c>
      <c r="C124" s="75">
        <f>'Entrada datos'!G121</f>
        <v>0</v>
      </c>
      <c r="D124" s="75">
        <f>'Entrada datos'!H121</f>
        <v>0</v>
      </c>
      <c r="E124" s="74">
        <f t="shared" si="4"/>
        <v>0</v>
      </c>
      <c r="F124" s="68" t="str">
        <f t="shared" si="5"/>
        <v>no procede</v>
      </c>
      <c r="G124" s="74">
        <f>'Entrada datos'!P121</f>
        <v>0</v>
      </c>
      <c r="H124" s="74">
        <f>'Entrada datos'!Q121</f>
        <v>0</v>
      </c>
      <c r="I124" s="74">
        <f>'Entrada datos'!R121</f>
        <v>0</v>
      </c>
      <c r="J124" s="74">
        <f>'Entrada datos'!S121</f>
        <v>0</v>
      </c>
      <c r="K124" s="74">
        <f>'Entrada datos'!T121</f>
        <v>0</v>
      </c>
      <c r="L124" s="74">
        <f>'Entrada datos'!U121</f>
        <v>0</v>
      </c>
      <c r="M124" s="76"/>
      <c r="N124" s="76"/>
      <c r="O124" s="76"/>
      <c r="P124" s="76"/>
      <c r="Q124" s="76"/>
      <c r="R124" s="76"/>
      <c r="S124" s="77" t="s">
        <v>74</v>
      </c>
      <c r="T124" s="77"/>
      <c r="U124" s="77"/>
      <c r="V124" s="77">
        <f t="shared" si="6"/>
        <v>0</v>
      </c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  <c r="AI124" s="77"/>
      <c r="AJ124" s="77"/>
      <c r="AK124" s="77"/>
      <c r="AL124" s="77"/>
      <c r="AM124" s="77"/>
      <c r="AN124" s="77"/>
      <c r="AO124" s="77"/>
      <c r="AP124" s="77"/>
      <c r="AQ124" s="77"/>
      <c r="AR124" s="77"/>
      <c r="AS124" s="77"/>
      <c r="AT124" s="77"/>
      <c r="AU124" s="77"/>
      <c r="AV124" s="77"/>
      <c r="AW124" s="77"/>
      <c r="AX124" s="77"/>
      <c r="AY124" s="77"/>
      <c r="AZ124" s="77"/>
      <c r="BA124" s="77"/>
      <c r="BB124" s="77"/>
      <c r="BC124" s="77"/>
      <c r="BD124" s="77"/>
      <c r="BE124" s="77"/>
      <c r="BF124" s="77"/>
      <c r="BG124" s="77"/>
      <c r="BH124" s="77"/>
      <c r="BI124" s="77"/>
      <c r="BJ124" s="77"/>
      <c r="BK124" s="77"/>
      <c r="BL124" s="77"/>
      <c r="BM124" s="77"/>
      <c r="BN124" s="77"/>
      <c r="BO124" s="77"/>
      <c r="BP124" s="77"/>
      <c r="BQ124" s="77"/>
      <c r="BR124" s="77"/>
      <c r="BS124" s="77"/>
      <c r="BT124" s="77"/>
      <c r="BU124" s="77"/>
      <c r="BV124" s="77"/>
      <c r="BW124" s="77"/>
      <c r="BX124" s="77"/>
      <c r="BY124" s="77"/>
      <c r="BZ124" s="77"/>
      <c r="CA124" s="77"/>
      <c r="CB124" s="77"/>
      <c r="CC124" s="77"/>
      <c r="CD124" s="77"/>
      <c r="CE124" s="77"/>
      <c r="CF124" s="77"/>
      <c r="CG124" s="77"/>
      <c r="CH124" s="77"/>
      <c r="CI124" s="77"/>
      <c r="CJ124" s="77"/>
      <c r="CK124" s="77"/>
      <c r="CL124" s="77"/>
      <c r="CM124" s="77"/>
      <c r="CN124" s="77"/>
      <c r="CO124" s="77"/>
      <c r="CP124" s="77"/>
      <c r="CQ124" s="77"/>
      <c r="CR124" s="77"/>
      <c r="CS124" s="77"/>
      <c r="CT124" s="77"/>
      <c r="CU124" s="77"/>
      <c r="CV124" s="77"/>
      <c r="CW124" s="77"/>
      <c r="CX124" s="77"/>
      <c r="CY124" s="77"/>
      <c r="CZ124" s="77"/>
      <c r="DA124" s="77"/>
      <c r="DB124" s="77"/>
      <c r="DC124" s="77"/>
      <c r="DD124" s="77"/>
      <c r="DE124" s="77"/>
      <c r="DF124" s="77"/>
      <c r="DG124" s="77"/>
      <c r="DH124" s="77"/>
      <c r="DI124" s="77"/>
      <c r="DJ124" s="77"/>
      <c r="DK124" s="77"/>
      <c r="DL124" s="77"/>
      <c r="DM124" s="77"/>
      <c r="DN124" s="77"/>
      <c r="DO124" s="77"/>
      <c r="DP124" s="77"/>
      <c r="DQ124" s="77"/>
      <c r="DR124" s="77"/>
      <c r="DS124" s="77"/>
      <c r="DT124" s="77"/>
      <c r="DU124" s="77"/>
      <c r="DV124" s="77"/>
      <c r="DW124" s="77"/>
      <c r="DX124" s="77"/>
      <c r="DY124" s="77"/>
      <c r="DZ124" s="77"/>
      <c r="EA124" s="77"/>
      <c r="EB124" s="77"/>
      <c r="EC124" s="77"/>
      <c r="ED124" s="77"/>
      <c r="EE124" s="77"/>
      <c r="EF124" s="77"/>
      <c r="EG124" s="77"/>
      <c r="EH124" s="77"/>
      <c r="EI124" s="77"/>
      <c r="EJ124" s="77"/>
      <c r="EK124" s="77"/>
      <c r="EL124" s="77"/>
      <c r="EM124" s="77"/>
      <c r="EN124" s="77"/>
      <c r="EO124" s="77"/>
      <c r="EP124" s="77"/>
      <c r="EQ124" s="77"/>
      <c r="ER124" s="77"/>
      <c r="ES124" s="77"/>
      <c r="ET124" s="77"/>
      <c r="EU124" s="77"/>
      <c r="EV124" s="77"/>
      <c r="EW124" s="77"/>
      <c r="EX124" s="77"/>
      <c r="EY124" s="77"/>
      <c r="EZ124" s="77"/>
      <c r="FA124" s="77"/>
      <c r="FB124" s="77"/>
      <c r="FC124" s="77"/>
      <c r="FD124" s="77"/>
      <c r="FE124" s="77"/>
      <c r="FF124" s="77"/>
      <c r="FG124" s="77"/>
      <c r="FH124" s="77"/>
      <c r="FI124" s="77"/>
      <c r="FJ124" s="77"/>
      <c r="FK124" s="77"/>
      <c r="FL124" s="77"/>
      <c r="FM124" s="77"/>
      <c r="FN124" s="77"/>
      <c r="FO124" s="77"/>
      <c r="FP124" s="77"/>
      <c r="FQ124" s="77"/>
      <c r="FR124" s="77"/>
      <c r="FS124" s="77"/>
      <c r="FT124" s="77"/>
      <c r="FU124" s="77"/>
      <c r="FV124" s="77"/>
      <c r="FW124" s="77"/>
      <c r="FX124" s="77"/>
      <c r="FY124" s="77"/>
      <c r="FZ124" s="77"/>
      <c r="GA124" s="77"/>
      <c r="GB124" s="77"/>
      <c r="GC124" s="77"/>
      <c r="GD124" s="77"/>
      <c r="GE124" s="77"/>
      <c r="GF124" s="77"/>
      <c r="GG124" s="77"/>
      <c r="GH124" s="77"/>
      <c r="GI124" s="77"/>
      <c r="GJ124" s="77"/>
      <c r="GK124" s="77"/>
      <c r="GL124" s="77"/>
      <c r="GM124" s="77"/>
      <c r="GN124" s="77"/>
      <c r="GO124" s="77"/>
      <c r="GP124" s="77"/>
      <c r="GQ124" s="77"/>
      <c r="GR124" s="77"/>
      <c r="GS124" s="77"/>
      <c r="GT124" s="77"/>
      <c r="GU124" s="77"/>
      <c r="GV124" s="77"/>
      <c r="GW124" s="77"/>
      <c r="GX124" s="77"/>
      <c r="GY124" s="77"/>
      <c r="GZ124" s="77"/>
      <c r="HA124" s="77"/>
      <c r="HB124" s="77"/>
      <c r="HC124" s="77"/>
      <c r="HD124" s="77"/>
      <c r="HE124" s="77"/>
      <c r="HF124" s="77"/>
      <c r="HG124" s="77"/>
      <c r="HH124" s="77"/>
      <c r="HI124" s="77"/>
      <c r="HJ124" s="77"/>
      <c r="HK124" s="77"/>
      <c r="HL124" s="77"/>
      <c r="HM124" s="77"/>
      <c r="HN124" s="77"/>
      <c r="HO124" s="77"/>
      <c r="HP124" s="77"/>
      <c r="HQ124" s="77"/>
    </row>
    <row r="125" spans="1:225" hidden="1" x14ac:dyDescent="0.3">
      <c r="A125" s="78">
        <f>'Entrada datos'!C122</f>
        <v>0</v>
      </c>
      <c r="B125" s="74">
        <f>'Entrada datos'!D122</f>
        <v>0</v>
      </c>
      <c r="C125" s="75">
        <f>'Entrada datos'!G122</f>
        <v>0</v>
      </c>
      <c r="D125" s="75">
        <f>'Entrada datos'!H122</f>
        <v>0</v>
      </c>
      <c r="E125" s="74">
        <f t="shared" si="4"/>
        <v>0</v>
      </c>
      <c r="F125" s="68" t="str">
        <f t="shared" si="5"/>
        <v>no procede</v>
      </c>
      <c r="G125" s="74">
        <f>'Entrada datos'!P122</f>
        <v>0</v>
      </c>
      <c r="H125" s="74">
        <f>'Entrada datos'!Q122</f>
        <v>0</v>
      </c>
      <c r="I125" s="74">
        <f>'Entrada datos'!R122</f>
        <v>0</v>
      </c>
      <c r="J125" s="74">
        <f>'Entrada datos'!S122</f>
        <v>0</v>
      </c>
      <c r="K125" s="74">
        <f>'Entrada datos'!T122</f>
        <v>0</v>
      </c>
      <c r="L125" s="74">
        <f>'Entrada datos'!U122</f>
        <v>0</v>
      </c>
      <c r="M125" s="76"/>
      <c r="N125" s="76"/>
      <c r="O125" s="76"/>
      <c r="P125" s="76"/>
      <c r="Q125" s="76"/>
      <c r="R125" s="76"/>
      <c r="S125" s="77" t="s">
        <v>74</v>
      </c>
      <c r="T125" s="77"/>
      <c r="U125" s="77"/>
      <c r="V125" s="77">
        <f t="shared" si="6"/>
        <v>0</v>
      </c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  <c r="AI125" s="77"/>
      <c r="AJ125" s="77"/>
      <c r="AK125" s="77"/>
      <c r="AL125" s="77"/>
      <c r="AM125" s="77"/>
      <c r="AN125" s="77"/>
      <c r="AO125" s="77"/>
      <c r="AP125" s="77"/>
      <c r="AQ125" s="77"/>
      <c r="AR125" s="77"/>
      <c r="AS125" s="77"/>
      <c r="AT125" s="77"/>
      <c r="AU125" s="77"/>
      <c r="AV125" s="77"/>
      <c r="AW125" s="77"/>
      <c r="AX125" s="77"/>
      <c r="AY125" s="77"/>
      <c r="AZ125" s="77"/>
      <c r="BA125" s="77"/>
      <c r="BB125" s="77"/>
      <c r="BC125" s="77"/>
      <c r="BD125" s="77"/>
      <c r="BE125" s="77"/>
      <c r="BF125" s="77"/>
      <c r="BG125" s="77"/>
      <c r="BH125" s="77"/>
      <c r="BI125" s="77"/>
      <c r="BJ125" s="77"/>
      <c r="BK125" s="77"/>
      <c r="BL125" s="77"/>
      <c r="BM125" s="77"/>
      <c r="BN125" s="77"/>
      <c r="BO125" s="77"/>
      <c r="BP125" s="77"/>
      <c r="BQ125" s="77"/>
      <c r="BR125" s="77"/>
      <c r="BS125" s="77"/>
      <c r="BT125" s="77"/>
      <c r="BU125" s="77"/>
      <c r="BV125" s="77"/>
      <c r="BW125" s="77"/>
      <c r="BX125" s="77"/>
      <c r="BY125" s="77"/>
      <c r="BZ125" s="77"/>
      <c r="CA125" s="77"/>
      <c r="CB125" s="77"/>
      <c r="CC125" s="77"/>
      <c r="CD125" s="77"/>
      <c r="CE125" s="77"/>
      <c r="CF125" s="77"/>
      <c r="CG125" s="77"/>
      <c r="CH125" s="77"/>
      <c r="CI125" s="77"/>
      <c r="CJ125" s="77"/>
      <c r="CK125" s="77"/>
      <c r="CL125" s="77"/>
      <c r="CM125" s="77"/>
      <c r="CN125" s="77"/>
      <c r="CO125" s="77"/>
      <c r="CP125" s="77"/>
      <c r="CQ125" s="77"/>
      <c r="CR125" s="77"/>
      <c r="CS125" s="77"/>
      <c r="CT125" s="77"/>
      <c r="CU125" s="77"/>
      <c r="CV125" s="77"/>
      <c r="CW125" s="77"/>
      <c r="CX125" s="77"/>
      <c r="CY125" s="77"/>
      <c r="CZ125" s="77"/>
      <c r="DA125" s="77"/>
      <c r="DB125" s="77"/>
      <c r="DC125" s="77"/>
      <c r="DD125" s="77"/>
      <c r="DE125" s="77"/>
      <c r="DF125" s="77"/>
      <c r="DG125" s="77"/>
      <c r="DH125" s="77"/>
      <c r="DI125" s="77"/>
      <c r="DJ125" s="77"/>
      <c r="DK125" s="77"/>
      <c r="DL125" s="77"/>
      <c r="DM125" s="77"/>
      <c r="DN125" s="77"/>
      <c r="DO125" s="77"/>
      <c r="DP125" s="77"/>
      <c r="DQ125" s="77"/>
      <c r="DR125" s="77"/>
      <c r="DS125" s="77"/>
      <c r="DT125" s="77"/>
      <c r="DU125" s="77"/>
      <c r="DV125" s="77"/>
      <c r="DW125" s="77"/>
      <c r="DX125" s="77"/>
      <c r="DY125" s="77"/>
      <c r="DZ125" s="77"/>
      <c r="EA125" s="77"/>
      <c r="EB125" s="77"/>
      <c r="EC125" s="77"/>
      <c r="ED125" s="77"/>
      <c r="EE125" s="77"/>
      <c r="EF125" s="77"/>
      <c r="EG125" s="77"/>
      <c r="EH125" s="77"/>
      <c r="EI125" s="77"/>
      <c r="EJ125" s="77"/>
      <c r="EK125" s="77"/>
      <c r="EL125" s="77"/>
      <c r="EM125" s="77"/>
      <c r="EN125" s="77"/>
      <c r="EO125" s="77"/>
      <c r="EP125" s="77"/>
      <c r="EQ125" s="77"/>
      <c r="ER125" s="77"/>
      <c r="ES125" s="77"/>
      <c r="ET125" s="77"/>
      <c r="EU125" s="77"/>
      <c r="EV125" s="77"/>
      <c r="EW125" s="77"/>
      <c r="EX125" s="77"/>
      <c r="EY125" s="77"/>
      <c r="EZ125" s="77"/>
      <c r="FA125" s="77"/>
      <c r="FB125" s="77"/>
      <c r="FC125" s="77"/>
      <c r="FD125" s="77"/>
      <c r="FE125" s="77"/>
      <c r="FF125" s="77"/>
      <c r="FG125" s="77"/>
      <c r="FH125" s="77"/>
      <c r="FI125" s="77"/>
      <c r="FJ125" s="77"/>
      <c r="FK125" s="77"/>
      <c r="FL125" s="77"/>
      <c r="FM125" s="77"/>
      <c r="FN125" s="77"/>
      <c r="FO125" s="77"/>
      <c r="FP125" s="77"/>
      <c r="FQ125" s="77"/>
      <c r="FR125" s="77"/>
      <c r="FS125" s="77"/>
      <c r="FT125" s="77"/>
      <c r="FU125" s="77"/>
      <c r="FV125" s="77"/>
      <c r="FW125" s="77"/>
      <c r="FX125" s="77"/>
      <c r="FY125" s="77"/>
      <c r="FZ125" s="77"/>
      <c r="GA125" s="77"/>
      <c r="GB125" s="77"/>
      <c r="GC125" s="77"/>
      <c r="GD125" s="77"/>
      <c r="GE125" s="77"/>
      <c r="GF125" s="77"/>
      <c r="GG125" s="77"/>
      <c r="GH125" s="77"/>
      <c r="GI125" s="77"/>
      <c r="GJ125" s="77"/>
      <c r="GK125" s="77"/>
      <c r="GL125" s="77"/>
      <c r="GM125" s="77"/>
      <c r="GN125" s="77"/>
      <c r="GO125" s="77"/>
      <c r="GP125" s="77"/>
      <c r="GQ125" s="77"/>
      <c r="GR125" s="77"/>
      <c r="GS125" s="77"/>
      <c r="GT125" s="77"/>
      <c r="GU125" s="77"/>
      <c r="GV125" s="77"/>
      <c r="GW125" s="77"/>
      <c r="GX125" s="77"/>
      <c r="GY125" s="77"/>
      <c r="GZ125" s="77"/>
      <c r="HA125" s="77"/>
      <c r="HB125" s="77"/>
      <c r="HC125" s="77"/>
      <c r="HD125" s="77"/>
      <c r="HE125" s="77"/>
      <c r="HF125" s="77"/>
      <c r="HG125" s="77"/>
      <c r="HH125" s="77"/>
      <c r="HI125" s="77"/>
      <c r="HJ125" s="77"/>
      <c r="HK125" s="77"/>
      <c r="HL125" s="77"/>
      <c r="HM125" s="77"/>
      <c r="HN125" s="77"/>
      <c r="HO125" s="77"/>
      <c r="HP125" s="77"/>
      <c r="HQ125" s="77"/>
    </row>
    <row r="126" spans="1:225" hidden="1" x14ac:dyDescent="0.3">
      <c r="A126" s="78">
        <f>'Entrada datos'!C123</f>
        <v>0</v>
      </c>
      <c r="B126" s="74">
        <f>'Entrada datos'!D123</f>
        <v>0</v>
      </c>
      <c r="C126" s="75">
        <f>'Entrada datos'!G123</f>
        <v>0</v>
      </c>
      <c r="D126" s="75">
        <f>'Entrada datos'!H123</f>
        <v>0</v>
      </c>
      <c r="E126" s="74">
        <f t="shared" si="4"/>
        <v>0</v>
      </c>
      <c r="F126" s="68" t="str">
        <f t="shared" si="5"/>
        <v>no procede</v>
      </c>
      <c r="G126" s="74">
        <f>'Entrada datos'!P123</f>
        <v>0</v>
      </c>
      <c r="H126" s="74">
        <f>'Entrada datos'!Q123</f>
        <v>0</v>
      </c>
      <c r="I126" s="74">
        <f>'Entrada datos'!R123</f>
        <v>0</v>
      </c>
      <c r="J126" s="74">
        <f>'Entrada datos'!S123</f>
        <v>0</v>
      </c>
      <c r="K126" s="74">
        <f>'Entrada datos'!T123</f>
        <v>0</v>
      </c>
      <c r="L126" s="74">
        <f>'Entrada datos'!U123</f>
        <v>0</v>
      </c>
      <c r="M126" s="76"/>
      <c r="N126" s="76"/>
      <c r="O126" s="76"/>
      <c r="P126" s="76"/>
      <c r="Q126" s="76"/>
      <c r="R126" s="76"/>
      <c r="S126" s="77" t="s">
        <v>74</v>
      </c>
      <c r="T126" s="77"/>
      <c r="U126" s="77"/>
      <c r="V126" s="77">
        <f t="shared" si="6"/>
        <v>0</v>
      </c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  <c r="AI126" s="77"/>
      <c r="AJ126" s="77"/>
      <c r="AK126" s="77"/>
      <c r="AL126" s="77"/>
      <c r="AM126" s="77"/>
      <c r="AN126" s="77"/>
      <c r="AO126" s="77"/>
      <c r="AP126" s="77"/>
      <c r="AQ126" s="77"/>
      <c r="AR126" s="77"/>
      <c r="AS126" s="77"/>
      <c r="AT126" s="77"/>
      <c r="AU126" s="77"/>
      <c r="AV126" s="77"/>
      <c r="AW126" s="77"/>
      <c r="AX126" s="77"/>
      <c r="AY126" s="77"/>
      <c r="AZ126" s="77"/>
      <c r="BA126" s="77"/>
      <c r="BB126" s="77"/>
      <c r="BC126" s="77"/>
      <c r="BD126" s="77"/>
      <c r="BE126" s="77"/>
      <c r="BF126" s="77"/>
      <c r="BG126" s="77"/>
      <c r="BH126" s="77"/>
      <c r="BI126" s="77"/>
      <c r="BJ126" s="77"/>
      <c r="BK126" s="77"/>
      <c r="BL126" s="77"/>
      <c r="BM126" s="77"/>
      <c r="BN126" s="77"/>
      <c r="BO126" s="77"/>
      <c r="BP126" s="77"/>
      <c r="BQ126" s="77"/>
      <c r="BR126" s="77"/>
      <c r="BS126" s="77"/>
      <c r="BT126" s="77"/>
      <c r="BU126" s="77"/>
      <c r="BV126" s="77"/>
      <c r="BW126" s="77"/>
      <c r="BX126" s="77"/>
      <c r="BY126" s="77"/>
      <c r="BZ126" s="77"/>
      <c r="CA126" s="77"/>
      <c r="CB126" s="77"/>
      <c r="CC126" s="77"/>
      <c r="CD126" s="77"/>
      <c r="CE126" s="77"/>
      <c r="CF126" s="77"/>
      <c r="CG126" s="77"/>
      <c r="CH126" s="77"/>
      <c r="CI126" s="77"/>
      <c r="CJ126" s="77"/>
      <c r="CK126" s="77"/>
      <c r="CL126" s="77"/>
      <c r="CM126" s="77"/>
      <c r="CN126" s="77"/>
      <c r="CO126" s="77"/>
      <c r="CP126" s="77"/>
      <c r="CQ126" s="77"/>
      <c r="CR126" s="77"/>
      <c r="CS126" s="77"/>
      <c r="CT126" s="77"/>
      <c r="CU126" s="77"/>
      <c r="CV126" s="77"/>
      <c r="CW126" s="77"/>
      <c r="CX126" s="77"/>
      <c r="CY126" s="77"/>
      <c r="CZ126" s="77"/>
      <c r="DA126" s="77"/>
      <c r="DB126" s="77"/>
      <c r="DC126" s="77"/>
      <c r="DD126" s="77"/>
      <c r="DE126" s="77"/>
      <c r="DF126" s="77"/>
      <c r="DG126" s="77"/>
      <c r="DH126" s="77"/>
      <c r="DI126" s="77"/>
      <c r="DJ126" s="77"/>
      <c r="DK126" s="77"/>
      <c r="DL126" s="77"/>
      <c r="DM126" s="77"/>
      <c r="DN126" s="77"/>
      <c r="DO126" s="77"/>
      <c r="DP126" s="77"/>
      <c r="DQ126" s="77"/>
      <c r="DR126" s="77"/>
      <c r="DS126" s="77"/>
      <c r="DT126" s="77"/>
      <c r="DU126" s="77"/>
      <c r="DV126" s="77"/>
      <c r="DW126" s="77"/>
      <c r="DX126" s="77"/>
      <c r="DY126" s="77"/>
      <c r="DZ126" s="77"/>
      <c r="EA126" s="77"/>
      <c r="EB126" s="77"/>
      <c r="EC126" s="77"/>
      <c r="ED126" s="77"/>
      <c r="EE126" s="77"/>
      <c r="EF126" s="77"/>
      <c r="EG126" s="77"/>
      <c r="EH126" s="77"/>
      <c r="EI126" s="77"/>
      <c r="EJ126" s="77"/>
      <c r="EK126" s="77"/>
      <c r="EL126" s="77"/>
      <c r="EM126" s="77"/>
      <c r="EN126" s="77"/>
      <c r="EO126" s="77"/>
      <c r="EP126" s="77"/>
      <c r="EQ126" s="77"/>
      <c r="ER126" s="77"/>
      <c r="ES126" s="77"/>
      <c r="ET126" s="77"/>
      <c r="EU126" s="77"/>
      <c r="EV126" s="77"/>
      <c r="EW126" s="77"/>
      <c r="EX126" s="77"/>
      <c r="EY126" s="77"/>
      <c r="EZ126" s="77"/>
      <c r="FA126" s="77"/>
      <c r="FB126" s="77"/>
      <c r="FC126" s="77"/>
      <c r="FD126" s="77"/>
      <c r="FE126" s="77"/>
      <c r="FF126" s="77"/>
      <c r="FG126" s="77"/>
      <c r="FH126" s="77"/>
      <c r="FI126" s="77"/>
      <c r="FJ126" s="77"/>
      <c r="FK126" s="77"/>
      <c r="FL126" s="77"/>
      <c r="FM126" s="77"/>
      <c r="FN126" s="77"/>
      <c r="FO126" s="77"/>
      <c r="FP126" s="77"/>
      <c r="FQ126" s="77"/>
      <c r="FR126" s="77"/>
      <c r="FS126" s="77"/>
      <c r="FT126" s="77"/>
      <c r="FU126" s="77"/>
      <c r="FV126" s="77"/>
      <c r="FW126" s="77"/>
      <c r="FX126" s="77"/>
      <c r="FY126" s="77"/>
      <c r="FZ126" s="77"/>
      <c r="GA126" s="77"/>
      <c r="GB126" s="77"/>
      <c r="GC126" s="77"/>
      <c r="GD126" s="77"/>
      <c r="GE126" s="77"/>
      <c r="GF126" s="77"/>
      <c r="GG126" s="77"/>
      <c r="GH126" s="77"/>
      <c r="GI126" s="77"/>
      <c r="GJ126" s="77"/>
      <c r="GK126" s="77"/>
      <c r="GL126" s="77"/>
      <c r="GM126" s="77"/>
      <c r="GN126" s="77"/>
      <c r="GO126" s="77"/>
      <c r="GP126" s="77"/>
      <c r="GQ126" s="77"/>
      <c r="GR126" s="77"/>
      <c r="GS126" s="77"/>
      <c r="GT126" s="77"/>
      <c r="GU126" s="77"/>
      <c r="GV126" s="77"/>
      <c r="GW126" s="77"/>
      <c r="GX126" s="77"/>
      <c r="GY126" s="77"/>
      <c r="GZ126" s="77"/>
      <c r="HA126" s="77"/>
      <c r="HB126" s="77"/>
      <c r="HC126" s="77"/>
      <c r="HD126" s="77"/>
      <c r="HE126" s="77"/>
      <c r="HF126" s="77"/>
      <c r="HG126" s="77"/>
      <c r="HH126" s="77"/>
      <c r="HI126" s="77"/>
      <c r="HJ126" s="77"/>
      <c r="HK126" s="77"/>
      <c r="HL126" s="77"/>
      <c r="HM126" s="77"/>
      <c r="HN126" s="77"/>
      <c r="HO126" s="77"/>
      <c r="HP126" s="77"/>
      <c r="HQ126" s="77"/>
    </row>
    <row r="127" spans="1:225" hidden="1" x14ac:dyDescent="0.3">
      <c r="A127" s="78">
        <f>'Entrada datos'!C124</f>
        <v>0</v>
      </c>
      <c r="B127" s="74">
        <f>'Entrada datos'!D124</f>
        <v>0</v>
      </c>
      <c r="C127" s="75">
        <f>'Entrada datos'!G124</f>
        <v>0</v>
      </c>
      <c r="D127" s="75">
        <f>'Entrada datos'!H124</f>
        <v>0</v>
      </c>
      <c r="E127" s="74">
        <f t="shared" si="4"/>
        <v>0</v>
      </c>
      <c r="F127" s="68" t="str">
        <f t="shared" si="5"/>
        <v>no procede</v>
      </c>
      <c r="G127" s="74">
        <f>'Entrada datos'!P124</f>
        <v>0</v>
      </c>
      <c r="H127" s="74">
        <f>'Entrada datos'!Q124</f>
        <v>0</v>
      </c>
      <c r="I127" s="74">
        <f>'Entrada datos'!R124</f>
        <v>0</v>
      </c>
      <c r="J127" s="74">
        <f>'Entrada datos'!S124</f>
        <v>0</v>
      </c>
      <c r="K127" s="74">
        <f>'Entrada datos'!T124</f>
        <v>0</v>
      </c>
      <c r="L127" s="74">
        <f>'Entrada datos'!U124</f>
        <v>0</v>
      </c>
      <c r="M127" s="76"/>
      <c r="N127" s="76"/>
      <c r="O127" s="76"/>
      <c r="P127" s="76"/>
      <c r="Q127" s="76"/>
      <c r="R127" s="76"/>
      <c r="S127" s="77" t="s">
        <v>74</v>
      </c>
      <c r="T127" s="77"/>
      <c r="U127" s="77"/>
      <c r="V127" s="77">
        <f t="shared" si="6"/>
        <v>0</v>
      </c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  <c r="AI127" s="77"/>
      <c r="AJ127" s="77"/>
      <c r="AK127" s="77"/>
      <c r="AL127" s="77"/>
      <c r="AM127" s="77"/>
      <c r="AN127" s="77"/>
      <c r="AO127" s="77"/>
      <c r="AP127" s="77"/>
      <c r="AQ127" s="77"/>
      <c r="AR127" s="77"/>
      <c r="AS127" s="77"/>
      <c r="AT127" s="77"/>
      <c r="AU127" s="77"/>
      <c r="AV127" s="77"/>
      <c r="AW127" s="77"/>
      <c r="AX127" s="77"/>
      <c r="AY127" s="77"/>
      <c r="AZ127" s="77"/>
      <c r="BA127" s="77"/>
      <c r="BB127" s="77"/>
      <c r="BC127" s="77"/>
      <c r="BD127" s="77"/>
      <c r="BE127" s="77"/>
      <c r="BF127" s="77"/>
      <c r="BG127" s="77"/>
      <c r="BH127" s="77"/>
      <c r="BI127" s="77"/>
      <c r="BJ127" s="77"/>
      <c r="BK127" s="77"/>
      <c r="BL127" s="77"/>
      <c r="BM127" s="77"/>
      <c r="BN127" s="77"/>
      <c r="BO127" s="77"/>
      <c r="BP127" s="77"/>
      <c r="BQ127" s="77"/>
      <c r="BR127" s="77"/>
      <c r="BS127" s="77"/>
      <c r="BT127" s="77"/>
      <c r="BU127" s="77"/>
      <c r="BV127" s="77"/>
      <c r="BW127" s="77"/>
      <c r="BX127" s="77"/>
      <c r="BY127" s="77"/>
      <c r="BZ127" s="77"/>
      <c r="CA127" s="77"/>
      <c r="CB127" s="77"/>
      <c r="CC127" s="77"/>
      <c r="CD127" s="77"/>
      <c r="CE127" s="77"/>
      <c r="CF127" s="77"/>
      <c r="CG127" s="77"/>
      <c r="CH127" s="77"/>
      <c r="CI127" s="77"/>
      <c r="CJ127" s="77"/>
      <c r="CK127" s="77"/>
      <c r="CL127" s="77"/>
      <c r="CM127" s="77"/>
      <c r="CN127" s="77"/>
      <c r="CO127" s="77"/>
      <c r="CP127" s="77"/>
      <c r="CQ127" s="77"/>
      <c r="CR127" s="77"/>
      <c r="CS127" s="77"/>
      <c r="CT127" s="77"/>
      <c r="CU127" s="77"/>
      <c r="CV127" s="77"/>
      <c r="CW127" s="77"/>
      <c r="CX127" s="77"/>
      <c r="CY127" s="77"/>
      <c r="CZ127" s="77"/>
      <c r="DA127" s="77"/>
      <c r="DB127" s="77"/>
      <c r="DC127" s="77"/>
      <c r="DD127" s="77"/>
      <c r="DE127" s="77"/>
      <c r="DF127" s="77"/>
      <c r="DG127" s="77"/>
      <c r="DH127" s="77"/>
      <c r="DI127" s="77"/>
      <c r="DJ127" s="77"/>
      <c r="DK127" s="77"/>
      <c r="DL127" s="77"/>
      <c r="DM127" s="77"/>
      <c r="DN127" s="77"/>
      <c r="DO127" s="77"/>
      <c r="DP127" s="77"/>
      <c r="DQ127" s="77"/>
      <c r="DR127" s="77"/>
      <c r="DS127" s="77"/>
      <c r="DT127" s="77"/>
      <c r="DU127" s="77"/>
      <c r="DV127" s="77"/>
      <c r="DW127" s="77"/>
      <c r="DX127" s="77"/>
      <c r="DY127" s="77"/>
      <c r="DZ127" s="77"/>
      <c r="EA127" s="77"/>
      <c r="EB127" s="77"/>
      <c r="EC127" s="77"/>
      <c r="ED127" s="77"/>
      <c r="EE127" s="77"/>
      <c r="EF127" s="77"/>
      <c r="EG127" s="77"/>
      <c r="EH127" s="77"/>
      <c r="EI127" s="77"/>
      <c r="EJ127" s="77"/>
      <c r="EK127" s="77"/>
      <c r="EL127" s="77"/>
      <c r="EM127" s="77"/>
      <c r="EN127" s="77"/>
      <c r="EO127" s="77"/>
      <c r="EP127" s="77"/>
      <c r="EQ127" s="77"/>
      <c r="ER127" s="77"/>
      <c r="ES127" s="77"/>
      <c r="ET127" s="77"/>
      <c r="EU127" s="77"/>
      <c r="EV127" s="77"/>
      <c r="EW127" s="77"/>
      <c r="EX127" s="77"/>
      <c r="EY127" s="77"/>
      <c r="EZ127" s="77"/>
      <c r="FA127" s="77"/>
      <c r="FB127" s="77"/>
      <c r="FC127" s="77"/>
      <c r="FD127" s="77"/>
      <c r="FE127" s="77"/>
      <c r="FF127" s="77"/>
      <c r="FG127" s="77"/>
      <c r="FH127" s="77"/>
      <c r="FI127" s="77"/>
      <c r="FJ127" s="77"/>
      <c r="FK127" s="77"/>
      <c r="FL127" s="77"/>
      <c r="FM127" s="77"/>
      <c r="FN127" s="77"/>
      <c r="FO127" s="77"/>
      <c r="FP127" s="77"/>
      <c r="FQ127" s="77"/>
      <c r="FR127" s="77"/>
      <c r="FS127" s="77"/>
      <c r="FT127" s="77"/>
      <c r="FU127" s="77"/>
      <c r="FV127" s="77"/>
      <c r="FW127" s="77"/>
      <c r="FX127" s="77"/>
      <c r="FY127" s="77"/>
      <c r="FZ127" s="77"/>
      <c r="GA127" s="77"/>
      <c r="GB127" s="77"/>
      <c r="GC127" s="77"/>
      <c r="GD127" s="77"/>
      <c r="GE127" s="77"/>
      <c r="GF127" s="77"/>
      <c r="GG127" s="77"/>
      <c r="GH127" s="77"/>
      <c r="GI127" s="77"/>
      <c r="GJ127" s="77"/>
      <c r="GK127" s="77"/>
      <c r="GL127" s="77"/>
      <c r="GM127" s="77"/>
      <c r="GN127" s="77"/>
      <c r="GO127" s="77"/>
      <c r="GP127" s="77"/>
      <c r="GQ127" s="77"/>
      <c r="GR127" s="77"/>
      <c r="GS127" s="77"/>
      <c r="GT127" s="77"/>
      <c r="GU127" s="77"/>
      <c r="GV127" s="77"/>
      <c r="GW127" s="77"/>
      <c r="GX127" s="77"/>
      <c r="GY127" s="77"/>
      <c r="GZ127" s="77"/>
      <c r="HA127" s="77"/>
      <c r="HB127" s="77"/>
      <c r="HC127" s="77"/>
      <c r="HD127" s="77"/>
      <c r="HE127" s="77"/>
      <c r="HF127" s="77"/>
      <c r="HG127" s="77"/>
      <c r="HH127" s="77"/>
      <c r="HI127" s="77"/>
      <c r="HJ127" s="77"/>
      <c r="HK127" s="77"/>
      <c r="HL127" s="77"/>
      <c r="HM127" s="77"/>
      <c r="HN127" s="77"/>
      <c r="HO127" s="77"/>
      <c r="HP127" s="77"/>
      <c r="HQ127" s="77"/>
    </row>
    <row r="128" spans="1:225" hidden="1" x14ac:dyDescent="0.3">
      <c r="A128" s="78">
        <f>'Entrada datos'!C125</f>
        <v>0</v>
      </c>
      <c r="B128" s="74">
        <f>'Entrada datos'!D125</f>
        <v>0</v>
      </c>
      <c r="C128" s="75">
        <f>'Entrada datos'!G125</f>
        <v>0</v>
      </c>
      <c r="D128" s="75">
        <f>'Entrada datos'!H125</f>
        <v>0</v>
      </c>
      <c r="E128" s="74">
        <f t="shared" si="4"/>
        <v>0</v>
      </c>
      <c r="F128" s="68" t="str">
        <f t="shared" si="5"/>
        <v>no procede</v>
      </c>
      <c r="G128" s="74">
        <f>'Entrada datos'!P125</f>
        <v>0</v>
      </c>
      <c r="H128" s="74">
        <f>'Entrada datos'!Q125</f>
        <v>0</v>
      </c>
      <c r="I128" s="74">
        <f>'Entrada datos'!R125</f>
        <v>0</v>
      </c>
      <c r="J128" s="74">
        <f>'Entrada datos'!S125</f>
        <v>0</v>
      </c>
      <c r="K128" s="74">
        <f>'Entrada datos'!T125</f>
        <v>0</v>
      </c>
      <c r="L128" s="74">
        <f>'Entrada datos'!U125</f>
        <v>0</v>
      </c>
      <c r="M128" s="76"/>
      <c r="N128" s="76"/>
      <c r="O128" s="76"/>
      <c r="P128" s="76"/>
      <c r="Q128" s="76"/>
      <c r="R128" s="76"/>
      <c r="S128" s="77" t="s">
        <v>74</v>
      </c>
      <c r="T128" s="77"/>
      <c r="U128" s="77"/>
      <c r="V128" s="77">
        <f t="shared" si="6"/>
        <v>0</v>
      </c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77"/>
      <c r="AJ128" s="77"/>
      <c r="AK128" s="77"/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C128" s="77"/>
      <c r="BD128" s="77"/>
      <c r="BE128" s="77"/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W128" s="77"/>
      <c r="BX128" s="77"/>
      <c r="BY128" s="77"/>
      <c r="BZ128" s="77"/>
      <c r="CA128" s="77"/>
      <c r="CB128" s="77"/>
      <c r="CC128" s="77"/>
      <c r="CD128" s="77"/>
      <c r="CE128" s="77"/>
      <c r="CF128" s="77"/>
      <c r="CG128" s="77"/>
      <c r="CH128" s="77"/>
      <c r="CI128" s="77"/>
      <c r="CJ128" s="77"/>
      <c r="CK128" s="77"/>
      <c r="CL128" s="77"/>
      <c r="CM128" s="77"/>
      <c r="CN128" s="77"/>
      <c r="CO128" s="77"/>
      <c r="CP128" s="77"/>
      <c r="CQ128" s="77"/>
      <c r="CR128" s="77"/>
      <c r="CS128" s="77"/>
      <c r="CT128" s="77"/>
      <c r="CU128" s="77"/>
      <c r="CV128" s="77"/>
      <c r="CW128" s="77"/>
      <c r="CX128" s="77"/>
      <c r="CY128" s="77"/>
      <c r="CZ128" s="77"/>
      <c r="DA128" s="77"/>
      <c r="DB128" s="77"/>
      <c r="DC128" s="77"/>
      <c r="DD128" s="77"/>
      <c r="DE128" s="77"/>
      <c r="DF128" s="77"/>
      <c r="DG128" s="77"/>
      <c r="DH128" s="77"/>
      <c r="DI128" s="77"/>
      <c r="DJ128" s="77"/>
      <c r="DK128" s="77"/>
      <c r="DL128" s="77"/>
      <c r="DM128" s="77"/>
      <c r="DN128" s="77"/>
      <c r="DO128" s="77"/>
      <c r="DP128" s="77"/>
      <c r="DQ128" s="77"/>
      <c r="DR128" s="77"/>
      <c r="DS128" s="77"/>
      <c r="DT128" s="77"/>
      <c r="DU128" s="77"/>
      <c r="DV128" s="77"/>
      <c r="DW128" s="77"/>
      <c r="DX128" s="77"/>
      <c r="DY128" s="77"/>
      <c r="DZ128" s="77"/>
      <c r="EA128" s="77"/>
      <c r="EB128" s="77"/>
      <c r="EC128" s="77"/>
      <c r="ED128" s="77"/>
      <c r="EE128" s="77"/>
      <c r="EF128" s="77"/>
      <c r="EG128" s="77"/>
      <c r="EH128" s="77"/>
      <c r="EI128" s="77"/>
      <c r="EJ128" s="77"/>
      <c r="EK128" s="77"/>
      <c r="EL128" s="77"/>
      <c r="EM128" s="77"/>
      <c r="EN128" s="77"/>
      <c r="EO128" s="77"/>
      <c r="EP128" s="77"/>
      <c r="EQ128" s="77"/>
      <c r="ER128" s="77"/>
      <c r="ES128" s="77"/>
      <c r="ET128" s="77"/>
      <c r="EU128" s="77"/>
      <c r="EV128" s="77"/>
      <c r="EW128" s="77"/>
      <c r="EX128" s="77"/>
      <c r="EY128" s="77"/>
      <c r="EZ128" s="77"/>
      <c r="FA128" s="77"/>
      <c r="FB128" s="77"/>
      <c r="FC128" s="77"/>
      <c r="FD128" s="77"/>
      <c r="FE128" s="77"/>
      <c r="FF128" s="77"/>
      <c r="FG128" s="77"/>
      <c r="FH128" s="77"/>
      <c r="FI128" s="77"/>
      <c r="FJ128" s="77"/>
      <c r="FK128" s="77"/>
      <c r="FL128" s="77"/>
      <c r="FM128" s="77"/>
      <c r="FN128" s="77"/>
      <c r="FO128" s="77"/>
      <c r="FP128" s="77"/>
      <c r="FQ128" s="77"/>
      <c r="FR128" s="77"/>
      <c r="FS128" s="77"/>
      <c r="FT128" s="77"/>
      <c r="FU128" s="77"/>
      <c r="FV128" s="77"/>
      <c r="FW128" s="77"/>
      <c r="FX128" s="77"/>
      <c r="FY128" s="77"/>
      <c r="FZ128" s="77"/>
      <c r="GA128" s="77"/>
      <c r="GB128" s="77"/>
      <c r="GC128" s="77"/>
      <c r="GD128" s="77"/>
      <c r="GE128" s="77"/>
      <c r="GF128" s="77"/>
      <c r="GG128" s="77"/>
      <c r="GH128" s="77"/>
      <c r="GI128" s="77"/>
      <c r="GJ128" s="77"/>
      <c r="GK128" s="77"/>
      <c r="GL128" s="77"/>
      <c r="GM128" s="77"/>
      <c r="GN128" s="77"/>
      <c r="GO128" s="77"/>
      <c r="GP128" s="77"/>
      <c r="GQ128" s="77"/>
      <c r="GR128" s="77"/>
      <c r="GS128" s="77"/>
      <c r="GT128" s="77"/>
      <c r="GU128" s="77"/>
      <c r="GV128" s="77"/>
      <c r="GW128" s="77"/>
      <c r="GX128" s="77"/>
      <c r="GY128" s="77"/>
      <c r="GZ128" s="77"/>
      <c r="HA128" s="77"/>
      <c r="HB128" s="77"/>
      <c r="HC128" s="77"/>
      <c r="HD128" s="77"/>
      <c r="HE128" s="77"/>
      <c r="HF128" s="77"/>
      <c r="HG128" s="77"/>
      <c r="HH128" s="77"/>
      <c r="HI128" s="77"/>
      <c r="HJ128" s="77"/>
      <c r="HK128" s="77"/>
      <c r="HL128" s="77"/>
      <c r="HM128" s="77"/>
      <c r="HN128" s="77"/>
      <c r="HO128" s="77"/>
      <c r="HP128" s="77"/>
      <c r="HQ128" s="77"/>
    </row>
    <row r="129" spans="1:225" hidden="1" x14ac:dyDescent="0.3">
      <c r="A129" s="78">
        <f>'Entrada datos'!C126</f>
        <v>0</v>
      </c>
      <c r="B129" s="74">
        <f>'Entrada datos'!D126</f>
        <v>0</v>
      </c>
      <c r="C129" s="75">
        <f>'Entrada datos'!G126</f>
        <v>0</v>
      </c>
      <c r="D129" s="75">
        <f>'Entrada datos'!H126</f>
        <v>0</v>
      </c>
      <c r="E129" s="74">
        <f t="shared" si="4"/>
        <v>0</v>
      </c>
      <c r="F129" s="68" t="str">
        <f t="shared" si="5"/>
        <v>no procede</v>
      </c>
      <c r="G129" s="74">
        <f>'Entrada datos'!P126</f>
        <v>0</v>
      </c>
      <c r="H129" s="74">
        <f>'Entrada datos'!Q126</f>
        <v>0</v>
      </c>
      <c r="I129" s="74">
        <f>'Entrada datos'!R126</f>
        <v>0</v>
      </c>
      <c r="J129" s="74">
        <f>'Entrada datos'!S126</f>
        <v>0</v>
      </c>
      <c r="K129" s="74">
        <f>'Entrada datos'!T126</f>
        <v>0</v>
      </c>
      <c r="L129" s="74">
        <f>'Entrada datos'!U126</f>
        <v>0</v>
      </c>
      <c r="M129" s="76"/>
      <c r="N129" s="76"/>
      <c r="O129" s="76"/>
      <c r="P129" s="76"/>
      <c r="Q129" s="76"/>
      <c r="R129" s="76"/>
      <c r="S129" s="77" t="s">
        <v>74</v>
      </c>
      <c r="T129" s="77"/>
      <c r="U129" s="77"/>
      <c r="V129" s="77">
        <f t="shared" si="6"/>
        <v>0</v>
      </c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  <c r="AI129" s="77"/>
      <c r="AJ129" s="77"/>
      <c r="AK129" s="77"/>
      <c r="AL129" s="77"/>
      <c r="AM129" s="77"/>
      <c r="AN129" s="77"/>
      <c r="AO129" s="77"/>
      <c r="AP129" s="77"/>
      <c r="AQ129" s="77"/>
      <c r="AR129" s="77"/>
      <c r="AS129" s="77"/>
      <c r="AT129" s="77"/>
      <c r="AU129" s="77"/>
      <c r="AV129" s="77"/>
      <c r="AW129" s="77"/>
      <c r="AX129" s="77"/>
      <c r="AY129" s="77"/>
      <c r="AZ129" s="77"/>
      <c r="BA129" s="77"/>
      <c r="BB129" s="77"/>
      <c r="BC129" s="77"/>
      <c r="BD129" s="77"/>
      <c r="BE129" s="77"/>
      <c r="BF129" s="77"/>
      <c r="BG129" s="77"/>
      <c r="BH129" s="77"/>
      <c r="BI129" s="77"/>
      <c r="BJ129" s="77"/>
      <c r="BK129" s="77"/>
      <c r="BL129" s="77"/>
      <c r="BM129" s="77"/>
      <c r="BN129" s="77"/>
      <c r="BO129" s="77"/>
      <c r="BP129" s="77"/>
      <c r="BQ129" s="77"/>
      <c r="BR129" s="77"/>
      <c r="BS129" s="77"/>
      <c r="BT129" s="77"/>
      <c r="BU129" s="77"/>
      <c r="BV129" s="77"/>
      <c r="BW129" s="77"/>
      <c r="BX129" s="77"/>
      <c r="BY129" s="77"/>
      <c r="BZ129" s="77"/>
      <c r="CA129" s="77"/>
      <c r="CB129" s="77"/>
      <c r="CC129" s="77"/>
      <c r="CD129" s="77"/>
      <c r="CE129" s="77"/>
      <c r="CF129" s="77"/>
      <c r="CG129" s="77"/>
      <c r="CH129" s="77"/>
      <c r="CI129" s="77"/>
      <c r="CJ129" s="77"/>
      <c r="CK129" s="77"/>
      <c r="CL129" s="77"/>
      <c r="CM129" s="77"/>
      <c r="CN129" s="77"/>
      <c r="CO129" s="77"/>
      <c r="CP129" s="77"/>
      <c r="CQ129" s="77"/>
      <c r="CR129" s="77"/>
      <c r="CS129" s="77"/>
      <c r="CT129" s="77"/>
      <c r="CU129" s="77"/>
      <c r="CV129" s="77"/>
      <c r="CW129" s="77"/>
      <c r="CX129" s="77"/>
      <c r="CY129" s="77"/>
      <c r="CZ129" s="77"/>
      <c r="DA129" s="77"/>
      <c r="DB129" s="77"/>
      <c r="DC129" s="77"/>
      <c r="DD129" s="77"/>
      <c r="DE129" s="77"/>
      <c r="DF129" s="77"/>
      <c r="DG129" s="77"/>
      <c r="DH129" s="77"/>
      <c r="DI129" s="77"/>
      <c r="DJ129" s="77"/>
      <c r="DK129" s="77"/>
      <c r="DL129" s="77"/>
      <c r="DM129" s="77"/>
      <c r="DN129" s="77"/>
      <c r="DO129" s="77"/>
      <c r="DP129" s="77"/>
      <c r="DQ129" s="77"/>
      <c r="DR129" s="77"/>
      <c r="DS129" s="77"/>
      <c r="DT129" s="77"/>
      <c r="DU129" s="77"/>
      <c r="DV129" s="77"/>
      <c r="DW129" s="77"/>
      <c r="DX129" s="77"/>
      <c r="DY129" s="77"/>
      <c r="DZ129" s="77"/>
      <c r="EA129" s="77"/>
      <c r="EB129" s="77"/>
      <c r="EC129" s="77"/>
      <c r="ED129" s="77"/>
      <c r="EE129" s="77"/>
      <c r="EF129" s="77"/>
      <c r="EG129" s="77"/>
      <c r="EH129" s="77"/>
      <c r="EI129" s="77"/>
      <c r="EJ129" s="77"/>
      <c r="EK129" s="77"/>
      <c r="EL129" s="77"/>
      <c r="EM129" s="77"/>
      <c r="EN129" s="77"/>
      <c r="EO129" s="77"/>
      <c r="EP129" s="77"/>
      <c r="EQ129" s="77"/>
      <c r="ER129" s="77"/>
      <c r="ES129" s="77"/>
      <c r="ET129" s="77"/>
      <c r="EU129" s="77"/>
      <c r="EV129" s="77"/>
      <c r="EW129" s="77"/>
      <c r="EX129" s="77"/>
      <c r="EY129" s="77"/>
      <c r="EZ129" s="77"/>
      <c r="FA129" s="77"/>
      <c r="FB129" s="77"/>
      <c r="FC129" s="77"/>
      <c r="FD129" s="77"/>
      <c r="FE129" s="77"/>
      <c r="FF129" s="77"/>
      <c r="FG129" s="77"/>
      <c r="FH129" s="77"/>
      <c r="FI129" s="77"/>
      <c r="FJ129" s="77"/>
      <c r="FK129" s="77"/>
      <c r="FL129" s="77"/>
      <c r="FM129" s="77"/>
      <c r="FN129" s="77"/>
      <c r="FO129" s="77"/>
      <c r="FP129" s="77"/>
      <c r="FQ129" s="77"/>
      <c r="FR129" s="77"/>
      <c r="FS129" s="77"/>
      <c r="FT129" s="77"/>
      <c r="FU129" s="77"/>
      <c r="FV129" s="77"/>
      <c r="FW129" s="77"/>
      <c r="FX129" s="77"/>
      <c r="FY129" s="77"/>
      <c r="FZ129" s="77"/>
      <c r="GA129" s="77"/>
      <c r="GB129" s="77"/>
      <c r="GC129" s="77"/>
      <c r="GD129" s="77"/>
      <c r="GE129" s="77"/>
      <c r="GF129" s="77"/>
      <c r="GG129" s="77"/>
      <c r="GH129" s="77"/>
      <c r="GI129" s="77"/>
      <c r="GJ129" s="77"/>
      <c r="GK129" s="77"/>
      <c r="GL129" s="77"/>
      <c r="GM129" s="77"/>
      <c r="GN129" s="77"/>
      <c r="GO129" s="77"/>
      <c r="GP129" s="77"/>
      <c r="GQ129" s="77"/>
      <c r="GR129" s="77"/>
      <c r="GS129" s="77"/>
      <c r="GT129" s="77"/>
      <c r="GU129" s="77"/>
      <c r="GV129" s="77"/>
      <c r="GW129" s="77"/>
      <c r="GX129" s="77"/>
      <c r="GY129" s="77"/>
      <c r="GZ129" s="77"/>
      <c r="HA129" s="77"/>
      <c r="HB129" s="77"/>
      <c r="HC129" s="77"/>
      <c r="HD129" s="77"/>
      <c r="HE129" s="77"/>
      <c r="HF129" s="77"/>
      <c r="HG129" s="77"/>
      <c r="HH129" s="77"/>
      <c r="HI129" s="77"/>
      <c r="HJ129" s="77"/>
      <c r="HK129" s="77"/>
      <c r="HL129" s="77"/>
      <c r="HM129" s="77"/>
      <c r="HN129" s="77"/>
      <c r="HO129" s="77"/>
      <c r="HP129" s="77"/>
      <c r="HQ129" s="77"/>
    </row>
    <row r="130" spans="1:225" hidden="1" x14ac:dyDescent="0.3">
      <c r="A130" s="78">
        <f>'Entrada datos'!C127</f>
        <v>0</v>
      </c>
      <c r="B130" s="74">
        <f>'Entrada datos'!D127</f>
        <v>0</v>
      </c>
      <c r="C130" s="75">
        <f>'Entrada datos'!G127</f>
        <v>0</v>
      </c>
      <c r="D130" s="75">
        <f>'Entrada datos'!H127</f>
        <v>0</v>
      </c>
      <c r="E130" s="74">
        <f t="shared" si="4"/>
        <v>0</v>
      </c>
      <c r="F130" s="68" t="str">
        <f t="shared" si="5"/>
        <v>no procede</v>
      </c>
      <c r="G130" s="74">
        <f>'Entrada datos'!P127</f>
        <v>0</v>
      </c>
      <c r="H130" s="74">
        <f>'Entrada datos'!Q127</f>
        <v>0</v>
      </c>
      <c r="I130" s="74">
        <f>'Entrada datos'!R127</f>
        <v>0</v>
      </c>
      <c r="J130" s="74">
        <f>'Entrada datos'!S127</f>
        <v>0</v>
      </c>
      <c r="K130" s="74">
        <f>'Entrada datos'!T127</f>
        <v>0</v>
      </c>
      <c r="L130" s="74">
        <f>'Entrada datos'!U127</f>
        <v>0</v>
      </c>
      <c r="M130" s="76"/>
      <c r="N130" s="76"/>
      <c r="O130" s="76"/>
      <c r="P130" s="76"/>
      <c r="Q130" s="76"/>
      <c r="R130" s="76"/>
      <c r="S130" s="77" t="s">
        <v>74</v>
      </c>
      <c r="T130" s="77"/>
      <c r="U130" s="77"/>
      <c r="V130" s="77">
        <f t="shared" si="6"/>
        <v>0</v>
      </c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  <c r="AI130" s="77"/>
      <c r="AJ130" s="77"/>
      <c r="AK130" s="77"/>
      <c r="AL130" s="77"/>
      <c r="AM130" s="77"/>
      <c r="AN130" s="77"/>
      <c r="AO130" s="77"/>
      <c r="AP130" s="77"/>
      <c r="AQ130" s="77"/>
      <c r="AR130" s="77"/>
      <c r="AS130" s="77"/>
      <c r="AT130" s="77"/>
      <c r="AU130" s="77"/>
      <c r="AV130" s="77"/>
      <c r="AW130" s="77"/>
      <c r="AX130" s="77"/>
      <c r="AY130" s="77"/>
      <c r="AZ130" s="77"/>
      <c r="BA130" s="77"/>
      <c r="BB130" s="77"/>
      <c r="BC130" s="77"/>
      <c r="BD130" s="77"/>
      <c r="BE130" s="77"/>
      <c r="BF130" s="77"/>
      <c r="BG130" s="77"/>
      <c r="BH130" s="77"/>
      <c r="BI130" s="77"/>
      <c r="BJ130" s="77"/>
      <c r="BK130" s="77"/>
      <c r="BL130" s="77"/>
      <c r="BM130" s="77"/>
      <c r="BN130" s="77"/>
      <c r="BO130" s="77"/>
      <c r="BP130" s="77"/>
      <c r="BQ130" s="77"/>
      <c r="BR130" s="77"/>
      <c r="BS130" s="77"/>
      <c r="BT130" s="77"/>
      <c r="BU130" s="77"/>
      <c r="BV130" s="77"/>
      <c r="BW130" s="77"/>
      <c r="BX130" s="77"/>
      <c r="BY130" s="77"/>
      <c r="BZ130" s="77"/>
      <c r="CA130" s="77"/>
      <c r="CB130" s="77"/>
      <c r="CC130" s="77"/>
      <c r="CD130" s="77"/>
      <c r="CE130" s="77"/>
      <c r="CF130" s="77"/>
      <c r="CG130" s="77"/>
      <c r="CH130" s="77"/>
      <c r="CI130" s="77"/>
      <c r="CJ130" s="77"/>
      <c r="CK130" s="77"/>
      <c r="CL130" s="77"/>
      <c r="CM130" s="77"/>
      <c r="CN130" s="77"/>
      <c r="CO130" s="77"/>
      <c r="CP130" s="77"/>
      <c r="CQ130" s="77"/>
      <c r="CR130" s="77"/>
      <c r="CS130" s="77"/>
      <c r="CT130" s="77"/>
      <c r="CU130" s="77"/>
      <c r="CV130" s="77"/>
      <c r="CW130" s="77"/>
      <c r="CX130" s="77"/>
      <c r="CY130" s="77"/>
      <c r="CZ130" s="77"/>
      <c r="DA130" s="77"/>
      <c r="DB130" s="77"/>
      <c r="DC130" s="77"/>
      <c r="DD130" s="77"/>
      <c r="DE130" s="77"/>
      <c r="DF130" s="77"/>
      <c r="DG130" s="77"/>
      <c r="DH130" s="77"/>
      <c r="DI130" s="77"/>
      <c r="DJ130" s="77"/>
      <c r="DK130" s="77"/>
      <c r="DL130" s="77"/>
      <c r="DM130" s="77"/>
      <c r="DN130" s="77"/>
      <c r="DO130" s="77"/>
      <c r="DP130" s="77"/>
      <c r="DQ130" s="77"/>
      <c r="DR130" s="77"/>
      <c r="DS130" s="77"/>
      <c r="DT130" s="77"/>
      <c r="DU130" s="77"/>
      <c r="DV130" s="77"/>
      <c r="DW130" s="77"/>
      <c r="DX130" s="77"/>
      <c r="DY130" s="77"/>
      <c r="DZ130" s="77"/>
      <c r="EA130" s="77"/>
      <c r="EB130" s="77"/>
      <c r="EC130" s="77"/>
      <c r="ED130" s="77"/>
      <c r="EE130" s="77"/>
      <c r="EF130" s="77"/>
      <c r="EG130" s="77"/>
      <c r="EH130" s="77"/>
      <c r="EI130" s="77"/>
      <c r="EJ130" s="77"/>
      <c r="EK130" s="77"/>
      <c r="EL130" s="77"/>
      <c r="EM130" s="77"/>
      <c r="EN130" s="77"/>
      <c r="EO130" s="77"/>
      <c r="EP130" s="77"/>
      <c r="EQ130" s="77"/>
      <c r="ER130" s="77"/>
      <c r="ES130" s="77"/>
      <c r="ET130" s="77"/>
      <c r="EU130" s="77"/>
      <c r="EV130" s="77"/>
      <c r="EW130" s="77"/>
      <c r="EX130" s="77"/>
      <c r="EY130" s="77"/>
      <c r="EZ130" s="77"/>
      <c r="FA130" s="77"/>
      <c r="FB130" s="77"/>
      <c r="FC130" s="77"/>
      <c r="FD130" s="77"/>
      <c r="FE130" s="77"/>
      <c r="FF130" s="77"/>
      <c r="FG130" s="77"/>
      <c r="FH130" s="77"/>
      <c r="FI130" s="77"/>
      <c r="FJ130" s="77"/>
      <c r="FK130" s="77"/>
      <c r="FL130" s="77"/>
      <c r="FM130" s="77"/>
      <c r="FN130" s="77"/>
      <c r="FO130" s="77"/>
      <c r="FP130" s="77"/>
      <c r="FQ130" s="77"/>
      <c r="FR130" s="77"/>
      <c r="FS130" s="77"/>
      <c r="FT130" s="77"/>
      <c r="FU130" s="77"/>
      <c r="FV130" s="77"/>
      <c r="FW130" s="77"/>
      <c r="FX130" s="77"/>
      <c r="FY130" s="77"/>
      <c r="FZ130" s="77"/>
      <c r="GA130" s="77"/>
      <c r="GB130" s="77"/>
      <c r="GC130" s="77"/>
      <c r="GD130" s="77"/>
      <c r="GE130" s="77"/>
      <c r="GF130" s="77"/>
      <c r="GG130" s="77"/>
      <c r="GH130" s="77"/>
      <c r="GI130" s="77"/>
      <c r="GJ130" s="77"/>
      <c r="GK130" s="77"/>
      <c r="GL130" s="77"/>
      <c r="GM130" s="77"/>
      <c r="GN130" s="77"/>
      <c r="GO130" s="77"/>
      <c r="GP130" s="77"/>
      <c r="GQ130" s="77"/>
      <c r="GR130" s="77"/>
      <c r="GS130" s="77"/>
      <c r="GT130" s="77"/>
      <c r="GU130" s="77"/>
      <c r="GV130" s="77"/>
      <c r="GW130" s="77"/>
      <c r="GX130" s="77"/>
      <c r="GY130" s="77"/>
      <c r="GZ130" s="77"/>
      <c r="HA130" s="77"/>
      <c r="HB130" s="77"/>
      <c r="HC130" s="77"/>
      <c r="HD130" s="77"/>
      <c r="HE130" s="77"/>
      <c r="HF130" s="77"/>
      <c r="HG130" s="77"/>
      <c r="HH130" s="77"/>
      <c r="HI130" s="77"/>
      <c r="HJ130" s="77"/>
      <c r="HK130" s="77"/>
      <c r="HL130" s="77"/>
      <c r="HM130" s="77"/>
      <c r="HN130" s="77"/>
      <c r="HO130" s="77"/>
      <c r="HP130" s="77"/>
      <c r="HQ130" s="77"/>
    </row>
    <row r="131" spans="1:225" hidden="1" x14ac:dyDescent="0.3">
      <c r="A131" s="78">
        <f>'Entrada datos'!C128</f>
        <v>0</v>
      </c>
      <c r="B131" s="74">
        <f>'Entrada datos'!D128</f>
        <v>0</v>
      </c>
      <c r="C131" s="75">
        <f>'Entrada datos'!G128</f>
        <v>0</v>
      </c>
      <c r="D131" s="75">
        <f>'Entrada datos'!H128</f>
        <v>0</v>
      </c>
      <c r="E131" s="74">
        <f t="shared" si="4"/>
        <v>0</v>
      </c>
      <c r="F131" s="68" t="str">
        <f t="shared" si="5"/>
        <v>no procede</v>
      </c>
      <c r="G131" s="74">
        <f>'Entrada datos'!P128</f>
        <v>0</v>
      </c>
      <c r="H131" s="74">
        <f>'Entrada datos'!Q128</f>
        <v>0</v>
      </c>
      <c r="I131" s="74">
        <f>'Entrada datos'!R128</f>
        <v>0</v>
      </c>
      <c r="J131" s="74">
        <f>'Entrada datos'!S128</f>
        <v>0</v>
      </c>
      <c r="K131" s="74">
        <f>'Entrada datos'!T128</f>
        <v>0</v>
      </c>
      <c r="L131" s="74">
        <f>'Entrada datos'!U128</f>
        <v>0</v>
      </c>
      <c r="M131" s="76"/>
      <c r="N131" s="76"/>
      <c r="O131" s="76"/>
      <c r="P131" s="76"/>
      <c r="Q131" s="76"/>
      <c r="R131" s="76"/>
      <c r="S131" s="77" t="s">
        <v>74</v>
      </c>
      <c r="T131" s="77"/>
      <c r="U131" s="77"/>
      <c r="V131" s="77">
        <f t="shared" si="6"/>
        <v>0</v>
      </c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  <c r="AI131" s="77"/>
      <c r="AJ131" s="77"/>
      <c r="AK131" s="77"/>
      <c r="AL131" s="77"/>
      <c r="AM131" s="77"/>
      <c r="AN131" s="77"/>
      <c r="AO131" s="77"/>
      <c r="AP131" s="77"/>
      <c r="AQ131" s="77"/>
      <c r="AR131" s="77"/>
      <c r="AS131" s="77"/>
      <c r="AT131" s="77"/>
      <c r="AU131" s="77"/>
      <c r="AV131" s="77"/>
      <c r="AW131" s="77"/>
      <c r="AX131" s="77"/>
      <c r="AY131" s="77"/>
      <c r="AZ131" s="77"/>
      <c r="BA131" s="77"/>
      <c r="BB131" s="77"/>
      <c r="BC131" s="77"/>
      <c r="BD131" s="77"/>
      <c r="BE131" s="77"/>
      <c r="BF131" s="77"/>
      <c r="BG131" s="77"/>
      <c r="BH131" s="77"/>
      <c r="BI131" s="77"/>
      <c r="BJ131" s="77"/>
      <c r="BK131" s="77"/>
      <c r="BL131" s="77"/>
      <c r="BM131" s="77"/>
      <c r="BN131" s="77"/>
      <c r="BO131" s="77"/>
      <c r="BP131" s="77"/>
      <c r="BQ131" s="77"/>
      <c r="BR131" s="77"/>
      <c r="BS131" s="77"/>
      <c r="BT131" s="77"/>
      <c r="BU131" s="77"/>
      <c r="BV131" s="77"/>
      <c r="BW131" s="77"/>
      <c r="BX131" s="77"/>
      <c r="BY131" s="77"/>
      <c r="BZ131" s="77"/>
      <c r="CA131" s="77"/>
      <c r="CB131" s="77"/>
      <c r="CC131" s="77"/>
      <c r="CD131" s="77"/>
      <c r="CE131" s="77"/>
      <c r="CF131" s="77"/>
      <c r="CG131" s="77"/>
      <c r="CH131" s="77"/>
      <c r="CI131" s="77"/>
      <c r="CJ131" s="77"/>
      <c r="CK131" s="77"/>
      <c r="CL131" s="77"/>
      <c r="CM131" s="77"/>
      <c r="CN131" s="77"/>
      <c r="CO131" s="77"/>
      <c r="CP131" s="77"/>
      <c r="CQ131" s="77"/>
      <c r="CR131" s="77"/>
      <c r="CS131" s="77"/>
      <c r="CT131" s="77"/>
      <c r="CU131" s="77"/>
      <c r="CV131" s="77"/>
      <c r="CW131" s="77"/>
      <c r="CX131" s="77"/>
      <c r="CY131" s="77"/>
      <c r="CZ131" s="77"/>
      <c r="DA131" s="77"/>
      <c r="DB131" s="77"/>
      <c r="DC131" s="77"/>
      <c r="DD131" s="77"/>
      <c r="DE131" s="77"/>
      <c r="DF131" s="77"/>
      <c r="DG131" s="77"/>
      <c r="DH131" s="77"/>
      <c r="DI131" s="77"/>
      <c r="DJ131" s="77"/>
      <c r="DK131" s="77"/>
      <c r="DL131" s="77"/>
      <c r="DM131" s="77"/>
      <c r="DN131" s="77"/>
      <c r="DO131" s="77"/>
      <c r="DP131" s="77"/>
      <c r="DQ131" s="77"/>
      <c r="DR131" s="77"/>
      <c r="DS131" s="77"/>
      <c r="DT131" s="77"/>
      <c r="DU131" s="77"/>
      <c r="DV131" s="77"/>
      <c r="DW131" s="77"/>
      <c r="DX131" s="77"/>
      <c r="DY131" s="77"/>
      <c r="DZ131" s="77"/>
      <c r="EA131" s="77"/>
      <c r="EB131" s="77"/>
      <c r="EC131" s="77"/>
      <c r="ED131" s="77"/>
      <c r="EE131" s="77"/>
      <c r="EF131" s="77"/>
      <c r="EG131" s="77"/>
      <c r="EH131" s="77"/>
      <c r="EI131" s="77"/>
      <c r="EJ131" s="77"/>
      <c r="EK131" s="77"/>
      <c r="EL131" s="77"/>
      <c r="EM131" s="77"/>
      <c r="EN131" s="77"/>
      <c r="EO131" s="77"/>
      <c r="EP131" s="77"/>
      <c r="EQ131" s="77"/>
      <c r="ER131" s="77"/>
      <c r="ES131" s="77"/>
      <c r="ET131" s="77"/>
      <c r="EU131" s="77"/>
      <c r="EV131" s="77"/>
      <c r="EW131" s="77"/>
      <c r="EX131" s="77"/>
      <c r="EY131" s="77"/>
      <c r="EZ131" s="77"/>
      <c r="FA131" s="77"/>
      <c r="FB131" s="77"/>
      <c r="FC131" s="77"/>
      <c r="FD131" s="77"/>
      <c r="FE131" s="77"/>
      <c r="FF131" s="77"/>
      <c r="FG131" s="77"/>
      <c r="FH131" s="77"/>
      <c r="FI131" s="77"/>
      <c r="FJ131" s="77"/>
      <c r="FK131" s="77"/>
      <c r="FL131" s="77"/>
      <c r="FM131" s="77"/>
      <c r="FN131" s="77"/>
      <c r="FO131" s="77"/>
      <c r="FP131" s="77"/>
      <c r="FQ131" s="77"/>
      <c r="FR131" s="77"/>
      <c r="FS131" s="77"/>
      <c r="FT131" s="77"/>
      <c r="FU131" s="77"/>
      <c r="FV131" s="77"/>
      <c r="FW131" s="77"/>
      <c r="FX131" s="77"/>
      <c r="FY131" s="77"/>
      <c r="FZ131" s="77"/>
      <c r="GA131" s="77"/>
      <c r="GB131" s="77"/>
      <c r="GC131" s="77"/>
      <c r="GD131" s="77"/>
      <c r="GE131" s="77"/>
      <c r="GF131" s="77"/>
      <c r="GG131" s="77"/>
      <c r="GH131" s="77"/>
      <c r="GI131" s="77"/>
      <c r="GJ131" s="77"/>
      <c r="GK131" s="77"/>
      <c r="GL131" s="77"/>
      <c r="GM131" s="77"/>
      <c r="GN131" s="77"/>
      <c r="GO131" s="77"/>
      <c r="GP131" s="77"/>
      <c r="GQ131" s="77"/>
      <c r="GR131" s="77"/>
      <c r="GS131" s="77"/>
      <c r="GT131" s="77"/>
      <c r="GU131" s="77"/>
      <c r="GV131" s="77"/>
      <c r="GW131" s="77"/>
      <c r="GX131" s="77"/>
      <c r="GY131" s="77"/>
      <c r="GZ131" s="77"/>
      <c r="HA131" s="77"/>
      <c r="HB131" s="77"/>
      <c r="HC131" s="77"/>
      <c r="HD131" s="77"/>
      <c r="HE131" s="77"/>
      <c r="HF131" s="77"/>
      <c r="HG131" s="77"/>
      <c r="HH131" s="77"/>
      <c r="HI131" s="77"/>
      <c r="HJ131" s="77"/>
      <c r="HK131" s="77"/>
      <c r="HL131" s="77"/>
      <c r="HM131" s="77"/>
      <c r="HN131" s="77"/>
      <c r="HO131" s="77"/>
      <c r="HP131" s="77"/>
      <c r="HQ131" s="77"/>
    </row>
    <row r="132" spans="1:225" hidden="1" x14ac:dyDescent="0.3">
      <c r="A132" s="78">
        <f>'Entrada datos'!C129</f>
        <v>0</v>
      </c>
      <c r="B132" s="74">
        <f>'Entrada datos'!D129</f>
        <v>0</v>
      </c>
      <c r="C132" s="75">
        <f>'Entrada datos'!G129</f>
        <v>0</v>
      </c>
      <c r="D132" s="75">
        <f>'Entrada datos'!H129</f>
        <v>0</v>
      </c>
      <c r="E132" s="74">
        <f t="shared" si="4"/>
        <v>0</v>
      </c>
      <c r="F132" s="68" t="str">
        <f t="shared" si="5"/>
        <v>no procede</v>
      </c>
      <c r="G132" s="74">
        <f>'Entrada datos'!P129</f>
        <v>0</v>
      </c>
      <c r="H132" s="74">
        <f>'Entrada datos'!Q129</f>
        <v>0</v>
      </c>
      <c r="I132" s="74">
        <f>'Entrada datos'!R129</f>
        <v>0</v>
      </c>
      <c r="J132" s="74">
        <f>'Entrada datos'!S129</f>
        <v>0</v>
      </c>
      <c r="K132" s="74">
        <f>'Entrada datos'!T129</f>
        <v>0</v>
      </c>
      <c r="L132" s="74">
        <f>'Entrada datos'!U129</f>
        <v>0</v>
      </c>
      <c r="M132" s="76"/>
      <c r="N132" s="76"/>
      <c r="O132" s="76"/>
      <c r="P132" s="76"/>
      <c r="Q132" s="76"/>
      <c r="R132" s="76"/>
      <c r="S132" s="77" t="s">
        <v>74</v>
      </c>
      <c r="T132" s="77"/>
      <c r="U132" s="77"/>
      <c r="V132" s="77">
        <f t="shared" si="6"/>
        <v>0</v>
      </c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  <c r="AI132" s="77"/>
      <c r="AJ132" s="77"/>
      <c r="AK132" s="77"/>
      <c r="AL132" s="77"/>
      <c r="AM132" s="77"/>
      <c r="AN132" s="77"/>
      <c r="AO132" s="77"/>
      <c r="AP132" s="77"/>
      <c r="AQ132" s="77"/>
      <c r="AR132" s="77"/>
      <c r="AS132" s="77"/>
      <c r="AT132" s="77"/>
      <c r="AU132" s="77"/>
      <c r="AV132" s="77"/>
      <c r="AW132" s="77"/>
      <c r="AX132" s="77"/>
      <c r="AY132" s="77"/>
      <c r="AZ132" s="77"/>
      <c r="BA132" s="77"/>
      <c r="BB132" s="77"/>
      <c r="BC132" s="77"/>
      <c r="BD132" s="77"/>
      <c r="BE132" s="77"/>
      <c r="BF132" s="77"/>
      <c r="BG132" s="77"/>
      <c r="BH132" s="77"/>
      <c r="BI132" s="77"/>
      <c r="BJ132" s="77"/>
      <c r="BK132" s="77"/>
      <c r="BL132" s="77"/>
      <c r="BM132" s="77"/>
      <c r="BN132" s="77"/>
      <c r="BO132" s="77"/>
      <c r="BP132" s="77"/>
      <c r="BQ132" s="77"/>
      <c r="BR132" s="77"/>
      <c r="BS132" s="77"/>
      <c r="BT132" s="77"/>
      <c r="BU132" s="77"/>
      <c r="BV132" s="77"/>
      <c r="BW132" s="77"/>
      <c r="BX132" s="77"/>
      <c r="BY132" s="77"/>
      <c r="BZ132" s="77"/>
      <c r="CA132" s="77"/>
      <c r="CB132" s="77"/>
      <c r="CC132" s="77"/>
      <c r="CD132" s="77"/>
      <c r="CE132" s="77"/>
      <c r="CF132" s="77"/>
      <c r="CG132" s="77"/>
      <c r="CH132" s="77"/>
      <c r="CI132" s="77"/>
      <c r="CJ132" s="77"/>
      <c r="CK132" s="77"/>
      <c r="CL132" s="77"/>
      <c r="CM132" s="77"/>
      <c r="CN132" s="77"/>
      <c r="CO132" s="77"/>
      <c r="CP132" s="77"/>
      <c r="CQ132" s="77"/>
      <c r="CR132" s="77"/>
      <c r="CS132" s="77"/>
      <c r="CT132" s="77"/>
      <c r="CU132" s="77"/>
      <c r="CV132" s="77"/>
      <c r="CW132" s="77"/>
      <c r="CX132" s="77"/>
      <c r="CY132" s="77"/>
      <c r="CZ132" s="77"/>
      <c r="DA132" s="77"/>
      <c r="DB132" s="77"/>
      <c r="DC132" s="77"/>
      <c r="DD132" s="77"/>
      <c r="DE132" s="77"/>
      <c r="DF132" s="77"/>
      <c r="DG132" s="77"/>
      <c r="DH132" s="77"/>
      <c r="DI132" s="77"/>
      <c r="DJ132" s="77"/>
      <c r="DK132" s="77"/>
      <c r="DL132" s="77"/>
      <c r="DM132" s="77"/>
      <c r="DN132" s="77"/>
      <c r="DO132" s="77"/>
      <c r="DP132" s="77"/>
      <c r="DQ132" s="77"/>
      <c r="DR132" s="77"/>
      <c r="DS132" s="77"/>
      <c r="DT132" s="77"/>
      <c r="DU132" s="77"/>
      <c r="DV132" s="77"/>
      <c r="DW132" s="77"/>
      <c r="DX132" s="77"/>
      <c r="DY132" s="77"/>
      <c r="DZ132" s="77"/>
      <c r="EA132" s="77"/>
      <c r="EB132" s="77"/>
      <c r="EC132" s="77"/>
      <c r="ED132" s="77"/>
      <c r="EE132" s="77"/>
      <c r="EF132" s="77"/>
      <c r="EG132" s="77"/>
      <c r="EH132" s="77"/>
      <c r="EI132" s="77"/>
      <c r="EJ132" s="77"/>
      <c r="EK132" s="77"/>
      <c r="EL132" s="77"/>
      <c r="EM132" s="77"/>
      <c r="EN132" s="77"/>
      <c r="EO132" s="77"/>
      <c r="EP132" s="77"/>
      <c r="EQ132" s="77"/>
      <c r="ER132" s="77"/>
      <c r="ES132" s="77"/>
      <c r="ET132" s="77"/>
      <c r="EU132" s="77"/>
      <c r="EV132" s="77"/>
      <c r="EW132" s="77"/>
      <c r="EX132" s="77"/>
      <c r="EY132" s="77"/>
      <c r="EZ132" s="77"/>
      <c r="FA132" s="77"/>
      <c r="FB132" s="77"/>
      <c r="FC132" s="77"/>
      <c r="FD132" s="77"/>
      <c r="FE132" s="77"/>
      <c r="FF132" s="77"/>
      <c r="FG132" s="77"/>
      <c r="FH132" s="77"/>
      <c r="FI132" s="77"/>
      <c r="FJ132" s="77"/>
      <c r="FK132" s="77"/>
      <c r="FL132" s="77"/>
      <c r="FM132" s="77"/>
      <c r="FN132" s="77"/>
      <c r="FO132" s="77"/>
      <c r="FP132" s="77"/>
      <c r="FQ132" s="77"/>
      <c r="FR132" s="77"/>
      <c r="FS132" s="77"/>
      <c r="FT132" s="77"/>
      <c r="FU132" s="77"/>
      <c r="FV132" s="77"/>
      <c r="FW132" s="77"/>
      <c r="FX132" s="77"/>
      <c r="FY132" s="77"/>
      <c r="FZ132" s="77"/>
      <c r="GA132" s="77"/>
      <c r="GB132" s="77"/>
      <c r="GC132" s="77"/>
      <c r="GD132" s="77"/>
      <c r="GE132" s="77"/>
      <c r="GF132" s="77"/>
      <c r="GG132" s="77"/>
      <c r="GH132" s="77"/>
      <c r="GI132" s="77"/>
      <c r="GJ132" s="77"/>
      <c r="GK132" s="77"/>
      <c r="GL132" s="77"/>
      <c r="GM132" s="77"/>
      <c r="GN132" s="77"/>
      <c r="GO132" s="77"/>
      <c r="GP132" s="77"/>
      <c r="GQ132" s="77"/>
      <c r="GR132" s="77"/>
      <c r="GS132" s="77"/>
      <c r="GT132" s="77"/>
      <c r="GU132" s="77"/>
      <c r="GV132" s="77"/>
      <c r="GW132" s="77"/>
      <c r="GX132" s="77"/>
      <c r="GY132" s="77"/>
      <c r="GZ132" s="77"/>
      <c r="HA132" s="77"/>
      <c r="HB132" s="77"/>
      <c r="HC132" s="77"/>
      <c r="HD132" s="77"/>
      <c r="HE132" s="77"/>
      <c r="HF132" s="77"/>
      <c r="HG132" s="77"/>
      <c r="HH132" s="77"/>
      <c r="HI132" s="77"/>
      <c r="HJ132" s="77"/>
      <c r="HK132" s="77"/>
      <c r="HL132" s="77"/>
      <c r="HM132" s="77"/>
      <c r="HN132" s="77"/>
      <c r="HO132" s="77"/>
      <c r="HP132" s="77"/>
      <c r="HQ132" s="77"/>
    </row>
    <row r="133" spans="1:225" hidden="1" x14ac:dyDescent="0.3">
      <c r="A133" s="78">
        <f>'Entrada datos'!C130</f>
        <v>0</v>
      </c>
      <c r="B133" s="74">
        <f>'Entrada datos'!D130</f>
        <v>0</v>
      </c>
      <c r="C133" s="75">
        <f>'Entrada datos'!G130</f>
        <v>0</v>
      </c>
      <c r="D133" s="75">
        <f>'Entrada datos'!H130</f>
        <v>0</v>
      </c>
      <c r="E133" s="74">
        <f t="shared" si="4"/>
        <v>0</v>
      </c>
      <c r="F133" s="68" t="str">
        <f t="shared" si="5"/>
        <v>no procede</v>
      </c>
      <c r="G133" s="74">
        <f>'Entrada datos'!P130</f>
        <v>0</v>
      </c>
      <c r="H133" s="74">
        <f>'Entrada datos'!Q130</f>
        <v>0</v>
      </c>
      <c r="I133" s="74">
        <f>'Entrada datos'!R130</f>
        <v>0</v>
      </c>
      <c r="J133" s="74">
        <f>'Entrada datos'!S130</f>
        <v>0</v>
      </c>
      <c r="K133" s="74">
        <f>'Entrada datos'!T130</f>
        <v>0</v>
      </c>
      <c r="L133" s="74">
        <f>'Entrada datos'!U130</f>
        <v>0</v>
      </c>
      <c r="M133" s="76"/>
      <c r="N133" s="76"/>
      <c r="O133" s="76"/>
      <c r="P133" s="76"/>
      <c r="Q133" s="76"/>
      <c r="R133" s="76"/>
      <c r="S133" s="77" t="s">
        <v>74</v>
      </c>
      <c r="T133" s="77"/>
      <c r="U133" s="77"/>
      <c r="V133" s="77">
        <f t="shared" si="6"/>
        <v>0</v>
      </c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  <c r="AI133" s="77"/>
      <c r="AJ133" s="77"/>
      <c r="AK133" s="77"/>
      <c r="AL133" s="77"/>
      <c r="AM133" s="77"/>
      <c r="AN133" s="77"/>
      <c r="AO133" s="77"/>
      <c r="AP133" s="77"/>
      <c r="AQ133" s="77"/>
      <c r="AR133" s="77"/>
      <c r="AS133" s="77"/>
      <c r="AT133" s="77"/>
      <c r="AU133" s="77"/>
      <c r="AV133" s="77"/>
      <c r="AW133" s="77"/>
      <c r="AX133" s="77"/>
      <c r="AY133" s="77"/>
      <c r="AZ133" s="77"/>
      <c r="BA133" s="77"/>
      <c r="BB133" s="77"/>
      <c r="BC133" s="77"/>
      <c r="BD133" s="77"/>
      <c r="BE133" s="77"/>
      <c r="BF133" s="77"/>
      <c r="BG133" s="77"/>
      <c r="BH133" s="77"/>
      <c r="BI133" s="77"/>
      <c r="BJ133" s="77"/>
      <c r="BK133" s="77"/>
      <c r="BL133" s="77"/>
      <c r="BM133" s="77"/>
      <c r="BN133" s="77"/>
      <c r="BO133" s="77"/>
      <c r="BP133" s="77"/>
      <c r="BQ133" s="77"/>
      <c r="BR133" s="77"/>
      <c r="BS133" s="77"/>
      <c r="BT133" s="77"/>
      <c r="BU133" s="77"/>
      <c r="BV133" s="77"/>
      <c r="BW133" s="77"/>
      <c r="BX133" s="77"/>
      <c r="BY133" s="77"/>
      <c r="BZ133" s="77"/>
      <c r="CA133" s="77"/>
      <c r="CB133" s="77"/>
      <c r="CC133" s="77"/>
      <c r="CD133" s="77"/>
      <c r="CE133" s="77"/>
      <c r="CF133" s="77"/>
      <c r="CG133" s="77"/>
      <c r="CH133" s="77"/>
      <c r="CI133" s="77"/>
      <c r="CJ133" s="77"/>
      <c r="CK133" s="77"/>
      <c r="CL133" s="77"/>
      <c r="CM133" s="77"/>
      <c r="CN133" s="77"/>
      <c r="CO133" s="77"/>
      <c r="CP133" s="77"/>
      <c r="CQ133" s="77"/>
      <c r="CR133" s="77"/>
      <c r="CS133" s="77"/>
      <c r="CT133" s="77"/>
      <c r="CU133" s="77"/>
      <c r="CV133" s="77"/>
      <c r="CW133" s="77"/>
      <c r="CX133" s="77"/>
      <c r="CY133" s="77"/>
      <c r="CZ133" s="77"/>
      <c r="DA133" s="77"/>
      <c r="DB133" s="77"/>
      <c r="DC133" s="77"/>
      <c r="DD133" s="77"/>
      <c r="DE133" s="77"/>
      <c r="DF133" s="77"/>
      <c r="DG133" s="77"/>
      <c r="DH133" s="77"/>
      <c r="DI133" s="77"/>
      <c r="DJ133" s="77"/>
      <c r="DK133" s="77"/>
      <c r="DL133" s="77"/>
      <c r="DM133" s="77"/>
      <c r="DN133" s="77"/>
      <c r="DO133" s="77"/>
      <c r="DP133" s="77"/>
      <c r="DQ133" s="77"/>
      <c r="DR133" s="77"/>
      <c r="DS133" s="77"/>
      <c r="DT133" s="77"/>
      <c r="DU133" s="77"/>
      <c r="DV133" s="77"/>
      <c r="DW133" s="77"/>
      <c r="DX133" s="77"/>
      <c r="DY133" s="77"/>
      <c r="DZ133" s="77"/>
      <c r="EA133" s="77"/>
      <c r="EB133" s="77"/>
      <c r="EC133" s="77"/>
      <c r="ED133" s="77"/>
      <c r="EE133" s="77"/>
      <c r="EF133" s="77"/>
      <c r="EG133" s="77"/>
      <c r="EH133" s="77"/>
      <c r="EI133" s="77"/>
      <c r="EJ133" s="77"/>
      <c r="EK133" s="77"/>
      <c r="EL133" s="77"/>
      <c r="EM133" s="77"/>
      <c r="EN133" s="77"/>
      <c r="EO133" s="77"/>
      <c r="EP133" s="77"/>
      <c r="EQ133" s="77"/>
      <c r="ER133" s="77"/>
      <c r="ES133" s="77"/>
      <c r="ET133" s="77"/>
      <c r="EU133" s="77"/>
      <c r="EV133" s="77"/>
      <c r="EW133" s="77"/>
      <c r="EX133" s="77"/>
      <c r="EY133" s="77"/>
      <c r="EZ133" s="77"/>
      <c r="FA133" s="77"/>
      <c r="FB133" s="77"/>
      <c r="FC133" s="77"/>
      <c r="FD133" s="77"/>
      <c r="FE133" s="77"/>
      <c r="FF133" s="77"/>
      <c r="FG133" s="77"/>
      <c r="FH133" s="77"/>
      <c r="FI133" s="77"/>
      <c r="FJ133" s="77"/>
      <c r="FK133" s="77"/>
      <c r="FL133" s="77"/>
      <c r="FM133" s="77"/>
      <c r="FN133" s="77"/>
      <c r="FO133" s="77"/>
      <c r="FP133" s="77"/>
      <c r="FQ133" s="77"/>
      <c r="FR133" s="77"/>
      <c r="FS133" s="77"/>
      <c r="FT133" s="77"/>
      <c r="FU133" s="77"/>
      <c r="FV133" s="77"/>
      <c r="FW133" s="77"/>
      <c r="FX133" s="77"/>
      <c r="FY133" s="77"/>
      <c r="FZ133" s="77"/>
      <c r="GA133" s="77"/>
      <c r="GB133" s="77"/>
      <c r="GC133" s="77"/>
      <c r="GD133" s="77"/>
      <c r="GE133" s="77"/>
      <c r="GF133" s="77"/>
      <c r="GG133" s="77"/>
      <c r="GH133" s="77"/>
      <c r="GI133" s="77"/>
      <c r="GJ133" s="77"/>
      <c r="GK133" s="77"/>
      <c r="GL133" s="77"/>
      <c r="GM133" s="77"/>
      <c r="GN133" s="77"/>
      <c r="GO133" s="77"/>
      <c r="GP133" s="77"/>
      <c r="GQ133" s="77"/>
      <c r="GR133" s="77"/>
      <c r="GS133" s="77"/>
      <c r="GT133" s="77"/>
      <c r="GU133" s="77"/>
      <c r="GV133" s="77"/>
      <c r="GW133" s="77"/>
      <c r="GX133" s="77"/>
      <c r="GY133" s="77"/>
      <c r="GZ133" s="77"/>
      <c r="HA133" s="77"/>
      <c r="HB133" s="77"/>
      <c r="HC133" s="77"/>
      <c r="HD133" s="77"/>
      <c r="HE133" s="77"/>
      <c r="HF133" s="77"/>
      <c r="HG133" s="77"/>
      <c r="HH133" s="77"/>
      <c r="HI133" s="77"/>
      <c r="HJ133" s="77"/>
      <c r="HK133" s="77"/>
      <c r="HL133" s="77"/>
      <c r="HM133" s="77"/>
      <c r="HN133" s="77"/>
      <c r="HO133" s="77"/>
      <c r="HP133" s="77"/>
      <c r="HQ133" s="77"/>
    </row>
    <row r="134" spans="1:225" hidden="1" x14ac:dyDescent="0.3">
      <c r="A134" s="78">
        <f>'Entrada datos'!C131</f>
        <v>0</v>
      </c>
      <c r="B134" s="74">
        <f>'Entrada datos'!D131</f>
        <v>0</v>
      </c>
      <c r="C134" s="75">
        <f>'Entrada datos'!G131</f>
        <v>0</v>
      </c>
      <c r="D134" s="75">
        <f>'Entrada datos'!H131</f>
        <v>0</v>
      </c>
      <c r="E134" s="74">
        <f t="shared" ref="E134:E197" si="7">D134-C134</f>
        <v>0</v>
      </c>
      <c r="F134" s="68" t="str">
        <f t="shared" ref="F134:F197" si="8">IF(D134&lt;=$C$2,"no procede","Refacturar")</f>
        <v>no procede</v>
      </c>
      <c r="G134" s="74">
        <f>'Entrada datos'!P131</f>
        <v>0</v>
      </c>
      <c r="H134" s="74">
        <f>'Entrada datos'!Q131</f>
        <v>0</v>
      </c>
      <c r="I134" s="74">
        <f>'Entrada datos'!R131</f>
        <v>0</v>
      </c>
      <c r="J134" s="74">
        <f>'Entrada datos'!S131</f>
        <v>0</v>
      </c>
      <c r="K134" s="74">
        <f>'Entrada datos'!T131</f>
        <v>0</v>
      </c>
      <c r="L134" s="74">
        <f>'Entrada datos'!U131</f>
        <v>0</v>
      </c>
      <c r="M134" s="76"/>
      <c r="N134" s="76"/>
      <c r="O134" s="76"/>
      <c r="P134" s="76"/>
      <c r="Q134" s="76"/>
      <c r="R134" s="76"/>
      <c r="S134" s="77" t="s">
        <v>74</v>
      </c>
      <c r="T134" s="77"/>
      <c r="U134" s="77"/>
      <c r="V134" s="77">
        <f t="shared" si="6"/>
        <v>0</v>
      </c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  <c r="AI134" s="77"/>
      <c r="AJ134" s="77"/>
      <c r="AK134" s="77"/>
      <c r="AL134" s="77"/>
      <c r="AM134" s="77"/>
      <c r="AN134" s="77"/>
      <c r="AO134" s="77"/>
      <c r="AP134" s="77"/>
      <c r="AQ134" s="77"/>
      <c r="AR134" s="77"/>
      <c r="AS134" s="77"/>
      <c r="AT134" s="77"/>
      <c r="AU134" s="77"/>
      <c r="AV134" s="77"/>
      <c r="AW134" s="77"/>
      <c r="AX134" s="77"/>
      <c r="AY134" s="77"/>
      <c r="AZ134" s="77"/>
      <c r="BA134" s="77"/>
      <c r="BB134" s="77"/>
      <c r="BC134" s="77"/>
      <c r="BD134" s="77"/>
      <c r="BE134" s="77"/>
      <c r="BF134" s="77"/>
      <c r="BG134" s="77"/>
      <c r="BH134" s="77"/>
      <c r="BI134" s="77"/>
      <c r="BJ134" s="77"/>
      <c r="BK134" s="77"/>
      <c r="BL134" s="77"/>
      <c r="BM134" s="77"/>
      <c r="BN134" s="77"/>
      <c r="BO134" s="77"/>
      <c r="BP134" s="77"/>
      <c r="BQ134" s="77"/>
      <c r="BR134" s="77"/>
      <c r="BS134" s="77"/>
      <c r="BT134" s="77"/>
      <c r="BU134" s="77"/>
      <c r="BV134" s="77"/>
      <c r="BW134" s="77"/>
      <c r="BX134" s="77"/>
      <c r="BY134" s="77"/>
      <c r="BZ134" s="77"/>
      <c r="CA134" s="77"/>
      <c r="CB134" s="77"/>
      <c r="CC134" s="77"/>
      <c r="CD134" s="77"/>
      <c r="CE134" s="77"/>
      <c r="CF134" s="77"/>
      <c r="CG134" s="77"/>
      <c r="CH134" s="77"/>
      <c r="CI134" s="77"/>
      <c r="CJ134" s="77"/>
      <c r="CK134" s="77"/>
      <c r="CL134" s="77"/>
      <c r="CM134" s="77"/>
      <c r="CN134" s="77"/>
      <c r="CO134" s="77"/>
      <c r="CP134" s="77"/>
      <c r="CQ134" s="77"/>
      <c r="CR134" s="77"/>
      <c r="CS134" s="77"/>
      <c r="CT134" s="77"/>
      <c r="CU134" s="77"/>
      <c r="CV134" s="77"/>
      <c r="CW134" s="77"/>
      <c r="CX134" s="77"/>
      <c r="CY134" s="77"/>
      <c r="CZ134" s="77"/>
      <c r="DA134" s="77"/>
      <c r="DB134" s="77"/>
      <c r="DC134" s="77"/>
      <c r="DD134" s="77"/>
      <c r="DE134" s="77"/>
      <c r="DF134" s="77"/>
      <c r="DG134" s="77"/>
      <c r="DH134" s="77"/>
      <c r="DI134" s="77"/>
      <c r="DJ134" s="77"/>
      <c r="DK134" s="77"/>
      <c r="DL134" s="77"/>
      <c r="DM134" s="77"/>
      <c r="DN134" s="77"/>
      <c r="DO134" s="77"/>
      <c r="DP134" s="77"/>
      <c r="DQ134" s="77"/>
      <c r="DR134" s="77"/>
      <c r="DS134" s="77"/>
      <c r="DT134" s="77"/>
      <c r="DU134" s="77"/>
      <c r="DV134" s="77"/>
      <c r="DW134" s="77"/>
      <c r="DX134" s="77"/>
      <c r="DY134" s="77"/>
      <c r="DZ134" s="77"/>
      <c r="EA134" s="77"/>
      <c r="EB134" s="77"/>
      <c r="EC134" s="77"/>
      <c r="ED134" s="77"/>
      <c r="EE134" s="77"/>
      <c r="EF134" s="77"/>
      <c r="EG134" s="77"/>
      <c r="EH134" s="77"/>
      <c r="EI134" s="77"/>
      <c r="EJ134" s="77"/>
      <c r="EK134" s="77"/>
      <c r="EL134" s="77"/>
      <c r="EM134" s="77"/>
      <c r="EN134" s="77"/>
      <c r="EO134" s="77"/>
      <c r="EP134" s="77"/>
      <c r="EQ134" s="77"/>
      <c r="ER134" s="77"/>
      <c r="ES134" s="77"/>
      <c r="ET134" s="77"/>
      <c r="EU134" s="77"/>
      <c r="EV134" s="77"/>
      <c r="EW134" s="77"/>
      <c r="EX134" s="77"/>
      <c r="EY134" s="77"/>
      <c r="EZ134" s="77"/>
      <c r="FA134" s="77"/>
      <c r="FB134" s="77"/>
      <c r="FC134" s="77"/>
      <c r="FD134" s="77"/>
      <c r="FE134" s="77"/>
      <c r="FF134" s="77"/>
      <c r="FG134" s="77"/>
      <c r="FH134" s="77"/>
      <c r="FI134" s="77"/>
      <c r="FJ134" s="77"/>
      <c r="FK134" s="77"/>
      <c r="FL134" s="77"/>
      <c r="FM134" s="77"/>
      <c r="FN134" s="77"/>
      <c r="FO134" s="77"/>
      <c r="FP134" s="77"/>
      <c r="FQ134" s="77"/>
      <c r="FR134" s="77"/>
      <c r="FS134" s="77"/>
      <c r="FT134" s="77"/>
      <c r="FU134" s="77"/>
      <c r="FV134" s="77"/>
      <c r="FW134" s="77"/>
      <c r="FX134" s="77"/>
      <c r="FY134" s="77"/>
      <c r="FZ134" s="77"/>
      <c r="GA134" s="77"/>
      <c r="GB134" s="77"/>
      <c r="GC134" s="77"/>
      <c r="GD134" s="77"/>
      <c r="GE134" s="77"/>
      <c r="GF134" s="77"/>
      <c r="GG134" s="77"/>
      <c r="GH134" s="77"/>
      <c r="GI134" s="77"/>
      <c r="GJ134" s="77"/>
      <c r="GK134" s="77"/>
      <c r="GL134" s="77"/>
      <c r="GM134" s="77"/>
      <c r="GN134" s="77"/>
      <c r="GO134" s="77"/>
      <c r="GP134" s="77"/>
      <c r="GQ134" s="77"/>
      <c r="GR134" s="77"/>
      <c r="GS134" s="77"/>
      <c r="GT134" s="77"/>
      <c r="GU134" s="77"/>
      <c r="GV134" s="77"/>
      <c r="GW134" s="77"/>
      <c r="GX134" s="77"/>
      <c r="GY134" s="77"/>
      <c r="GZ134" s="77"/>
      <c r="HA134" s="77"/>
      <c r="HB134" s="77"/>
      <c r="HC134" s="77"/>
      <c r="HD134" s="77"/>
      <c r="HE134" s="77"/>
      <c r="HF134" s="77"/>
      <c r="HG134" s="77"/>
      <c r="HH134" s="77"/>
      <c r="HI134" s="77"/>
      <c r="HJ134" s="77"/>
      <c r="HK134" s="77"/>
      <c r="HL134" s="77"/>
      <c r="HM134" s="77"/>
      <c r="HN134" s="77"/>
      <c r="HO134" s="77"/>
      <c r="HP134" s="77"/>
      <c r="HQ134" s="77"/>
    </row>
    <row r="135" spans="1:225" hidden="1" x14ac:dyDescent="0.3">
      <c r="A135" s="78">
        <f>'Entrada datos'!C132</f>
        <v>0</v>
      </c>
      <c r="B135" s="74">
        <f>'Entrada datos'!D132</f>
        <v>0</v>
      </c>
      <c r="C135" s="75">
        <f>'Entrada datos'!G132</f>
        <v>0</v>
      </c>
      <c r="D135" s="75">
        <f>'Entrada datos'!H132</f>
        <v>0</v>
      </c>
      <c r="E135" s="74">
        <f t="shared" si="7"/>
        <v>0</v>
      </c>
      <c r="F135" s="68" t="str">
        <f t="shared" si="8"/>
        <v>no procede</v>
      </c>
      <c r="G135" s="74">
        <f>'Entrada datos'!P132</f>
        <v>0</v>
      </c>
      <c r="H135" s="74">
        <f>'Entrada datos'!Q132</f>
        <v>0</v>
      </c>
      <c r="I135" s="74">
        <f>'Entrada datos'!R132</f>
        <v>0</v>
      </c>
      <c r="J135" s="74">
        <f>'Entrada datos'!S132</f>
        <v>0</v>
      </c>
      <c r="K135" s="74">
        <f>'Entrada datos'!T132</f>
        <v>0</v>
      </c>
      <c r="L135" s="74">
        <f>'Entrada datos'!U132</f>
        <v>0</v>
      </c>
      <c r="M135" s="76"/>
      <c r="N135" s="76"/>
      <c r="O135" s="76"/>
      <c r="P135" s="76"/>
      <c r="Q135" s="76"/>
      <c r="R135" s="76"/>
      <c r="S135" s="77" t="s">
        <v>74</v>
      </c>
      <c r="T135" s="77"/>
      <c r="U135" s="77"/>
      <c r="V135" s="77">
        <f t="shared" si="6"/>
        <v>0</v>
      </c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  <c r="AI135" s="77"/>
      <c r="AJ135" s="77"/>
      <c r="AK135" s="77"/>
      <c r="AL135" s="77"/>
      <c r="AM135" s="77"/>
      <c r="AN135" s="77"/>
      <c r="AO135" s="77"/>
      <c r="AP135" s="77"/>
      <c r="AQ135" s="77"/>
      <c r="AR135" s="77"/>
      <c r="AS135" s="77"/>
      <c r="AT135" s="77"/>
      <c r="AU135" s="77"/>
      <c r="AV135" s="77"/>
      <c r="AW135" s="77"/>
      <c r="AX135" s="77"/>
      <c r="AY135" s="77"/>
      <c r="AZ135" s="77"/>
      <c r="BA135" s="77"/>
      <c r="BB135" s="77"/>
      <c r="BC135" s="77"/>
      <c r="BD135" s="77"/>
      <c r="BE135" s="77"/>
      <c r="BF135" s="77"/>
      <c r="BG135" s="77"/>
      <c r="BH135" s="77"/>
      <c r="BI135" s="77"/>
      <c r="BJ135" s="77"/>
      <c r="BK135" s="77"/>
      <c r="BL135" s="77"/>
      <c r="BM135" s="77"/>
      <c r="BN135" s="77"/>
      <c r="BO135" s="77"/>
      <c r="BP135" s="77"/>
      <c r="BQ135" s="77"/>
      <c r="BR135" s="77"/>
      <c r="BS135" s="77"/>
      <c r="BT135" s="77"/>
      <c r="BU135" s="77"/>
      <c r="BV135" s="77"/>
      <c r="BW135" s="77"/>
      <c r="BX135" s="77"/>
      <c r="BY135" s="77"/>
      <c r="BZ135" s="77"/>
      <c r="CA135" s="77"/>
      <c r="CB135" s="77"/>
      <c r="CC135" s="77"/>
      <c r="CD135" s="77"/>
      <c r="CE135" s="77"/>
      <c r="CF135" s="77"/>
      <c r="CG135" s="77"/>
      <c r="CH135" s="77"/>
      <c r="CI135" s="77"/>
      <c r="CJ135" s="77"/>
      <c r="CK135" s="77"/>
      <c r="CL135" s="77"/>
      <c r="CM135" s="77"/>
      <c r="CN135" s="77"/>
      <c r="CO135" s="77"/>
      <c r="CP135" s="77"/>
      <c r="CQ135" s="77"/>
      <c r="CR135" s="77"/>
      <c r="CS135" s="77"/>
      <c r="CT135" s="77"/>
      <c r="CU135" s="77"/>
      <c r="CV135" s="77"/>
      <c r="CW135" s="77"/>
      <c r="CX135" s="77"/>
      <c r="CY135" s="77"/>
      <c r="CZ135" s="77"/>
      <c r="DA135" s="77"/>
      <c r="DB135" s="77"/>
      <c r="DC135" s="77"/>
      <c r="DD135" s="77"/>
      <c r="DE135" s="77"/>
      <c r="DF135" s="77"/>
      <c r="DG135" s="77"/>
      <c r="DH135" s="77"/>
      <c r="DI135" s="77"/>
      <c r="DJ135" s="77"/>
      <c r="DK135" s="77"/>
      <c r="DL135" s="77"/>
      <c r="DM135" s="77"/>
      <c r="DN135" s="77"/>
      <c r="DO135" s="77"/>
      <c r="DP135" s="77"/>
      <c r="DQ135" s="77"/>
      <c r="DR135" s="77"/>
      <c r="DS135" s="77"/>
      <c r="DT135" s="77"/>
      <c r="DU135" s="77"/>
      <c r="DV135" s="77"/>
      <c r="DW135" s="77"/>
      <c r="DX135" s="77"/>
      <c r="DY135" s="77"/>
      <c r="DZ135" s="77"/>
      <c r="EA135" s="77"/>
      <c r="EB135" s="77"/>
      <c r="EC135" s="77"/>
      <c r="ED135" s="77"/>
      <c r="EE135" s="77"/>
      <c r="EF135" s="77"/>
      <c r="EG135" s="77"/>
      <c r="EH135" s="77"/>
      <c r="EI135" s="77"/>
      <c r="EJ135" s="77"/>
      <c r="EK135" s="77"/>
      <c r="EL135" s="77"/>
      <c r="EM135" s="77"/>
      <c r="EN135" s="77"/>
      <c r="EO135" s="77"/>
      <c r="EP135" s="77"/>
      <c r="EQ135" s="77"/>
      <c r="ER135" s="77"/>
      <c r="ES135" s="77"/>
      <c r="ET135" s="77"/>
      <c r="EU135" s="77"/>
      <c r="EV135" s="77"/>
      <c r="EW135" s="77"/>
      <c r="EX135" s="77"/>
      <c r="EY135" s="77"/>
      <c r="EZ135" s="77"/>
      <c r="FA135" s="77"/>
      <c r="FB135" s="77"/>
      <c r="FC135" s="77"/>
      <c r="FD135" s="77"/>
      <c r="FE135" s="77"/>
      <c r="FF135" s="77"/>
      <c r="FG135" s="77"/>
      <c r="FH135" s="77"/>
      <c r="FI135" s="77"/>
      <c r="FJ135" s="77"/>
      <c r="FK135" s="77"/>
      <c r="FL135" s="77"/>
      <c r="FM135" s="77"/>
      <c r="FN135" s="77"/>
      <c r="FO135" s="77"/>
      <c r="FP135" s="77"/>
      <c r="FQ135" s="77"/>
      <c r="FR135" s="77"/>
      <c r="FS135" s="77"/>
      <c r="FT135" s="77"/>
      <c r="FU135" s="77"/>
      <c r="FV135" s="77"/>
      <c r="FW135" s="77"/>
      <c r="FX135" s="77"/>
      <c r="FY135" s="77"/>
      <c r="FZ135" s="77"/>
      <c r="GA135" s="77"/>
      <c r="GB135" s="77"/>
      <c r="GC135" s="77"/>
      <c r="GD135" s="77"/>
      <c r="GE135" s="77"/>
      <c r="GF135" s="77"/>
      <c r="GG135" s="77"/>
      <c r="GH135" s="77"/>
      <c r="GI135" s="77"/>
      <c r="GJ135" s="77"/>
      <c r="GK135" s="77"/>
      <c r="GL135" s="77"/>
      <c r="GM135" s="77"/>
      <c r="GN135" s="77"/>
      <c r="GO135" s="77"/>
      <c r="GP135" s="77"/>
      <c r="GQ135" s="77"/>
      <c r="GR135" s="77"/>
      <c r="GS135" s="77"/>
      <c r="GT135" s="77"/>
      <c r="GU135" s="77"/>
      <c r="GV135" s="77"/>
      <c r="GW135" s="77"/>
      <c r="GX135" s="77"/>
      <c r="GY135" s="77"/>
      <c r="GZ135" s="77"/>
      <c r="HA135" s="77"/>
      <c r="HB135" s="77"/>
      <c r="HC135" s="77"/>
      <c r="HD135" s="77"/>
      <c r="HE135" s="77"/>
      <c r="HF135" s="77"/>
      <c r="HG135" s="77"/>
      <c r="HH135" s="77"/>
      <c r="HI135" s="77"/>
      <c r="HJ135" s="77"/>
      <c r="HK135" s="77"/>
      <c r="HL135" s="77"/>
      <c r="HM135" s="77"/>
      <c r="HN135" s="77"/>
      <c r="HO135" s="77"/>
      <c r="HP135" s="77"/>
      <c r="HQ135" s="77"/>
    </row>
    <row r="136" spans="1:225" hidden="1" x14ac:dyDescent="0.3">
      <c r="A136" s="78">
        <f>'Entrada datos'!C133</f>
        <v>0</v>
      </c>
      <c r="B136" s="74">
        <f>'Entrada datos'!D133</f>
        <v>0</v>
      </c>
      <c r="C136" s="75">
        <f>'Entrada datos'!G133</f>
        <v>0</v>
      </c>
      <c r="D136" s="75">
        <f>'Entrada datos'!H133</f>
        <v>0</v>
      </c>
      <c r="E136" s="74">
        <f t="shared" si="7"/>
        <v>0</v>
      </c>
      <c r="F136" s="68" t="str">
        <f t="shared" si="8"/>
        <v>no procede</v>
      </c>
      <c r="G136" s="74">
        <f>'Entrada datos'!P133</f>
        <v>0</v>
      </c>
      <c r="H136" s="74">
        <f>'Entrada datos'!Q133</f>
        <v>0</v>
      </c>
      <c r="I136" s="74">
        <f>'Entrada datos'!R133</f>
        <v>0</v>
      </c>
      <c r="J136" s="74">
        <f>'Entrada datos'!S133</f>
        <v>0</v>
      </c>
      <c r="K136" s="74">
        <f>'Entrada datos'!T133</f>
        <v>0</v>
      </c>
      <c r="L136" s="74">
        <f>'Entrada datos'!U133</f>
        <v>0</v>
      </c>
      <c r="M136" s="76"/>
      <c r="N136" s="76"/>
      <c r="O136" s="76"/>
      <c r="P136" s="76"/>
      <c r="Q136" s="76"/>
      <c r="R136" s="76"/>
      <c r="S136" s="77" t="s">
        <v>74</v>
      </c>
      <c r="T136" s="77"/>
      <c r="U136" s="77"/>
      <c r="V136" s="77">
        <f t="shared" ref="V136:V199" si="9">SUM(G136:I136)</f>
        <v>0</v>
      </c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  <c r="AI136" s="77"/>
      <c r="AJ136" s="77"/>
      <c r="AK136" s="77"/>
      <c r="AL136" s="77"/>
      <c r="AM136" s="77"/>
      <c r="AN136" s="77"/>
      <c r="AO136" s="77"/>
      <c r="AP136" s="77"/>
      <c r="AQ136" s="77"/>
      <c r="AR136" s="77"/>
      <c r="AS136" s="77"/>
      <c r="AT136" s="77"/>
      <c r="AU136" s="77"/>
      <c r="AV136" s="77"/>
      <c r="AW136" s="77"/>
      <c r="AX136" s="77"/>
      <c r="AY136" s="77"/>
      <c r="AZ136" s="77"/>
      <c r="BA136" s="77"/>
      <c r="BB136" s="77"/>
      <c r="BC136" s="77"/>
      <c r="BD136" s="77"/>
      <c r="BE136" s="77"/>
      <c r="BF136" s="77"/>
      <c r="BG136" s="77"/>
      <c r="BH136" s="77"/>
      <c r="BI136" s="77"/>
      <c r="BJ136" s="77"/>
      <c r="BK136" s="77"/>
      <c r="BL136" s="77"/>
      <c r="BM136" s="77"/>
      <c r="BN136" s="77"/>
      <c r="BO136" s="77"/>
      <c r="BP136" s="77"/>
      <c r="BQ136" s="77"/>
      <c r="BR136" s="77"/>
      <c r="BS136" s="77"/>
      <c r="BT136" s="77"/>
      <c r="BU136" s="77"/>
      <c r="BV136" s="77"/>
      <c r="BW136" s="77"/>
      <c r="BX136" s="77"/>
      <c r="BY136" s="77"/>
      <c r="BZ136" s="77"/>
      <c r="CA136" s="77"/>
      <c r="CB136" s="77"/>
      <c r="CC136" s="77"/>
      <c r="CD136" s="77"/>
      <c r="CE136" s="77"/>
      <c r="CF136" s="77"/>
      <c r="CG136" s="77"/>
      <c r="CH136" s="77"/>
      <c r="CI136" s="77"/>
      <c r="CJ136" s="77"/>
      <c r="CK136" s="77"/>
      <c r="CL136" s="77"/>
      <c r="CM136" s="77"/>
      <c r="CN136" s="77"/>
      <c r="CO136" s="77"/>
      <c r="CP136" s="77"/>
      <c r="CQ136" s="77"/>
      <c r="CR136" s="77"/>
      <c r="CS136" s="77"/>
      <c r="CT136" s="77"/>
      <c r="CU136" s="77"/>
      <c r="CV136" s="77"/>
      <c r="CW136" s="77"/>
      <c r="CX136" s="77"/>
      <c r="CY136" s="77"/>
      <c r="CZ136" s="77"/>
      <c r="DA136" s="77"/>
      <c r="DB136" s="77"/>
      <c r="DC136" s="77"/>
      <c r="DD136" s="77"/>
      <c r="DE136" s="77"/>
      <c r="DF136" s="77"/>
      <c r="DG136" s="77"/>
      <c r="DH136" s="77"/>
      <c r="DI136" s="77"/>
      <c r="DJ136" s="77"/>
      <c r="DK136" s="77"/>
      <c r="DL136" s="77"/>
      <c r="DM136" s="77"/>
      <c r="DN136" s="77"/>
      <c r="DO136" s="77"/>
      <c r="DP136" s="77"/>
      <c r="DQ136" s="77"/>
      <c r="DR136" s="77"/>
      <c r="DS136" s="77"/>
      <c r="DT136" s="77"/>
      <c r="DU136" s="77"/>
      <c r="DV136" s="77"/>
      <c r="DW136" s="77"/>
      <c r="DX136" s="77"/>
      <c r="DY136" s="77"/>
      <c r="DZ136" s="77"/>
      <c r="EA136" s="77"/>
      <c r="EB136" s="77"/>
      <c r="EC136" s="77"/>
      <c r="ED136" s="77"/>
      <c r="EE136" s="77"/>
      <c r="EF136" s="77"/>
      <c r="EG136" s="77"/>
      <c r="EH136" s="77"/>
      <c r="EI136" s="77"/>
      <c r="EJ136" s="77"/>
      <c r="EK136" s="77"/>
      <c r="EL136" s="77"/>
      <c r="EM136" s="77"/>
      <c r="EN136" s="77"/>
      <c r="EO136" s="77"/>
      <c r="EP136" s="77"/>
      <c r="EQ136" s="77"/>
      <c r="ER136" s="77"/>
      <c r="ES136" s="77"/>
      <c r="ET136" s="77"/>
      <c r="EU136" s="77"/>
      <c r="EV136" s="77"/>
      <c r="EW136" s="77"/>
      <c r="EX136" s="77"/>
      <c r="EY136" s="77"/>
      <c r="EZ136" s="77"/>
      <c r="FA136" s="77"/>
      <c r="FB136" s="77"/>
      <c r="FC136" s="77"/>
      <c r="FD136" s="77"/>
      <c r="FE136" s="77"/>
      <c r="FF136" s="77"/>
      <c r="FG136" s="77"/>
      <c r="FH136" s="77"/>
      <c r="FI136" s="77"/>
      <c r="FJ136" s="77"/>
      <c r="FK136" s="77"/>
      <c r="FL136" s="77"/>
      <c r="FM136" s="77"/>
      <c r="FN136" s="77"/>
      <c r="FO136" s="77"/>
      <c r="FP136" s="77"/>
      <c r="FQ136" s="77"/>
      <c r="FR136" s="77"/>
      <c r="FS136" s="77"/>
      <c r="FT136" s="77"/>
      <c r="FU136" s="77"/>
      <c r="FV136" s="77"/>
      <c r="FW136" s="77"/>
      <c r="FX136" s="77"/>
      <c r="FY136" s="77"/>
      <c r="FZ136" s="77"/>
      <c r="GA136" s="77"/>
      <c r="GB136" s="77"/>
      <c r="GC136" s="77"/>
      <c r="GD136" s="77"/>
      <c r="GE136" s="77"/>
      <c r="GF136" s="77"/>
      <c r="GG136" s="77"/>
      <c r="GH136" s="77"/>
      <c r="GI136" s="77"/>
      <c r="GJ136" s="77"/>
      <c r="GK136" s="77"/>
      <c r="GL136" s="77"/>
      <c r="GM136" s="77"/>
      <c r="GN136" s="77"/>
      <c r="GO136" s="77"/>
      <c r="GP136" s="77"/>
      <c r="GQ136" s="77"/>
      <c r="GR136" s="77"/>
      <c r="GS136" s="77"/>
      <c r="GT136" s="77"/>
      <c r="GU136" s="77"/>
      <c r="GV136" s="77"/>
      <c r="GW136" s="77"/>
      <c r="GX136" s="77"/>
      <c r="GY136" s="77"/>
      <c r="GZ136" s="77"/>
      <c r="HA136" s="77"/>
      <c r="HB136" s="77"/>
      <c r="HC136" s="77"/>
      <c r="HD136" s="77"/>
      <c r="HE136" s="77"/>
      <c r="HF136" s="77"/>
      <c r="HG136" s="77"/>
      <c r="HH136" s="77"/>
      <c r="HI136" s="77"/>
      <c r="HJ136" s="77"/>
      <c r="HK136" s="77"/>
      <c r="HL136" s="77"/>
      <c r="HM136" s="77"/>
      <c r="HN136" s="77"/>
      <c r="HO136" s="77"/>
      <c r="HP136" s="77"/>
      <c r="HQ136" s="77"/>
    </row>
    <row r="137" spans="1:225" hidden="1" x14ac:dyDescent="0.3">
      <c r="A137" s="78">
        <f>'Entrada datos'!C134</f>
        <v>0</v>
      </c>
      <c r="B137" s="74">
        <f>'Entrada datos'!D134</f>
        <v>0</v>
      </c>
      <c r="C137" s="75">
        <f>'Entrada datos'!G134</f>
        <v>0</v>
      </c>
      <c r="D137" s="75">
        <f>'Entrada datos'!H134</f>
        <v>0</v>
      </c>
      <c r="E137" s="74">
        <f t="shared" si="7"/>
        <v>0</v>
      </c>
      <c r="F137" s="68" t="str">
        <f t="shared" si="8"/>
        <v>no procede</v>
      </c>
      <c r="G137" s="74">
        <f>'Entrada datos'!P134</f>
        <v>0</v>
      </c>
      <c r="H137" s="74">
        <f>'Entrada datos'!Q134</f>
        <v>0</v>
      </c>
      <c r="I137" s="74">
        <f>'Entrada datos'!R134</f>
        <v>0</v>
      </c>
      <c r="J137" s="74">
        <f>'Entrada datos'!S134</f>
        <v>0</v>
      </c>
      <c r="K137" s="74">
        <f>'Entrada datos'!T134</f>
        <v>0</v>
      </c>
      <c r="L137" s="74">
        <f>'Entrada datos'!U134</f>
        <v>0</v>
      </c>
      <c r="M137" s="76"/>
      <c r="N137" s="76"/>
      <c r="O137" s="76"/>
      <c r="P137" s="76"/>
      <c r="Q137" s="76"/>
      <c r="R137" s="76"/>
      <c r="S137" s="77" t="s">
        <v>74</v>
      </c>
      <c r="T137" s="77"/>
      <c r="U137" s="77"/>
      <c r="V137" s="77">
        <f t="shared" si="9"/>
        <v>0</v>
      </c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  <c r="AI137" s="77"/>
      <c r="AJ137" s="77"/>
      <c r="AK137" s="77"/>
      <c r="AL137" s="77"/>
      <c r="AM137" s="77"/>
      <c r="AN137" s="77"/>
      <c r="AO137" s="77"/>
      <c r="AP137" s="77"/>
      <c r="AQ137" s="77"/>
      <c r="AR137" s="77"/>
      <c r="AS137" s="77"/>
      <c r="AT137" s="77"/>
      <c r="AU137" s="77"/>
      <c r="AV137" s="77"/>
      <c r="AW137" s="77"/>
      <c r="AX137" s="77"/>
      <c r="AY137" s="77"/>
      <c r="AZ137" s="77"/>
      <c r="BA137" s="77"/>
      <c r="BB137" s="77"/>
      <c r="BC137" s="77"/>
      <c r="BD137" s="77"/>
      <c r="BE137" s="77"/>
      <c r="BF137" s="77"/>
      <c r="BG137" s="77"/>
      <c r="BH137" s="77"/>
      <c r="BI137" s="77"/>
      <c r="BJ137" s="77"/>
      <c r="BK137" s="77"/>
      <c r="BL137" s="77"/>
      <c r="BM137" s="77"/>
      <c r="BN137" s="77"/>
      <c r="BO137" s="77"/>
      <c r="BP137" s="77"/>
      <c r="BQ137" s="77"/>
      <c r="BR137" s="77"/>
      <c r="BS137" s="77"/>
      <c r="BT137" s="77"/>
      <c r="BU137" s="77"/>
      <c r="BV137" s="77"/>
      <c r="BW137" s="77"/>
      <c r="BX137" s="77"/>
      <c r="BY137" s="77"/>
      <c r="BZ137" s="77"/>
      <c r="CA137" s="77"/>
      <c r="CB137" s="77"/>
      <c r="CC137" s="77"/>
      <c r="CD137" s="77"/>
      <c r="CE137" s="77"/>
      <c r="CF137" s="77"/>
      <c r="CG137" s="77"/>
      <c r="CH137" s="77"/>
      <c r="CI137" s="77"/>
      <c r="CJ137" s="77"/>
      <c r="CK137" s="77"/>
      <c r="CL137" s="77"/>
      <c r="CM137" s="77"/>
      <c r="CN137" s="77"/>
      <c r="CO137" s="77"/>
      <c r="CP137" s="77"/>
      <c r="CQ137" s="77"/>
      <c r="CR137" s="77"/>
      <c r="CS137" s="77"/>
      <c r="CT137" s="77"/>
      <c r="CU137" s="77"/>
      <c r="CV137" s="77"/>
      <c r="CW137" s="77"/>
      <c r="CX137" s="77"/>
      <c r="CY137" s="77"/>
      <c r="CZ137" s="77"/>
      <c r="DA137" s="77"/>
      <c r="DB137" s="77"/>
      <c r="DC137" s="77"/>
      <c r="DD137" s="77"/>
      <c r="DE137" s="77"/>
      <c r="DF137" s="77"/>
      <c r="DG137" s="77"/>
      <c r="DH137" s="77"/>
      <c r="DI137" s="77"/>
      <c r="DJ137" s="77"/>
      <c r="DK137" s="77"/>
      <c r="DL137" s="77"/>
      <c r="DM137" s="77"/>
      <c r="DN137" s="77"/>
      <c r="DO137" s="77"/>
      <c r="DP137" s="77"/>
      <c r="DQ137" s="77"/>
      <c r="DR137" s="77"/>
      <c r="DS137" s="77"/>
      <c r="DT137" s="77"/>
      <c r="DU137" s="77"/>
      <c r="DV137" s="77"/>
      <c r="DW137" s="77"/>
      <c r="DX137" s="77"/>
      <c r="DY137" s="77"/>
      <c r="DZ137" s="77"/>
      <c r="EA137" s="77"/>
      <c r="EB137" s="77"/>
      <c r="EC137" s="77"/>
      <c r="ED137" s="77"/>
      <c r="EE137" s="77"/>
      <c r="EF137" s="77"/>
      <c r="EG137" s="77"/>
      <c r="EH137" s="77"/>
      <c r="EI137" s="77"/>
      <c r="EJ137" s="77"/>
      <c r="EK137" s="77"/>
      <c r="EL137" s="77"/>
      <c r="EM137" s="77"/>
      <c r="EN137" s="77"/>
      <c r="EO137" s="77"/>
      <c r="EP137" s="77"/>
      <c r="EQ137" s="77"/>
      <c r="ER137" s="77"/>
      <c r="ES137" s="77"/>
      <c r="ET137" s="77"/>
      <c r="EU137" s="77"/>
      <c r="EV137" s="77"/>
      <c r="EW137" s="77"/>
      <c r="EX137" s="77"/>
      <c r="EY137" s="77"/>
      <c r="EZ137" s="77"/>
      <c r="FA137" s="77"/>
      <c r="FB137" s="77"/>
      <c r="FC137" s="77"/>
      <c r="FD137" s="77"/>
      <c r="FE137" s="77"/>
      <c r="FF137" s="77"/>
      <c r="FG137" s="77"/>
      <c r="FH137" s="77"/>
      <c r="FI137" s="77"/>
      <c r="FJ137" s="77"/>
      <c r="FK137" s="77"/>
      <c r="FL137" s="77"/>
      <c r="FM137" s="77"/>
      <c r="FN137" s="77"/>
      <c r="FO137" s="77"/>
      <c r="FP137" s="77"/>
      <c r="FQ137" s="77"/>
      <c r="FR137" s="77"/>
      <c r="FS137" s="77"/>
      <c r="FT137" s="77"/>
      <c r="FU137" s="77"/>
      <c r="FV137" s="77"/>
      <c r="FW137" s="77"/>
      <c r="FX137" s="77"/>
      <c r="FY137" s="77"/>
      <c r="FZ137" s="77"/>
      <c r="GA137" s="77"/>
      <c r="GB137" s="77"/>
      <c r="GC137" s="77"/>
      <c r="GD137" s="77"/>
      <c r="GE137" s="77"/>
      <c r="GF137" s="77"/>
      <c r="GG137" s="77"/>
      <c r="GH137" s="77"/>
      <c r="GI137" s="77"/>
      <c r="GJ137" s="77"/>
      <c r="GK137" s="77"/>
      <c r="GL137" s="77"/>
      <c r="GM137" s="77"/>
      <c r="GN137" s="77"/>
      <c r="GO137" s="77"/>
      <c r="GP137" s="77"/>
      <c r="GQ137" s="77"/>
      <c r="GR137" s="77"/>
      <c r="GS137" s="77"/>
      <c r="GT137" s="77"/>
      <c r="GU137" s="77"/>
      <c r="GV137" s="77"/>
      <c r="GW137" s="77"/>
      <c r="GX137" s="77"/>
      <c r="GY137" s="77"/>
      <c r="GZ137" s="77"/>
      <c r="HA137" s="77"/>
      <c r="HB137" s="77"/>
      <c r="HC137" s="77"/>
      <c r="HD137" s="77"/>
      <c r="HE137" s="77"/>
      <c r="HF137" s="77"/>
      <c r="HG137" s="77"/>
      <c r="HH137" s="77"/>
      <c r="HI137" s="77"/>
      <c r="HJ137" s="77"/>
      <c r="HK137" s="77"/>
      <c r="HL137" s="77"/>
      <c r="HM137" s="77"/>
      <c r="HN137" s="77"/>
      <c r="HO137" s="77"/>
      <c r="HP137" s="77"/>
      <c r="HQ137" s="77"/>
    </row>
    <row r="138" spans="1:225" hidden="1" x14ac:dyDescent="0.3">
      <c r="A138" s="78">
        <f>'Entrada datos'!C135</f>
        <v>0</v>
      </c>
      <c r="B138" s="74">
        <f>'Entrada datos'!D135</f>
        <v>0</v>
      </c>
      <c r="C138" s="75">
        <f>'Entrada datos'!G135</f>
        <v>0</v>
      </c>
      <c r="D138" s="75">
        <f>'Entrada datos'!H135</f>
        <v>0</v>
      </c>
      <c r="E138" s="74">
        <f t="shared" si="7"/>
        <v>0</v>
      </c>
      <c r="F138" s="68" t="str">
        <f t="shared" si="8"/>
        <v>no procede</v>
      </c>
      <c r="G138" s="74">
        <f>'Entrada datos'!P135</f>
        <v>0</v>
      </c>
      <c r="H138" s="74">
        <f>'Entrada datos'!Q135</f>
        <v>0</v>
      </c>
      <c r="I138" s="74">
        <f>'Entrada datos'!R135</f>
        <v>0</v>
      </c>
      <c r="J138" s="74">
        <f>'Entrada datos'!S135</f>
        <v>0</v>
      </c>
      <c r="K138" s="74">
        <f>'Entrada datos'!T135</f>
        <v>0</v>
      </c>
      <c r="L138" s="74">
        <f>'Entrada datos'!U135</f>
        <v>0</v>
      </c>
      <c r="M138" s="76"/>
      <c r="N138" s="76"/>
      <c r="O138" s="76"/>
      <c r="P138" s="76"/>
      <c r="Q138" s="76"/>
      <c r="R138" s="76"/>
      <c r="S138" s="77" t="s">
        <v>74</v>
      </c>
      <c r="T138" s="77"/>
      <c r="U138" s="77"/>
      <c r="V138" s="77">
        <f t="shared" si="9"/>
        <v>0</v>
      </c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  <c r="AI138" s="77"/>
      <c r="AJ138" s="77"/>
      <c r="AK138" s="77"/>
      <c r="AL138" s="77"/>
      <c r="AM138" s="77"/>
      <c r="AN138" s="77"/>
      <c r="AO138" s="77"/>
      <c r="AP138" s="77"/>
      <c r="AQ138" s="77"/>
      <c r="AR138" s="77"/>
      <c r="AS138" s="77"/>
      <c r="AT138" s="77"/>
      <c r="AU138" s="77"/>
      <c r="AV138" s="77"/>
      <c r="AW138" s="77"/>
      <c r="AX138" s="77"/>
      <c r="AY138" s="77"/>
      <c r="AZ138" s="77"/>
      <c r="BA138" s="77"/>
      <c r="BB138" s="77"/>
      <c r="BC138" s="77"/>
      <c r="BD138" s="77"/>
      <c r="BE138" s="77"/>
      <c r="BF138" s="77"/>
      <c r="BG138" s="77"/>
      <c r="BH138" s="77"/>
      <c r="BI138" s="77"/>
      <c r="BJ138" s="77"/>
      <c r="BK138" s="77"/>
      <c r="BL138" s="77"/>
      <c r="BM138" s="77"/>
      <c r="BN138" s="77"/>
      <c r="BO138" s="77"/>
      <c r="BP138" s="77"/>
      <c r="BQ138" s="77"/>
      <c r="BR138" s="77"/>
      <c r="BS138" s="77"/>
      <c r="BT138" s="77"/>
      <c r="BU138" s="77"/>
      <c r="BV138" s="77"/>
      <c r="BW138" s="77"/>
      <c r="BX138" s="77"/>
      <c r="BY138" s="77"/>
      <c r="BZ138" s="77"/>
      <c r="CA138" s="77"/>
      <c r="CB138" s="77"/>
      <c r="CC138" s="77"/>
      <c r="CD138" s="77"/>
      <c r="CE138" s="77"/>
      <c r="CF138" s="77"/>
      <c r="CG138" s="77"/>
      <c r="CH138" s="77"/>
      <c r="CI138" s="77"/>
      <c r="CJ138" s="77"/>
      <c r="CK138" s="77"/>
      <c r="CL138" s="77"/>
      <c r="CM138" s="77"/>
      <c r="CN138" s="77"/>
      <c r="CO138" s="77"/>
      <c r="CP138" s="77"/>
      <c r="CQ138" s="77"/>
      <c r="CR138" s="77"/>
      <c r="CS138" s="77"/>
      <c r="CT138" s="77"/>
      <c r="CU138" s="77"/>
      <c r="CV138" s="77"/>
      <c r="CW138" s="77"/>
      <c r="CX138" s="77"/>
      <c r="CY138" s="77"/>
      <c r="CZ138" s="77"/>
      <c r="DA138" s="77"/>
      <c r="DB138" s="77"/>
      <c r="DC138" s="77"/>
      <c r="DD138" s="77"/>
      <c r="DE138" s="77"/>
      <c r="DF138" s="77"/>
      <c r="DG138" s="77"/>
      <c r="DH138" s="77"/>
      <c r="DI138" s="77"/>
      <c r="DJ138" s="77"/>
      <c r="DK138" s="77"/>
      <c r="DL138" s="77"/>
      <c r="DM138" s="77"/>
      <c r="DN138" s="77"/>
      <c r="DO138" s="77"/>
      <c r="DP138" s="77"/>
      <c r="DQ138" s="77"/>
      <c r="DR138" s="77"/>
      <c r="DS138" s="77"/>
      <c r="DT138" s="77"/>
      <c r="DU138" s="77"/>
      <c r="DV138" s="77"/>
      <c r="DW138" s="77"/>
      <c r="DX138" s="77"/>
      <c r="DY138" s="77"/>
      <c r="DZ138" s="77"/>
      <c r="EA138" s="77"/>
      <c r="EB138" s="77"/>
      <c r="EC138" s="77"/>
      <c r="ED138" s="77"/>
      <c r="EE138" s="77"/>
      <c r="EF138" s="77"/>
      <c r="EG138" s="77"/>
      <c r="EH138" s="77"/>
      <c r="EI138" s="77"/>
      <c r="EJ138" s="77"/>
      <c r="EK138" s="77"/>
      <c r="EL138" s="77"/>
      <c r="EM138" s="77"/>
      <c r="EN138" s="77"/>
      <c r="EO138" s="77"/>
      <c r="EP138" s="77"/>
      <c r="EQ138" s="77"/>
      <c r="ER138" s="77"/>
      <c r="ES138" s="77"/>
      <c r="ET138" s="77"/>
      <c r="EU138" s="77"/>
      <c r="EV138" s="77"/>
      <c r="EW138" s="77"/>
      <c r="EX138" s="77"/>
      <c r="EY138" s="77"/>
      <c r="EZ138" s="77"/>
      <c r="FA138" s="77"/>
      <c r="FB138" s="77"/>
      <c r="FC138" s="77"/>
      <c r="FD138" s="77"/>
      <c r="FE138" s="77"/>
      <c r="FF138" s="77"/>
      <c r="FG138" s="77"/>
      <c r="FH138" s="77"/>
      <c r="FI138" s="77"/>
      <c r="FJ138" s="77"/>
      <c r="FK138" s="77"/>
      <c r="FL138" s="77"/>
      <c r="FM138" s="77"/>
      <c r="FN138" s="77"/>
      <c r="FO138" s="77"/>
      <c r="FP138" s="77"/>
      <c r="FQ138" s="77"/>
      <c r="FR138" s="77"/>
      <c r="FS138" s="77"/>
      <c r="FT138" s="77"/>
      <c r="FU138" s="77"/>
      <c r="FV138" s="77"/>
      <c r="FW138" s="77"/>
      <c r="FX138" s="77"/>
      <c r="FY138" s="77"/>
      <c r="FZ138" s="77"/>
      <c r="GA138" s="77"/>
      <c r="GB138" s="77"/>
      <c r="GC138" s="77"/>
      <c r="GD138" s="77"/>
      <c r="GE138" s="77"/>
      <c r="GF138" s="77"/>
      <c r="GG138" s="77"/>
      <c r="GH138" s="77"/>
      <c r="GI138" s="77"/>
      <c r="GJ138" s="77"/>
      <c r="GK138" s="77"/>
      <c r="GL138" s="77"/>
      <c r="GM138" s="77"/>
      <c r="GN138" s="77"/>
      <c r="GO138" s="77"/>
      <c r="GP138" s="77"/>
      <c r="GQ138" s="77"/>
      <c r="GR138" s="77"/>
      <c r="GS138" s="77"/>
      <c r="GT138" s="77"/>
      <c r="GU138" s="77"/>
      <c r="GV138" s="77"/>
      <c r="GW138" s="77"/>
      <c r="GX138" s="77"/>
      <c r="GY138" s="77"/>
      <c r="GZ138" s="77"/>
      <c r="HA138" s="77"/>
      <c r="HB138" s="77"/>
      <c r="HC138" s="77"/>
      <c r="HD138" s="77"/>
      <c r="HE138" s="77"/>
      <c r="HF138" s="77"/>
      <c r="HG138" s="77"/>
      <c r="HH138" s="77"/>
      <c r="HI138" s="77"/>
      <c r="HJ138" s="77"/>
      <c r="HK138" s="77"/>
      <c r="HL138" s="77"/>
      <c r="HM138" s="77"/>
      <c r="HN138" s="77"/>
      <c r="HO138" s="77"/>
      <c r="HP138" s="77"/>
      <c r="HQ138" s="77"/>
    </row>
    <row r="139" spans="1:225" hidden="1" x14ac:dyDescent="0.3">
      <c r="A139" s="78">
        <f>'Entrada datos'!C136</f>
        <v>0</v>
      </c>
      <c r="B139" s="74">
        <f>'Entrada datos'!D136</f>
        <v>0</v>
      </c>
      <c r="C139" s="75">
        <f>'Entrada datos'!G136</f>
        <v>0</v>
      </c>
      <c r="D139" s="75">
        <f>'Entrada datos'!H136</f>
        <v>0</v>
      </c>
      <c r="E139" s="74">
        <f t="shared" si="7"/>
        <v>0</v>
      </c>
      <c r="F139" s="68" t="str">
        <f t="shared" si="8"/>
        <v>no procede</v>
      </c>
      <c r="G139" s="74">
        <f>'Entrada datos'!P136</f>
        <v>0</v>
      </c>
      <c r="H139" s="74">
        <f>'Entrada datos'!Q136</f>
        <v>0</v>
      </c>
      <c r="I139" s="74">
        <f>'Entrada datos'!R136</f>
        <v>0</v>
      </c>
      <c r="J139" s="74">
        <f>'Entrada datos'!S136</f>
        <v>0</v>
      </c>
      <c r="K139" s="74">
        <f>'Entrada datos'!T136</f>
        <v>0</v>
      </c>
      <c r="L139" s="74">
        <f>'Entrada datos'!U136</f>
        <v>0</v>
      </c>
      <c r="M139" s="76"/>
      <c r="N139" s="76"/>
      <c r="O139" s="76"/>
      <c r="P139" s="76"/>
      <c r="Q139" s="76"/>
      <c r="R139" s="76"/>
      <c r="S139" s="77" t="s">
        <v>74</v>
      </c>
      <c r="T139" s="77"/>
      <c r="U139" s="77"/>
      <c r="V139" s="77">
        <f t="shared" si="9"/>
        <v>0</v>
      </c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  <c r="AI139" s="77"/>
      <c r="AJ139" s="77"/>
      <c r="AK139" s="77"/>
      <c r="AL139" s="77"/>
      <c r="AM139" s="77"/>
      <c r="AN139" s="77"/>
      <c r="AO139" s="77"/>
      <c r="AP139" s="77"/>
      <c r="AQ139" s="77"/>
      <c r="AR139" s="77"/>
      <c r="AS139" s="77"/>
      <c r="AT139" s="77"/>
      <c r="AU139" s="77"/>
      <c r="AV139" s="77"/>
      <c r="AW139" s="77"/>
      <c r="AX139" s="77"/>
      <c r="AY139" s="77"/>
      <c r="AZ139" s="77"/>
      <c r="BA139" s="77"/>
      <c r="BB139" s="77"/>
      <c r="BC139" s="77"/>
      <c r="BD139" s="77"/>
      <c r="BE139" s="77"/>
      <c r="BF139" s="77"/>
      <c r="BG139" s="77"/>
      <c r="BH139" s="77"/>
      <c r="BI139" s="77"/>
      <c r="BJ139" s="77"/>
      <c r="BK139" s="77"/>
      <c r="BL139" s="77"/>
      <c r="BM139" s="77"/>
      <c r="BN139" s="77"/>
      <c r="BO139" s="77"/>
      <c r="BP139" s="77"/>
      <c r="BQ139" s="77"/>
      <c r="BR139" s="77"/>
      <c r="BS139" s="77"/>
      <c r="BT139" s="77"/>
      <c r="BU139" s="77"/>
      <c r="BV139" s="77"/>
      <c r="BW139" s="77"/>
      <c r="BX139" s="77"/>
      <c r="BY139" s="77"/>
      <c r="BZ139" s="77"/>
      <c r="CA139" s="77"/>
      <c r="CB139" s="77"/>
      <c r="CC139" s="77"/>
      <c r="CD139" s="77"/>
      <c r="CE139" s="77"/>
      <c r="CF139" s="77"/>
      <c r="CG139" s="77"/>
      <c r="CH139" s="77"/>
      <c r="CI139" s="77"/>
      <c r="CJ139" s="77"/>
      <c r="CK139" s="77"/>
      <c r="CL139" s="77"/>
      <c r="CM139" s="77"/>
      <c r="CN139" s="77"/>
      <c r="CO139" s="77"/>
      <c r="CP139" s="77"/>
      <c r="CQ139" s="77"/>
      <c r="CR139" s="77"/>
      <c r="CS139" s="77"/>
      <c r="CT139" s="77"/>
      <c r="CU139" s="77"/>
      <c r="CV139" s="77"/>
      <c r="CW139" s="77"/>
      <c r="CX139" s="77"/>
      <c r="CY139" s="77"/>
      <c r="CZ139" s="77"/>
      <c r="DA139" s="77"/>
      <c r="DB139" s="77"/>
      <c r="DC139" s="77"/>
      <c r="DD139" s="77"/>
      <c r="DE139" s="77"/>
      <c r="DF139" s="77"/>
      <c r="DG139" s="77"/>
      <c r="DH139" s="77"/>
      <c r="DI139" s="77"/>
      <c r="DJ139" s="77"/>
      <c r="DK139" s="77"/>
      <c r="DL139" s="77"/>
      <c r="DM139" s="77"/>
      <c r="DN139" s="77"/>
      <c r="DO139" s="77"/>
      <c r="DP139" s="77"/>
      <c r="DQ139" s="77"/>
      <c r="DR139" s="77"/>
      <c r="DS139" s="77"/>
      <c r="DT139" s="77"/>
      <c r="DU139" s="77"/>
      <c r="DV139" s="77"/>
      <c r="DW139" s="77"/>
      <c r="DX139" s="77"/>
      <c r="DY139" s="77"/>
      <c r="DZ139" s="77"/>
      <c r="EA139" s="77"/>
      <c r="EB139" s="77"/>
      <c r="EC139" s="77"/>
      <c r="ED139" s="77"/>
      <c r="EE139" s="77"/>
      <c r="EF139" s="77"/>
      <c r="EG139" s="77"/>
      <c r="EH139" s="77"/>
      <c r="EI139" s="77"/>
      <c r="EJ139" s="77"/>
      <c r="EK139" s="77"/>
      <c r="EL139" s="77"/>
      <c r="EM139" s="77"/>
      <c r="EN139" s="77"/>
      <c r="EO139" s="77"/>
      <c r="EP139" s="77"/>
      <c r="EQ139" s="77"/>
      <c r="ER139" s="77"/>
      <c r="ES139" s="77"/>
      <c r="ET139" s="77"/>
      <c r="EU139" s="77"/>
      <c r="EV139" s="77"/>
      <c r="EW139" s="77"/>
      <c r="EX139" s="77"/>
      <c r="EY139" s="77"/>
      <c r="EZ139" s="77"/>
      <c r="FA139" s="77"/>
      <c r="FB139" s="77"/>
      <c r="FC139" s="77"/>
      <c r="FD139" s="77"/>
      <c r="FE139" s="77"/>
      <c r="FF139" s="77"/>
      <c r="FG139" s="77"/>
      <c r="FH139" s="77"/>
      <c r="FI139" s="77"/>
      <c r="FJ139" s="77"/>
      <c r="FK139" s="77"/>
      <c r="FL139" s="77"/>
      <c r="FM139" s="77"/>
      <c r="FN139" s="77"/>
      <c r="FO139" s="77"/>
      <c r="FP139" s="77"/>
      <c r="FQ139" s="77"/>
      <c r="FR139" s="77"/>
      <c r="FS139" s="77"/>
      <c r="FT139" s="77"/>
      <c r="FU139" s="77"/>
      <c r="FV139" s="77"/>
      <c r="FW139" s="77"/>
      <c r="FX139" s="77"/>
      <c r="FY139" s="77"/>
      <c r="FZ139" s="77"/>
      <c r="GA139" s="77"/>
      <c r="GB139" s="77"/>
      <c r="GC139" s="77"/>
      <c r="GD139" s="77"/>
      <c r="GE139" s="77"/>
      <c r="GF139" s="77"/>
      <c r="GG139" s="77"/>
      <c r="GH139" s="77"/>
      <c r="GI139" s="77"/>
      <c r="GJ139" s="77"/>
      <c r="GK139" s="77"/>
      <c r="GL139" s="77"/>
      <c r="GM139" s="77"/>
      <c r="GN139" s="77"/>
      <c r="GO139" s="77"/>
      <c r="GP139" s="77"/>
      <c r="GQ139" s="77"/>
      <c r="GR139" s="77"/>
      <c r="GS139" s="77"/>
      <c r="GT139" s="77"/>
      <c r="GU139" s="77"/>
      <c r="GV139" s="77"/>
      <c r="GW139" s="77"/>
      <c r="GX139" s="77"/>
      <c r="GY139" s="77"/>
      <c r="GZ139" s="77"/>
      <c r="HA139" s="77"/>
      <c r="HB139" s="77"/>
      <c r="HC139" s="77"/>
      <c r="HD139" s="77"/>
      <c r="HE139" s="77"/>
      <c r="HF139" s="77"/>
      <c r="HG139" s="77"/>
      <c r="HH139" s="77"/>
      <c r="HI139" s="77"/>
      <c r="HJ139" s="77"/>
      <c r="HK139" s="77"/>
      <c r="HL139" s="77"/>
      <c r="HM139" s="77"/>
      <c r="HN139" s="77"/>
      <c r="HO139" s="77"/>
      <c r="HP139" s="77"/>
      <c r="HQ139" s="77"/>
    </row>
    <row r="140" spans="1:225" hidden="1" x14ac:dyDescent="0.3">
      <c r="A140" s="78">
        <f>'Entrada datos'!C137</f>
        <v>0</v>
      </c>
      <c r="B140" s="74">
        <f>'Entrada datos'!D137</f>
        <v>0</v>
      </c>
      <c r="C140" s="75">
        <f>'Entrada datos'!G137</f>
        <v>0</v>
      </c>
      <c r="D140" s="75">
        <f>'Entrada datos'!H137</f>
        <v>0</v>
      </c>
      <c r="E140" s="74">
        <f t="shared" si="7"/>
        <v>0</v>
      </c>
      <c r="F140" s="68" t="str">
        <f t="shared" si="8"/>
        <v>no procede</v>
      </c>
      <c r="G140" s="74">
        <f>'Entrada datos'!P137</f>
        <v>0</v>
      </c>
      <c r="H140" s="74">
        <f>'Entrada datos'!Q137</f>
        <v>0</v>
      </c>
      <c r="I140" s="74">
        <f>'Entrada datos'!R137</f>
        <v>0</v>
      </c>
      <c r="J140" s="74">
        <f>'Entrada datos'!S137</f>
        <v>0</v>
      </c>
      <c r="K140" s="74">
        <f>'Entrada datos'!T137</f>
        <v>0</v>
      </c>
      <c r="L140" s="74">
        <f>'Entrada datos'!U137</f>
        <v>0</v>
      </c>
      <c r="M140" s="76"/>
      <c r="N140" s="76"/>
      <c r="O140" s="76"/>
      <c r="P140" s="76"/>
      <c r="Q140" s="76"/>
      <c r="R140" s="76"/>
      <c r="S140" s="77" t="s">
        <v>74</v>
      </c>
      <c r="T140" s="77"/>
      <c r="U140" s="77"/>
      <c r="V140" s="77">
        <f t="shared" si="9"/>
        <v>0</v>
      </c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  <c r="AI140" s="77"/>
      <c r="AJ140" s="77"/>
      <c r="AK140" s="77"/>
      <c r="AL140" s="77"/>
      <c r="AM140" s="77"/>
      <c r="AN140" s="77"/>
      <c r="AO140" s="77"/>
      <c r="AP140" s="77"/>
      <c r="AQ140" s="77"/>
      <c r="AR140" s="77"/>
      <c r="AS140" s="77"/>
      <c r="AT140" s="77"/>
      <c r="AU140" s="77"/>
      <c r="AV140" s="77"/>
      <c r="AW140" s="77"/>
      <c r="AX140" s="77"/>
      <c r="AY140" s="77"/>
      <c r="AZ140" s="77"/>
      <c r="BA140" s="77"/>
      <c r="BB140" s="77"/>
      <c r="BC140" s="77"/>
      <c r="BD140" s="77"/>
      <c r="BE140" s="77"/>
      <c r="BF140" s="77"/>
      <c r="BG140" s="77"/>
      <c r="BH140" s="77"/>
      <c r="BI140" s="77"/>
      <c r="BJ140" s="77"/>
      <c r="BK140" s="77"/>
      <c r="BL140" s="77"/>
      <c r="BM140" s="77"/>
      <c r="BN140" s="77"/>
      <c r="BO140" s="77"/>
      <c r="BP140" s="77"/>
      <c r="BQ140" s="77"/>
      <c r="BR140" s="77"/>
      <c r="BS140" s="77"/>
      <c r="BT140" s="77"/>
      <c r="BU140" s="77"/>
      <c r="BV140" s="77"/>
      <c r="BW140" s="77"/>
      <c r="BX140" s="77"/>
      <c r="BY140" s="77"/>
      <c r="BZ140" s="77"/>
      <c r="CA140" s="77"/>
      <c r="CB140" s="77"/>
      <c r="CC140" s="77"/>
      <c r="CD140" s="77"/>
      <c r="CE140" s="77"/>
      <c r="CF140" s="77"/>
      <c r="CG140" s="77"/>
      <c r="CH140" s="77"/>
      <c r="CI140" s="77"/>
      <c r="CJ140" s="77"/>
      <c r="CK140" s="77"/>
      <c r="CL140" s="77"/>
      <c r="CM140" s="77"/>
      <c r="CN140" s="77"/>
      <c r="CO140" s="77"/>
      <c r="CP140" s="77"/>
      <c r="CQ140" s="77"/>
      <c r="CR140" s="77"/>
      <c r="CS140" s="77"/>
      <c r="CT140" s="77"/>
      <c r="CU140" s="77"/>
      <c r="CV140" s="77"/>
      <c r="CW140" s="77"/>
      <c r="CX140" s="77"/>
      <c r="CY140" s="77"/>
      <c r="CZ140" s="77"/>
      <c r="DA140" s="77"/>
      <c r="DB140" s="77"/>
      <c r="DC140" s="77"/>
      <c r="DD140" s="77"/>
      <c r="DE140" s="77"/>
      <c r="DF140" s="77"/>
      <c r="DG140" s="77"/>
      <c r="DH140" s="77"/>
      <c r="DI140" s="77"/>
      <c r="DJ140" s="77"/>
      <c r="DK140" s="77"/>
      <c r="DL140" s="77"/>
      <c r="DM140" s="77"/>
      <c r="DN140" s="77"/>
      <c r="DO140" s="77"/>
      <c r="DP140" s="77"/>
      <c r="DQ140" s="77"/>
      <c r="DR140" s="77"/>
      <c r="DS140" s="77"/>
      <c r="DT140" s="77"/>
      <c r="DU140" s="77"/>
      <c r="DV140" s="77"/>
      <c r="DW140" s="77"/>
      <c r="DX140" s="77"/>
      <c r="DY140" s="77"/>
      <c r="DZ140" s="77"/>
      <c r="EA140" s="77"/>
      <c r="EB140" s="77"/>
      <c r="EC140" s="77"/>
      <c r="ED140" s="77"/>
      <c r="EE140" s="77"/>
      <c r="EF140" s="77"/>
      <c r="EG140" s="77"/>
      <c r="EH140" s="77"/>
      <c r="EI140" s="77"/>
      <c r="EJ140" s="77"/>
      <c r="EK140" s="77"/>
      <c r="EL140" s="77"/>
      <c r="EM140" s="77"/>
      <c r="EN140" s="77"/>
      <c r="EO140" s="77"/>
      <c r="EP140" s="77"/>
      <c r="EQ140" s="77"/>
      <c r="ER140" s="77"/>
      <c r="ES140" s="77"/>
      <c r="ET140" s="77"/>
      <c r="EU140" s="77"/>
      <c r="EV140" s="77"/>
      <c r="EW140" s="77"/>
      <c r="EX140" s="77"/>
      <c r="EY140" s="77"/>
      <c r="EZ140" s="77"/>
      <c r="FA140" s="77"/>
      <c r="FB140" s="77"/>
      <c r="FC140" s="77"/>
      <c r="FD140" s="77"/>
      <c r="FE140" s="77"/>
      <c r="FF140" s="77"/>
      <c r="FG140" s="77"/>
      <c r="FH140" s="77"/>
      <c r="FI140" s="77"/>
      <c r="FJ140" s="77"/>
      <c r="FK140" s="77"/>
      <c r="FL140" s="77"/>
      <c r="FM140" s="77"/>
      <c r="FN140" s="77"/>
      <c r="FO140" s="77"/>
      <c r="FP140" s="77"/>
      <c r="FQ140" s="77"/>
      <c r="FR140" s="77"/>
      <c r="FS140" s="77"/>
      <c r="FT140" s="77"/>
      <c r="FU140" s="77"/>
      <c r="FV140" s="77"/>
      <c r="FW140" s="77"/>
      <c r="FX140" s="77"/>
      <c r="FY140" s="77"/>
      <c r="FZ140" s="77"/>
      <c r="GA140" s="77"/>
      <c r="GB140" s="77"/>
      <c r="GC140" s="77"/>
      <c r="GD140" s="77"/>
      <c r="GE140" s="77"/>
      <c r="GF140" s="77"/>
      <c r="GG140" s="77"/>
      <c r="GH140" s="77"/>
      <c r="GI140" s="77"/>
      <c r="GJ140" s="77"/>
      <c r="GK140" s="77"/>
      <c r="GL140" s="77"/>
      <c r="GM140" s="77"/>
      <c r="GN140" s="77"/>
      <c r="GO140" s="77"/>
      <c r="GP140" s="77"/>
      <c r="GQ140" s="77"/>
      <c r="GR140" s="77"/>
      <c r="GS140" s="77"/>
      <c r="GT140" s="77"/>
      <c r="GU140" s="77"/>
      <c r="GV140" s="77"/>
      <c r="GW140" s="77"/>
      <c r="GX140" s="77"/>
      <c r="GY140" s="77"/>
      <c r="GZ140" s="77"/>
      <c r="HA140" s="77"/>
      <c r="HB140" s="77"/>
      <c r="HC140" s="77"/>
      <c r="HD140" s="77"/>
      <c r="HE140" s="77"/>
      <c r="HF140" s="77"/>
      <c r="HG140" s="77"/>
      <c r="HH140" s="77"/>
      <c r="HI140" s="77"/>
      <c r="HJ140" s="77"/>
      <c r="HK140" s="77"/>
      <c r="HL140" s="77"/>
      <c r="HM140" s="77"/>
      <c r="HN140" s="77"/>
      <c r="HO140" s="77"/>
      <c r="HP140" s="77"/>
      <c r="HQ140" s="77"/>
    </row>
    <row r="141" spans="1:225" hidden="1" x14ac:dyDescent="0.3">
      <c r="A141" s="78">
        <f>'Entrada datos'!C138</f>
        <v>0</v>
      </c>
      <c r="B141" s="74">
        <f>'Entrada datos'!D138</f>
        <v>0</v>
      </c>
      <c r="C141" s="75">
        <f>'Entrada datos'!G138</f>
        <v>0</v>
      </c>
      <c r="D141" s="75">
        <f>'Entrada datos'!H138</f>
        <v>0</v>
      </c>
      <c r="E141" s="74">
        <f t="shared" si="7"/>
        <v>0</v>
      </c>
      <c r="F141" s="68" t="str">
        <f t="shared" si="8"/>
        <v>no procede</v>
      </c>
      <c r="G141" s="74">
        <f>'Entrada datos'!P138</f>
        <v>0</v>
      </c>
      <c r="H141" s="74">
        <f>'Entrada datos'!Q138</f>
        <v>0</v>
      </c>
      <c r="I141" s="74">
        <f>'Entrada datos'!R138</f>
        <v>0</v>
      </c>
      <c r="J141" s="74">
        <f>'Entrada datos'!S138</f>
        <v>0</v>
      </c>
      <c r="K141" s="74">
        <f>'Entrada datos'!T138</f>
        <v>0</v>
      </c>
      <c r="L141" s="74">
        <f>'Entrada datos'!U138</f>
        <v>0</v>
      </c>
      <c r="M141" s="76"/>
      <c r="N141" s="76"/>
      <c r="O141" s="76"/>
      <c r="P141" s="76"/>
      <c r="Q141" s="76"/>
      <c r="R141" s="76"/>
      <c r="S141" s="77" t="s">
        <v>74</v>
      </c>
      <c r="T141" s="77"/>
      <c r="U141" s="77"/>
      <c r="V141" s="77">
        <f t="shared" si="9"/>
        <v>0</v>
      </c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  <c r="AO141" s="77"/>
      <c r="AP141" s="77"/>
      <c r="AQ141" s="77"/>
      <c r="AR141" s="77"/>
      <c r="AS141" s="77"/>
      <c r="AT141" s="77"/>
      <c r="AU141" s="77"/>
      <c r="AV141" s="77"/>
      <c r="AW141" s="77"/>
      <c r="AX141" s="77"/>
      <c r="AY141" s="77"/>
      <c r="AZ141" s="77"/>
      <c r="BA141" s="77"/>
      <c r="BB141" s="77"/>
      <c r="BC141" s="77"/>
      <c r="BD141" s="77"/>
      <c r="BE141" s="77"/>
      <c r="BF141" s="77"/>
      <c r="BG141" s="77"/>
      <c r="BH141" s="77"/>
      <c r="BI141" s="77"/>
      <c r="BJ141" s="77"/>
      <c r="BK141" s="77"/>
      <c r="BL141" s="77"/>
      <c r="BM141" s="77"/>
      <c r="BN141" s="77"/>
      <c r="BO141" s="77"/>
      <c r="BP141" s="77"/>
      <c r="BQ141" s="77"/>
      <c r="BR141" s="77"/>
      <c r="BS141" s="77"/>
      <c r="BT141" s="77"/>
      <c r="BU141" s="77"/>
      <c r="BV141" s="77"/>
      <c r="BW141" s="77"/>
      <c r="BX141" s="77"/>
      <c r="BY141" s="77"/>
      <c r="BZ141" s="77"/>
      <c r="CA141" s="77"/>
      <c r="CB141" s="77"/>
      <c r="CC141" s="77"/>
      <c r="CD141" s="77"/>
      <c r="CE141" s="77"/>
      <c r="CF141" s="77"/>
      <c r="CG141" s="77"/>
      <c r="CH141" s="77"/>
      <c r="CI141" s="77"/>
      <c r="CJ141" s="77"/>
      <c r="CK141" s="77"/>
      <c r="CL141" s="77"/>
      <c r="CM141" s="77"/>
      <c r="CN141" s="77"/>
      <c r="CO141" s="77"/>
      <c r="CP141" s="77"/>
      <c r="CQ141" s="77"/>
      <c r="CR141" s="77"/>
      <c r="CS141" s="77"/>
      <c r="CT141" s="77"/>
      <c r="CU141" s="77"/>
      <c r="CV141" s="77"/>
      <c r="CW141" s="77"/>
      <c r="CX141" s="77"/>
      <c r="CY141" s="77"/>
      <c r="CZ141" s="77"/>
      <c r="DA141" s="77"/>
      <c r="DB141" s="77"/>
      <c r="DC141" s="77"/>
      <c r="DD141" s="77"/>
      <c r="DE141" s="77"/>
      <c r="DF141" s="77"/>
      <c r="DG141" s="77"/>
      <c r="DH141" s="77"/>
      <c r="DI141" s="77"/>
      <c r="DJ141" s="77"/>
      <c r="DK141" s="77"/>
      <c r="DL141" s="77"/>
      <c r="DM141" s="77"/>
      <c r="DN141" s="77"/>
      <c r="DO141" s="77"/>
      <c r="DP141" s="77"/>
      <c r="DQ141" s="77"/>
      <c r="DR141" s="77"/>
      <c r="DS141" s="77"/>
      <c r="DT141" s="77"/>
      <c r="DU141" s="77"/>
      <c r="DV141" s="77"/>
      <c r="DW141" s="77"/>
      <c r="DX141" s="77"/>
      <c r="DY141" s="77"/>
      <c r="DZ141" s="77"/>
      <c r="EA141" s="77"/>
      <c r="EB141" s="77"/>
      <c r="EC141" s="77"/>
      <c r="ED141" s="77"/>
      <c r="EE141" s="77"/>
      <c r="EF141" s="77"/>
      <c r="EG141" s="77"/>
      <c r="EH141" s="77"/>
      <c r="EI141" s="77"/>
      <c r="EJ141" s="77"/>
      <c r="EK141" s="77"/>
      <c r="EL141" s="77"/>
      <c r="EM141" s="77"/>
      <c r="EN141" s="77"/>
      <c r="EO141" s="77"/>
      <c r="EP141" s="77"/>
      <c r="EQ141" s="77"/>
      <c r="ER141" s="77"/>
      <c r="ES141" s="77"/>
      <c r="ET141" s="77"/>
      <c r="EU141" s="77"/>
      <c r="EV141" s="77"/>
      <c r="EW141" s="77"/>
      <c r="EX141" s="77"/>
      <c r="EY141" s="77"/>
      <c r="EZ141" s="77"/>
      <c r="FA141" s="77"/>
      <c r="FB141" s="77"/>
      <c r="FC141" s="77"/>
      <c r="FD141" s="77"/>
      <c r="FE141" s="77"/>
      <c r="FF141" s="77"/>
      <c r="FG141" s="77"/>
      <c r="FH141" s="77"/>
      <c r="FI141" s="77"/>
      <c r="FJ141" s="77"/>
      <c r="FK141" s="77"/>
      <c r="FL141" s="77"/>
      <c r="FM141" s="77"/>
      <c r="FN141" s="77"/>
      <c r="FO141" s="77"/>
      <c r="FP141" s="77"/>
      <c r="FQ141" s="77"/>
      <c r="FR141" s="77"/>
      <c r="FS141" s="77"/>
      <c r="FT141" s="77"/>
      <c r="FU141" s="77"/>
      <c r="FV141" s="77"/>
      <c r="FW141" s="77"/>
      <c r="FX141" s="77"/>
      <c r="FY141" s="77"/>
      <c r="FZ141" s="77"/>
      <c r="GA141" s="77"/>
      <c r="GB141" s="77"/>
      <c r="GC141" s="77"/>
      <c r="GD141" s="77"/>
      <c r="GE141" s="77"/>
      <c r="GF141" s="77"/>
      <c r="GG141" s="77"/>
      <c r="GH141" s="77"/>
      <c r="GI141" s="77"/>
      <c r="GJ141" s="77"/>
      <c r="GK141" s="77"/>
      <c r="GL141" s="77"/>
      <c r="GM141" s="77"/>
      <c r="GN141" s="77"/>
      <c r="GO141" s="77"/>
      <c r="GP141" s="77"/>
      <c r="GQ141" s="77"/>
      <c r="GR141" s="77"/>
      <c r="GS141" s="77"/>
      <c r="GT141" s="77"/>
      <c r="GU141" s="77"/>
      <c r="GV141" s="77"/>
      <c r="GW141" s="77"/>
      <c r="GX141" s="77"/>
      <c r="GY141" s="77"/>
      <c r="GZ141" s="77"/>
      <c r="HA141" s="77"/>
      <c r="HB141" s="77"/>
      <c r="HC141" s="77"/>
      <c r="HD141" s="77"/>
      <c r="HE141" s="77"/>
      <c r="HF141" s="77"/>
      <c r="HG141" s="77"/>
      <c r="HH141" s="77"/>
      <c r="HI141" s="77"/>
      <c r="HJ141" s="77"/>
      <c r="HK141" s="77"/>
      <c r="HL141" s="77"/>
      <c r="HM141" s="77"/>
      <c r="HN141" s="77"/>
      <c r="HO141" s="77"/>
      <c r="HP141" s="77"/>
      <c r="HQ141" s="77"/>
    </row>
    <row r="142" spans="1:225" hidden="1" x14ac:dyDescent="0.3">
      <c r="A142" s="78">
        <f>'Entrada datos'!C139</f>
        <v>0</v>
      </c>
      <c r="B142" s="74">
        <f>'Entrada datos'!D139</f>
        <v>0</v>
      </c>
      <c r="C142" s="75">
        <f>'Entrada datos'!G139</f>
        <v>0</v>
      </c>
      <c r="D142" s="75">
        <f>'Entrada datos'!H139</f>
        <v>0</v>
      </c>
      <c r="E142" s="74">
        <f t="shared" si="7"/>
        <v>0</v>
      </c>
      <c r="F142" s="68" t="str">
        <f t="shared" si="8"/>
        <v>no procede</v>
      </c>
      <c r="G142" s="74">
        <f>'Entrada datos'!P139</f>
        <v>0</v>
      </c>
      <c r="H142" s="74">
        <f>'Entrada datos'!Q139</f>
        <v>0</v>
      </c>
      <c r="I142" s="74">
        <f>'Entrada datos'!R139</f>
        <v>0</v>
      </c>
      <c r="J142" s="74">
        <f>'Entrada datos'!S139</f>
        <v>0</v>
      </c>
      <c r="K142" s="74">
        <f>'Entrada datos'!T139</f>
        <v>0</v>
      </c>
      <c r="L142" s="74">
        <f>'Entrada datos'!U139</f>
        <v>0</v>
      </c>
      <c r="M142" s="76"/>
      <c r="N142" s="76"/>
      <c r="O142" s="76"/>
      <c r="P142" s="76"/>
      <c r="Q142" s="76"/>
      <c r="R142" s="76"/>
      <c r="S142" s="77" t="s">
        <v>74</v>
      </c>
      <c r="T142" s="77"/>
      <c r="U142" s="77"/>
      <c r="V142" s="77">
        <f t="shared" si="9"/>
        <v>0</v>
      </c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  <c r="AO142" s="77"/>
      <c r="AP142" s="77"/>
      <c r="AQ142" s="77"/>
      <c r="AR142" s="77"/>
      <c r="AS142" s="77"/>
      <c r="AT142" s="77"/>
      <c r="AU142" s="77"/>
      <c r="AV142" s="77"/>
      <c r="AW142" s="77"/>
      <c r="AX142" s="77"/>
      <c r="AY142" s="77"/>
      <c r="AZ142" s="77"/>
      <c r="BA142" s="77"/>
      <c r="BB142" s="77"/>
      <c r="BC142" s="77"/>
      <c r="BD142" s="77"/>
      <c r="BE142" s="77"/>
      <c r="BF142" s="77"/>
      <c r="BG142" s="77"/>
      <c r="BH142" s="77"/>
      <c r="BI142" s="77"/>
      <c r="BJ142" s="77"/>
      <c r="BK142" s="77"/>
      <c r="BL142" s="77"/>
      <c r="BM142" s="77"/>
      <c r="BN142" s="77"/>
      <c r="BO142" s="77"/>
      <c r="BP142" s="77"/>
      <c r="BQ142" s="77"/>
      <c r="BR142" s="77"/>
      <c r="BS142" s="77"/>
      <c r="BT142" s="77"/>
      <c r="BU142" s="77"/>
      <c r="BV142" s="77"/>
      <c r="BW142" s="77"/>
      <c r="BX142" s="77"/>
      <c r="BY142" s="77"/>
      <c r="BZ142" s="77"/>
      <c r="CA142" s="77"/>
      <c r="CB142" s="77"/>
      <c r="CC142" s="77"/>
      <c r="CD142" s="77"/>
      <c r="CE142" s="77"/>
      <c r="CF142" s="77"/>
      <c r="CG142" s="77"/>
      <c r="CH142" s="77"/>
      <c r="CI142" s="77"/>
      <c r="CJ142" s="77"/>
      <c r="CK142" s="77"/>
      <c r="CL142" s="77"/>
      <c r="CM142" s="77"/>
      <c r="CN142" s="77"/>
      <c r="CO142" s="77"/>
      <c r="CP142" s="77"/>
      <c r="CQ142" s="77"/>
      <c r="CR142" s="77"/>
      <c r="CS142" s="77"/>
      <c r="CT142" s="77"/>
      <c r="CU142" s="77"/>
      <c r="CV142" s="77"/>
      <c r="CW142" s="77"/>
      <c r="CX142" s="77"/>
      <c r="CY142" s="77"/>
      <c r="CZ142" s="77"/>
      <c r="DA142" s="77"/>
      <c r="DB142" s="77"/>
      <c r="DC142" s="77"/>
      <c r="DD142" s="77"/>
      <c r="DE142" s="77"/>
      <c r="DF142" s="77"/>
      <c r="DG142" s="77"/>
      <c r="DH142" s="77"/>
      <c r="DI142" s="77"/>
      <c r="DJ142" s="77"/>
      <c r="DK142" s="77"/>
      <c r="DL142" s="77"/>
      <c r="DM142" s="77"/>
      <c r="DN142" s="77"/>
      <c r="DO142" s="77"/>
      <c r="DP142" s="77"/>
      <c r="DQ142" s="77"/>
      <c r="DR142" s="77"/>
      <c r="DS142" s="77"/>
      <c r="DT142" s="77"/>
      <c r="DU142" s="77"/>
      <c r="DV142" s="77"/>
      <c r="DW142" s="77"/>
      <c r="DX142" s="77"/>
      <c r="DY142" s="77"/>
      <c r="DZ142" s="77"/>
      <c r="EA142" s="77"/>
      <c r="EB142" s="77"/>
      <c r="EC142" s="77"/>
      <c r="ED142" s="77"/>
      <c r="EE142" s="77"/>
      <c r="EF142" s="77"/>
      <c r="EG142" s="77"/>
      <c r="EH142" s="77"/>
      <c r="EI142" s="77"/>
      <c r="EJ142" s="77"/>
      <c r="EK142" s="77"/>
      <c r="EL142" s="77"/>
      <c r="EM142" s="77"/>
      <c r="EN142" s="77"/>
      <c r="EO142" s="77"/>
      <c r="EP142" s="77"/>
      <c r="EQ142" s="77"/>
      <c r="ER142" s="77"/>
      <c r="ES142" s="77"/>
      <c r="ET142" s="77"/>
      <c r="EU142" s="77"/>
      <c r="EV142" s="77"/>
      <c r="EW142" s="77"/>
      <c r="EX142" s="77"/>
      <c r="EY142" s="77"/>
      <c r="EZ142" s="77"/>
      <c r="FA142" s="77"/>
      <c r="FB142" s="77"/>
      <c r="FC142" s="77"/>
      <c r="FD142" s="77"/>
      <c r="FE142" s="77"/>
      <c r="FF142" s="77"/>
      <c r="FG142" s="77"/>
      <c r="FH142" s="77"/>
      <c r="FI142" s="77"/>
      <c r="FJ142" s="77"/>
      <c r="FK142" s="77"/>
      <c r="FL142" s="77"/>
      <c r="FM142" s="77"/>
      <c r="FN142" s="77"/>
      <c r="FO142" s="77"/>
      <c r="FP142" s="77"/>
      <c r="FQ142" s="77"/>
      <c r="FR142" s="77"/>
      <c r="FS142" s="77"/>
      <c r="FT142" s="77"/>
      <c r="FU142" s="77"/>
      <c r="FV142" s="77"/>
      <c r="FW142" s="77"/>
      <c r="FX142" s="77"/>
      <c r="FY142" s="77"/>
      <c r="FZ142" s="77"/>
      <c r="GA142" s="77"/>
      <c r="GB142" s="77"/>
      <c r="GC142" s="77"/>
      <c r="GD142" s="77"/>
      <c r="GE142" s="77"/>
      <c r="GF142" s="77"/>
      <c r="GG142" s="77"/>
      <c r="GH142" s="77"/>
      <c r="GI142" s="77"/>
      <c r="GJ142" s="77"/>
      <c r="GK142" s="77"/>
      <c r="GL142" s="77"/>
      <c r="GM142" s="77"/>
      <c r="GN142" s="77"/>
      <c r="GO142" s="77"/>
      <c r="GP142" s="77"/>
      <c r="GQ142" s="77"/>
      <c r="GR142" s="77"/>
      <c r="GS142" s="77"/>
      <c r="GT142" s="77"/>
      <c r="GU142" s="77"/>
      <c r="GV142" s="77"/>
      <c r="GW142" s="77"/>
      <c r="GX142" s="77"/>
      <c r="GY142" s="77"/>
      <c r="GZ142" s="77"/>
      <c r="HA142" s="77"/>
      <c r="HB142" s="77"/>
      <c r="HC142" s="77"/>
      <c r="HD142" s="77"/>
      <c r="HE142" s="77"/>
      <c r="HF142" s="77"/>
      <c r="HG142" s="77"/>
      <c r="HH142" s="77"/>
      <c r="HI142" s="77"/>
      <c r="HJ142" s="77"/>
      <c r="HK142" s="77"/>
      <c r="HL142" s="77"/>
      <c r="HM142" s="77"/>
      <c r="HN142" s="77"/>
      <c r="HO142" s="77"/>
      <c r="HP142" s="77"/>
      <c r="HQ142" s="77"/>
    </row>
    <row r="143" spans="1:225" hidden="1" x14ac:dyDescent="0.3">
      <c r="A143" s="78">
        <f>'Entrada datos'!C140</f>
        <v>0</v>
      </c>
      <c r="B143" s="74">
        <f>'Entrada datos'!D140</f>
        <v>0</v>
      </c>
      <c r="C143" s="75">
        <f>'Entrada datos'!G140</f>
        <v>0</v>
      </c>
      <c r="D143" s="75">
        <f>'Entrada datos'!H140</f>
        <v>0</v>
      </c>
      <c r="E143" s="74">
        <f t="shared" si="7"/>
        <v>0</v>
      </c>
      <c r="F143" s="68" t="str">
        <f t="shared" si="8"/>
        <v>no procede</v>
      </c>
      <c r="G143" s="74">
        <f>'Entrada datos'!P140</f>
        <v>0</v>
      </c>
      <c r="H143" s="74">
        <f>'Entrada datos'!Q140</f>
        <v>0</v>
      </c>
      <c r="I143" s="74">
        <f>'Entrada datos'!R140</f>
        <v>0</v>
      </c>
      <c r="J143" s="74">
        <f>'Entrada datos'!S140</f>
        <v>0</v>
      </c>
      <c r="K143" s="74">
        <f>'Entrada datos'!T140</f>
        <v>0</v>
      </c>
      <c r="L143" s="74">
        <f>'Entrada datos'!U140</f>
        <v>0</v>
      </c>
      <c r="M143" s="76"/>
      <c r="N143" s="76"/>
      <c r="O143" s="76"/>
      <c r="P143" s="76"/>
      <c r="Q143" s="76"/>
      <c r="R143" s="76"/>
      <c r="S143" s="77" t="s">
        <v>74</v>
      </c>
      <c r="T143" s="77"/>
      <c r="U143" s="77"/>
      <c r="V143" s="77">
        <f t="shared" si="9"/>
        <v>0</v>
      </c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  <c r="AO143" s="77"/>
      <c r="AP143" s="77"/>
      <c r="AQ143" s="77"/>
      <c r="AR143" s="77"/>
      <c r="AS143" s="77"/>
      <c r="AT143" s="77"/>
      <c r="AU143" s="77"/>
      <c r="AV143" s="77"/>
      <c r="AW143" s="77"/>
      <c r="AX143" s="77"/>
      <c r="AY143" s="77"/>
      <c r="AZ143" s="77"/>
      <c r="BA143" s="77"/>
      <c r="BB143" s="77"/>
      <c r="BC143" s="77"/>
      <c r="BD143" s="77"/>
      <c r="BE143" s="77"/>
      <c r="BF143" s="77"/>
      <c r="BG143" s="77"/>
      <c r="BH143" s="77"/>
      <c r="BI143" s="77"/>
      <c r="BJ143" s="77"/>
      <c r="BK143" s="77"/>
      <c r="BL143" s="77"/>
      <c r="BM143" s="77"/>
      <c r="BN143" s="77"/>
      <c r="BO143" s="77"/>
      <c r="BP143" s="77"/>
      <c r="BQ143" s="77"/>
      <c r="BR143" s="77"/>
      <c r="BS143" s="77"/>
      <c r="BT143" s="77"/>
      <c r="BU143" s="77"/>
      <c r="BV143" s="77"/>
      <c r="BW143" s="77"/>
      <c r="BX143" s="77"/>
      <c r="BY143" s="77"/>
      <c r="BZ143" s="77"/>
      <c r="CA143" s="77"/>
      <c r="CB143" s="77"/>
      <c r="CC143" s="77"/>
      <c r="CD143" s="77"/>
      <c r="CE143" s="77"/>
      <c r="CF143" s="77"/>
      <c r="CG143" s="77"/>
      <c r="CH143" s="77"/>
      <c r="CI143" s="77"/>
      <c r="CJ143" s="77"/>
      <c r="CK143" s="77"/>
      <c r="CL143" s="77"/>
      <c r="CM143" s="77"/>
      <c r="CN143" s="77"/>
      <c r="CO143" s="77"/>
      <c r="CP143" s="77"/>
      <c r="CQ143" s="77"/>
      <c r="CR143" s="77"/>
      <c r="CS143" s="77"/>
      <c r="CT143" s="77"/>
      <c r="CU143" s="77"/>
      <c r="CV143" s="77"/>
      <c r="CW143" s="77"/>
      <c r="CX143" s="77"/>
      <c r="CY143" s="77"/>
      <c r="CZ143" s="77"/>
      <c r="DA143" s="77"/>
      <c r="DB143" s="77"/>
      <c r="DC143" s="77"/>
      <c r="DD143" s="77"/>
      <c r="DE143" s="77"/>
      <c r="DF143" s="77"/>
      <c r="DG143" s="77"/>
      <c r="DH143" s="77"/>
      <c r="DI143" s="77"/>
      <c r="DJ143" s="77"/>
      <c r="DK143" s="77"/>
      <c r="DL143" s="77"/>
      <c r="DM143" s="77"/>
      <c r="DN143" s="77"/>
      <c r="DO143" s="77"/>
      <c r="DP143" s="77"/>
      <c r="DQ143" s="77"/>
      <c r="DR143" s="77"/>
      <c r="DS143" s="77"/>
      <c r="DT143" s="77"/>
      <c r="DU143" s="77"/>
      <c r="DV143" s="77"/>
      <c r="DW143" s="77"/>
      <c r="DX143" s="77"/>
      <c r="DY143" s="77"/>
      <c r="DZ143" s="77"/>
      <c r="EA143" s="77"/>
      <c r="EB143" s="77"/>
      <c r="EC143" s="77"/>
      <c r="ED143" s="77"/>
      <c r="EE143" s="77"/>
      <c r="EF143" s="77"/>
      <c r="EG143" s="77"/>
      <c r="EH143" s="77"/>
      <c r="EI143" s="77"/>
      <c r="EJ143" s="77"/>
      <c r="EK143" s="77"/>
      <c r="EL143" s="77"/>
      <c r="EM143" s="77"/>
      <c r="EN143" s="77"/>
      <c r="EO143" s="77"/>
      <c r="EP143" s="77"/>
      <c r="EQ143" s="77"/>
      <c r="ER143" s="77"/>
      <c r="ES143" s="77"/>
      <c r="ET143" s="77"/>
      <c r="EU143" s="77"/>
      <c r="EV143" s="77"/>
      <c r="EW143" s="77"/>
      <c r="EX143" s="77"/>
      <c r="EY143" s="77"/>
      <c r="EZ143" s="77"/>
      <c r="FA143" s="77"/>
      <c r="FB143" s="77"/>
      <c r="FC143" s="77"/>
      <c r="FD143" s="77"/>
      <c r="FE143" s="77"/>
      <c r="FF143" s="77"/>
      <c r="FG143" s="77"/>
      <c r="FH143" s="77"/>
      <c r="FI143" s="77"/>
      <c r="FJ143" s="77"/>
      <c r="FK143" s="77"/>
      <c r="FL143" s="77"/>
      <c r="FM143" s="77"/>
      <c r="FN143" s="77"/>
      <c r="FO143" s="77"/>
      <c r="FP143" s="77"/>
      <c r="FQ143" s="77"/>
      <c r="FR143" s="77"/>
      <c r="FS143" s="77"/>
      <c r="FT143" s="77"/>
      <c r="FU143" s="77"/>
      <c r="FV143" s="77"/>
      <c r="FW143" s="77"/>
      <c r="FX143" s="77"/>
      <c r="FY143" s="77"/>
      <c r="FZ143" s="77"/>
      <c r="GA143" s="77"/>
      <c r="GB143" s="77"/>
      <c r="GC143" s="77"/>
      <c r="GD143" s="77"/>
      <c r="GE143" s="77"/>
      <c r="GF143" s="77"/>
      <c r="GG143" s="77"/>
      <c r="GH143" s="77"/>
      <c r="GI143" s="77"/>
      <c r="GJ143" s="77"/>
      <c r="GK143" s="77"/>
      <c r="GL143" s="77"/>
      <c r="GM143" s="77"/>
      <c r="GN143" s="77"/>
      <c r="GO143" s="77"/>
      <c r="GP143" s="77"/>
      <c r="GQ143" s="77"/>
      <c r="GR143" s="77"/>
      <c r="GS143" s="77"/>
      <c r="GT143" s="77"/>
      <c r="GU143" s="77"/>
      <c r="GV143" s="77"/>
      <c r="GW143" s="77"/>
      <c r="GX143" s="77"/>
      <c r="GY143" s="77"/>
      <c r="GZ143" s="77"/>
      <c r="HA143" s="77"/>
      <c r="HB143" s="77"/>
      <c r="HC143" s="77"/>
      <c r="HD143" s="77"/>
      <c r="HE143" s="77"/>
      <c r="HF143" s="77"/>
      <c r="HG143" s="77"/>
      <c r="HH143" s="77"/>
      <c r="HI143" s="77"/>
      <c r="HJ143" s="77"/>
      <c r="HK143" s="77"/>
      <c r="HL143" s="77"/>
      <c r="HM143" s="77"/>
      <c r="HN143" s="77"/>
      <c r="HO143" s="77"/>
      <c r="HP143" s="77"/>
      <c r="HQ143" s="77"/>
    </row>
    <row r="144" spans="1:225" hidden="1" x14ac:dyDescent="0.3">
      <c r="A144" s="78">
        <f>'Entrada datos'!C141</f>
        <v>0</v>
      </c>
      <c r="B144" s="74">
        <f>'Entrada datos'!D141</f>
        <v>0</v>
      </c>
      <c r="C144" s="75">
        <f>'Entrada datos'!G141</f>
        <v>0</v>
      </c>
      <c r="D144" s="75">
        <f>'Entrada datos'!H141</f>
        <v>0</v>
      </c>
      <c r="E144" s="74">
        <f t="shared" si="7"/>
        <v>0</v>
      </c>
      <c r="F144" s="68" t="str">
        <f t="shared" si="8"/>
        <v>no procede</v>
      </c>
      <c r="G144" s="74">
        <f>'Entrada datos'!P141</f>
        <v>0</v>
      </c>
      <c r="H144" s="74">
        <f>'Entrada datos'!Q141</f>
        <v>0</v>
      </c>
      <c r="I144" s="74">
        <f>'Entrada datos'!R141</f>
        <v>0</v>
      </c>
      <c r="J144" s="74">
        <f>'Entrada datos'!S141</f>
        <v>0</v>
      </c>
      <c r="K144" s="74">
        <f>'Entrada datos'!T141</f>
        <v>0</v>
      </c>
      <c r="L144" s="74">
        <f>'Entrada datos'!U141</f>
        <v>0</v>
      </c>
      <c r="M144" s="76"/>
      <c r="N144" s="76"/>
      <c r="O144" s="76"/>
      <c r="P144" s="76"/>
      <c r="Q144" s="76"/>
      <c r="R144" s="76"/>
      <c r="S144" s="77" t="s">
        <v>74</v>
      </c>
      <c r="T144" s="77"/>
      <c r="U144" s="77"/>
      <c r="V144" s="77">
        <f t="shared" si="9"/>
        <v>0</v>
      </c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  <c r="AO144" s="77"/>
      <c r="AP144" s="77"/>
      <c r="AQ144" s="77"/>
      <c r="AR144" s="77"/>
      <c r="AS144" s="77"/>
      <c r="AT144" s="77"/>
      <c r="AU144" s="77"/>
      <c r="AV144" s="77"/>
      <c r="AW144" s="77"/>
      <c r="AX144" s="77"/>
      <c r="AY144" s="77"/>
      <c r="AZ144" s="77"/>
      <c r="BA144" s="77"/>
      <c r="BB144" s="77"/>
      <c r="BC144" s="77"/>
      <c r="BD144" s="77"/>
      <c r="BE144" s="77"/>
      <c r="BF144" s="77"/>
      <c r="BG144" s="77"/>
      <c r="BH144" s="77"/>
      <c r="BI144" s="77"/>
      <c r="BJ144" s="77"/>
      <c r="BK144" s="77"/>
      <c r="BL144" s="77"/>
      <c r="BM144" s="77"/>
      <c r="BN144" s="77"/>
      <c r="BO144" s="77"/>
      <c r="BP144" s="77"/>
      <c r="BQ144" s="77"/>
      <c r="BR144" s="77"/>
      <c r="BS144" s="77"/>
      <c r="BT144" s="77"/>
      <c r="BU144" s="77"/>
      <c r="BV144" s="77"/>
      <c r="BW144" s="77"/>
      <c r="BX144" s="77"/>
      <c r="BY144" s="77"/>
      <c r="BZ144" s="77"/>
      <c r="CA144" s="77"/>
      <c r="CB144" s="77"/>
      <c r="CC144" s="77"/>
      <c r="CD144" s="77"/>
      <c r="CE144" s="77"/>
      <c r="CF144" s="77"/>
      <c r="CG144" s="77"/>
      <c r="CH144" s="77"/>
      <c r="CI144" s="77"/>
      <c r="CJ144" s="77"/>
      <c r="CK144" s="77"/>
      <c r="CL144" s="77"/>
      <c r="CM144" s="77"/>
      <c r="CN144" s="77"/>
      <c r="CO144" s="77"/>
      <c r="CP144" s="77"/>
      <c r="CQ144" s="77"/>
      <c r="CR144" s="77"/>
      <c r="CS144" s="77"/>
      <c r="CT144" s="77"/>
      <c r="CU144" s="77"/>
      <c r="CV144" s="77"/>
      <c r="CW144" s="77"/>
      <c r="CX144" s="77"/>
      <c r="CY144" s="77"/>
      <c r="CZ144" s="77"/>
      <c r="DA144" s="77"/>
      <c r="DB144" s="77"/>
      <c r="DC144" s="77"/>
      <c r="DD144" s="77"/>
      <c r="DE144" s="77"/>
      <c r="DF144" s="77"/>
      <c r="DG144" s="77"/>
      <c r="DH144" s="77"/>
      <c r="DI144" s="77"/>
      <c r="DJ144" s="77"/>
      <c r="DK144" s="77"/>
      <c r="DL144" s="77"/>
      <c r="DM144" s="77"/>
      <c r="DN144" s="77"/>
      <c r="DO144" s="77"/>
      <c r="DP144" s="77"/>
      <c r="DQ144" s="77"/>
      <c r="DR144" s="77"/>
      <c r="DS144" s="77"/>
      <c r="DT144" s="77"/>
      <c r="DU144" s="77"/>
      <c r="DV144" s="77"/>
      <c r="DW144" s="77"/>
      <c r="DX144" s="77"/>
      <c r="DY144" s="77"/>
      <c r="DZ144" s="77"/>
      <c r="EA144" s="77"/>
      <c r="EB144" s="77"/>
      <c r="EC144" s="77"/>
      <c r="ED144" s="77"/>
      <c r="EE144" s="77"/>
      <c r="EF144" s="77"/>
      <c r="EG144" s="77"/>
      <c r="EH144" s="77"/>
      <c r="EI144" s="77"/>
      <c r="EJ144" s="77"/>
      <c r="EK144" s="77"/>
      <c r="EL144" s="77"/>
      <c r="EM144" s="77"/>
      <c r="EN144" s="77"/>
      <c r="EO144" s="77"/>
      <c r="EP144" s="77"/>
      <c r="EQ144" s="77"/>
      <c r="ER144" s="77"/>
      <c r="ES144" s="77"/>
      <c r="ET144" s="77"/>
      <c r="EU144" s="77"/>
      <c r="EV144" s="77"/>
      <c r="EW144" s="77"/>
      <c r="EX144" s="77"/>
      <c r="EY144" s="77"/>
      <c r="EZ144" s="77"/>
      <c r="FA144" s="77"/>
      <c r="FB144" s="77"/>
      <c r="FC144" s="77"/>
      <c r="FD144" s="77"/>
      <c r="FE144" s="77"/>
      <c r="FF144" s="77"/>
      <c r="FG144" s="77"/>
      <c r="FH144" s="77"/>
      <c r="FI144" s="77"/>
      <c r="FJ144" s="77"/>
      <c r="FK144" s="77"/>
      <c r="FL144" s="77"/>
      <c r="FM144" s="77"/>
      <c r="FN144" s="77"/>
      <c r="FO144" s="77"/>
      <c r="FP144" s="77"/>
      <c r="FQ144" s="77"/>
      <c r="FR144" s="77"/>
      <c r="FS144" s="77"/>
      <c r="FT144" s="77"/>
      <c r="FU144" s="77"/>
      <c r="FV144" s="77"/>
      <c r="FW144" s="77"/>
      <c r="FX144" s="77"/>
      <c r="FY144" s="77"/>
      <c r="FZ144" s="77"/>
      <c r="GA144" s="77"/>
      <c r="GB144" s="77"/>
      <c r="GC144" s="77"/>
      <c r="GD144" s="77"/>
      <c r="GE144" s="77"/>
      <c r="GF144" s="77"/>
      <c r="GG144" s="77"/>
      <c r="GH144" s="77"/>
      <c r="GI144" s="77"/>
      <c r="GJ144" s="77"/>
      <c r="GK144" s="77"/>
      <c r="GL144" s="77"/>
      <c r="GM144" s="77"/>
      <c r="GN144" s="77"/>
      <c r="GO144" s="77"/>
      <c r="GP144" s="77"/>
      <c r="GQ144" s="77"/>
      <c r="GR144" s="77"/>
      <c r="GS144" s="77"/>
      <c r="GT144" s="77"/>
      <c r="GU144" s="77"/>
      <c r="GV144" s="77"/>
      <c r="GW144" s="77"/>
      <c r="GX144" s="77"/>
      <c r="GY144" s="77"/>
      <c r="GZ144" s="77"/>
      <c r="HA144" s="77"/>
      <c r="HB144" s="77"/>
      <c r="HC144" s="77"/>
      <c r="HD144" s="77"/>
      <c r="HE144" s="77"/>
      <c r="HF144" s="77"/>
      <c r="HG144" s="77"/>
      <c r="HH144" s="77"/>
      <c r="HI144" s="77"/>
      <c r="HJ144" s="77"/>
      <c r="HK144" s="77"/>
      <c r="HL144" s="77"/>
      <c r="HM144" s="77"/>
      <c r="HN144" s="77"/>
      <c r="HO144" s="77"/>
      <c r="HP144" s="77"/>
      <c r="HQ144" s="77"/>
    </row>
    <row r="145" spans="1:225" hidden="1" x14ac:dyDescent="0.3">
      <c r="A145" s="78">
        <f>'Entrada datos'!C142</f>
        <v>0</v>
      </c>
      <c r="B145" s="74">
        <f>'Entrada datos'!D142</f>
        <v>0</v>
      </c>
      <c r="C145" s="75">
        <f>'Entrada datos'!G142</f>
        <v>0</v>
      </c>
      <c r="D145" s="75">
        <f>'Entrada datos'!H142</f>
        <v>0</v>
      </c>
      <c r="E145" s="74">
        <f t="shared" si="7"/>
        <v>0</v>
      </c>
      <c r="F145" s="68" t="str">
        <f t="shared" si="8"/>
        <v>no procede</v>
      </c>
      <c r="G145" s="74">
        <f>'Entrada datos'!P142</f>
        <v>0</v>
      </c>
      <c r="H145" s="74">
        <f>'Entrada datos'!Q142</f>
        <v>0</v>
      </c>
      <c r="I145" s="74">
        <f>'Entrada datos'!R142</f>
        <v>0</v>
      </c>
      <c r="J145" s="74">
        <f>'Entrada datos'!S142</f>
        <v>0</v>
      </c>
      <c r="K145" s="74">
        <f>'Entrada datos'!T142</f>
        <v>0</v>
      </c>
      <c r="L145" s="74">
        <f>'Entrada datos'!U142</f>
        <v>0</v>
      </c>
      <c r="M145" s="76"/>
      <c r="N145" s="76"/>
      <c r="O145" s="76"/>
      <c r="P145" s="76"/>
      <c r="Q145" s="76"/>
      <c r="R145" s="76"/>
      <c r="S145" s="77" t="s">
        <v>74</v>
      </c>
      <c r="T145" s="77"/>
      <c r="U145" s="77"/>
      <c r="V145" s="77">
        <f t="shared" si="9"/>
        <v>0</v>
      </c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  <c r="AO145" s="77"/>
      <c r="AP145" s="77"/>
      <c r="AQ145" s="77"/>
      <c r="AR145" s="77"/>
      <c r="AS145" s="77"/>
      <c r="AT145" s="77"/>
      <c r="AU145" s="77"/>
      <c r="AV145" s="77"/>
      <c r="AW145" s="77"/>
      <c r="AX145" s="77"/>
      <c r="AY145" s="77"/>
      <c r="AZ145" s="77"/>
      <c r="BA145" s="77"/>
      <c r="BB145" s="77"/>
      <c r="BC145" s="77"/>
      <c r="BD145" s="77"/>
      <c r="BE145" s="77"/>
      <c r="BF145" s="77"/>
      <c r="BG145" s="77"/>
      <c r="BH145" s="77"/>
      <c r="BI145" s="77"/>
      <c r="BJ145" s="77"/>
      <c r="BK145" s="77"/>
      <c r="BL145" s="77"/>
      <c r="BM145" s="77"/>
      <c r="BN145" s="77"/>
      <c r="BO145" s="77"/>
      <c r="BP145" s="77"/>
      <c r="BQ145" s="77"/>
      <c r="BR145" s="77"/>
      <c r="BS145" s="77"/>
      <c r="BT145" s="77"/>
      <c r="BU145" s="77"/>
      <c r="BV145" s="77"/>
      <c r="BW145" s="77"/>
      <c r="BX145" s="77"/>
      <c r="BY145" s="77"/>
      <c r="BZ145" s="77"/>
      <c r="CA145" s="77"/>
      <c r="CB145" s="77"/>
      <c r="CC145" s="77"/>
      <c r="CD145" s="77"/>
      <c r="CE145" s="77"/>
      <c r="CF145" s="77"/>
      <c r="CG145" s="77"/>
      <c r="CH145" s="77"/>
      <c r="CI145" s="77"/>
      <c r="CJ145" s="77"/>
      <c r="CK145" s="77"/>
      <c r="CL145" s="77"/>
      <c r="CM145" s="77"/>
      <c r="CN145" s="77"/>
      <c r="CO145" s="77"/>
      <c r="CP145" s="77"/>
      <c r="CQ145" s="77"/>
      <c r="CR145" s="77"/>
      <c r="CS145" s="77"/>
      <c r="CT145" s="77"/>
      <c r="CU145" s="77"/>
      <c r="CV145" s="77"/>
      <c r="CW145" s="77"/>
      <c r="CX145" s="77"/>
      <c r="CY145" s="77"/>
      <c r="CZ145" s="77"/>
      <c r="DA145" s="77"/>
      <c r="DB145" s="77"/>
      <c r="DC145" s="77"/>
      <c r="DD145" s="77"/>
      <c r="DE145" s="77"/>
      <c r="DF145" s="77"/>
      <c r="DG145" s="77"/>
      <c r="DH145" s="77"/>
      <c r="DI145" s="77"/>
      <c r="DJ145" s="77"/>
      <c r="DK145" s="77"/>
      <c r="DL145" s="77"/>
      <c r="DM145" s="77"/>
      <c r="DN145" s="77"/>
      <c r="DO145" s="77"/>
      <c r="DP145" s="77"/>
      <c r="DQ145" s="77"/>
      <c r="DR145" s="77"/>
      <c r="DS145" s="77"/>
      <c r="DT145" s="77"/>
      <c r="DU145" s="77"/>
      <c r="DV145" s="77"/>
      <c r="DW145" s="77"/>
      <c r="DX145" s="77"/>
      <c r="DY145" s="77"/>
      <c r="DZ145" s="77"/>
      <c r="EA145" s="77"/>
      <c r="EB145" s="77"/>
      <c r="EC145" s="77"/>
      <c r="ED145" s="77"/>
      <c r="EE145" s="77"/>
      <c r="EF145" s="77"/>
      <c r="EG145" s="77"/>
      <c r="EH145" s="77"/>
      <c r="EI145" s="77"/>
      <c r="EJ145" s="77"/>
      <c r="EK145" s="77"/>
      <c r="EL145" s="77"/>
      <c r="EM145" s="77"/>
      <c r="EN145" s="77"/>
      <c r="EO145" s="77"/>
      <c r="EP145" s="77"/>
      <c r="EQ145" s="77"/>
      <c r="ER145" s="77"/>
      <c r="ES145" s="77"/>
      <c r="ET145" s="77"/>
      <c r="EU145" s="77"/>
      <c r="EV145" s="77"/>
      <c r="EW145" s="77"/>
      <c r="EX145" s="77"/>
      <c r="EY145" s="77"/>
      <c r="EZ145" s="77"/>
      <c r="FA145" s="77"/>
      <c r="FB145" s="77"/>
      <c r="FC145" s="77"/>
      <c r="FD145" s="77"/>
      <c r="FE145" s="77"/>
      <c r="FF145" s="77"/>
      <c r="FG145" s="77"/>
      <c r="FH145" s="77"/>
      <c r="FI145" s="77"/>
      <c r="FJ145" s="77"/>
      <c r="FK145" s="77"/>
      <c r="FL145" s="77"/>
      <c r="FM145" s="77"/>
      <c r="FN145" s="77"/>
      <c r="FO145" s="77"/>
      <c r="FP145" s="77"/>
      <c r="FQ145" s="77"/>
      <c r="FR145" s="77"/>
      <c r="FS145" s="77"/>
      <c r="FT145" s="77"/>
      <c r="FU145" s="77"/>
      <c r="FV145" s="77"/>
      <c r="FW145" s="77"/>
      <c r="FX145" s="77"/>
      <c r="FY145" s="77"/>
      <c r="FZ145" s="77"/>
      <c r="GA145" s="77"/>
      <c r="GB145" s="77"/>
      <c r="GC145" s="77"/>
      <c r="GD145" s="77"/>
      <c r="GE145" s="77"/>
      <c r="GF145" s="77"/>
      <c r="GG145" s="77"/>
      <c r="GH145" s="77"/>
      <c r="GI145" s="77"/>
      <c r="GJ145" s="77"/>
      <c r="GK145" s="77"/>
      <c r="GL145" s="77"/>
      <c r="GM145" s="77"/>
      <c r="GN145" s="77"/>
      <c r="GO145" s="77"/>
      <c r="GP145" s="77"/>
      <c r="GQ145" s="77"/>
      <c r="GR145" s="77"/>
      <c r="GS145" s="77"/>
      <c r="GT145" s="77"/>
      <c r="GU145" s="77"/>
      <c r="GV145" s="77"/>
      <c r="GW145" s="77"/>
      <c r="GX145" s="77"/>
      <c r="GY145" s="77"/>
      <c r="GZ145" s="77"/>
      <c r="HA145" s="77"/>
      <c r="HB145" s="77"/>
      <c r="HC145" s="77"/>
      <c r="HD145" s="77"/>
      <c r="HE145" s="77"/>
      <c r="HF145" s="77"/>
      <c r="HG145" s="77"/>
      <c r="HH145" s="77"/>
      <c r="HI145" s="77"/>
      <c r="HJ145" s="77"/>
      <c r="HK145" s="77"/>
      <c r="HL145" s="77"/>
      <c r="HM145" s="77"/>
      <c r="HN145" s="77"/>
      <c r="HO145" s="77"/>
      <c r="HP145" s="77"/>
      <c r="HQ145" s="77"/>
    </row>
    <row r="146" spans="1:225" hidden="1" x14ac:dyDescent="0.3">
      <c r="A146" s="78">
        <f>'Entrada datos'!C143</f>
        <v>0</v>
      </c>
      <c r="B146" s="74">
        <f>'Entrada datos'!D143</f>
        <v>0</v>
      </c>
      <c r="C146" s="75">
        <f>'Entrada datos'!G143</f>
        <v>0</v>
      </c>
      <c r="D146" s="75">
        <f>'Entrada datos'!H143</f>
        <v>0</v>
      </c>
      <c r="E146" s="74">
        <f t="shared" si="7"/>
        <v>0</v>
      </c>
      <c r="F146" s="68" t="str">
        <f t="shared" si="8"/>
        <v>no procede</v>
      </c>
      <c r="G146" s="74">
        <f>'Entrada datos'!P143</f>
        <v>0</v>
      </c>
      <c r="H146" s="74">
        <f>'Entrada datos'!Q143</f>
        <v>0</v>
      </c>
      <c r="I146" s="74">
        <f>'Entrada datos'!R143</f>
        <v>0</v>
      </c>
      <c r="J146" s="74">
        <f>'Entrada datos'!S143</f>
        <v>0</v>
      </c>
      <c r="K146" s="74">
        <f>'Entrada datos'!T143</f>
        <v>0</v>
      </c>
      <c r="L146" s="74">
        <f>'Entrada datos'!U143</f>
        <v>0</v>
      </c>
      <c r="M146" s="76"/>
      <c r="N146" s="76"/>
      <c r="O146" s="76"/>
      <c r="P146" s="76"/>
      <c r="Q146" s="76"/>
      <c r="R146" s="76"/>
      <c r="S146" s="77" t="s">
        <v>74</v>
      </c>
      <c r="T146" s="77"/>
      <c r="U146" s="77"/>
      <c r="V146" s="77">
        <f t="shared" si="9"/>
        <v>0</v>
      </c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  <c r="AO146" s="77"/>
      <c r="AP146" s="77"/>
      <c r="AQ146" s="77"/>
      <c r="AR146" s="77"/>
      <c r="AS146" s="77"/>
      <c r="AT146" s="77"/>
      <c r="AU146" s="77"/>
      <c r="AV146" s="77"/>
      <c r="AW146" s="77"/>
      <c r="AX146" s="77"/>
      <c r="AY146" s="77"/>
      <c r="AZ146" s="77"/>
      <c r="BA146" s="77"/>
      <c r="BB146" s="77"/>
      <c r="BC146" s="77"/>
      <c r="BD146" s="77"/>
      <c r="BE146" s="77"/>
      <c r="BF146" s="77"/>
      <c r="BG146" s="77"/>
      <c r="BH146" s="77"/>
      <c r="BI146" s="77"/>
      <c r="BJ146" s="77"/>
      <c r="BK146" s="77"/>
      <c r="BL146" s="77"/>
      <c r="BM146" s="77"/>
      <c r="BN146" s="77"/>
      <c r="BO146" s="77"/>
      <c r="BP146" s="77"/>
      <c r="BQ146" s="77"/>
      <c r="BR146" s="77"/>
      <c r="BS146" s="77"/>
      <c r="BT146" s="77"/>
      <c r="BU146" s="77"/>
      <c r="BV146" s="77"/>
      <c r="BW146" s="77"/>
      <c r="BX146" s="77"/>
      <c r="BY146" s="77"/>
      <c r="BZ146" s="77"/>
      <c r="CA146" s="77"/>
      <c r="CB146" s="77"/>
      <c r="CC146" s="77"/>
      <c r="CD146" s="77"/>
      <c r="CE146" s="77"/>
      <c r="CF146" s="77"/>
      <c r="CG146" s="77"/>
      <c r="CH146" s="77"/>
      <c r="CI146" s="77"/>
      <c r="CJ146" s="77"/>
      <c r="CK146" s="77"/>
      <c r="CL146" s="77"/>
      <c r="CM146" s="77"/>
      <c r="CN146" s="77"/>
      <c r="CO146" s="77"/>
      <c r="CP146" s="77"/>
      <c r="CQ146" s="77"/>
      <c r="CR146" s="77"/>
      <c r="CS146" s="77"/>
      <c r="CT146" s="77"/>
      <c r="CU146" s="77"/>
      <c r="CV146" s="77"/>
      <c r="CW146" s="77"/>
      <c r="CX146" s="77"/>
      <c r="CY146" s="77"/>
      <c r="CZ146" s="77"/>
      <c r="DA146" s="77"/>
      <c r="DB146" s="77"/>
      <c r="DC146" s="77"/>
      <c r="DD146" s="77"/>
      <c r="DE146" s="77"/>
      <c r="DF146" s="77"/>
      <c r="DG146" s="77"/>
      <c r="DH146" s="77"/>
      <c r="DI146" s="77"/>
      <c r="DJ146" s="77"/>
      <c r="DK146" s="77"/>
      <c r="DL146" s="77"/>
      <c r="DM146" s="77"/>
      <c r="DN146" s="77"/>
      <c r="DO146" s="77"/>
      <c r="DP146" s="77"/>
      <c r="DQ146" s="77"/>
      <c r="DR146" s="77"/>
      <c r="DS146" s="77"/>
      <c r="DT146" s="77"/>
      <c r="DU146" s="77"/>
      <c r="DV146" s="77"/>
      <c r="DW146" s="77"/>
      <c r="DX146" s="77"/>
      <c r="DY146" s="77"/>
      <c r="DZ146" s="77"/>
      <c r="EA146" s="77"/>
      <c r="EB146" s="77"/>
      <c r="EC146" s="77"/>
      <c r="ED146" s="77"/>
      <c r="EE146" s="77"/>
      <c r="EF146" s="77"/>
      <c r="EG146" s="77"/>
      <c r="EH146" s="77"/>
      <c r="EI146" s="77"/>
      <c r="EJ146" s="77"/>
      <c r="EK146" s="77"/>
      <c r="EL146" s="77"/>
      <c r="EM146" s="77"/>
      <c r="EN146" s="77"/>
      <c r="EO146" s="77"/>
      <c r="EP146" s="77"/>
      <c r="EQ146" s="77"/>
      <c r="ER146" s="77"/>
      <c r="ES146" s="77"/>
      <c r="ET146" s="77"/>
      <c r="EU146" s="77"/>
      <c r="EV146" s="77"/>
      <c r="EW146" s="77"/>
      <c r="EX146" s="77"/>
      <c r="EY146" s="77"/>
      <c r="EZ146" s="77"/>
      <c r="FA146" s="77"/>
      <c r="FB146" s="77"/>
      <c r="FC146" s="77"/>
      <c r="FD146" s="77"/>
      <c r="FE146" s="77"/>
      <c r="FF146" s="77"/>
      <c r="FG146" s="77"/>
      <c r="FH146" s="77"/>
      <c r="FI146" s="77"/>
      <c r="FJ146" s="77"/>
      <c r="FK146" s="77"/>
      <c r="FL146" s="77"/>
      <c r="FM146" s="77"/>
      <c r="FN146" s="77"/>
      <c r="FO146" s="77"/>
      <c r="FP146" s="77"/>
      <c r="FQ146" s="77"/>
      <c r="FR146" s="77"/>
      <c r="FS146" s="77"/>
      <c r="FT146" s="77"/>
      <c r="FU146" s="77"/>
      <c r="FV146" s="77"/>
      <c r="FW146" s="77"/>
      <c r="FX146" s="77"/>
      <c r="FY146" s="77"/>
      <c r="FZ146" s="77"/>
      <c r="GA146" s="77"/>
      <c r="GB146" s="77"/>
      <c r="GC146" s="77"/>
      <c r="GD146" s="77"/>
      <c r="GE146" s="77"/>
      <c r="GF146" s="77"/>
      <c r="GG146" s="77"/>
      <c r="GH146" s="77"/>
      <c r="GI146" s="77"/>
      <c r="GJ146" s="77"/>
      <c r="GK146" s="77"/>
      <c r="GL146" s="77"/>
      <c r="GM146" s="77"/>
      <c r="GN146" s="77"/>
      <c r="GO146" s="77"/>
      <c r="GP146" s="77"/>
      <c r="GQ146" s="77"/>
      <c r="GR146" s="77"/>
      <c r="GS146" s="77"/>
      <c r="GT146" s="77"/>
      <c r="GU146" s="77"/>
      <c r="GV146" s="77"/>
      <c r="GW146" s="77"/>
      <c r="GX146" s="77"/>
      <c r="GY146" s="77"/>
      <c r="GZ146" s="77"/>
      <c r="HA146" s="77"/>
      <c r="HB146" s="77"/>
      <c r="HC146" s="77"/>
      <c r="HD146" s="77"/>
      <c r="HE146" s="77"/>
      <c r="HF146" s="77"/>
      <c r="HG146" s="77"/>
      <c r="HH146" s="77"/>
      <c r="HI146" s="77"/>
      <c r="HJ146" s="77"/>
      <c r="HK146" s="77"/>
      <c r="HL146" s="77"/>
      <c r="HM146" s="77"/>
      <c r="HN146" s="77"/>
      <c r="HO146" s="77"/>
      <c r="HP146" s="77"/>
      <c r="HQ146" s="77"/>
    </row>
    <row r="147" spans="1:225" hidden="1" x14ac:dyDescent="0.3">
      <c r="A147" s="78">
        <f>'Entrada datos'!C144</f>
        <v>0</v>
      </c>
      <c r="B147" s="74">
        <f>'Entrada datos'!D144</f>
        <v>0</v>
      </c>
      <c r="C147" s="75">
        <f>'Entrada datos'!G144</f>
        <v>0</v>
      </c>
      <c r="D147" s="75">
        <f>'Entrada datos'!H144</f>
        <v>0</v>
      </c>
      <c r="E147" s="74">
        <f t="shared" si="7"/>
        <v>0</v>
      </c>
      <c r="F147" s="68" t="str">
        <f t="shared" si="8"/>
        <v>no procede</v>
      </c>
      <c r="G147" s="74">
        <f>'Entrada datos'!P144</f>
        <v>0</v>
      </c>
      <c r="H147" s="74">
        <f>'Entrada datos'!Q144</f>
        <v>0</v>
      </c>
      <c r="I147" s="74">
        <f>'Entrada datos'!R144</f>
        <v>0</v>
      </c>
      <c r="J147" s="74">
        <f>'Entrada datos'!S144</f>
        <v>0</v>
      </c>
      <c r="K147" s="74">
        <f>'Entrada datos'!T144</f>
        <v>0</v>
      </c>
      <c r="L147" s="74">
        <f>'Entrada datos'!U144</f>
        <v>0</v>
      </c>
      <c r="M147" s="76"/>
      <c r="N147" s="76"/>
      <c r="O147" s="76"/>
      <c r="P147" s="76"/>
      <c r="Q147" s="76"/>
      <c r="R147" s="76"/>
      <c r="S147" s="77" t="s">
        <v>74</v>
      </c>
      <c r="T147" s="77"/>
      <c r="U147" s="77"/>
      <c r="V147" s="77">
        <f t="shared" si="9"/>
        <v>0</v>
      </c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  <c r="AO147" s="77"/>
      <c r="AP147" s="77"/>
      <c r="AQ147" s="77"/>
      <c r="AR147" s="77"/>
      <c r="AS147" s="77"/>
      <c r="AT147" s="77"/>
      <c r="AU147" s="77"/>
      <c r="AV147" s="77"/>
      <c r="AW147" s="77"/>
      <c r="AX147" s="77"/>
      <c r="AY147" s="77"/>
      <c r="AZ147" s="77"/>
      <c r="BA147" s="77"/>
      <c r="BB147" s="77"/>
      <c r="BC147" s="77"/>
      <c r="BD147" s="77"/>
      <c r="BE147" s="77"/>
      <c r="BF147" s="77"/>
      <c r="BG147" s="77"/>
      <c r="BH147" s="77"/>
      <c r="BI147" s="77"/>
      <c r="BJ147" s="77"/>
      <c r="BK147" s="77"/>
      <c r="BL147" s="77"/>
      <c r="BM147" s="77"/>
      <c r="BN147" s="77"/>
      <c r="BO147" s="77"/>
      <c r="BP147" s="77"/>
      <c r="BQ147" s="77"/>
      <c r="BR147" s="77"/>
      <c r="BS147" s="77"/>
      <c r="BT147" s="77"/>
      <c r="BU147" s="77"/>
      <c r="BV147" s="77"/>
      <c r="BW147" s="77"/>
      <c r="BX147" s="77"/>
      <c r="BY147" s="77"/>
      <c r="BZ147" s="77"/>
      <c r="CA147" s="77"/>
      <c r="CB147" s="77"/>
      <c r="CC147" s="77"/>
      <c r="CD147" s="77"/>
      <c r="CE147" s="77"/>
      <c r="CF147" s="77"/>
      <c r="CG147" s="77"/>
      <c r="CH147" s="77"/>
      <c r="CI147" s="77"/>
      <c r="CJ147" s="77"/>
      <c r="CK147" s="77"/>
      <c r="CL147" s="77"/>
      <c r="CM147" s="77"/>
      <c r="CN147" s="77"/>
      <c r="CO147" s="77"/>
      <c r="CP147" s="77"/>
      <c r="CQ147" s="77"/>
      <c r="CR147" s="77"/>
      <c r="CS147" s="77"/>
      <c r="CT147" s="77"/>
      <c r="CU147" s="77"/>
      <c r="CV147" s="77"/>
      <c r="CW147" s="77"/>
      <c r="CX147" s="77"/>
      <c r="CY147" s="77"/>
      <c r="CZ147" s="77"/>
      <c r="DA147" s="77"/>
      <c r="DB147" s="77"/>
      <c r="DC147" s="77"/>
      <c r="DD147" s="77"/>
      <c r="DE147" s="77"/>
      <c r="DF147" s="77"/>
      <c r="DG147" s="77"/>
      <c r="DH147" s="77"/>
      <c r="DI147" s="77"/>
      <c r="DJ147" s="77"/>
      <c r="DK147" s="77"/>
      <c r="DL147" s="77"/>
      <c r="DM147" s="77"/>
      <c r="DN147" s="77"/>
      <c r="DO147" s="77"/>
      <c r="DP147" s="77"/>
      <c r="DQ147" s="77"/>
      <c r="DR147" s="77"/>
      <c r="DS147" s="77"/>
      <c r="DT147" s="77"/>
      <c r="DU147" s="77"/>
      <c r="DV147" s="77"/>
      <c r="DW147" s="77"/>
      <c r="DX147" s="77"/>
      <c r="DY147" s="77"/>
      <c r="DZ147" s="77"/>
      <c r="EA147" s="77"/>
      <c r="EB147" s="77"/>
      <c r="EC147" s="77"/>
      <c r="ED147" s="77"/>
      <c r="EE147" s="77"/>
      <c r="EF147" s="77"/>
      <c r="EG147" s="77"/>
      <c r="EH147" s="77"/>
      <c r="EI147" s="77"/>
      <c r="EJ147" s="77"/>
      <c r="EK147" s="77"/>
      <c r="EL147" s="77"/>
      <c r="EM147" s="77"/>
      <c r="EN147" s="77"/>
      <c r="EO147" s="77"/>
      <c r="EP147" s="77"/>
      <c r="EQ147" s="77"/>
      <c r="ER147" s="77"/>
      <c r="ES147" s="77"/>
      <c r="ET147" s="77"/>
      <c r="EU147" s="77"/>
      <c r="EV147" s="77"/>
      <c r="EW147" s="77"/>
      <c r="EX147" s="77"/>
      <c r="EY147" s="77"/>
      <c r="EZ147" s="77"/>
      <c r="FA147" s="77"/>
      <c r="FB147" s="77"/>
      <c r="FC147" s="77"/>
      <c r="FD147" s="77"/>
      <c r="FE147" s="77"/>
      <c r="FF147" s="77"/>
      <c r="FG147" s="77"/>
      <c r="FH147" s="77"/>
      <c r="FI147" s="77"/>
      <c r="FJ147" s="77"/>
      <c r="FK147" s="77"/>
      <c r="FL147" s="77"/>
      <c r="FM147" s="77"/>
      <c r="FN147" s="77"/>
      <c r="FO147" s="77"/>
      <c r="FP147" s="77"/>
      <c r="FQ147" s="77"/>
      <c r="FR147" s="77"/>
      <c r="FS147" s="77"/>
      <c r="FT147" s="77"/>
      <c r="FU147" s="77"/>
      <c r="FV147" s="77"/>
      <c r="FW147" s="77"/>
      <c r="FX147" s="77"/>
      <c r="FY147" s="77"/>
      <c r="FZ147" s="77"/>
      <c r="GA147" s="77"/>
      <c r="GB147" s="77"/>
      <c r="GC147" s="77"/>
      <c r="GD147" s="77"/>
      <c r="GE147" s="77"/>
      <c r="GF147" s="77"/>
      <c r="GG147" s="77"/>
      <c r="GH147" s="77"/>
      <c r="GI147" s="77"/>
      <c r="GJ147" s="77"/>
      <c r="GK147" s="77"/>
      <c r="GL147" s="77"/>
      <c r="GM147" s="77"/>
      <c r="GN147" s="77"/>
      <c r="GO147" s="77"/>
      <c r="GP147" s="77"/>
      <c r="GQ147" s="77"/>
      <c r="GR147" s="77"/>
      <c r="GS147" s="77"/>
      <c r="GT147" s="77"/>
      <c r="GU147" s="77"/>
      <c r="GV147" s="77"/>
      <c r="GW147" s="77"/>
      <c r="GX147" s="77"/>
      <c r="GY147" s="77"/>
      <c r="GZ147" s="77"/>
      <c r="HA147" s="77"/>
      <c r="HB147" s="77"/>
      <c r="HC147" s="77"/>
      <c r="HD147" s="77"/>
      <c r="HE147" s="77"/>
      <c r="HF147" s="77"/>
      <c r="HG147" s="77"/>
      <c r="HH147" s="77"/>
      <c r="HI147" s="77"/>
      <c r="HJ147" s="77"/>
      <c r="HK147" s="77"/>
      <c r="HL147" s="77"/>
      <c r="HM147" s="77"/>
      <c r="HN147" s="77"/>
      <c r="HO147" s="77"/>
      <c r="HP147" s="77"/>
      <c r="HQ147" s="77"/>
    </row>
    <row r="148" spans="1:225" hidden="1" x14ac:dyDescent="0.3">
      <c r="A148" s="78">
        <f>'Entrada datos'!C145</f>
        <v>0</v>
      </c>
      <c r="B148" s="74">
        <f>'Entrada datos'!D145</f>
        <v>0</v>
      </c>
      <c r="C148" s="75">
        <f>'Entrada datos'!G145</f>
        <v>0</v>
      </c>
      <c r="D148" s="75">
        <f>'Entrada datos'!H145</f>
        <v>0</v>
      </c>
      <c r="E148" s="74">
        <f t="shared" si="7"/>
        <v>0</v>
      </c>
      <c r="F148" s="68" t="str">
        <f t="shared" si="8"/>
        <v>no procede</v>
      </c>
      <c r="G148" s="74">
        <f>'Entrada datos'!P145</f>
        <v>0</v>
      </c>
      <c r="H148" s="74">
        <f>'Entrada datos'!Q145</f>
        <v>0</v>
      </c>
      <c r="I148" s="74">
        <f>'Entrada datos'!R145</f>
        <v>0</v>
      </c>
      <c r="J148" s="74">
        <f>'Entrada datos'!S145</f>
        <v>0</v>
      </c>
      <c r="K148" s="74">
        <f>'Entrada datos'!T145</f>
        <v>0</v>
      </c>
      <c r="L148" s="74">
        <f>'Entrada datos'!U145</f>
        <v>0</v>
      </c>
      <c r="M148" s="76"/>
      <c r="N148" s="76"/>
      <c r="O148" s="76"/>
      <c r="P148" s="76"/>
      <c r="Q148" s="76"/>
      <c r="R148" s="76"/>
      <c r="S148" s="77" t="s">
        <v>74</v>
      </c>
      <c r="T148" s="77"/>
      <c r="U148" s="77"/>
      <c r="V148" s="77">
        <f t="shared" si="9"/>
        <v>0</v>
      </c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  <c r="AO148" s="77"/>
      <c r="AP148" s="77"/>
      <c r="AQ148" s="77"/>
      <c r="AR148" s="77"/>
      <c r="AS148" s="77"/>
      <c r="AT148" s="77"/>
      <c r="AU148" s="77"/>
      <c r="AV148" s="77"/>
      <c r="AW148" s="77"/>
      <c r="AX148" s="77"/>
      <c r="AY148" s="77"/>
      <c r="AZ148" s="77"/>
      <c r="BA148" s="77"/>
      <c r="BB148" s="77"/>
      <c r="BC148" s="77"/>
      <c r="BD148" s="77"/>
      <c r="BE148" s="77"/>
      <c r="BF148" s="77"/>
      <c r="BG148" s="77"/>
      <c r="BH148" s="77"/>
      <c r="BI148" s="77"/>
      <c r="BJ148" s="77"/>
      <c r="BK148" s="77"/>
      <c r="BL148" s="77"/>
      <c r="BM148" s="77"/>
      <c r="BN148" s="77"/>
      <c r="BO148" s="77"/>
      <c r="BP148" s="77"/>
      <c r="BQ148" s="77"/>
      <c r="BR148" s="77"/>
      <c r="BS148" s="77"/>
      <c r="BT148" s="77"/>
      <c r="BU148" s="77"/>
      <c r="BV148" s="77"/>
      <c r="BW148" s="77"/>
      <c r="BX148" s="77"/>
      <c r="BY148" s="77"/>
      <c r="BZ148" s="77"/>
      <c r="CA148" s="77"/>
      <c r="CB148" s="77"/>
      <c r="CC148" s="77"/>
      <c r="CD148" s="77"/>
      <c r="CE148" s="77"/>
      <c r="CF148" s="77"/>
      <c r="CG148" s="77"/>
      <c r="CH148" s="77"/>
      <c r="CI148" s="77"/>
      <c r="CJ148" s="77"/>
      <c r="CK148" s="77"/>
      <c r="CL148" s="77"/>
      <c r="CM148" s="77"/>
      <c r="CN148" s="77"/>
      <c r="CO148" s="77"/>
      <c r="CP148" s="77"/>
      <c r="CQ148" s="77"/>
      <c r="CR148" s="77"/>
      <c r="CS148" s="77"/>
      <c r="CT148" s="77"/>
      <c r="CU148" s="77"/>
      <c r="CV148" s="77"/>
      <c r="CW148" s="77"/>
      <c r="CX148" s="77"/>
      <c r="CY148" s="77"/>
      <c r="CZ148" s="77"/>
      <c r="DA148" s="77"/>
      <c r="DB148" s="77"/>
      <c r="DC148" s="77"/>
      <c r="DD148" s="77"/>
      <c r="DE148" s="77"/>
      <c r="DF148" s="77"/>
      <c r="DG148" s="77"/>
      <c r="DH148" s="77"/>
      <c r="DI148" s="77"/>
      <c r="DJ148" s="77"/>
      <c r="DK148" s="77"/>
      <c r="DL148" s="77"/>
      <c r="DM148" s="77"/>
      <c r="DN148" s="77"/>
      <c r="DO148" s="77"/>
      <c r="DP148" s="77"/>
      <c r="DQ148" s="77"/>
      <c r="DR148" s="77"/>
      <c r="DS148" s="77"/>
      <c r="DT148" s="77"/>
      <c r="DU148" s="77"/>
      <c r="DV148" s="77"/>
      <c r="DW148" s="77"/>
      <c r="DX148" s="77"/>
      <c r="DY148" s="77"/>
      <c r="DZ148" s="77"/>
      <c r="EA148" s="77"/>
      <c r="EB148" s="77"/>
      <c r="EC148" s="77"/>
      <c r="ED148" s="77"/>
      <c r="EE148" s="77"/>
      <c r="EF148" s="77"/>
      <c r="EG148" s="77"/>
      <c r="EH148" s="77"/>
      <c r="EI148" s="77"/>
      <c r="EJ148" s="77"/>
      <c r="EK148" s="77"/>
      <c r="EL148" s="77"/>
      <c r="EM148" s="77"/>
      <c r="EN148" s="77"/>
      <c r="EO148" s="77"/>
      <c r="EP148" s="77"/>
      <c r="EQ148" s="77"/>
      <c r="ER148" s="77"/>
      <c r="ES148" s="77"/>
      <c r="ET148" s="77"/>
      <c r="EU148" s="77"/>
      <c r="EV148" s="77"/>
      <c r="EW148" s="77"/>
      <c r="EX148" s="77"/>
      <c r="EY148" s="77"/>
      <c r="EZ148" s="77"/>
      <c r="FA148" s="77"/>
      <c r="FB148" s="77"/>
      <c r="FC148" s="77"/>
      <c r="FD148" s="77"/>
      <c r="FE148" s="77"/>
      <c r="FF148" s="77"/>
      <c r="FG148" s="77"/>
      <c r="FH148" s="77"/>
      <c r="FI148" s="77"/>
      <c r="FJ148" s="77"/>
      <c r="FK148" s="77"/>
      <c r="FL148" s="77"/>
      <c r="FM148" s="77"/>
      <c r="FN148" s="77"/>
      <c r="FO148" s="77"/>
      <c r="FP148" s="77"/>
      <c r="FQ148" s="77"/>
      <c r="FR148" s="77"/>
      <c r="FS148" s="77"/>
      <c r="FT148" s="77"/>
      <c r="FU148" s="77"/>
      <c r="FV148" s="77"/>
      <c r="FW148" s="77"/>
      <c r="FX148" s="77"/>
      <c r="FY148" s="77"/>
      <c r="FZ148" s="77"/>
      <c r="GA148" s="77"/>
      <c r="GB148" s="77"/>
      <c r="GC148" s="77"/>
      <c r="GD148" s="77"/>
      <c r="GE148" s="77"/>
      <c r="GF148" s="77"/>
      <c r="GG148" s="77"/>
      <c r="GH148" s="77"/>
      <c r="GI148" s="77"/>
      <c r="GJ148" s="77"/>
      <c r="GK148" s="77"/>
      <c r="GL148" s="77"/>
      <c r="GM148" s="77"/>
      <c r="GN148" s="77"/>
      <c r="GO148" s="77"/>
      <c r="GP148" s="77"/>
      <c r="GQ148" s="77"/>
      <c r="GR148" s="77"/>
      <c r="GS148" s="77"/>
      <c r="GT148" s="77"/>
      <c r="GU148" s="77"/>
      <c r="GV148" s="77"/>
      <c r="GW148" s="77"/>
      <c r="GX148" s="77"/>
      <c r="GY148" s="77"/>
      <c r="GZ148" s="77"/>
      <c r="HA148" s="77"/>
      <c r="HB148" s="77"/>
      <c r="HC148" s="77"/>
      <c r="HD148" s="77"/>
      <c r="HE148" s="77"/>
      <c r="HF148" s="77"/>
      <c r="HG148" s="77"/>
      <c r="HH148" s="77"/>
      <c r="HI148" s="77"/>
      <c r="HJ148" s="77"/>
      <c r="HK148" s="77"/>
      <c r="HL148" s="77"/>
      <c r="HM148" s="77"/>
      <c r="HN148" s="77"/>
      <c r="HO148" s="77"/>
      <c r="HP148" s="77"/>
      <c r="HQ148" s="77"/>
    </row>
    <row r="149" spans="1:225" hidden="1" x14ac:dyDescent="0.3">
      <c r="A149" s="78">
        <f>'Entrada datos'!C146</f>
        <v>0</v>
      </c>
      <c r="B149" s="74">
        <f>'Entrada datos'!D146</f>
        <v>0</v>
      </c>
      <c r="C149" s="75">
        <f>'Entrada datos'!G146</f>
        <v>0</v>
      </c>
      <c r="D149" s="75">
        <f>'Entrada datos'!H146</f>
        <v>0</v>
      </c>
      <c r="E149" s="74">
        <f t="shared" si="7"/>
        <v>0</v>
      </c>
      <c r="F149" s="68" t="str">
        <f t="shared" si="8"/>
        <v>no procede</v>
      </c>
      <c r="G149" s="74">
        <f>'Entrada datos'!P146</f>
        <v>0</v>
      </c>
      <c r="H149" s="74">
        <f>'Entrada datos'!Q146</f>
        <v>0</v>
      </c>
      <c r="I149" s="74">
        <f>'Entrada datos'!R146</f>
        <v>0</v>
      </c>
      <c r="J149" s="74">
        <f>'Entrada datos'!S146</f>
        <v>0</v>
      </c>
      <c r="K149" s="74">
        <f>'Entrada datos'!T146</f>
        <v>0</v>
      </c>
      <c r="L149" s="74">
        <f>'Entrada datos'!U146</f>
        <v>0</v>
      </c>
      <c r="M149" s="76"/>
      <c r="N149" s="76"/>
      <c r="O149" s="76"/>
      <c r="P149" s="76"/>
      <c r="Q149" s="76"/>
      <c r="R149" s="76"/>
      <c r="S149" s="77" t="s">
        <v>74</v>
      </c>
      <c r="T149" s="77"/>
      <c r="U149" s="77"/>
      <c r="V149" s="77">
        <f t="shared" si="9"/>
        <v>0</v>
      </c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  <c r="AO149" s="77"/>
      <c r="AP149" s="77"/>
      <c r="AQ149" s="77"/>
      <c r="AR149" s="77"/>
      <c r="AS149" s="77"/>
      <c r="AT149" s="77"/>
      <c r="AU149" s="77"/>
      <c r="AV149" s="77"/>
      <c r="AW149" s="77"/>
      <c r="AX149" s="77"/>
      <c r="AY149" s="77"/>
      <c r="AZ149" s="77"/>
      <c r="BA149" s="77"/>
      <c r="BB149" s="77"/>
      <c r="BC149" s="77"/>
      <c r="BD149" s="77"/>
      <c r="BE149" s="77"/>
      <c r="BF149" s="77"/>
      <c r="BG149" s="77"/>
      <c r="BH149" s="77"/>
      <c r="BI149" s="77"/>
      <c r="BJ149" s="77"/>
      <c r="BK149" s="77"/>
      <c r="BL149" s="77"/>
      <c r="BM149" s="77"/>
      <c r="BN149" s="77"/>
      <c r="BO149" s="77"/>
      <c r="BP149" s="77"/>
      <c r="BQ149" s="77"/>
      <c r="BR149" s="77"/>
      <c r="BS149" s="77"/>
      <c r="BT149" s="77"/>
      <c r="BU149" s="77"/>
      <c r="BV149" s="77"/>
      <c r="BW149" s="77"/>
      <c r="BX149" s="77"/>
      <c r="BY149" s="77"/>
      <c r="BZ149" s="77"/>
      <c r="CA149" s="77"/>
      <c r="CB149" s="77"/>
      <c r="CC149" s="77"/>
      <c r="CD149" s="77"/>
      <c r="CE149" s="77"/>
      <c r="CF149" s="77"/>
      <c r="CG149" s="77"/>
      <c r="CH149" s="77"/>
      <c r="CI149" s="77"/>
      <c r="CJ149" s="77"/>
      <c r="CK149" s="77"/>
      <c r="CL149" s="77"/>
      <c r="CM149" s="77"/>
      <c r="CN149" s="77"/>
      <c r="CO149" s="77"/>
      <c r="CP149" s="77"/>
      <c r="CQ149" s="77"/>
      <c r="CR149" s="77"/>
      <c r="CS149" s="77"/>
      <c r="CT149" s="77"/>
      <c r="CU149" s="77"/>
      <c r="CV149" s="77"/>
      <c r="CW149" s="77"/>
      <c r="CX149" s="77"/>
      <c r="CY149" s="77"/>
      <c r="CZ149" s="77"/>
      <c r="DA149" s="77"/>
      <c r="DB149" s="77"/>
      <c r="DC149" s="77"/>
      <c r="DD149" s="77"/>
      <c r="DE149" s="77"/>
      <c r="DF149" s="77"/>
      <c r="DG149" s="77"/>
      <c r="DH149" s="77"/>
      <c r="DI149" s="77"/>
      <c r="DJ149" s="77"/>
      <c r="DK149" s="77"/>
      <c r="DL149" s="77"/>
      <c r="DM149" s="77"/>
      <c r="DN149" s="77"/>
      <c r="DO149" s="77"/>
      <c r="DP149" s="77"/>
      <c r="DQ149" s="77"/>
      <c r="DR149" s="77"/>
      <c r="DS149" s="77"/>
      <c r="DT149" s="77"/>
      <c r="DU149" s="77"/>
      <c r="DV149" s="77"/>
      <c r="DW149" s="77"/>
      <c r="DX149" s="77"/>
      <c r="DY149" s="77"/>
      <c r="DZ149" s="77"/>
      <c r="EA149" s="77"/>
      <c r="EB149" s="77"/>
      <c r="EC149" s="77"/>
      <c r="ED149" s="77"/>
      <c r="EE149" s="77"/>
      <c r="EF149" s="77"/>
      <c r="EG149" s="77"/>
      <c r="EH149" s="77"/>
      <c r="EI149" s="77"/>
      <c r="EJ149" s="77"/>
      <c r="EK149" s="77"/>
      <c r="EL149" s="77"/>
      <c r="EM149" s="77"/>
      <c r="EN149" s="77"/>
      <c r="EO149" s="77"/>
      <c r="EP149" s="77"/>
      <c r="EQ149" s="77"/>
      <c r="ER149" s="77"/>
      <c r="ES149" s="77"/>
      <c r="ET149" s="77"/>
      <c r="EU149" s="77"/>
      <c r="EV149" s="77"/>
      <c r="EW149" s="77"/>
      <c r="EX149" s="77"/>
      <c r="EY149" s="77"/>
      <c r="EZ149" s="77"/>
      <c r="FA149" s="77"/>
      <c r="FB149" s="77"/>
      <c r="FC149" s="77"/>
      <c r="FD149" s="77"/>
      <c r="FE149" s="77"/>
      <c r="FF149" s="77"/>
      <c r="FG149" s="77"/>
      <c r="FH149" s="77"/>
      <c r="FI149" s="77"/>
      <c r="FJ149" s="77"/>
      <c r="FK149" s="77"/>
      <c r="FL149" s="77"/>
      <c r="FM149" s="77"/>
      <c r="FN149" s="77"/>
      <c r="FO149" s="77"/>
      <c r="FP149" s="77"/>
      <c r="FQ149" s="77"/>
      <c r="FR149" s="77"/>
      <c r="FS149" s="77"/>
      <c r="FT149" s="77"/>
      <c r="FU149" s="77"/>
      <c r="FV149" s="77"/>
      <c r="FW149" s="77"/>
      <c r="FX149" s="77"/>
      <c r="FY149" s="77"/>
      <c r="FZ149" s="77"/>
      <c r="GA149" s="77"/>
      <c r="GB149" s="77"/>
      <c r="GC149" s="77"/>
      <c r="GD149" s="77"/>
      <c r="GE149" s="77"/>
      <c r="GF149" s="77"/>
      <c r="GG149" s="77"/>
      <c r="GH149" s="77"/>
      <c r="GI149" s="77"/>
      <c r="GJ149" s="77"/>
      <c r="GK149" s="77"/>
      <c r="GL149" s="77"/>
      <c r="GM149" s="77"/>
      <c r="GN149" s="77"/>
      <c r="GO149" s="77"/>
      <c r="GP149" s="77"/>
      <c r="GQ149" s="77"/>
      <c r="GR149" s="77"/>
      <c r="GS149" s="77"/>
      <c r="GT149" s="77"/>
      <c r="GU149" s="77"/>
      <c r="GV149" s="77"/>
      <c r="GW149" s="77"/>
      <c r="GX149" s="77"/>
      <c r="GY149" s="77"/>
      <c r="GZ149" s="77"/>
      <c r="HA149" s="77"/>
      <c r="HB149" s="77"/>
      <c r="HC149" s="77"/>
      <c r="HD149" s="77"/>
      <c r="HE149" s="77"/>
      <c r="HF149" s="77"/>
      <c r="HG149" s="77"/>
      <c r="HH149" s="77"/>
      <c r="HI149" s="77"/>
      <c r="HJ149" s="77"/>
      <c r="HK149" s="77"/>
      <c r="HL149" s="77"/>
      <c r="HM149" s="77"/>
      <c r="HN149" s="77"/>
      <c r="HO149" s="77"/>
      <c r="HP149" s="77"/>
      <c r="HQ149" s="77"/>
    </row>
    <row r="150" spans="1:225" hidden="1" x14ac:dyDescent="0.3">
      <c r="A150" s="78">
        <f>'Entrada datos'!C147</f>
        <v>0</v>
      </c>
      <c r="B150" s="74">
        <f>'Entrada datos'!D147</f>
        <v>0</v>
      </c>
      <c r="C150" s="75">
        <f>'Entrada datos'!G147</f>
        <v>0</v>
      </c>
      <c r="D150" s="75">
        <f>'Entrada datos'!H147</f>
        <v>0</v>
      </c>
      <c r="E150" s="74">
        <f t="shared" si="7"/>
        <v>0</v>
      </c>
      <c r="F150" s="68" t="str">
        <f t="shared" si="8"/>
        <v>no procede</v>
      </c>
      <c r="G150" s="74">
        <f>'Entrada datos'!P147</f>
        <v>0</v>
      </c>
      <c r="H150" s="74">
        <f>'Entrada datos'!Q147</f>
        <v>0</v>
      </c>
      <c r="I150" s="74">
        <f>'Entrada datos'!R147</f>
        <v>0</v>
      </c>
      <c r="J150" s="74">
        <f>'Entrada datos'!S147</f>
        <v>0</v>
      </c>
      <c r="K150" s="74">
        <f>'Entrada datos'!T147</f>
        <v>0</v>
      </c>
      <c r="L150" s="74">
        <f>'Entrada datos'!U147</f>
        <v>0</v>
      </c>
      <c r="M150" s="76"/>
      <c r="N150" s="76"/>
      <c r="O150" s="76"/>
      <c r="P150" s="76"/>
      <c r="Q150" s="76"/>
      <c r="R150" s="76"/>
      <c r="S150" s="77" t="s">
        <v>74</v>
      </c>
      <c r="T150" s="77"/>
      <c r="U150" s="77"/>
      <c r="V150" s="77">
        <f t="shared" si="9"/>
        <v>0</v>
      </c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  <c r="AO150" s="77"/>
      <c r="AP150" s="77"/>
      <c r="AQ150" s="77"/>
      <c r="AR150" s="77"/>
      <c r="AS150" s="77"/>
      <c r="AT150" s="77"/>
      <c r="AU150" s="77"/>
      <c r="AV150" s="77"/>
      <c r="AW150" s="77"/>
      <c r="AX150" s="77"/>
      <c r="AY150" s="77"/>
      <c r="AZ150" s="77"/>
      <c r="BA150" s="77"/>
      <c r="BB150" s="77"/>
      <c r="BC150" s="77"/>
      <c r="BD150" s="77"/>
      <c r="BE150" s="77"/>
      <c r="BF150" s="77"/>
      <c r="BG150" s="77"/>
      <c r="BH150" s="77"/>
      <c r="BI150" s="77"/>
      <c r="BJ150" s="77"/>
      <c r="BK150" s="77"/>
      <c r="BL150" s="77"/>
      <c r="BM150" s="77"/>
      <c r="BN150" s="77"/>
      <c r="BO150" s="77"/>
      <c r="BP150" s="77"/>
      <c r="BQ150" s="77"/>
      <c r="BR150" s="77"/>
      <c r="BS150" s="77"/>
      <c r="BT150" s="77"/>
      <c r="BU150" s="77"/>
      <c r="BV150" s="77"/>
      <c r="BW150" s="77"/>
      <c r="BX150" s="77"/>
      <c r="BY150" s="77"/>
      <c r="BZ150" s="77"/>
      <c r="CA150" s="77"/>
      <c r="CB150" s="77"/>
      <c r="CC150" s="77"/>
      <c r="CD150" s="77"/>
      <c r="CE150" s="77"/>
      <c r="CF150" s="77"/>
      <c r="CG150" s="77"/>
      <c r="CH150" s="77"/>
      <c r="CI150" s="77"/>
      <c r="CJ150" s="77"/>
      <c r="CK150" s="77"/>
      <c r="CL150" s="77"/>
      <c r="CM150" s="77"/>
      <c r="CN150" s="77"/>
      <c r="CO150" s="77"/>
      <c r="CP150" s="77"/>
      <c r="CQ150" s="77"/>
      <c r="CR150" s="77"/>
      <c r="CS150" s="77"/>
      <c r="CT150" s="77"/>
      <c r="CU150" s="77"/>
      <c r="CV150" s="77"/>
      <c r="CW150" s="77"/>
      <c r="CX150" s="77"/>
      <c r="CY150" s="77"/>
      <c r="CZ150" s="77"/>
      <c r="DA150" s="77"/>
      <c r="DB150" s="77"/>
      <c r="DC150" s="77"/>
      <c r="DD150" s="77"/>
      <c r="DE150" s="77"/>
      <c r="DF150" s="77"/>
      <c r="DG150" s="77"/>
      <c r="DH150" s="77"/>
      <c r="DI150" s="77"/>
      <c r="DJ150" s="77"/>
      <c r="DK150" s="77"/>
      <c r="DL150" s="77"/>
      <c r="DM150" s="77"/>
      <c r="DN150" s="77"/>
      <c r="DO150" s="77"/>
      <c r="DP150" s="77"/>
      <c r="DQ150" s="77"/>
      <c r="DR150" s="77"/>
      <c r="DS150" s="77"/>
      <c r="DT150" s="77"/>
      <c r="DU150" s="77"/>
      <c r="DV150" s="77"/>
      <c r="DW150" s="77"/>
      <c r="DX150" s="77"/>
      <c r="DY150" s="77"/>
      <c r="DZ150" s="77"/>
      <c r="EA150" s="77"/>
      <c r="EB150" s="77"/>
      <c r="EC150" s="77"/>
      <c r="ED150" s="77"/>
      <c r="EE150" s="77"/>
      <c r="EF150" s="77"/>
      <c r="EG150" s="77"/>
      <c r="EH150" s="77"/>
      <c r="EI150" s="77"/>
      <c r="EJ150" s="77"/>
      <c r="EK150" s="77"/>
      <c r="EL150" s="77"/>
      <c r="EM150" s="77"/>
      <c r="EN150" s="77"/>
      <c r="EO150" s="77"/>
      <c r="EP150" s="77"/>
      <c r="EQ150" s="77"/>
      <c r="ER150" s="77"/>
      <c r="ES150" s="77"/>
      <c r="ET150" s="77"/>
      <c r="EU150" s="77"/>
      <c r="EV150" s="77"/>
      <c r="EW150" s="77"/>
      <c r="EX150" s="77"/>
      <c r="EY150" s="77"/>
      <c r="EZ150" s="77"/>
      <c r="FA150" s="77"/>
      <c r="FB150" s="77"/>
      <c r="FC150" s="77"/>
      <c r="FD150" s="77"/>
      <c r="FE150" s="77"/>
      <c r="FF150" s="77"/>
      <c r="FG150" s="77"/>
      <c r="FH150" s="77"/>
      <c r="FI150" s="77"/>
      <c r="FJ150" s="77"/>
      <c r="FK150" s="77"/>
      <c r="FL150" s="77"/>
      <c r="FM150" s="77"/>
      <c r="FN150" s="77"/>
      <c r="FO150" s="77"/>
      <c r="FP150" s="77"/>
      <c r="FQ150" s="77"/>
      <c r="FR150" s="77"/>
      <c r="FS150" s="77"/>
      <c r="FT150" s="77"/>
      <c r="FU150" s="77"/>
      <c r="FV150" s="77"/>
      <c r="FW150" s="77"/>
      <c r="FX150" s="77"/>
      <c r="FY150" s="77"/>
      <c r="FZ150" s="77"/>
      <c r="GA150" s="77"/>
      <c r="GB150" s="77"/>
      <c r="GC150" s="77"/>
      <c r="GD150" s="77"/>
      <c r="GE150" s="77"/>
      <c r="GF150" s="77"/>
      <c r="GG150" s="77"/>
      <c r="GH150" s="77"/>
      <c r="GI150" s="77"/>
      <c r="GJ150" s="77"/>
      <c r="GK150" s="77"/>
      <c r="GL150" s="77"/>
      <c r="GM150" s="77"/>
      <c r="GN150" s="77"/>
      <c r="GO150" s="77"/>
      <c r="GP150" s="77"/>
      <c r="GQ150" s="77"/>
      <c r="GR150" s="77"/>
      <c r="GS150" s="77"/>
      <c r="GT150" s="77"/>
      <c r="GU150" s="77"/>
      <c r="GV150" s="77"/>
      <c r="GW150" s="77"/>
      <c r="GX150" s="77"/>
      <c r="GY150" s="77"/>
      <c r="GZ150" s="77"/>
      <c r="HA150" s="77"/>
      <c r="HB150" s="77"/>
      <c r="HC150" s="77"/>
      <c r="HD150" s="77"/>
      <c r="HE150" s="77"/>
      <c r="HF150" s="77"/>
      <c r="HG150" s="77"/>
      <c r="HH150" s="77"/>
      <c r="HI150" s="77"/>
      <c r="HJ150" s="77"/>
      <c r="HK150" s="77"/>
      <c r="HL150" s="77"/>
      <c r="HM150" s="77"/>
      <c r="HN150" s="77"/>
      <c r="HO150" s="77"/>
      <c r="HP150" s="77"/>
      <c r="HQ150" s="77"/>
    </row>
    <row r="151" spans="1:225" hidden="1" x14ac:dyDescent="0.3">
      <c r="A151" s="78">
        <f>'Entrada datos'!C148</f>
        <v>0</v>
      </c>
      <c r="B151" s="74">
        <f>'Entrada datos'!D148</f>
        <v>0</v>
      </c>
      <c r="C151" s="75">
        <f>'Entrada datos'!G148</f>
        <v>0</v>
      </c>
      <c r="D151" s="75">
        <f>'Entrada datos'!H148</f>
        <v>0</v>
      </c>
      <c r="E151" s="74">
        <f t="shared" si="7"/>
        <v>0</v>
      </c>
      <c r="F151" s="68" t="str">
        <f t="shared" si="8"/>
        <v>no procede</v>
      </c>
      <c r="G151" s="74">
        <f>'Entrada datos'!P148</f>
        <v>0</v>
      </c>
      <c r="H151" s="74">
        <f>'Entrada datos'!Q148</f>
        <v>0</v>
      </c>
      <c r="I151" s="74">
        <f>'Entrada datos'!R148</f>
        <v>0</v>
      </c>
      <c r="J151" s="74">
        <f>'Entrada datos'!S148</f>
        <v>0</v>
      </c>
      <c r="K151" s="74">
        <f>'Entrada datos'!T148</f>
        <v>0</v>
      </c>
      <c r="L151" s="74">
        <f>'Entrada datos'!U148</f>
        <v>0</v>
      </c>
      <c r="M151" s="76"/>
      <c r="N151" s="76"/>
      <c r="O151" s="76"/>
      <c r="P151" s="76"/>
      <c r="Q151" s="76"/>
      <c r="R151" s="76"/>
      <c r="S151" s="77" t="s">
        <v>74</v>
      </c>
      <c r="T151" s="77"/>
      <c r="U151" s="77"/>
      <c r="V151" s="77">
        <f t="shared" si="9"/>
        <v>0</v>
      </c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  <c r="AO151" s="77"/>
      <c r="AP151" s="77"/>
      <c r="AQ151" s="77"/>
      <c r="AR151" s="77"/>
      <c r="AS151" s="77"/>
      <c r="AT151" s="77"/>
      <c r="AU151" s="77"/>
      <c r="AV151" s="77"/>
      <c r="AW151" s="77"/>
      <c r="AX151" s="77"/>
      <c r="AY151" s="77"/>
      <c r="AZ151" s="77"/>
      <c r="BA151" s="77"/>
      <c r="BB151" s="77"/>
      <c r="BC151" s="77"/>
      <c r="BD151" s="77"/>
      <c r="BE151" s="77"/>
      <c r="BF151" s="77"/>
      <c r="BG151" s="77"/>
      <c r="BH151" s="77"/>
      <c r="BI151" s="77"/>
      <c r="BJ151" s="77"/>
      <c r="BK151" s="77"/>
      <c r="BL151" s="77"/>
      <c r="BM151" s="77"/>
      <c r="BN151" s="77"/>
      <c r="BO151" s="77"/>
      <c r="BP151" s="77"/>
      <c r="BQ151" s="77"/>
      <c r="BR151" s="77"/>
      <c r="BS151" s="77"/>
      <c r="BT151" s="77"/>
      <c r="BU151" s="77"/>
      <c r="BV151" s="77"/>
      <c r="BW151" s="77"/>
      <c r="BX151" s="77"/>
      <c r="BY151" s="77"/>
      <c r="BZ151" s="77"/>
      <c r="CA151" s="77"/>
      <c r="CB151" s="77"/>
      <c r="CC151" s="77"/>
      <c r="CD151" s="77"/>
      <c r="CE151" s="77"/>
      <c r="CF151" s="77"/>
      <c r="CG151" s="77"/>
      <c r="CH151" s="77"/>
      <c r="CI151" s="77"/>
      <c r="CJ151" s="77"/>
      <c r="CK151" s="77"/>
      <c r="CL151" s="77"/>
      <c r="CM151" s="77"/>
      <c r="CN151" s="77"/>
      <c r="CO151" s="77"/>
      <c r="CP151" s="77"/>
      <c r="CQ151" s="77"/>
      <c r="CR151" s="77"/>
      <c r="CS151" s="77"/>
      <c r="CT151" s="77"/>
      <c r="CU151" s="77"/>
      <c r="CV151" s="77"/>
      <c r="CW151" s="77"/>
      <c r="CX151" s="77"/>
      <c r="CY151" s="77"/>
      <c r="CZ151" s="77"/>
      <c r="DA151" s="77"/>
      <c r="DB151" s="77"/>
      <c r="DC151" s="77"/>
      <c r="DD151" s="77"/>
      <c r="DE151" s="77"/>
      <c r="DF151" s="77"/>
      <c r="DG151" s="77"/>
      <c r="DH151" s="77"/>
      <c r="DI151" s="77"/>
      <c r="DJ151" s="77"/>
      <c r="DK151" s="77"/>
      <c r="DL151" s="77"/>
      <c r="DM151" s="77"/>
      <c r="DN151" s="77"/>
      <c r="DO151" s="77"/>
      <c r="DP151" s="77"/>
      <c r="DQ151" s="77"/>
      <c r="DR151" s="77"/>
      <c r="DS151" s="77"/>
      <c r="DT151" s="77"/>
      <c r="DU151" s="77"/>
      <c r="DV151" s="77"/>
      <c r="DW151" s="77"/>
      <c r="DX151" s="77"/>
      <c r="DY151" s="77"/>
      <c r="DZ151" s="77"/>
      <c r="EA151" s="77"/>
      <c r="EB151" s="77"/>
      <c r="EC151" s="77"/>
      <c r="ED151" s="77"/>
      <c r="EE151" s="77"/>
      <c r="EF151" s="77"/>
      <c r="EG151" s="77"/>
      <c r="EH151" s="77"/>
      <c r="EI151" s="77"/>
      <c r="EJ151" s="77"/>
      <c r="EK151" s="77"/>
      <c r="EL151" s="77"/>
      <c r="EM151" s="77"/>
      <c r="EN151" s="77"/>
      <c r="EO151" s="77"/>
      <c r="EP151" s="77"/>
      <c r="EQ151" s="77"/>
      <c r="ER151" s="77"/>
      <c r="ES151" s="77"/>
      <c r="ET151" s="77"/>
      <c r="EU151" s="77"/>
      <c r="EV151" s="77"/>
      <c r="EW151" s="77"/>
      <c r="EX151" s="77"/>
      <c r="EY151" s="77"/>
      <c r="EZ151" s="77"/>
      <c r="FA151" s="77"/>
      <c r="FB151" s="77"/>
      <c r="FC151" s="77"/>
      <c r="FD151" s="77"/>
      <c r="FE151" s="77"/>
      <c r="FF151" s="77"/>
      <c r="FG151" s="77"/>
      <c r="FH151" s="77"/>
      <c r="FI151" s="77"/>
      <c r="FJ151" s="77"/>
      <c r="FK151" s="77"/>
      <c r="FL151" s="77"/>
      <c r="FM151" s="77"/>
      <c r="FN151" s="77"/>
      <c r="FO151" s="77"/>
      <c r="FP151" s="77"/>
      <c r="FQ151" s="77"/>
      <c r="FR151" s="77"/>
      <c r="FS151" s="77"/>
      <c r="FT151" s="77"/>
      <c r="FU151" s="77"/>
      <c r="FV151" s="77"/>
      <c r="FW151" s="77"/>
      <c r="FX151" s="77"/>
      <c r="FY151" s="77"/>
      <c r="FZ151" s="77"/>
      <c r="GA151" s="77"/>
      <c r="GB151" s="77"/>
      <c r="GC151" s="77"/>
      <c r="GD151" s="77"/>
      <c r="GE151" s="77"/>
      <c r="GF151" s="77"/>
      <c r="GG151" s="77"/>
      <c r="GH151" s="77"/>
      <c r="GI151" s="77"/>
      <c r="GJ151" s="77"/>
      <c r="GK151" s="77"/>
      <c r="GL151" s="77"/>
      <c r="GM151" s="77"/>
      <c r="GN151" s="77"/>
      <c r="GO151" s="77"/>
      <c r="GP151" s="77"/>
      <c r="GQ151" s="77"/>
      <c r="GR151" s="77"/>
      <c r="GS151" s="77"/>
      <c r="GT151" s="77"/>
      <c r="GU151" s="77"/>
      <c r="GV151" s="77"/>
      <c r="GW151" s="77"/>
      <c r="GX151" s="77"/>
      <c r="GY151" s="77"/>
      <c r="GZ151" s="77"/>
      <c r="HA151" s="77"/>
      <c r="HB151" s="77"/>
      <c r="HC151" s="77"/>
      <c r="HD151" s="77"/>
      <c r="HE151" s="77"/>
      <c r="HF151" s="77"/>
      <c r="HG151" s="77"/>
      <c r="HH151" s="77"/>
      <c r="HI151" s="77"/>
      <c r="HJ151" s="77"/>
      <c r="HK151" s="77"/>
      <c r="HL151" s="77"/>
      <c r="HM151" s="77"/>
      <c r="HN151" s="77"/>
      <c r="HO151" s="77"/>
      <c r="HP151" s="77"/>
      <c r="HQ151" s="77"/>
    </row>
    <row r="152" spans="1:225" hidden="1" x14ac:dyDescent="0.3">
      <c r="A152" s="78">
        <f>'Entrada datos'!C149</f>
        <v>0</v>
      </c>
      <c r="B152" s="74">
        <f>'Entrada datos'!D149</f>
        <v>0</v>
      </c>
      <c r="C152" s="75">
        <f>'Entrada datos'!G149</f>
        <v>0</v>
      </c>
      <c r="D152" s="75">
        <f>'Entrada datos'!H149</f>
        <v>0</v>
      </c>
      <c r="E152" s="74">
        <f t="shared" si="7"/>
        <v>0</v>
      </c>
      <c r="F152" s="68" t="str">
        <f t="shared" si="8"/>
        <v>no procede</v>
      </c>
      <c r="G152" s="74">
        <f>'Entrada datos'!P149</f>
        <v>0</v>
      </c>
      <c r="H152" s="74">
        <f>'Entrada datos'!Q149</f>
        <v>0</v>
      </c>
      <c r="I152" s="74">
        <f>'Entrada datos'!R149</f>
        <v>0</v>
      </c>
      <c r="J152" s="74">
        <f>'Entrada datos'!S149</f>
        <v>0</v>
      </c>
      <c r="K152" s="74">
        <f>'Entrada datos'!T149</f>
        <v>0</v>
      </c>
      <c r="L152" s="74">
        <f>'Entrada datos'!U149</f>
        <v>0</v>
      </c>
      <c r="M152" s="76"/>
      <c r="N152" s="76"/>
      <c r="O152" s="76"/>
      <c r="P152" s="76"/>
      <c r="Q152" s="76"/>
      <c r="R152" s="76"/>
      <c r="S152" s="77" t="s">
        <v>74</v>
      </c>
      <c r="T152" s="77"/>
      <c r="U152" s="77"/>
      <c r="V152" s="77">
        <f t="shared" si="9"/>
        <v>0</v>
      </c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  <c r="AO152" s="77"/>
      <c r="AP152" s="77"/>
      <c r="AQ152" s="77"/>
      <c r="AR152" s="77"/>
      <c r="AS152" s="77"/>
      <c r="AT152" s="77"/>
      <c r="AU152" s="77"/>
      <c r="AV152" s="77"/>
      <c r="AW152" s="77"/>
      <c r="AX152" s="77"/>
      <c r="AY152" s="77"/>
      <c r="AZ152" s="77"/>
      <c r="BA152" s="77"/>
      <c r="BB152" s="77"/>
      <c r="BC152" s="77"/>
      <c r="BD152" s="77"/>
      <c r="BE152" s="77"/>
      <c r="BF152" s="77"/>
      <c r="BG152" s="77"/>
      <c r="BH152" s="77"/>
      <c r="BI152" s="77"/>
      <c r="BJ152" s="77"/>
      <c r="BK152" s="77"/>
      <c r="BL152" s="77"/>
      <c r="BM152" s="77"/>
      <c r="BN152" s="77"/>
      <c r="BO152" s="77"/>
      <c r="BP152" s="77"/>
      <c r="BQ152" s="77"/>
      <c r="BR152" s="77"/>
      <c r="BS152" s="77"/>
      <c r="BT152" s="77"/>
      <c r="BU152" s="77"/>
      <c r="BV152" s="77"/>
      <c r="BW152" s="77"/>
      <c r="BX152" s="77"/>
      <c r="BY152" s="77"/>
      <c r="BZ152" s="77"/>
      <c r="CA152" s="77"/>
      <c r="CB152" s="77"/>
      <c r="CC152" s="77"/>
      <c r="CD152" s="77"/>
      <c r="CE152" s="77"/>
      <c r="CF152" s="77"/>
      <c r="CG152" s="77"/>
      <c r="CH152" s="77"/>
      <c r="CI152" s="77"/>
      <c r="CJ152" s="77"/>
      <c r="CK152" s="77"/>
      <c r="CL152" s="77"/>
      <c r="CM152" s="77"/>
      <c r="CN152" s="77"/>
      <c r="CO152" s="77"/>
      <c r="CP152" s="77"/>
      <c r="CQ152" s="77"/>
      <c r="CR152" s="77"/>
      <c r="CS152" s="77"/>
      <c r="CT152" s="77"/>
      <c r="CU152" s="77"/>
      <c r="CV152" s="77"/>
      <c r="CW152" s="77"/>
      <c r="CX152" s="77"/>
      <c r="CY152" s="77"/>
      <c r="CZ152" s="77"/>
      <c r="DA152" s="77"/>
      <c r="DB152" s="77"/>
      <c r="DC152" s="77"/>
      <c r="DD152" s="77"/>
      <c r="DE152" s="77"/>
      <c r="DF152" s="77"/>
      <c r="DG152" s="77"/>
      <c r="DH152" s="77"/>
      <c r="DI152" s="77"/>
      <c r="DJ152" s="77"/>
      <c r="DK152" s="77"/>
      <c r="DL152" s="77"/>
      <c r="DM152" s="77"/>
      <c r="DN152" s="77"/>
      <c r="DO152" s="77"/>
      <c r="DP152" s="77"/>
      <c r="DQ152" s="77"/>
      <c r="DR152" s="77"/>
      <c r="DS152" s="77"/>
      <c r="DT152" s="77"/>
      <c r="DU152" s="77"/>
      <c r="DV152" s="77"/>
      <c r="DW152" s="77"/>
      <c r="DX152" s="77"/>
      <c r="DY152" s="77"/>
      <c r="DZ152" s="77"/>
      <c r="EA152" s="77"/>
      <c r="EB152" s="77"/>
      <c r="EC152" s="77"/>
      <c r="ED152" s="77"/>
      <c r="EE152" s="77"/>
      <c r="EF152" s="77"/>
      <c r="EG152" s="77"/>
      <c r="EH152" s="77"/>
      <c r="EI152" s="77"/>
      <c r="EJ152" s="77"/>
      <c r="EK152" s="77"/>
      <c r="EL152" s="77"/>
      <c r="EM152" s="77"/>
      <c r="EN152" s="77"/>
      <c r="EO152" s="77"/>
      <c r="EP152" s="77"/>
      <c r="EQ152" s="77"/>
      <c r="ER152" s="77"/>
      <c r="ES152" s="77"/>
      <c r="ET152" s="77"/>
      <c r="EU152" s="77"/>
      <c r="EV152" s="77"/>
      <c r="EW152" s="77"/>
      <c r="EX152" s="77"/>
      <c r="EY152" s="77"/>
      <c r="EZ152" s="77"/>
      <c r="FA152" s="77"/>
      <c r="FB152" s="77"/>
      <c r="FC152" s="77"/>
      <c r="FD152" s="77"/>
      <c r="FE152" s="77"/>
      <c r="FF152" s="77"/>
      <c r="FG152" s="77"/>
      <c r="FH152" s="77"/>
      <c r="FI152" s="77"/>
      <c r="FJ152" s="77"/>
      <c r="FK152" s="77"/>
      <c r="FL152" s="77"/>
      <c r="FM152" s="77"/>
      <c r="FN152" s="77"/>
      <c r="FO152" s="77"/>
      <c r="FP152" s="77"/>
      <c r="FQ152" s="77"/>
      <c r="FR152" s="77"/>
      <c r="FS152" s="77"/>
      <c r="FT152" s="77"/>
      <c r="FU152" s="77"/>
      <c r="FV152" s="77"/>
      <c r="FW152" s="77"/>
      <c r="FX152" s="77"/>
      <c r="FY152" s="77"/>
      <c r="FZ152" s="77"/>
      <c r="GA152" s="77"/>
      <c r="GB152" s="77"/>
      <c r="GC152" s="77"/>
      <c r="GD152" s="77"/>
      <c r="GE152" s="77"/>
      <c r="GF152" s="77"/>
      <c r="GG152" s="77"/>
      <c r="GH152" s="77"/>
      <c r="GI152" s="77"/>
      <c r="GJ152" s="77"/>
      <c r="GK152" s="77"/>
      <c r="GL152" s="77"/>
      <c r="GM152" s="77"/>
      <c r="GN152" s="77"/>
      <c r="GO152" s="77"/>
      <c r="GP152" s="77"/>
      <c r="GQ152" s="77"/>
      <c r="GR152" s="77"/>
      <c r="GS152" s="77"/>
      <c r="GT152" s="77"/>
      <c r="GU152" s="77"/>
      <c r="GV152" s="77"/>
      <c r="GW152" s="77"/>
      <c r="GX152" s="77"/>
      <c r="GY152" s="77"/>
      <c r="GZ152" s="77"/>
      <c r="HA152" s="77"/>
      <c r="HB152" s="77"/>
      <c r="HC152" s="77"/>
      <c r="HD152" s="77"/>
      <c r="HE152" s="77"/>
      <c r="HF152" s="77"/>
      <c r="HG152" s="77"/>
      <c r="HH152" s="77"/>
      <c r="HI152" s="77"/>
      <c r="HJ152" s="77"/>
      <c r="HK152" s="77"/>
      <c r="HL152" s="77"/>
      <c r="HM152" s="77"/>
      <c r="HN152" s="77"/>
      <c r="HO152" s="77"/>
      <c r="HP152" s="77"/>
      <c r="HQ152" s="77"/>
    </row>
    <row r="153" spans="1:225" hidden="1" x14ac:dyDescent="0.3">
      <c r="A153" s="78">
        <f>'Entrada datos'!C150</f>
        <v>0</v>
      </c>
      <c r="B153" s="74">
        <f>'Entrada datos'!D150</f>
        <v>0</v>
      </c>
      <c r="C153" s="75">
        <f>'Entrada datos'!G150</f>
        <v>0</v>
      </c>
      <c r="D153" s="75">
        <f>'Entrada datos'!H150</f>
        <v>0</v>
      </c>
      <c r="E153" s="74">
        <f t="shared" si="7"/>
        <v>0</v>
      </c>
      <c r="F153" s="68" t="str">
        <f t="shared" si="8"/>
        <v>no procede</v>
      </c>
      <c r="G153" s="74">
        <f>'Entrada datos'!P150</f>
        <v>0</v>
      </c>
      <c r="H153" s="74">
        <f>'Entrada datos'!Q150</f>
        <v>0</v>
      </c>
      <c r="I153" s="74">
        <f>'Entrada datos'!R150</f>
        <v>0</v>
      </c>
      <c r="J153" s="74">
        <f>'Entrada datos'!S150</f>
        <v>0</v>
      </c>
      <c r="K153" s="74">
        <f>'Entrada datos'!T150</f>
        <v>0</v>
      </c>
      <c r="L153" s="74">
        <f>'Entrada datos'!U150</f>
        <v>0</v>
      </c>
      <c r="M153" s="76"/>
      <c r="N153" s="76"/>
      <c r="O153" s="76"/>
      <c r="P153" s="76"/>
      <c r="Q153" s="76"/>
      <c r="R153" s="76"/>
      <c r="S153" s="77" t="s">
        <v>74</v>
      </c>
      <c r="T153" s="77"/>
      <c r="U153" s="77"/>
      <c r="V153" s="77">
        <f t="shared" si="9"/>
        <v>0</v>
      </c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  <c r="AO153" s="77"/>
      <c r="AP153" s="77"/>
      <c r="AQ153" s="77"/>
      <c r="AR153" s="77"/>
      <c r="AS153" s="77"/>
      <c r="AT153" s="77"/>
      <c r="AU153" s="77"/>
      <c r="AV153" s="77"/>
      <c r="AW153" s="77"/>
      <c r="AX153" s="77"/>
      <c r="AY153" s="77"/>
      <c r="AZ153" s="77"/>
      <c r="BA153" s="77"/>
      <c r="BB153" s="77"/>
      <c r="BC153" s="77"/>
      <c r="BD153" s="77"/>
      <c r="BE153" s="77"/>
      <c r="BF153" s="77"/>
      <c r="BG153" s="77"/>
      <c r="BH153" s="77"/>
      <c r="BI153" s="77"/>
      <c r="BJ153" s="77"/>
      <c r="BK153" s="77"/>
      <c r="BL153" s="77"/>
      <c r="BM153" s="77"/>
      <c r="BN153" s="77"/>
      <c r="BO153" s="77"/>
      <c r="BP153" s="77"/>
      <c r="BQ153" s="77"/>
      <c r="BR153" s="77"/>
      <c r="BS153" s="77"/>
      <c r="BT153" s="77"/>
      <c r="BU153" s="77"/>
      <c r="BV153" s="77"/>
      <c r="BW153" s="77"/>
      <c r="BX153" s="77"/>
      <c r="BY153" s="77"/>
      <c r="BZ153" s="77"/>
      <c r="CA153" s="77"/>
      <c r="CB153" s="77"/>
      <c r="CC153" s="77"/>
      <c r="CD153" s="77"/>
      <c r="CE153" s="77"/>
      <c r="CF153" s="77"/>
      <c r="CG153" s="77"/>
      <c r="CH153" s="77"/>
      <c r="CI153" s="77"/>
      <c r="CJ153" s="77"/>
      <c r="CK153" s="77"/>
      <c r="CL153" s="77"/>
      <c r="CM153" s="77"/>
      <c r="CN153" s="77"/>
      <c r="CO153" s="77"/>
      <c r="CP153" s="77"/>
      <c r="CQ153" s="77"/>
      <c r="CR153" s="77"/>
      <c r="CS153" s="77"/>
      <c r="CT153" s="77"/>
      <c r="CU153" s="77"/>
      <c r="CV153" s="77"/>
      <c r="CW153" s="77"/>
      <c r="CX153" s="77"/>
      <c r="CY153" s="77"/>
      <c r="CZ153" s="77"/>
      <c r="DA153" s="77"/>
      <c r="DB153" s="77"/>
      <c r="DC153" s="77"/>
      <c r="DD153" s="77"/>
      <c r="DE153" s="77"/>
      <c r="DF153" s="77"/>
      <c r="DG153" s="77"/>
      <c r="DH153" s="77"/>
      <c r="DI153" s="77"/>
      <c r="DJ153" s="77"/>
      <c r="DK153" s="77"/>
      <c r="DL153" s="77"/>
      <c r="DM153" s="77"/>
      <c r="DN153" s="77"/>
      <c r="DO153" s="77"/>
      <c r="DP153" s="77"/>
      <c r="DQ153" s="77"/>
      <c r="DR153" s="77"/>
      <c r="DS153" s="77"/>
      <c r="DT153" s="77"/>
      <c r="DU153" s="77"/>
      <c r="DV153" s="77"/>
      <c r="DW153" s="77"/>
      <c r="DX153" s="77"/>
      <c r="DY153" s="77"/>
      <c r="DZ153" s="77"/>
      <c r="EA153" s="77"/>
      <c r="EB153" s="77"/>
      <c r="EC153" s="77"/>
      <c r="ED153" s="77"/>
      <c r="EE153" s="77"/>
      <c r="EF153" s="77"/>
      <c r="EG153" s="77"/>
      <c r="EH153" s="77"/>
      <c r="EI153" s="77"/>
      <c r="EJ153" s="77"/>
      <c r="EK153" s="77"/>
      <c r="EL153" s="77"/>
      <c r="EM153" s="77"/>
      <c r="EN153" s="77"/>
      <c r="EO153" s="77"/>
      <c r="EP153" s="77"/>
      <c r="EQ153" s="77"/>
      <c r="ER153" s="77"/>
      <c r="ES153" s="77"/>
      <c r="ET153" s="77"/>
      <c r="EU153" s="77"/>
      <c r="EV153" s="77"/>
      <c r="EW153" s="77"/>
      <c r="EX153" s="77"/>
      <c r="EY153" s="77"/>
      <c r="EZ153" s="77"/>
      <c r="FA153" s="77"/>
      <c r="FB153" s="77"/>
      <c r="FC153" s="77"/>
      <c r="FD153" s="77"/>
      <c r="FE153" s="77"/>
      <c r="FF153" s="77"/>
      <c r="FG153" s="77"/>
      <c r="FH153" s="77"/>
      <c r="FI153" s="77"/>
      <c r="FJ153" s="77"/>
      <c r="FK153" s="77"/>
      <c r="FL153" s="77"/>
      <c r="FM153" s="77"/>
      <c r="FN153" s="77"/>
      <c r="FO153" s="77"/>
      <c r="FP153" s="77"/>
      <c r="FQ153" s="77"/>
      <c r="FR153" s="77"/>
      <c r="FS153" s="77"/>
      <c r="FT153" s="77"/>
      <c r="FU153" s="77"/>
      <c r="FV153" s="77"/>
      <c r="FW153" s="77"/>
      <c r="FX153" s="77"/>
      <c r="FY153" s="77"/>
      <c r="FZ153" s="77"/>
      <c r="GA153" s="77"/>
      <c r="GB153" s="77"/>
      <c r="GC153" s="77"/>
      <c r="GD153" s="77"/>
      <c r="GE153" s="77"/>
      <c r="GF153" s="77"/>
      <c r="GG153" s="77"/>
      <c r="GH153" s="77"/>
      <c r="GI153" s="77"/>
      <c r="GJ153" s="77"/>
      <c r="GK153" s="77"/>
      <c r="GL153" s="77"/>
      <c r="GM153" s="77"/>
      <c r="GN153" s="77"/>
      <c r="GO153" s="77"/>
      <c r="GP153" s="77"/>
      <c r="GQ153" s="77"/>
      <c r="GR153" s="77"/>
      <c r="GS153" s="77"/>
      <c r="GT153" s="77"/>
      <c r="GU153" s="77"/>
      <c r="GV153" s="77"/>
      <c r="GW153" s="77"/>
      <c r="GX153" s="77"/>
      <c r="GY153" s="77"/>
      <c r="GZ153" s="77"/>
      <c r="HA153" s="77"/>
      <c r="HB153" s="77"/>
      <c r="HC153" s="77"/>
      <c r="HD153" s="77"/>
      <c r="HE153" s="77"/>
      <c r="HF153" s="77"/>
      <c r="HG153" s="77"/>
      <c r="HH153" s="77"/>
      <c r="HI153" s="77"/>
      <c r="HJ153" s="77"/>
      <c r="HK153" s="77"/>
      <c r="HL153" s="77"/>
      <c r="HM153" s="77"/>
      <c r="HN153" s="77"/>
      <c r="HO153" s="77"/>
      <c r="HP153" s="77"/>
      <c r="HQ153" s="77"/>
    </row>
    <row r="154" spans="1:225" hidden="1" x14ac:dyDescent="0.3">
      <c r="A154" s="78">
        <f>'Entrada datos'!C151</f>
        <v>0</v>
      </c>
      <c r="B154" s="74">
        <f>'Entrada datos'!D151</f>
        <v>0</v>
      </c>
      <c r="C154" s="75">
        <f>'Entrada datos'!G151</f>
        <v>0</v>
      </c>
      <c r="D154" s="75">
        <f>'Entrada datos'!H151</f>
        <v>0</v>
      </c>
      <c r="E154" s="74">
        <f t="shared" si="7"/>
        <v>0</v>
      </c>
      <c r="F154" s="68" t="str">
        <f t="shared" si="8"/>
        <v>no procede</v>
      </c>
      <c r="G154" s="74">
        <f>'Entrada datos'!P151</f>
        <v>0</v>
      </c>
      <c r="H154" s="74">
        <f>'Entrada datos'!Q151</f>
        <v>0</v>
      </c>
      <c r="I154" s="74">
        <f>'Entrada datos'!R151</f>
        <v>0</v>
      </c>
      <c r="J154" s="74">
        <f>'Entrada datos'!S151</f>
        <v>0</v>
      </c>
      <c r="K154" s="74">
        <f>'Entrada datos'!T151</f>
        <v>0</v>
      </c>
      <c r="L154" s="74">
        <f>'Entrada datos'!U151</f>
        <v>0</v>
      </c>
      <c r="M154" s="76"/>
      <c r="N154" s="76"/>
      <c r="O154" s="76"/>
      <c r="P154" s="76"/>
      <c r="Q154" s="76"/>
      <c r="R154" s="76"/>
      <c r="S154" s="77" t="s">
        <v>74</v>
      </c>
      <c r="T154" s="77"/>
      <c r="U154" s="77"/>
      <c r="V154" s="77">
        <f t="shared" si="9"/>
        <v>0</v>
      </c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  <c r="AI154" s="77"/>
      <c r="AJ154" s="77"/>
      <c r="AK154" s="77"/>
      <c r="AL154" s="77"/>
      <c r="AM154" s="77"/>
      <c r="AN154" s="77"/>
      <c r="AO154" s="77"/>
      <c r="AP154" s="77"/>
      <c r="AQ154" s="77"/>
      <c r="AR154" s="77"/>
      <c r="AS154" s="77"/>
      <c r="AT154" s="77"/>
      <c r="AU154" s="77"/>
      <c r="AV154" s="77"/>
      <c r="AW154" s="77"/>
      <c r="AX154" s="77"/>
      <c r="AY154" s="77"/>
      <c r="AZ154" s="77"/>
      <c r="BA154" s="77"/>
      <c r="BB154" s="77"/>
      <c r="BC154" s="77"/>
      <c r="BD154" s="77"/>
      <c r="BE154" s="77"/>
      <c r="BF154" s="77"/>
      <c r="BG154" s="77"/>
      <c r="BH154" s="77"/>
      <c r="BI154" s="77"/>
      <c r="BJ154" s="77"/>
      <c r="BK154" s="77"/>
      <c r="BL154" s="77"/>
      <c r="BM154" s="77"/>
      <c r="BN154" s="77"/>
      <c r="BO154" s="77"/>
      <c r="BP154" s="77"/>
      <c r="BQ154" s="77"/>
      <c r="BR154" s="77"/>
      <c r="BS154" s="77"/>
      <c r="BT154" s="77"/>
      <c r="BU154" s="77"/>
      <c r="BV154" s="77"/>
      <c r="BW154" s="77"/>
      <c r="BX154" s="77"/>
      <c r="BY154" s="77"/>
      <c r="BZ154" s="77"/>
      <c r="CA154" s="77"/>
      <c r="CB154" s="77"/>
      <c r="CC154" s="77"/>
      <c r="CD154" s="77"/>
      <c r="CE154" s="77"/>
      <c r="CF154" s="77"/>
      <c r="CG154" s="77"/>
      <c r="CH154" s="77"/>
      <c r="CI154" s="77"/>
      <c r="CJ154" s="77"/>
      <c r="CK154" s="77"/>
      <c r="CL154" s="77"/>
      <c r="CM154" s="77"/>
      <c r="CN154" s="77"/>
      <c r="CO154" s="77"/>
      <c r="CP154" s="77"/>
      <c r="CQ154" s="77"/>
      <c r="CR154" s="77"/>
      <c r="CS154" s="77"/>
      <c r="CT154" s="77"/>
      <c r="CU154" s="77"/>
      <c r="CV154" s="77"/>
      <c r="CW154" s="77"/>
      <c r="CX154" s="77"/>
      <c r="CY154" s="77"/>
      <c r="CZ154" s="77"/>
      <c r="DA154" s="77"/>
      <c r="DB154" s="77"/>
      <c r="DC154" s="77"/>
      <c r="DD154" s="77"/>
      <c r="DE154" s="77"/>
      <c r="DF154" s="77"/>
      <c r="DG154" s="77"/>
      <c r="DH154" s="77"/>
      <c r="DI154" s="77"/>
      <c r="DJ154" s="77"/>
      <c r="DK154" s="77"/>
      <c r="DL154" s="77"/>
      <c r="DM154" s="77"/>
      <c r="DN154" s="77"/>
      <c r="DO154" s="77"/>
      <c r="DP154" s="77"/>
      <c r="DQ154" s="77"/>
      <c r="DR154" s="77"/>
      <c r="DS154" s="77"/>
      <c r="DT154" s="77"/>
      <c r="DU154" s="77"/>
      <c r="DV154" s="77"/>
      <c r="DW154" s="77"/>
      <c r="DX154" s="77"/>
      <c r="DY154" s="77"/>
      <c r="DZ154" s="77"/>
      <c r="EA154" s="77"/>
      <c r="EB154" s="77"/>
      <c r="EC154" s="77"/>
      <c r="ED154" s="77"/>
      <c r="EE154" s="77"/>
      <c r="EF154" s="77"/>
      <c r="EG154" s="77"/>
      <c r="EH154" s="77"/>
      <c r="EI154" s="77"/>
      <c r="EJ154" s="77"/>
      <c r="EK154" s="77"/>
      <c r="EL154" s="77"/>
      <c r="EM154" s="77"/>
      <c r="EN154" s="77"/>
      <c r="EO154" s="77"/>
      <c r="EP154" s="77"/>
      <c r="EQ154" s="77"/>
      <c r="ER154" s="77"/>
      <c r="ES154" s="77"/>
      <c r="ET154" s="77"/>
      <c r="EU154" s="77"/>
      <c r="EV154" s="77"/>
      <c r="EW154" s="77"/>
      <c r="EX154" s="77"/>
      <c r="EY154" s="77"/>
      <c r="EZ154" s="77"/>
      <c r="FA154" s="77"/>
      <c r="FB154" s="77"/>
      <c r="FC154" s="77"/>
      <c r="FD154" s="77"/>
      <c r="FE154" s="77"/>
      <c r="FF154" s="77"/>
      <c r="FG154" s="77"/>
      <c r="FH154" s="77"/>
      <c r="FI154" s="77"/>
      <c r="FJ154" s="77"/>
      <c r="FK154" s="77"/>
      <c r="FL154" s="77"/>
      <c r="FM154" s="77"/>
      <c r="FN154" s="77"/>
      <c r="FO154" s="77"/>
      <c r="FP154" s="77"/>
      <c r="FQ154" s="77"/>
      <c r="FR154" s="77"/>
      <c r="FS154" s="77"/>
      <c r="FT154" s="77"/>
      <c r="FU154" s="77"/>
      <c r="FV154" s="77"/>
      <c r="FW154" s="77"/>
      <c r="FX154" s="77"/>
      <c r="FY154" s="77"/>
      <c r="FZ154" s="77"/>
      <c r="GA154" s="77"/>
      <c r="GB154" s="77"/>
      <c r="GC154" s="77"/>
      <c r="GD154" s="77"/>
      <c r="GE154" s="77"/>
      <c r="GF154" s="77"/>
      <c r="GG154" s="77"/>
      <c r="GH154" s="77"/>
      <c r="GI154" s="77"/>
      <c r="GJ154" s="77"/>
      <c r="GK154" s="77"/>
      <c r="GL154" s="77"/>
      <c r="GM154" s="77"/>
      <c r="GN154" s="77"/>
      <c r="GO154" s="77"/>
      <c r="GP154" s="77"/>
      <c r="GQ154" s="77"/>
      <c r="GR154" s="77"/>
      <c r="GS154" s="77"/>
      <c r="GT154" s="77"/>
      <c r="GU154" s="77"/>
      <c r="GV154" s="77"/>
      <c r="GW154" s="77"/>
      <c r="GX154" s="77"/>
      <c r="GY154" s="77"/>
      <c r="GZ154" s="77"/>
      <c r="HA154" s="77"/>
      <c r="HB154" s="77"/>
      <c r="HC154" s="77"/>
      <c r="HD154" s="77"/>
      <c r="HE154" s="77"/>
      <c r="HF154" s="77"/>
      <c r="HG154" s="77"/>
      <c r="HH154" s="77"/>
      <c r="HI154" s="77"/>
      <c r="HJ154" s="77"/>
      <c r="HK154" s="77"/>
      <c r="HL154" s="77"/>
      <c r="HM154" s="77"/>
      <c r="HN154" s="77"/>
      <c r="HO154" s="77"/>
      <c r="HP154" s="77"/>
      <c r="HQ154" s="77"/>
    </row>
    <row r="155" spans="1:225" hidden="1" x14ac:dyDescent="0.3">
      <c r="A155" s="78">
        <f>'Entrada datos'!C152</f>
        <v>0</v>
      </c>
      <c r="B155" s="74">
        <f>'Entrada datos'!D152</f>
        <v>0</v>
      </c>
      <c r="C155" s="75">
        <f>'Entrada datos'!G152</f>
        <v>0</v>
      </c>
      <c r="D155" s="75">
        <f>'Entrada datos'!H152</f>
        <v>0</v>
      </c>
      <c r="E155" s="74">
        <f t="shared" si="7"/>
        <v>0</v>
      </c>
      <c r="F155" s="68" t="str">
        <f t="shared" si="8"/>
        <v>no procede</v>
      </c>
      <c r="G155" s="74">
        <f>'Entrada datos'!P152</f>
        <v>0</v>
      </c>
      <c r="H155" s="74">
        <f>'Entrada datos'!Q152</f>
        <v>0</v>
      </c>
      <c r="I155" s="74">
        <f>'Entrada datos'!R152</f>
        <v>0</v>
      </c>
      <c r="J155" s="74">
        <f>'Entrada datos'!S152</f>
        <v>0</v>
      </c>
      <c r="K155" s="74">
        <f>'Entrada datos'!T152</f>
        <v>0</v>
      </c>
      <c r="L155" s="74">
        <f>'Entrada datos'!U152</f>
        <v>0</v>
      </c>
      <c r="M155" s="76"/>
      <c r="N155" s="76"/>
      <c r="O155" s="76"/>
      <c r="P155" s="76"/>
      <c r="Q155" s="76"/>
      <c r="R155" s="76"/>
      <c r="S155" s="77" t="s">
        <v>74</v>
      </c>
      <c r="T155" s="77"/>
      <c r="U155" s="77"/>
      <c r="V155" s="77">
        <f t="shared" si="9"/>
        <v>0</v>
      </c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  <c r="AI155" s="77"/>
      <c r="AJ155" s="77"/>
      <c r="AK155" s="77"/>
      <c r="AL155" s="77"/>
      <c r="AM155" s="77"/>
      <c r="AN155" s="77"/>
      <c r="AO155" s="77"/>
      <c r="AP155" s="77"/>
      <c r="AQ155" s="77"/>
      <c r="AR155" s="77"/>
      <c r="AS155" s="77"/>
      <c r="AT155" s="77"/>
      <c r="AU155" s="77"/>
      <c r="AV155" s="77"/>
      <c r="AW155" s="77"/>
      <c r="AX155" s="77"/>
      <c r="AY155" s="77"/>
      <c r="AZ155" s="77"/>
      <c r="BA155" s="77"/>
      <c r="BB155" s="77"/>
      <c r="BC155" s="77"/>
      <c r="BD155" s="77"/>
      <c r="BE155" s="77"/>
      <c r="BF155" s="77"/>
      <c r="BG155" s="77"/>
      <c r="BH155" s="77"/>
      <c r="BI155" s="77"/>
      <c r="BJ155" s="77"/>
      <c r="BK155" s="77"/>
      <c r="BL155" s="77"/>
      <c r="BM155" s="77"/>
      <c r="BN155" s="77"/>
      <c r="BO155" s="77"/>
      <c r="BP155" s="77"/>
      <c r="BQ155" s="77"/>
      <c r="BR155" s="77"/>
      <c r="BS155" s="77"/>
      <c r="BT155" s="77"/>
      <c r="BU155" s="77"/>
      <c r="BV155" s="77"/>
      <c r="BW155" s="77"/>
      <c r="BX155" s="77"/>
      <c r="BY155" s="77"/>
      <c r="BZ155" s="77"/>
      <c r="CA155" s="77"/>
      <c r="CB155" s="77"/>
      <c r="CC155" s="77"/>
      <c r="CD155" s="77"/>
      <c r="CE155" s="77"/>
      <c r="CF155" s="77"/>
      <c r="CG155" s="77"/>
      <c r="CH155" s="77"/>
      <c r="CI155" s="77"/>
      <c r="CJ155" s="77"/>
      <c r="CK155" s="77"/>
      <c r="CL155" s="77"/>
      <c r="CM155" s="77"/>
      <c r="CN155" s="77"/>
      <c r="CO155" s="77"/>
      <c r="CP155" s="77"/>
      <c r="CQ155" s="77"/>
      <c r="CR155" s="77"/>
      <c r="CS155" s="77"/>
      <c r="CT155" s="77"/>
      <c r="CU155" s="77"/>
      <c r="CV155" s="77"/>
      <c r="CW155" s="77"/>
      <c r="CX155" s="77"/>
      <c r="CY155" s="77"/>
      <c r="CZ155" s="77"/>
      <c r="DA155" s="77"/>
      <c r="DB155" s="77"/>
      <c r="DC155" s="77"/>
      <c r="DD155" s="77"/>
      <c r="DE155" s="77"/>
      <c r="DF155" s="77"/>
      <c r="DG155" s="77"/>
      <c r="DH155" s="77"/>
      <c r="DI155" s="77"/>
      <c r="DJ155" s="77"/>
      <c r="DK155" s="77"/>
      <c r="DL155" s="77"/>
      <c r="DM155" s="77"/>
      <c r="DN155" s="77"/>
      <c r="DO155" s="77"/>
      <c r="DP155" s="77"/>
      <c r="DQ155" s="77"/>
      <c r="DR155" s="77"/>
      <c r="DS155" s="77"/>
      <c r="DT155" s="77"/>
      <c r="DU155" s="77"/>
      <c r="DV155" s="77"/>
      <c r="DW155" s="77"/>
      <c r="DX155" s="77"/>
      <c r="DY155" s="77"/>
      <c r="DZ155" s="77"/>
      <c r="EA155" s="77"/>
      <c r="EB155" s="77"/>
      <c r="EC155" s="77"/>
      <c r="ED155" s="77"/>
      <c r="EE155" s="77"/>
      <c r="EF155" s="77"/>
      <c r="EG155" s="77"/>
      <c r="EH155" s="77"/>
      <c r="EI155" s="77"/>
      <c r="EJ155" s="77"/>
      <c r="EK155" s="77"/>
      <c r="EL155" s="77"/>
      <c r="EM155" s="77"/>
      <c r="EN155" s="77"/>
      <c r="EO155" s="77"/>
      <c r="EP155" s="77"/>
      <c r="EQ155" s="77"/>
      <c r="ER155" s="77"/>
      <c r="ES155" s="77"/>
      <c r="ET155" s="77"/>
      <c r="EU155" s="77"/>
      <c r="EV155" s="77"/>
      <c r="EW155" s="77"/>
      <c r="EX155" s="77"/>
      <c r="EY155" s="77"/>
      <c r="EZ155" s="77"/>
      <c r="FA155" s="77"/>
      <c r="FB155" s="77"/>
      <c r="FC155" s="77"/>
      <c r="FD155" s="77"/>
      <c r="FE155" s="77"/>
      <c r="FF155" s="77"/>
      <c r="FG155" s="77"/>
      <c r="FH155" s="77"/>
      <c r="FI155" s="77"/>
      <c r="FJ155" s="77"/>
      <c r="FK155" s="77"/>
      <c r="FL155" s="77"/>
      <c r="FM155" s="77"/>
      <c r="FN155" s="77"/>
      <c r="FO155" s="77"/>
      <c r="FP155" s="77"/>
      <c r="FQ155" s="77"/>
      <c r="FR155" s="77"/>
      <c r="FS155" s="77"/>
      <c r="FT155" s="77"/>
      <c r="FU155" s="77"/>
      <c r="FV155" s="77"/>
      <c r="FW155" s="77"/>
      <c r="FX155" s="77"/>
      <c r="FY155" s="77"/>
      <c r="FZ155" s="77"/>
      <c r="GA155" s="77"/>
      <c r="GB155" s="77"/>
      <c r="GC155" s="77"/>
      <c r="GD155" s="77"/>
      <c r="GE155" s="77"/>
      <c r="GF155" s="77"/>
      <c r="GG155" s="77"/>
      <c r="GH155" s="77"/>
      <c r="GI155" s="77"/>
      <c r="GJ155" s="77"/>
      <c r="GK155" s="77"/>
      <c r="GL155" s="77"/>
      <c r="GM155" s="77"/>
      <c r="GN155" s="77"/>
      <c r="GO155" s="77"/>
      <c r="GP155" s="77"/>
      <c r="GQ155" s="77"/>
      <c r="GR155" s="77"/>
      <c r="GS155" s="77"/>
      <c r="GT155" s="77"/>
      <c r="GU155" s="77"/>
      <c r="GV155" s="77"/>
      <c r="GW155" s="77"/>
      <c r="GX155" s="77"/>
      <c r="GY155" s="77"/>
      <c r="GZ155" s="77"/>
      <c r="HA155" s="77"/>
      <c r="HB155" s="77"/>
      <c r="HC155" s="77"/>
      <c r="HD155" s="77"/>
      <c r="HE155" s="77"/>
      <c r="HF155" s="77"/>
      <c r="HG155" s="77"/>
      <c r="HH155" s="77"/>
      <c r="HI155" s="77"/>
      <c r="HJ155" s="77"/>
      <c r="HK155" s="77"/>
      <c r="HL155" s="77"/>
      <c r="HM155" s="77"/>
      <c r="HN155" s="77"/>
      <c r="HO155" s="77"/>
      <c r="HP155" s="77"/>
      <c r="HQ155" s="77"/>
    </row>
    <row r="156" spans="1:225" hidden="1" x14ac:dyDescent="0.3">
      <c r="A156" s="78">
        <f>'Entrada datos'!C153</f>
        <v>0</v>
      </c>
      <c r="B156" s="74">
        <f>'Entrada datos'!D153</f>
        <v>0</v>
      </c>
      <c r="C156" s="75">
        <f>'Entrada datos'!G153</f>
        <v>0</v>
      </c>
      <c r="D156" s="75">
        <f>'Entrada datos'!H153</f>
        <v>0</v>
      </c>
      <c r="E156" s="74">
        <f t="shared" si="7"/>
        <v>0</v>
      </c>
      <c r="F156" s="68" t="str">
        <f t="shared" si="8"/>
        <v>no procede</v>
      </c>
      <c r="G156" s="74">
        <f>'Entrada datos'!P153</f>
        <v>0</v>
      </c>
      <c r="H156" s="74">
        <f>'Entrada datos'!Q153</f>
        <v>0</v>
      </c>
      <c r="I156" s="74">
        <f>'Entrada datos'!R153</f>
        <v>0</v>
      </c>
      <c r="J156" s="74">
        <f>'Entrada datos'!S153</f>
        <v>0</v>
      </c>
      <c r="K156" s="74">
        <f>'Entrada datos'!T153</f>
        <v>0</v>
      </c>
      <c r="L156" s="74">
        <f>'Entrada datos'!U153</f>
        <v>0</v>
      </c>
      <c r="M156" s="76"/>
      <c r="N156" s="76"/>
      <c r="O156" s="76"/>
      <c r="P156" s="76"/>
      <c r="Q156" s="76"/>
      <c r="R156" s="76"/>
      <c r="S156" s="77" t="s">
        <v>74</v>
      </c>
      <c r="T156" s="77"/>
      <c r="U156" s="77"/>
      <c r="V156" s="77">
        <f t="shared" si="9"/>
        <v>0</v>
      </c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  <c r="AI156" s="77"/>
      <c r="AJ156" s="77"/>
      <c r="AK156" s="77"/>
      <c r="AL156" s="77"/>
      <c r="AM156" s="77"/>
      <c r="AN156" s="77"/>
      <c r="AO156" s="77"/>
      <c r="AP156" s="77"/>
      <c r="AQ156" s="77"/>
      <c r="AR156" s="77"/>
      <c r="AS156" s="77"/>
      <c r="AT156" s="77"/>
      <c r="AU156" s="77"/>
      <c r="AV156" s="77"/>
      <c r="AW156" s="77"/>
      <c r="AX156" s="77"/>
      <c r="AY156" s="77"/>
      <c r="AZ156" s="77"/>
      <c r="BA156" s="77"/>
      <c r="BB156" s="77"/>
      <c r="BC156" s="77"/>
      <c r="BD156" s="77"/>
      <c r="BE156" s="77"/>
      <c r="BF156" s="77"/>
      <c r="BG156" s="77"/>
      <c r="BH156" s="77"/>
      <c r="BI156" s="77"/>
      <c r="BJ156" s="77"/>
      <c r="BK156" s="77"/>
      <c r="BL156" s="77"/>
      <c r="BM156" s="77"/>
      <c r="BN156" s="77"/>
      <c r="BO156" s="77"/>
      <c r="BP156" s="77"/>
      <c r="BQ156" s="77"/>
      <c r="BR156" s="77"/>
      <c r="BS156" s="77"/>
      <c r="BT156" s="77"/>
      <c r="BU156" s="77"/>
      <c r="BV156" s="77"/>
      <c r="BW156" s="77"/>
      <c r="BX156" s="77"/>
      <c r="BY156" s="77"/>
      <c r="BZ156" s="77"/>
      <c r="CA156" s="77"/>
      <c r="CB156" s="77"/>
      <c r="CC156" s="77"/>
      <c r="CD156" s="77"/>
      <c r="CE156" s="77"/>
      <c r="CF156" s="77"/>
      <c r="CG156" s="77"/>
      <c r="CH156" s="77"/>
      <c r="CI156" s="77"/>
      <c r="CJ156" s="77"/>
      <c r="CK156" s="77"/>
      <c r="CL156" s="77"/>
      <c r="CM156" s="77"/>
      <c r="CN156" s="77"/>
      <c r="CO156" s="77"/>
      <c r="CP156" s="77"/>
      <c r="CQ156" s="77"/>
      <c r="CR156" s="77"/>
      <c r="CS156" s="77"/>
      <c r="CT156" s="77"/>
      <c r="CU156" s="77"/>
      <c r="CV156" s="77"/>
      <c r="CW156" s="77"/>
      <c r="CX156" s="77"/>
      <c r="CY156" s="77"/>
      <c r="CZ156" s="77"/>
      <c r="DA156" s="77"/>
      <c r="DB156" s="77"/>
      <c r="DC156" s="77"/>
      <c r="DD156" s="77"/>
      <c r="DE156" s="77"/>
      <c r="DF156" s="77"/>
      <c r="DG156" s="77"/>
      <c r="DH156" s="77"/>
      <c r="DI156" s="77"/>
      <c r="DJ156" s="77"/>
      <c r="DK156" s="77"/>
      <c r="DL156" s="77"/>
      <c r="DM156" s="77"/>
      <c r="DN156" s="77"/>
      <c r="DO156" s="77"/>
      <c r="DP156" s="77"/>
      <c r="DQ156" s="77"/>
      <c r="DR156" s="77"/>
      <c r="DS156" s="77"/>
      <c r="DT156" s="77"/>
      <c r="DU156" s="77"/>
      <c r="DV156" s="77"/>
      <c r="DW156" s="77"/>
      <c r="DX156" s="77"/>
      <c r="DY156" s="77"/>
      <c r="DZ156" s="77"/>
      <c r="EA156" s="77"/>
      <c r="EB156" s="77"/>
      <c r="EC156" s="77"/>
      <c r="ED156" s="77"/>
      <c r="EE156" s="77"/>
      <c r="EF156" s="77"/>
      <c r="EG156" s="77"/>
      <c r="EH156" s="77"/>
      <c r="EI156" s="77"/>
      <c r="EJ156" s="77"/>
      <c r="EK156" s="77"/>
      <c r="EL156" s="77"/>
      <c r="EM156" s="77"/>
      <c r="EN156" s="77"/>
      <c r="EO156" s="77"/>
      <c r="EP156" s="77"/>
      <c r="EQ156" s="77"/>
      <c r="ER156" s="77"/>
      <c r="ES156" s="77"/>
      <c r="ET156" s="77"/>
      <c r="EU156" s="77"/>
      <c r="EV156" s="77"/>
      <c r="EW156" s="77"/>
      <c r="EX156" s="77"/>
      <c r="EY156" s="77"/>
      <c r="EZ156" s="77"/>
      <c r="FA156" s="77"/>
      <c r="FB156" s="77"/>
      <c r="FC156" s="77"/>
      <c r="FD156" s="77"/>
      <c r="FE156" s="77"/>
      <c r="FF156" s="77"/>
      <c r="FG156" s="77"/>
      <c r="FH156" s="77"/>
      <c r="FI156" s="77"/>
      <c r="FJ156" s="77"/>
      <c r="FK156" s="77"/>
      <c r="FL156" s="77"/>
      <c r="FM156" s="77"/>
      <c r="FN156" s="77"/>
      <c r="FO156" s="77"/>
      <c r="FP156" s="77"/>
      <c r="FQ156" s="77"/>
      <c r="FR156" s="77"/>
      <c r="FS156" s="77"/>
      <c r="FT156" s="77"/>
      <c r="FU156" s="77"/>
      <c r="FV156" s="77"/>
      <c r="FW156" s="77"/>
      <c r="FX156" s="77"/>
      <c r="FY156" s="77"/>
      <c r="FZ156" s="77"/>
      <c r="GA156" s="77"/>
      <c r="GB156" s="77"/>
      <c r="GC156" s="77"/>
      <c r="GD156" s="77"/>
      <c r="GE156" s="77"/>
      <c r="GF156" s="77"/>
      <c r="GG156" s="77"/>
      <c r="GH156" s="77"/>
      <c r="GI156" s="77"/>
      <c r="GJ156" s="77"/>
      <c r="GK156" s="77"/>
      <c r="GL156" s="77"/>
      <c r="GM156" s="77"/>
      <c r="GN156" s="77"/>
      <c r="GO156" s="77"/>
      <c r="GP156" s="77"/>
      <c r="GQ156" s="77"/>
      <c r="GR156" s="77"/>
      <c r="GS156" s="77"/>
      <c r="GT156" s="77"/>
      <c r="GU156" s="77"/>
      <c r="GV156" s="77"/>
      <c r="GW156" s="77"/>
      <c r="GX156" s="77"/>
      <c r="GY156" s="77"/>
      <c r="GZ156" s="77"/>
      <c r="HA156" s="77"/>
      <c r="HB156" s="77"/>
      <c r="HC156" s="77"/>
      <c r="HD156" s="77"/>
      <c r="HE156" s="77"/>
      <c r="HF156" s="77"/>
      <c r="HG156" s="77"/>
      <c r="HH156" s="77"/>
      <c r="HI156" s="77"/>
      <c r="HJ156" s="77"/>
      <c r="HK156" s="77"/>
      <c r="HL156" s="77"/>
      <c r="HM156" s="77"/>
      <c r="HN156" s="77"/>
      <c r="HO156" s="77"/>
      <c r="HP156" s="77"/>
      <c r="HQ156" s="77"/>
    </row>
    <row r="157" spans="1:225" hidden="1" x14ac:dyDescent="0.3">
      <c r="A157" s="78">
        <f>'Entrada datos'!C154</f>
        <v>0</v>
      </c>
      <c r="B157" s="74">
        <f>'Entrada datos'!D154</f>
        <v>0</v>
      </c>
      <c r="C157" s="75">
        <f>'Entrada datos'!G154</f>
        <v>0</v>
      </c>
      <c r="D157" s="75">
        <f>'Entrada datos'!H154</f>
        <v>0</v>
      </c>
      <c r="E157" s="74">
        <f t="shared" si="7"/>
        <v>0</v>
      </c>
      <c r="F157" s="68" t="str">
        <f t="shared" si="8"/>
        <v>no procede</v>
      </c>
      <c r="G157" s="74">
        <f>'Entrada datos'!P154</f>
        <v>0</v>
      </c>
      <c r="H157" s="74">
        <f>'Entrada datos'!Q154</f>
        <v>0</v>
      </c>
      <c r="I157" s="74">
        <f>'Entrada datos'!R154</f>
        <v>0</v>
      </c>
      <c r="J157" s="74">
        <f>'Entrada datos'!S154</f>
        <v>0</v>
      </c>
      <c r="K157" s="74">
        <f>'Entrada datos'!T154</f>
        <v>0</v>
      </c>
      <c r="L157" s="74">
        <f>'Entrada datos'!U154</f>
        <v>0</v>
      </c>
      <c r="M157" s="76"/>
      <c r="N157" s="76"/>
      <c r="O157" s="76"/>
      <c r="P157" s="76"/>
      <c r="Q157" s="76"/>
      <c r="R157" s="76"/>
      <c r="S157" s="77" t="s">
        <v>74</v>
      </c>
      <c r="T157" s="77"/>
      <c r="U157" s="77"/>
      <c r="V157" s="77">
        <f t="shared" si="9"/>
        <v>0</v>
      </c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  <c r="AI157" s="77"/>
      <c r="AJ157" s="77"/>
      <c r="AK157" s="77"/>
      <c r="AL157" s="77"/>
      <c r="AM157" s="77"/>
      <c r="AN157" s="77"/>
      <c r="AO157" s="77"/>
      <c r="AP157" s="77"/>
      <c r="AQ157" s="77"/>
      <c r="AR157" s="77"/>
      <c r="AS157" s="77"/>
      <c r="AT157" s="77"/>
      <c r="AU157" s="77"/>
      <c r="AV157" s="77"/>
      <c r="AW157" s="77"/>
      <c r="AX157" s="77"/>
      <c r="AY157" s="77"/>
      <c r="AZ157" s="77"/>
      <c r="BA157" s="77"/>
      <c r="BB157" s="77"/>
      <c r="BC157" s="77"/>
      <c r="BD157" s="77"/>
      <c r="BE157" s="77"/>
      <c r="BF157" s="77"/>
      <c r="BG157" s="77"/>
      <c r="BH157" s="77"/>
      <c r="BI157" s="77"/>
      <c r="BJ157" s="77"/>
      <c r="BK157" s="77"/>
      <c r="BL157" s="77"/>
      <c r="BM157" s="77"/>
      <c r="BN157" s="77"/>
      <c r="BO157" s="77"/>
      <c r="BP157" s="77"/>
      <c r="BQ157" s="77"/>
      <c r="BR157" s="77"/>
      <c r="BS157" s="77"/>
      <c r="BT157" s="77"/>
      <c r="BU157" s="77"/>
      <c r="BV157" s="77"/>
      <c r="BW157" s="77"/>
      <c r="BX157" s="77"/>
      <c r="BY157" s="77"/>
      <c r="BZ157" s="77"/>
      <c r="CA157" s="77"/>
      <c r="CB157" s="77"/>
      <c r="CC157" s="77"/>
      <c r="CD157" s="77"/>
      <c r="CE157" s="77"/>
      <c r="CF157" s="77"/>
      <c r="CG157" s="77"/>
      <c r="CH157" s="77"/>
      <c r="CI157" s="77"/>
      <c r="CJ157" s="77"/>
      <c r="CK157" s="77"/>
      <c r="CL157" s="77"/>
      <c r="CM157" s="77"/>
      <c r="CN157" s="77"/>
      <c r="CO157" s="77"/>
      <c r="CP157" s="77"/>
      <c r="CQ157" s="77"/>
      <c r="CR157" s="77"/>
      <c r="CS157" s="77"/>
      <c r="CT157" s="77"/>
      <c r="CU157" s="77"/>
      <c r="CV157" s="77"/>
      <c r="CW157" s="77"/>
      <c r="CX157" s="77"/>
      <c r="CY157" s="77"/>
      <c r="CZ157" s="77"/>
      <c r="DA157" s="77"/>
      <c r="DB157" s="77"/>
      <c r="DC157" s="77"/>
      <c r="DD157" s="77"/>
      <c r="DE157" s="77"/>
      <c r="DF157" s="77"/>
      <c r="DG157" s="77"/>
      <c r="DH157" s="77"/>
      <c r="DI157" s="77"/>
      <c r="DJ157" s="77"/>
      <c r="DK157" s="77"/>
      <c r="DL157" s="77"/>
      <c r="DM157" s="77"/>
      <c r="DN157" s="77"/>
      <c r="DO157" s="77"/>
      <c r="DP157" s="77"/>
      <c r="DQ157" s="77"/>
      <c r="DR157" s="77"/>
      <c r="DS157" s="77"/>
      <c r="DT157" s="77"/>
      <c r="DU157" s="77"/>
      <c r="DV157" s="77"/>
      <c r="DW157" s="77"/>
      <c r="DX157" s="77"/>
      <c r="DY157" s="77"/>
      <c r="DZ157" s="77"/>
      <c r="EA157" s="77"/>
      <c r="EB157" s="77"/>
      <c r="EC157" s="77"/>
      <c r="ED157" s="77"/>
      <c r="EE157" s="77"/>
      <c r="EF157" s="77"/>
      <c r="EG157" s="77"/>
      <c r="EH157" s="77"/>
      <c r="EI157" s="77"/>
      <c r="EJ157" s="77"/>
      <c r="EK157" s="77"/>
      <c r="EL157" s="77"/>
      <c r="EM157" s="77"/>
      <c r="EN157" s="77"/>
      <c r="EO157" s="77"/>
      <c r="EP157" s="77"/>
      <c r="EQ157" s="77"/>
      <c r="ER157" s="77"/>
      <c r="ES157" s="77"/>
      <c r="ET157" s="77"/>
      <c r="EU157" s="77"/>
      <c r="EV157" s="77"/>
      <c r="EW157" s="77"/>
      <c r="EX157" s="77"/>
      <c r="EY157" s="77"/>
      <c r="EZ157" s="77"/>
      <c r="FA157" s="77"/>
      <c r="FB157" s="77"/>
      <c r="FC157" s="77"/>
      <c r="FD157" s="77"/>
      <c r="FE157" s="77"/>
      <c r="FF157" s="77"/>
      <c r="FG157" s="77"/>
      <c r="FH157" s="77"/>
      <c r="FI157" s="77"/>
      <c r="FJ157" s="77"/>
      <c r="FK157" s="77"/>
      <c r="FL157" s="77"/>
      <c r="FM157" s="77"/>
      <c r="FN157" s="77"/>
      <c r="FO157" s="77"/>
      <c r="FP157" s="77"/>
      <c r="FQ157" s="77"/>
      <c r="FR157" s="77"/>
      <c r="FS157" s="77"/>
      <c r="FT157" s="77"/>
      <c r="FU157" s="77"/>
      <c r="FV157" s="77"/>
      <c r="FW157" s="77"/>
      <c r="FX157" s="77"/>
      <c r="FY157" s="77"/>
      <c r="FZ157" s="77"/>
      <c r="GA157" s="77"/>
      <c r="GB157" s="77"/>
      <c r="GC157" s="77"/>
      <c r="GD157" s="77"/>
      <c r="GE157" s="77"/>
      <c r="GF157" s="77"/>
      <c r="GG157" s="77"/>
      <c r="GH157" s="77"/>
      <c r="GI157" s="77"/>
      <c r="GJ157" s="77"/>
      <c r="GK157" s="77"/>
      <c r="GL157" s="77"/>
      <c r="GM157" s="77"/>
      <c r="GN157" s="77"/>
      <c r="GO157" s="77"/>
      <c r="GP157" s="77"/>
      <c r="GQ157" s="77"/>
      <c r="GR157" s="77"/>
      <c r="GS157" s="77"/>
      <c r="GT157" s="77"/>
      <c r="GU157" s="77"/>
      <c r="GV157" s="77"/>
      <c r="GW157" s="77"/>
      <c r="GX157" s="77"/>
      <c r="GY157" s="77"/>
      <c r="GZ157" s="77"/>
      <c r="HA157" s="77"/>
      <c r="HB157" s="77"/>
      <c r="HC157" s="77"/>
      <c r="HD157" s="77"/>
      <c r="HE157" s="77"/>
      <c r="HF157" s="77"/>
      <c r="HG157" s="77"/>
      <c r="HH157" s="77"/>
      <c r="HI157" s="77"/>
      <c r="HJ157" s="77"/>
      <c r="HK157" s="77"/>
      <c r="HL157" s="77"/>
      <c r="HM157" s="77"/>
      <c r="HN157" s="77"/>
      <c r="HO157" s="77"/>
      <c r="HP157" s="77"/>
      <c r="HQ157" s="77"/>
    </row>
    <row r="158" spans="1:225" hidden="1" x14ac:dyDescent="0.3">
      <c r="A158" s="78">
        <f>'Entrada datos'!C155</f>
        <v>0</v>
      </c>
      <c r="B158" s="74">
        <f>'Entrada datos'!D155</f>
        <v>0</v>
      </c>
      <c r="C158" s="75">
        <f>'Entrada datos'!G155</f>
        <v>0</v>
      </c>
      <c r="D158" s="75">
        <f>'Entrada datos'!H155</f>
        <v>0</v>
      </c>
      <c r="E158" s="74">
        <f t="shared" si="7"/>
        <v>0</v>
      </c>
      <c r="F158" s="68" t="str">
        <f t="shared" si="8"/>
        <v>no procede</v>
      </c>
      <c r="G158" s="74">
        <f>'Entrada datos'!P155</f>
        <v>0</v>
      </c>
      <c r="H158" s="74">
        <f>'Entrada datos'!Q155</f>
        <v>0</v>
      </c>
      <c r="I158" s="74">
        <f>'Entrada datos'!R155</f>
        <v>0</v>
      </c>
      <c r="J158" s="74">
        <f>'Entrada datos'!S155</f>
        <v>0</v>
      </c>
      <c r="K158" s="74">
        <f>'Entrada datos'!T155</f>
        <v>0</v>
      </c>
      <c r="L158" s="74">
        <f>'Entrada datos'!U155</f>
        <v>0</v>
      </c>
      <c r="M158" s="76"/>
      <c r="N158" s="76"/>
      <c r="O158" s="76"/>
      <c r="P158" s="76"/>
      <c r="Q158" s="76"/>
      <c r="R158" s="76"/>
      <c r="S158" s="77" t="s">
        <v>74</v>
      </c>
      <c r="T158" s="77"/>
      <c r="U158" s="77"/>
      <c r="V158" s="77">
        <f t="shared" si="9"/>
        <v>0</v>
      </c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77"/>
      <c r="AJ158" s="77"/>
      <c r="AK158" s="77"/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C158" s="77"/>
      <c r="BD158" s="77"/>
      <c r="BE158" s="77"/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W158" s="77"/>
      <c r="BX158" s="77"/>
      <c r="BY158" s="77"/>
      <c r="BZ158" s="77"/>
      <c r="CA158" s="77"/>
      <c r="CB158" s="77"/>
      <c r="CC158" s="77"/>
      <c r="CD158" s="77"/>
      <c r="CE158" s="77"/>
      <c r="CF158" s="77"/>
      <c r="CG158" s="77"/>
      <c r="CH158" s="77"/>
      <c r="CI158" s="77"/>
      <c r="CJ158" s="77"/>
      <c r="CK158" s="77"/>
      <c r="CL158" s="77"/>
      <c r="CM158" s="77"/>
      <c r="CN158" s="77"/>
      <c r="CO158" s="77"/>
      <c r="CP158" s="77"/>
      <c r="CQ158" s="77"/>
      <c r="CR158" s="77"/>
      <c r="CS158" s="77"/>
      <c r="CT158" s="77"/>
      <c r="CU158" s="77"/>
      <c r="CV158" s="77"/>
      <c r="CW158" s="77"/>
      <c r="CX158" s="77"/>
      <c r="CY158" s="77"/>
      <c r="CZ158" s="77"/>
      <c r="DA158" s="77"/>
      <c r="DB158" s="77"/>
      <c r="DC158" s="77"/>
      <c r="DD158" s="77"/>
      <c r="DE158" s="77"/>
      <c r="DF158" s="77"/>
      <c r="DG158" s="77"/>
      <c r="DH158" s="77"/>
      <c r="DI158" s="77"/>
      <c r="DJ158" s="77"/>
      <c r="DK158" s="77"/>
      <c r="DL158" s="77"/>
      <c r="DM158" s="77"/>
      <c r="DN158" s="77"/>
      <c r="DO158" s="77"/>
      <c r="DP158" s="77"/>
      <c r="DQ158" s="77"/>
      <c r="DR158" s="77"/>
      <c r="DS158" s="77"/>
      <c r="DT158" s="77"/>
      <c r="DU158" s="77"/>
      <c r="DV158" s="77"/>
      <c r="DW158" s="77"/>
      <c r="DX158" s="77"/>
      <c r="DY158" s="77"/>
      <c r="DZ158" s="77"/>
      <c r="EA158" s="77"/>
      <c r="EB158" s="77"/>
      <c r="EC158" s="77"/>
      <c r="ED158" s="77"/>
      <c r="EE158" s="77"/>
      <c r="EF158" s="77"/>
      <c r="EG158" s="77"/>
      <c r="EH158" s="77"/>
      <c r="EI158" s="77"/>
      <c r="EJ158" s="77"/>
      <c r="EK158" s="77"/>
      <c r="EL158" s="77"/>
      <c r="EM158" s="77"/>
      <c r="EN158" s="77"/>
      <c r="EO158" s="77"/>
      <c r="EP158" s="77"/>
      <c r="EQ158" s="77"/>
      <c r="ER158" s="77"/>
      <c r="ES158" s="77"/>
      <c r="ET158" s="77"/>
      <c r="EU158" s="77"/>
      <c r="EV158" s="77"/>
      <c r="EW158" s="77"/>
      <c r="EX158" s="77"/>
      <c r="EY158" s="77"/>
      <c r="EZ158" s="77"/>
      <c r="FA158" s="77"/>
      <c r="FB158" s="77"/>
      <c r="FC158" s="77"/>
      <c r="FD158" s="77"/>
      <c r="FE158" s="77"/>
      <c r="FF158" s="77"/>
      <c r="FG158" s="77"/>
      <c r="FH158" s="77"/>
      <c r="FI158" s="77"/>
      <c r="FJ158" s="77"/>
      <c r="FK158" s="77"/>
      <c r="FL158" s="77"/>
      <c r="FM158" s="77"/>
      <c r="FN158" s="77"/>
      <c r="FO158" s="77"/>
      <c r="FP158" s="77"/>
      <c r="FQ158" s="77"/>
      <c r="FR158" s="77"/>
      <c r="FS158" s="77"/>
      <c r="FT158" s="77"/>
      <c r="FU158" s="77"/>
      <c r="FV158" s="77"/>
      <c r="FW158" s="77"/>
      <c r="FX158" s="77"/>
      <c r="FY158" s="77"/>
      <c r="FZ158" s="77"/>
      <c r="GA158" s="77"/>
      <c r="GB158" s="77"/>
      <c r="GC158" s="77"/>
      <c r="GD158" s="77"/>
      <c r="GE158" s="77"/>
      <c r="GF158" s="77"/>
      <c r="GG158" s="77"/>
      <c r="GH158" s="77"/>
      <c r="GI158" s="77"/>
      <c r="GJ158" s="77"/>
      <c r="GK158" s="77"/>
      <c r="GL158" s="77"/>
      <c r="GM158" s="77"/>
      <c r="GN158" s="77"/>
      <c r="GO158" s="77"/>
      <c r="GP158" s="77"/>
      <c r="GQ158" s="77"/>
      <c r="GR158" s="77"/>
      <c r="GS158" s="77"/>
      <c r="GT158" s="77"/>
      <c r="GU158" s="77"/>
      <c r="GV158" s="77"/>
      <c r="GW158" s="77"/>
      <c r="GX158" s="77"/>
      <c r="GY158" s="77"/>
      <c r="GZ158" s="77"/>
      <c r="HA158" s="77"/>
      <c r="HB158" s="77"/>
      <c r="HC158" s="77"/>
      <c r="HD158" s="77"/>
      <c r="HE158" s="77"/>
      <c r="HF158" s="77"/>
      <c r="HG158" s="77"/>
      <c r="HH158" s="77"/>
      <c r="HI158" s="77"/>
      <c r="HJ158" s="77"/>
      <c r="HK158" s="77"/>
      <c r="HL158" s="77"/>
      <c r="HM158" s="77"/>
      <c r="HN158" s="77"/>
      <c r="HO158" s="77"/>
      <c r="HP158" s="77"/>
      <c r="HQ158" s="77"/>
    </row>
    <row r="159" spans="1:225" hidden="1" x14ac:dyDescent="0.3">
      <c r="A159" s="78">
        <f>'Entrada datos'!C156</f>
        <v>0</v>
      </c>
      <c r="B159" s="74">
        <f>'Entrada datos'!D156</f>
        <v>0</v>
      </c>
      <c r="C159" s="75">
        <f>'Entrada datos'!G156</f>
        <v>0</v>
      </c>
      <c r="D159" s="75">
        <f>'Entrada datos'!H156</f>
        <v>0</v>
      </c>
      <c r="E159" s="74">
        <f t="shared" si="7"/>
        <v>0</v>
      </c>
      <c r="F159" s="68" t="str">
        <f t="shared" si="8"/>
        <v>no procede</v>
      </c>
      <c r="G159" s="74">
        <f>'Entrada datos'!P156</f>
        <v>0</v>
      </c>
      <c r="H159" s="74">
        <f>'Entrada datos'!Q156</f>
        <v>0</v>
      </c>
      <c r="I159" s="74">
        <f>'Entrada datos'!R156</f>
        <v>0</v>
      </c>
      <c r="J159" s="74">
        <f>'Entrada datos'!S156</f>
        <v>0</v>
      </c>
      <c r="K159" s="74">
        <f>'Entrada datos'!T156</f>
        <v>0</v>
      </c>
      <c r="L159" s="74">
        <f>'Entrada datos'!U156</f>
        <v>0</v>
      </c>
      <c r="M159" s="76"/>
      <c r="N159" s="76"/>
      <c r="O159" s="76"/>
      <c r="P159" s="76"/>
      <c r="Q159" s="76"/>
      <c r="R159" s="76"/>
      <c r="S159" s="77" t="s">
        <v>74</v>
      </c>
      <c r="T159" s="77"/>
      <c r="U159" s="77"/>
      <c r="V159" s="77">
        <f t="shared" si="9"/>
        <v>0</v>
      </c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  <c r="AI159" s="77"/>
      <c r="AJ159" s="77"/>
      <c r="AK159" s="77"/>
      <c r="AL159" s="77"/>
      <c r="AM159" s="77"/>
      <c r="AN159" s="77"/>
      <c r="AO159" s="77"/>
      <c r="AP159" s="77"/>
      <c r="AQ159" s="77"/>
      <c r="AR159" s="77"/>
      <c r="AS159" s="77"/>
      <c r="AT159" s="77"/>
      <c r="AU159" s="77"/>
      <c r="AV159" s="77"/>
      <c r="AW159" s="77"/>
      <c r="AX159" s="77"/>
      <c r="AY159" s="77"/>
      <c r="AZ159" s="77"/>
      <c r="BA159" s="77"/>
      <c r="BB159" s="77"/>
      <c r="BC159" s="77"/>
      <c r="BD159" s="77"/>
      <c r="BE159" s="77"/>
      <c r="BF159" s="77"/>
      <c r="BG159" s="77"/>
      <c r="BH159" s="77"/>
      <c r="BI159" s="77"/>
      <c r="BJ159" s="77"/>
      <c r="BK159" s="77"/>
      <c r="BL159" s="77"/>
      <c r="BM159" s="77"/>
      <c r="BN159" s="77"/>
      <c r="BO159" s="77"/>
      <c r="BP159" s="77"/>
      <c r="BQ159" s="77"/>
      <c r="BR159" s="77"/>
      <c r="BS159" s="77"/>
      <c r="BT159" s="77"/>
      <c r="BU159" s="77"/>
      <c r="BV159" s="77"/>
      <c r="BW159" s="77"/>
      <c r="BX159" s="77"/>
      <c r="BY159" s="77"/>
      <c r="BZ159" s="77"/>
      <c r="CA159" s="77"/>
      <c r="CB159" s="77"/>
      <c r="CC159" s="77"/>
      <c r="CD159" s="77"/>
      <c r="CE159" s="77"/>
      <c r="CF159" s="77"/>
      <c r="CG159" s="77"/>
      <c r="CH159" s="77"/>
      <c r="CI159" s="77"/>
      <c r="CJ159" s="77"/>
      <c r="CK159" s="77"/>
      <c r="CL159" s="77"/>
      <c r="CM159" s="77"/>
      <c r="CN159" s="77"/>
      <c r="CO159" s="77"/>
      <c r="CP159" s="77"/>
      <c r="CQ159" s="77"/>
      <c r="CR159" s="77"/>
      <c r="CS159" s="77"/>
      <c r="CT159" s="77"/>
      <c r="CU159" s="77"/>
      <c r="CV159" s="77"/>
      <c r="CW159" s="77"/>
      <c r="CX159" s="77"/>
      <c r="CY159" s="77"/>
      <c r="CZ159" s="77"/>
      <c r="DA159" s="77"/>
      <c r="DB159" s="77"/>
      <c r="DC159" s="77"/>
      <c r="DD159" s="77"/>
      <c r="DE159" s="77"/>
      <c r="DF159" s="77"/>
      <c r="DG159" s="77"/>
      <c r="DH159" s="77"/>
      <c r="DI159" s="77"/>
      <c r="DJ159" s="77"/>
      <c r="DK159" s="77"/>
      <c r="DL159" s="77"/>
      <c r="DM159" s="77"/>
      <c r="DN159" s="77"/>
      <c r="DO159" s="77"/>
      <c r="DP159" s="77"/>
      <c r="DQ159" s="77"/>
      <c r="DR159" s="77"/>
      <c r="DS159" s="77"/>
      <c r="DT159" s="77"/>
      <c r="DU159" s="77"/>
      <c r="DV159" s="77"/>
      <c r="DW159" s="77"/>
      <c r="DX159" s="77"/>
      <c r="DY159" s="77"/>
      <c r="DZ159" s="77"/>
      <c r="EA159" s="77"/>
      <c r="EB159" s="77"/>
      <c r="EC159" s="77"/>
      <c r="ED159" s="77"/>
      <c r="EE159" s="77"/>
      <c r="EF159" s="77"/>
      <c r="EG159" s="77"/>
      <c r="EH159" s="77"/>
      <c r="EI159" s="77"/>
      <c r="EJ159" s="77"/>
      <c r="EK159" s="77"/>
      <c r="EL159" s="77"/>
      <c r="EM159" s="77"/>
      <c r="EN159" s="77"/>
      <c r="EO159" s="77"/>
      <c r="EP159" s="77"/>
      <c r="EQ159" s="77"/>
      <c r="ER159" s="77"/>
      <c r="ES159" s="77"/>
      <c r="ET159" s="77"/>
      <c r="EU159" s="77"/>
      <c r="EV159" s="77"/>
      <c r="EW159" s="77"/>
      <c r="EX159" s="77"/>
      <c r="EY159" s="77"/>
      <c r="EZ159" s="77"/>
      <c r="FA159" s="77"/>
      <c r="FB159" s="77"/>
      <c r="FC159" s="77"/>
      <c r="FD159" s="77"/>
      <c r="FE159" s="77"/>
      <c r="FF159" s="77"/>
      <c r="FG159" s="77"/>
      <c r="FH159" s="77"/>
      <c r="FI159" s="77"/>
      <c r="FJ159" s="77"/>
      <c r="FK159" s="77"/>
      <c r="FL159" s="77"/>
      <c r="FM159" s="77"/>
      <c r="FN159" s="77"/>
      <c r="FO159" s="77"/>
      <c r="FP159" s="77"/>
      <c r="FQ159" s="77"/>
      <c r="FR159" s="77"/>
      <c r="FS159" s="77"/>
      <c r="FT159" s="77"/>
      <c r="FU159" s="77"/>
      <c r="FV159" s="77"/>
      <c r="FW159" s="77"/>
      <c r="FX159" s="77"/>
      <c r="FY159" s="77"/>
      <c r="FZ159" s="77"/>
      <c r="GA159" s="77"/>
      <c r="GB159" s="77"/>
      <c r="GC159" s="77"/>
      <c r="GD159" s="77"/>
      <c r="GE159" s="77"/>
      <c r="GF159" s="77"/>
      <c r="GG159" s="77"/>
      <c r="GH159" s="77"/>
      <c r="GI159" s="77"/>
      <c r="GJ159" s="77"/>
      <c r="GK159" s="77"/>
      <c r="GL159" s="77"/>
      <c r="GM159" s="77"/>
      <c r="GN159" s="77"/>
      <c r="GO159" s="77"/>
      <c r="GP159" s="77"/>
      <c r="GQ159" s="77"/>
      <c r="GR159" s="77"/>
      <c r="GS159" s="77"/>
      <c r="GT159" s="77"/>
      <c r="GU159" s="77"/>
      <c r="GV159" s="77"/>
      <c r="GW159" s="77"/>
      <c r="GX159" s="77"/>
      <c r="GY159" s="77"/>
      <c r="GZ159" s="77"/>
      <c r="HA159" s="77"/>
      <c r="HB159" s="77"/>
      <c r="HC159" s="77"/>
      <c r="HD159" s="77"/>
      <c r="HE159" s="77"/>
      <c r="HF159" s="77"/>
      <c r="HG159" s="77"/>
      <c r="HH159" s="77"/>
      <c r="HI159" s="77"/>
      <c r="HJ159" s="77"/>
      <c r="HK159" s="77"/>
      <c r="HL159" s="77"/>
      <c r="HM159" s="77"/>
      <c r="HN159" s="77"/>
      <c r="HO159" s="77"/>
      <c r="HP159" s="77"/>
      <c r="HQ159" s="77"/>
    </row>
    <row r="160" spans="1:225" hidden="1" x14ac:dyDescent="0.3">
      <c r="A160" s="78">
        <f>'Entrada datos'!C157</f>
        <v>0</v>
      </c>
      <c r="B160" s="74">
        <f>'Entrada datos'!D157</f>
        <v>0</v>
      </c>
      <c r="C160" s="75">
        <f>'Entrada datos'!G157</f>
        <v>0</v>
      </c>
      <c r="D160" s="75">
        <f>'Entrada datos'!H157</f>
        <v>0</v>
      </c>
      <c r="E160" s="74">
        <f t="shared" si="7"/>
        <v>0</v>
      </c>
      <c r="F160" s="68" t="str">
        <f t="shared" si="8"/>
        <v>no procede</v>
      </c>
      <c r="G160" s="74">
        <f>'Entrada datos'!P157</f>
        <v>0</v>
      </c>
      <c r="H160" s="74">
        <f>'Entrada datos'!Q157</f>
        <v>0</v>
      </c>
      <c r="I160" s="74">
        <f>'Entrada datos'!R157</f>
        <v>0</v>
      </c>
      <c r="J160" s="74">
        <f>'Entrada datos'!S157</f>
        <v>0</v>
      </c>
      <c r="K160" s="74">
        <f>'Entrada datos'!T157</f>
        <v>0</v>
      </c>
      <c r="L160" s="74">
        <f>'Entrada datos'!U157</f>
        <v>0</v>
      </c>
      <c r="M160" s="76"/>
      <c r="N160" s="76"/>
      <c r="O160" s="76"/>
      <c r="P160" s="76"/>
      <c r="Q160" s="76"/>
      <c r="R160" s="76"/>
      <c r="S160" s="77" t="s">
        <v>74</v>
      </c>
      <c r="T160" s="77"/>
      <c r="U160" s="77"/>
      <c r="V160" s="77">
        <f t="shared" si="9"/>
        <v>0</v>
      </c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  <c r="AI160" s="77"/>
      <c r="AJ160" s="77"/>
      <c r="AK160" s="77"/>
      <c r="AL160" s="77"/>
      <c r="AM160" s="77"/>
      <c r="AN160" s="77"/>
      <c r="AO160" s="77"/>
      <c r="AP160" s="77"/>
      <c r="AQ160" s="77"/>
      <c r="AR160" s="77"/>
      <c r="AS160" s="77"/>
      <c r="AT160" s="77"/>
      <c r="AU160" s="77"/>
      <c r="AV160" s="77"/>
      <c r="AW160" s="77"/>
      <c r="AX160" s="77"/>
      <c r="AY160" s="77"/>
      <c r="AZ160" s="77"/>
      <c r="BA160" s="77"/>
      <c r="BB160" s="77"/>
      <c r="BC160" s="77"/>
      <c r="BD160" s="77"/>
      <c r="BE160" s="77"/>
      <c r="BF160" s="77"/>
      <c r="BG160" s="77"/>
      <c r="BH160" s="77"/>
      <c r="BI160" s="77"/>
      <c r="BJ160" s="77"/>
      <c r="BK160" s="77"/>
      <c r="BL160" s="77"/>
      <c r="BM160" s="77"/>
      <c r="BN160" s="77"/>
      <c r="BO160" s="77"/>
      <c r="BP160" s="77"/>
      <c r="BQ160" s="77"/>
      <c r="BR160" s="77"/>
      <c r="BS160" s="77"/>
      <c r="BT160" s="77"/>
      <c r="BU160" s="77"/>
      <c r="BV160" s="77"/>
      <c r="BW160" s="77"/>
      <c r="BX160" s="77"/>
      <c r="BY160" s="77"/>
      <c r="BZ160" s="77"/>
      <c r="CA160" s="77"/>
      <c r="CB160" s="77"/>
      <c r="CC160" s="77"/>
      <c r="CD160" s="77"/>
      <c r="CE160" s="77"/>
      <c r="CF160" s="77"/>
      <c r="CG160" s="77"/>
      <c r="CH160" s="77"/>
      <c r="CI160" s="77"/>
      <c r="CJ160" s="77"/>
      <c r="CK160" s="77"/>
      <c r="CL160" s="77"/>
      <c r="CM160" s="77"/>
      <c r="CN160" s="77"/>
      <c r="CO160" s="77"/>
      <c r="CP160" s="77"/>
      <c r="CQ160" s="77"/>
      <c r="CR160" s="77"/>
      <c r="CS160" s="77"/>
      <c r="CT160" s="77"/>
      <c r="CU160" s="77"/>
      <c r="CV160" s="77"/>
      <c r="CW160" s="77"/>
      <c r="CX160" s="77"/>
      <c r="CY160" s="77"/>
      <c r="CZ160" s="77"/>
      <c r="DA160" s="77"/>
      <c r="DB160" s="77"/>
      <c r="DC160" s="77"/>
      <c r="DD160" s="77"/>
      <c r="DE160" s="77"/>
      <c r="DF160" s="77"/>
      <c r="DG160" s="77"/>
      <c r="DH160" s="77"/>
      <c r="DI160" s="77"/>
      <c r="DJ160" s="77"/>
      <c r="DK160" s="77"/>
      <c r="DL160" s="77"/>
      <c r="DM160" s="77"/>
      <c r="DN160" s="77"/>
      <c r="DO160" s="77"/>
      <c r="DP160" s="77"/>
      <c r="DQ160" s="77"/>
      <c r="DR160" s="77"/>
      <c r="DS160" s="77"/>
      <c r="DT160" s="77"/>
      <c r="DU160" s="77"/>
      <c r="DV160" s="77"/>
      <c r="DW160" s="77"/>
      <c r="DX160" s="77"/>
      <c r="DY160" s="77"/>
      <c r="DZ160" s="77"/>
      <c r="EA160" s="77"/>
      <c r="EB160" s="77"/>
      <c r="EC160" s="77"/>
      <c r="ED160" s="77"/>
      <c r="EE160" s="77"/>
      <c r="EF160" s="77"/>
      <c r="EG160" s="77"/>
      <c r="EH160" s="77"/>
      <c r="EI160" s="77"/>
      <c r="EJ160" s="77"/>
      <c r="EK160" s="77"/>
      <c r="EL160" s="77"/>
      <c r="EM160" s="77"/>
      <c r="EN160" s="77"/>
      <c r="EO160" s="77"/>
      <c r="EP160" s="77"/>
      <c r="EQ160" s="77"/>
      <c r="ER160" s="77"/>
      <c r="ES160" s="77"/>
      <c r="ET160" s="77"/>
      <c r="EU160" s="77"/>
      <c r="EV160" s="77"/>
      <c r="EW160" s="77"/>
      <c r="EX160" s="77"/>
      <c r="EY160" s="77"/>
      <c r="EZ160" s="77"/>
      <c r="FA160" s="77"/>
      <c r="FB160" s="77"/>
      <c r="FC160" s="77"/>
      <c r="FD160" s="77"/>
      <c r="FE160" s="77"/>
      <c r="FF160" s="77"/>
      <c r="FG160" s="77"/>
      <c r="FH160" s="77"/>
      <c r="FI160" s="77"/>
      <c r="FJ160" s="77"/>
      <c r="FK160" s="77"/>
      <c r="FL160" s="77"/>
      <c r="FM160" s="77"/>
      <c r="FN160" s="77"/>
      <c r="FO160" s="77"/>
      <c r="FP160" s="77"/>
      <c r="FQ160" s="77"/>
      <c r="FR160" s="77"/>
      <c r="FS160" s="77"/>
      <c r="FT160" s="77"/>
      <c r="FU160" s="77"/>
      <c r="FV160" s="77"/>
      <c r="FW160" s="77"/>
      <c r="FX160" s="77"/>
      <c r="FY160" s="77"/>
      <c r="FZ160" s="77"/>
      <c r="GA160" s="77"/>
      <c r="GB160" s="77"/>
      <c r="GC160" s="77"/>
      <c r="GD160" s="77"/>
      <c r="GE160" s="77"/>
      <c r="GF160" s="77"/>
      <c r="GG160" s="77"/>
      <c r="GH160" s="77"/>
      <c r="GI160" s="77"/>
      <c r="GJ160" s="77"/>
      <c r="GK160" s="77"/>
      <c r="GL160" s="77"/>
      <c r="GM160" s="77"/>
      <c r="GN160" s="77"/>
      <c r="GO160" s="77"/>
      <c r="GP160" s="77"/>
      <c r="GQ160" s="77"/>
      <c r="GR160" s="77"/>
      <c r="GS160" s="77"/>
      <c r="GT160" s="77"/>
      <c r="GU160" s="77"/>
      <c r="GV160" s="77"/>
      <c r="GW160" s="77"/>
      <c r="GX160" s="77"/>
      <c r="GY160" s="77"/>
      <c r="GZ160" s="77"/>
      <c r="HA160" s="77"/>
      <c r="HB160" s="77"/>
      <c r="HC160" s="77"/>
      <c r="HD160" s="77"/>
      <c r="HE160" s="77"/>
      <c r="HF160" s="77"/>
      <c r="HG160" s="77"/>
      <c r="HH160" s="77"/>
      <c r="HI160" s="77"/>
      <c r="HJ160" s="77"/>
      <c r="HK160" s="77"/>
      <c r="HL160" s="77"/>
      <c r="HM160" s="77"/>
      <c r="HN160" s="77"/>
      <c r="HO160" s="77"/>
      <c r="HP160" s="77"/>
      <c r="HQ160" s="77"/>
    </row>
    <row r="161" spans="1:225" hidden="1" x14ac:dyDescent="0.3">
      <c r="A161" s="78">
        <f>'Entrada datos'!C158</f>
        <v>0</v>
      </c>
      <c r="B161" s="74">
        <f>'Entrada datos'!D158</f>
        <v>0</v>
      </c>
      <c r="C161" s="75">
        <f>'Entrada datos'!G158</f>
        <v>0</v>
      </c>
      <c r="D161" s="75">
        <f>'Entrada datos'!H158</f>
        <v>0</v>
      </c>
      <c r="E161" s="74">
        <f t="shared" si="7"/>
        <v>0</v>
      </c>
      <c r="F161" s="68" t="str">
        <f t="shared" si="8"/>
        <v>no procede</v>
      </c>
      <c r="G161" s="74">
        <f>'Entrada datos'!P158</f>
        <v>0</v>
      </c>
      <c r="H161" s="74">
        <f>'Entrada datos'!Q158</f>
        <v>0</v>
      </c>
      <c r="I161" s="74">
        <f>'Entrada datos'!R158</f>
        <v>0</v>
      </c>
      <c r="J161" s="74">
        <f>'Entrada datos'!S158</f>
        <v>0</v>
      </c>
      <c r="K161" s="74">
        <f>'Entrada datos'!T158</f>
        <v>0</v>
      </c>
      <c r="L161" s="74">
        <f>'Entrada datos'!U158</f>
        <v>0</v>
      </c>
      <c r="M161" s="76"/>
      <c r="N161" s="76"/>
      <c r="O161" s="76"/>
      <c r="P161" s="76"/>
      <c r="Q161" s="76"/>
      <c r="R161" s="76"/>
      <c r="S161" s="77" t="s">
        <v>74</v>
      </c>
      <c r="T161" s="77"/>
      <c r="U161" s="77"/>
      <c r="V161" s="77">
        <f t="shared" si="9"/>
        <v>0</v>
      </c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  <c r="AI161" s="77"/>
      <c r="AJ161" s="77"/>
      <c r="AK161" s="77"/>
      <c r="AL161" s="77"/>
      <c r="AM161" s="77"/>
      <c r="AN161" s="77"/>
      <c r="AO161" s="77"/>
      <c r="AP161" s="77"/>
      <c r="AQ161" s="77"/>
      <c r="AR161" s="77"/>
      <c r="AS161" s="77"/>
      <c r="AT161" s="77"/>
      <c r="AU161" s="77"/>
      <c r="AV161" s="77"/>
      <c r="AW161" s="77"/>
      <c r="AX161" s="77"/>
      <c r="AY161" s="77"/>
      <c r="AZ161" s="77"/>
      <c r="BA161" s="77"/>
      <c r="BB161" s="77"/>
      <c r="BC161" s="77"/>
      <c r="BD161" s="77"/>
      <c r="BE161" s="77"/>
      <c r="BF161" s="77"/>
      <c r="BG161" s="77"/>
      <c r="BH161" s="77"/>
      <c r="BI161" s="77"/>
      <c r="BJ161" s="77"/>
      <c r="BK161" s="77"/>
      <c r="BL161" s="77"/>
      <c r="BM161" s="77"/>
      <c r="BN161" s="77"/>
      <c r="BO161" s="77"/>
      <c r="BP161" s="77"/>
      <c r="BQ161" s="77"/>
      <c r="BR161" s="77"/>
      <c r="BS161" s="77"/>
      <c r="BT161" s="77"/>
      <c r="BU161" s="77"/>
      <c r="BV161" s="77"/>
      <c r="BW161" s="77"/>
      <c r="BX161" s="77"/>
      <c r="BY161" s="77"/>
      <c r="BZ161" s="77"/>
      <c r="CA161" s="77"/>
      <c r="CB161" s="77"/>
      <c r="CC161" s="77"/>
      <c r="CD161" s="77"/>
      <c r="CE161" s="77"/>
      <c r="CF161" s="77"/>
      <c r="CG161" s="77"/>
      <c r="CH161" s="77"/>
      <c r="CI161" s="77"/>
      <c r="CJ161" s="77"/>
      <c r="CK161" s="77"/>
      <c r="CL161" s="77"/>
      <c r="CM161" s="77"/>
      <c r="CN161" s="77"/>
      <c r="CO161" s="77"/>
      <c r="CP161" s="77"/>
      <c r="CQ161" s="77"/>
      <c r="CR161" s="77"/>
      <c r="CS161" s="77"/>
      <c r="CT161" s="77"/>
      <c r="CU161" s="77"/>
      <c r="CV161" s="77"/>
      <c r="CW161" s="77"/>
      <c r="CX161" s="77"/>
      <c r="CY161" s="77"/>
      <c r="CZ161" s="77"/>
      <c r="DA161" s="77"/>
      <c r="DB161" s="77"/>
      <c r="DC161" s="77"/>
      <c r="DD161" s="77"/>
      <c r="DE161" s="77"/>
      <c r="DF161" s="77"/>
      <c r="DG161" s="77"/>
      <c r="DH161" s="77"/>
      <c r="DI161" s="77"/>
      <c r="DJ161" s="77"/>
      <c r="DK161" s="77"/>
      <c r="DL161" s="77"/>
      <c r="DM161" s="77"/>
      <c r="DN161" s="77"/>
      <c r="DO161" s="77"/>
      <c r="DP161" s="77"/>
      <c r="DQ161" s="77"/>
      <c r="DR161" s="77"/>
      <c r="DS161" s="77"/>
      <c r="DT161" s="77"/>
      <c r="DU161" s="77"/>
      <c r="DV161" s="77"/>
      <c r="DW161" s="77"/>
      <c r="DX161" s="77"/>
      <c r="DY161" s="77"/>
      <c r="DZ161" s="77"/>
      <c r="EA161" s="77"/>
      <c r="EB161" s="77"/>
      <c r="EC161" s="77"/>
      <c r="ED161" s="77"/>
      <c r="EE161" s="77"/>
      <c r="EF161" s="77"/>
      <c r="EG161" s="77"/>
      <c r="EH161" s="77"/>
      <c r="EI161" s="77"/>
      <c r="EJ161" s="77"/>
      <c r="EK161" s="77"/>
      <c r="EL161" s="77"/>
      <c r="EM161" s="77"/>
      <c r="EN161" s="77"/>
      <c r="EO161" s="77"/>
      <c r="EP161" s="77"/>
      <c r="EQ161" s="77"/>
      <c r="ER161" s="77"/>
      <c r="ES161" s="77"/>
      <c r="ET161" s="77"/>
      <c r="EU161" s="77"/>
      <c r="EV161" s="77"/>
      <c r="EW161" s="77"/>
      <c r="EX161" s="77"/>
      <c r="EY161" s="77"/>
      <c r="EZ161" s="77"/>
      <c r="FA161" s="77"/>
      <c r="FB161" s="77"/>
      <c r="FC161" s="77"/>
      <c r="FD161" s="77"/>
      <c r="FE161" s="77"/>
      <c r="FF161" s="77"/>
      <c r="FG161" s="77"/>
      <c r="FH161" s="77"/>
      <c r="FI161" s="77"/>
      <c r="FJ161" s="77"/>
      <c r="FK161" s="77"/>
      <c r="FL161" s="77"/>
      <c r="FM161" s="77"/>
      <c r="FN161" s="77"/>
      <c r="FO161" s="77"/>
      <c r="FP161" s="77"/>
      <c r="FQ161" s="77"/>
      <c r="FR161" s="77"/>
      <c r="FS161" s="77"/>
      <c r="FT161" s="77"/>
      <c r="FU161" s="77"/>
      <c r="FV161" s="77"/>
      <c r="FW161" s="77"/>
      <c r="FX161" s="77"/>
      <c r="FY161" s="77"/>
      <c r="FZ161" s="77"/>
      <c r="GA161" s="77"/>
      <c r="GB161" s="77"/>
      <c r="GC161" s="77"/>
      <c r="GD161" s="77"/>
      <c r="GE161" s="77"/>
      <c r="GF161" s="77"/>
      <c r="GG161" s="77"/>
      <c r="GH161" s="77"/>
      <c r="GI161" s="77"/>
      <c r="GJ161" s="77"/>
      <c r="GK161" s="77"/>
      <c r="GL161" s="77"/>
      <c r="GM161" s="77"/>
      <c r="GN161" s="77"/>
      <c r="GO161" s="77"/>
      <c r="GP161" s="77"/>
      <c r="GQ161" s="77"/>
      <c r="GR161" s="77"/>
      <c r="GS161" s="77"/>
      <c r="GT161" s="77"/>
      <c r="GU161" s="77"/>
      <c r="GV161" s="77"/>
      <c r="GW161" s="77"/>
      <c r="GX161" s="77"/>
      <c r="GY161" s="77"/>
      <c r="GZ161" s="77"/>
      <c r="HA161" s="77"/>
      <c r="HB161" s="77"/>
      <c r="HC161" s="77"/>
      <c r="HD161" s="77"/>
      <c r="HE161" s="77"/>
      <c r="HF161" s="77"/>
      <c r="HG161" s="77"/>
      <c r="HH161" s="77"/>
      <c r="HI161" s="77"/>
      <c r="HJ161" s="77"/>
      <c r="HK161" s="77"/>
      <c r="HL161" s="77"/>
      <c r="HM161" s="77"/>
      <c r="HN161" s="77"/>
      <c r="HO161" s="77"/>
      <c r="HP161" s="77"/>
      <c r="HQ161" s="77"/>
    </row>
    <row r="162" spans="1:225" hidden="1" x14ac:dyDescent="0.3">
      <c r="A162" s="78">
        <f>'Entrada datos'!C159</f>
        <v>0</v>
      </c>
      <c r="B162" s="74">
        <f>'Entrada datos'!D159</f>
        <v>0</v>
      </c>
      <c r="C162" s="75">
        <f>'Entrada datos'!G159</f>
        <v>0</v>
      </c>
      <c r="D162" s="75">
        <f>'Entrada datos'!H159</f>
        <v>0</v>
      </c>
      <c r="E162" s="74">
        <f t="shared" si="7"/>
        <v>0</v>
      </c>
      <c r="F162" s="68" t="str">
        <f t="shared" si="8"/>
        <v>no procede</v>
      </c>
      <c r="G162" s="74">
        <f>'Entrada datos'!P159</f>
        <v>0</v>
      </c>
      <c r="H162" s="74">
        <f>'Entrada datos'!Q159</f>
        <v>0</v>
      </c>
      <c r="I162" s="74">
        <f>'Entrada datos'!R159</f>
        <v>0</v>
      </c>
      <c r="J162" s="74">
        <f>'Entrada datos'!S159</f>
        <v>0</v>
      </c>
      <c r="K162" s="74">
        <f>'Entrada datos'!T159</f>
        <v>0</v>
      </c>
      <c r="L162" s="74">
        <f>'Entrada datos'!U159</f>
        <v>0</v>
      </c>
      <c r="M162" s="76"/>
      <c r="N162" s="76"/>
      <c r="O162" s="76"/>
      <c r="P162" s="76"/>
      <c r="Q162" s="76"/>
      <c r="R162" s="76"/>
      <c r="S162" s="77" t="s">
        <v>74</v>
      </c>
      <c r="T162" s="77"/>
      <c r="U162" s="77"/>
      <c r="V162" s="77">
        <f t="shared" si="9"/>
        <v>0</v>
      </c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  <c r="AI162" s="77"/>
      <c r="AJ162" s="77"/>
      <c r="AK162" s="77"/>
      <c r="AL162" s="77"/>
      <c r="AM162" s="77"/>
      <c r="AN162" s="77"/>
      <c r="AO162" s="77"/>
      <c r="AP162" s="77"/>
      <c r="AQ162" s="77"/>
      <c r="AR162" s="77"/>
      <c r="AS162" s="77"/>
      <c r="AT162" s="77"/>
      <c r="AU162" s="77"/>
      <c r="AV162" s="77"/>
      <c r="AW162" s="77"/>
      <c r="AX162" s="77"/>
      <c r="AY162" s="77"/>
      <c r="AZ162" s="77"/>
      <c r="BA162" s="77"/>
      <c r="BB162" s="77"/>
      <c r="BC162" s="77"/>
      <c r="BD162" s="77"/>
      <c r="BE162" s="77"/>
      <c r="BF162" s="77"/>
      <c r="BG162" s="77"/>
      <c r="BH162" s="77"/>
      <c r="BI162" s="77"/>
      <c r="BJ162" s="77"/>
      <c r="BK162" s="77"/>
      <c r="BL162" s="77"/>
      <c r="BM162" s="77"/>
      <c r="BN162" s="77"/>
      <c r="BO162" s="77"/>
      <c r="BP162" s="77"/>
      <c r="BQ162" s="77"/>
      <c r="BR162" s="77"/>
      <c r="BS162" s="77"/>
      <c r="BT162" s="77"/>
      <c r="BU162" s="77"/>
      <c r="BV162" s="77"/>
      <c r="BW162" s="77"/>
      <c r="BX162" s="77"/>
      <c r="BY162" s="77"/>
      <c r="BZ162" s="77"/>
      <c r="CA162" s="77"/>
      <c r="CB162" s="77"/>
      <c r="CC162" s="77"/>
      <c r="CD162" s="77"/>
      <c r="CE162" s="77"/>
      <c r="CF162" s="77"/>
      <c r="CG162" s="77"/>
      <c r="CH162" s="77"/>
      <c r="CI162" s="77"/>
      <c r="CJ162" s="77"/>
      <c r="CK162" s="77"/>
      <c r="CL162" s="77"/>
      <c r="CM162" s="77"/>
      <c r="CN162" s="77"/>
      <c r="CO162" s="77"/>
      <c r="CP162" s="77"/>
      <c r="CQ162" s="77"/>
      <c r="CR162" s="77"/>
      <c r="CS162" s="77"/>
      <c r="CT162" s="77"/>
      <c r="CU162" s="77"/>
      <c r="CV162" s="77"/>
      <c r="CW162" s="77"/>
      <c r="CX162" s="77"/>
      <c r="CY162" s="77"/>
      <c r="CZ162" s="77"/>
      <c r="DA162" s="77"/>
      <c r="DB162" s="77"/>
      <c r="DC162" s="77"/>
      <c r="DD162" s="77"/>
      <c r="DE162" s="77"/>
      <c r="DF162" s="77"/>
      <c r="DG162" s="77"/>
      <c r="DH162" s="77"/>
      <c r="DI162" s="77"/>
      <c r="DJ162" s="77"/>
      <c r="DK162" s="77"/>
      <c r="DL162" s="77"/>
      <c r="DM162" s="77"/>
      <c r="DN162" s="77"/>
      <c r="DO162" s="77"/>
      <c r="DP162" s="77"/>
      <c r="DQ162" s="77"/>
      <c r="DR162" s="77"/>
      <c r="DS162" s="77"/>
      <c r="DT162" s="77"/>
      <c r="DU162" s="77"/>
      <c r="DV162" s="77"/>
      <c r="DW162" s="77"/>
      <c r="DX162" s="77"/>
      <c r="DY162" s="77"/>
      <c r="DZ162" s="77"/>
      <c r="EA162" s="77"/>
      <c r="EB162" s="77"/>
      <c r="EC162" s="77"/>
      <c r="ED162" s="77"/>
      <c r="EE162" s="77"/>
      <c r="EF162" s="77"/>
      <c r="EG162" s="77"/>
      <c r="EH162" s="77"/>
      <c r="EI162" s="77"/>
      <c r="EJ162" s="77"/>
      <c r="EK162" s="77"/>
      <c r="EL162" s="77"/>
      <c r="EM162" s="77"/>
      <c r="EN162" s="77"/>
      <c r="EO162" s="77"/>
      <c r="EP162" s="77"/>
      <c r="EQ162" s="77"/>
      <c r="ER162" s="77"/>
      <c r="ES162" s="77"/>
      <c r="ET162" s="77"/>
      <c r="EU162" s="77"/>
      <c r="EV162" s="77"/>
      <c r="EW162" s="77"/>
      <c r="EX162" s="77"/>
      <c r="EY162" s="77"/>
      <c r="EZ162" s="77"/>
      <c r="FA162" s="77"/>
      <c r="FB162" s="77"/>
      <c r="FC162" s="77"/>
      <c r="FD162" s="77"/>
      <c r="FE162" s="77"/>
      <c r="FF162" s="77"/>
      <c r="FG162" s="77"/>
      <c r="FH162" s="77"/>
      <c r="FI162" s="77"/>
      <c r="FJ162" s="77"/>
      <c r="FK162" s="77"/>
      <c r="FL162" s="77"/>
      <c r="FM162" s="77"/>
      <c r="FN162" s="77"/>
      <c r="FO162" s="77"/>
      <c r="FP162" s="77"/>
      <c r="FQ162" s="77"/>
      <c r="FR162" s="77"/>
      <c r="FS162" s="77"/>
      <c r="FT162" s="77"/>
      <c r="FU162" s="77"/>
      <c r="FV162" s="77"/>
      <c r="FW162" s="77"/>
      <c r="FX162" s="77"/>
      <c r="FY162" s="77"/>
      <c r="FZ162" s="77"/>
      <c r="GA162" s="77"/>
      <c r="GB162" s="77"/>
      <c r="GC162" s="77"/>
      <c r="GD162" s="77"/>
      <c r="GE162" s="77"/>
      <c r="GF162" s="77"/>
      <c r="GG162" s="77"/>
      <c r="GH162" s="77"/>
      <c r="GI162" s="77"/>
      <c r="GJ162" s="77"/>
      <c r="GK162" s="77"/>
      <c r="GL162" s="77"/>
      <c r="GM162" s="77"/>
      <c r="GN162" s="77"/>
      <c r="GO162" s="77"/>
      <c r="GP162" s="77"/>
      <c r="GQ162" s="77"/>
      <c r="GR162" s="77"/>
      <c r="GS162" s="77"/>
      <c r="GT162" s="77"/>
      <c r="GU162" s="77"/>
      <c r="GV162" s="77"/>
      <c r="GW162" s="77"/>
      <c r="GX162" s="77"/>
      <c r="GY162" s="77"/>
      <c r="GZ162" s="77"/>
      <c r="HA162" s="77"/>
      <c r="HB162" s="77"/>
      <c r="HC162" s="77"/>
      <c r="HD162" s="77"/>
      <c r="HE162" s="77"/>
      <c r="HF162" s="77"/>
      <c r="HG162" s="77"/>
      <c r="HH162" s="77"/>
      <c r="HI162" s="77"/>
      <c r="HJ162" s="77"/>
      <c r="HK162" s="77"/>
      <c r="HL162" s="77"/>
      <c r="HM162" s="77"/>
      <c r="HN162" s="77"/>
      <c r="HO162" s="77"/>
      <c r="HP162" s="77"/>
      <c r="HQ162" s="77"/>
    </row>
    <row r="163" spans="1:225" hidden="1" x14ac:dyDescent="0.3">
      <c r="A163" s="78">
        <f>'Entrada datos'!C160</f>
        <v>0</v>
      </c>
      <c r="B163" s="74">
        <f>'Entrada datos'!D160</f>
        <v>0</v>
      </c>
      <c r="C163" s="75">
        <f>'Entrada datos'!G160</f>
        <v>0</v>
      </c>
      <c r="D163" s="75">
        <f>'Entrada datos'!H160</f>
        <v>0</v>
      </c>
      <c r="E163" s="74">
        <f t="shared" si="7"/>
        <v>0</v>
      </c>
      <c r="F163" s="68" t="str">
        <f t="shared" si="8"/>
        <v>no procede</v>
      </c>
      <c r="G163" s="74">
        <f>'Entrada datos'!P160</f>
        <v>0</v>
      </c>
      <c r="H163" s="74">
        <f>'Entrada datos'!Q160</f>
        <v>0</v>
      </c>
      <c r="I163" s="74">
        <f>'Entrada datos'!R160</f>
        <v>0</v>
      </c>
      <c r="J163" s="74">
        <f>'Entrada datos'!S160</f>
        <v>0</v>
      </c>
      <c r="K163" s="74">
        <f>'Entrada datos'!T160</f>
        <v>0</v>
      </c>
      <c r="L163" s="74">
        <f>'Entrada datos'!U160</f>
        <v>0</v>
      </c>
      <c r="M163" s="76"/>
      <c r="N163" s="76"/>
      <c r="O163" s="76"/>
      <c r="P163" s="76"/>
      <c r="Q163" s="76"/>
      <c r="R163" s="76"/>
      <c r="S163" s="77" t="s">
        <v>74</v>
      </c>
      <c r="T163" s="77"/>
      <c r="U163" s="77"/>
      <c r="V163" s="77">
        <f t="shared" si="9"/>
        <v>0</v>
      </c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  <c r="AI163" s="77"/>
      <c r="AJ163" s="77"/>
      <c r="AK163" s="77"/>
      <c r="AL163" s="77"/>
      <c r="AM163" s="77"/>
      <c r="AN163" s="77"/>
      <c r="AO163" s="77"/>
      <c r="AP163" s="77"/>
      <c r="AQ163" s="77"/>
      <c r="AR163" s="77"/>
      <c r="AS163" s="77"/>
      <c r="AT163" s="77"/>
      <c r="AU163" s="77"/>
      <c r="AV163" s="77"/>
      <c r="AW163" s="77"/>
      <c r="AX163" s="77"/>
      <c r="AY163" s="77"/>
      <c r="AZ163" s="77"/>
      <c r="BA163" s="77"/>
      <c r="BB163" s="77"/>
      <c r="BC163" s="77"/>
      <c r="BD163" s="77"/>
      <c r="BE163" s="77"/>
      <c r="BF163" s="77"/>
      <c r="BG163" s="77"/>
      <c r="BH163" s="77"/>
      <c r="BI163" s="77"/>
      <c r="BJ163" s="77"/>
      <c r="BK163" s="77"/>
      <c r="BL163" s="77"/>
      <c r="BM163" s="77"/>
      <c r="BN163" s="77"/>
      <c r="BO163" s="77"/>
      <c r="BP163" s="77"/>
      <c r="BQ163" s="77"/>
      <c r="BR163" s="77"/>
      <c r="BS163" s="77"/>
      <c r="BT163" s="77"/>
      <c r="BU163" s="77"/>
      <c r="BV163" s="77"/>
      <c r="BW163" s="77"/>
      <c r="BX163" s="77"/>
      <c r="BY163" s="77"/>
      <c r="BZ163" s="77"/>
      <c r="CA163" s="77"/>
      <c r="CB163" s="77"/>
      <c r="CC163" s="77"/>
      <c r="CD163" s="77"/>
      <c r="CE163" s="77"/>
      <c r="CF163" s="77"/>
      <c r="CG163" s="77"/>
      <c r="CH163" s="77"/>
      <c r="CI163" s="77"/>
      <c r="CJ163" s="77"/>
      <c r="CK163" s="77"/>
      <c r="CL163" s="77"/>
      <c r="CM163" s="77"/>
      <c r="CN163" s="77"/>
      <c r="CO163" s="77"/>
      <c r="CP163" s="77"/>
      <c r="CQ163" s="77"/>
      <c r="CR163" s="77"/>
      <c r="CS163" s="77"/>
      <c r="CT163" s="77"/>
      <c r="CU163" s="77"/>
      <c r="CV163" s="77"/>
      <c r="CW163" s="77"/>
      <c r="CX163" s="77"/>
      <c r="CY163" s="77"/>
      <c r="CZ163" s="77"/>
      <c r="DA163" s="77"/>
      <c r="DB163" s="77"/>
      <c r="DC163" s="77"/>
      <c r="DD163" s="77"/>
      <c r="DE163" s="77"/>
      <c r="DF163" s="77"/>
      <c r="DG163" s="77"/>
      <c r="DH163" s="77"/>
      <c r="DI163" s="77"/>
      <c r="DJ163" s="77"/>
      <c r="DK163" s="77"/>
      <c r="DL163" s="77"/>
      <c r="DM163" s="77"/>
      <c r="DN163" s="77"/>
      <c r="DO163" s="77"/>
      <c r="DP163" s="77"/>
      <c r="DQ163" s="77"/>
      <c r="DR163" s="77"/>
      <c r="DS163" s="77"/>
      <c r="DT163" s="77"/>
      <c r="DU163" s="77"/>
      <c r="DV163" s="77"/>
      <c r="DW163" s="77"/>
      <c r="DX163" s="77"/>
      <c r="DY163" s="77"/>
      <c r="DZ163" s="77"/>
      <c r="EA163" s="77"/>
      <c r="EB163" s="77"/>
      <c r="EC163" s="77"/>
      <c r="ED163" s="77"/>
      <c r="EE163" s="77"/>
      <c r="EF163" s="77"/>
      <c r="EG163" s="77"/>
      <c r="EH163" s="77"/>
      <c r="EI163" s="77"/>
      <c r="EJ163" s="77"/>
      <c r="EK163" s="77"/>
      <c r="EL163" s="77"/>
      <c r="EM163" s="77"/>
      <c r="EN163" s="77"/>
      <c r="EO163" s="77"/>
      <c r="EP163" s="77"/>
      <c r="EQ163" s="77"/>
      <c r="ER163" s="77"/>
      <c r="ES163" s="77"/>
      <c r="ET163" s="77"/>
      <c r="EU163" s="77"/>
      <c r="EV163" s="77"/>
      <c r="EW163" s="77"/>
      <c r="EX163" s="77"/>
      <c r="EY163" s="77"/>
      <c r="EZ163" s="77"/>
      <c r="FA163" s="77"/>
      <c r="FB163" s="77"/>
      <c r="FC163" s="77"/>
      <c r="FD163" s="77"/>
      <c r="FE163" s="77"/>
      <c r="FF163" s="77"/>
      <c r="FG163" s="77"/>
      <c r="FH163" s="77"/>
      <c r="FI163" s="77"/>
      <c r="FJ163" s="77"/>
      <c r="FK163" s="77"/>
      <c r="FL163" s="77"/>
      <c r="FM163" s="77"/>
      <c r="FN163" s="77"/>
      <c r="FO163" s="77"/>
      <c r="FP163" s="77"/>
      <c r="FQ163" s="77"/>
      <c r="FR163" s="77"/>
      <c r="FS163" s="77"/>
      <c r="FT163" s="77"/>
      <c r="FU163" s="77"/>
      <c r="FV163" s="77"/>
      <c r="FW163" s="77"/>
      <c r="FX163" s="77"/>
      <c r="FY163" s="77"/>
      <c r="FZ163" s="77"/>
      <c r="GA163" s="77"/>
      <c r="GB163" s="77"/>
      <c r="GC163" s="77"/>
      <c r="GD163" s="77"/>
      <c r="GE163" s="77"/>
      <c r="GF163" s="77"/>
      <c r="GG163" s="77"/>
      <c r="GH163" s="77"/>
      <c r="GI163" s="77"/>
      <c r="GJ163" s="77"/>
      <c r="GK163" s="77"/>
      <c r="GL163" s="77"/>
      <c r="GM163" s="77"/>
      <c r="GN163" s="77"/>
      <c r="GO163" s="77"/>
      <c r="GP163" s="77"/>
      <c r="GQ163" s="77"/>
      <c r="GR163" s="77"/>
      <c r="GS163" s="77"/>
      <c r="GT163" s="77"/>
      <c r="GU163" s="77"/>
      <c r="GV163" s="77"/>
      <c r="GW163" s="77"/>
      <c r="GX163" s="77"/>
      <c r="GY163" s="77"/>
      <c r="GZ163" s="77"/>
      <c r="HA163" s="77"/>
      <c r="HB163" s="77"/>
      <c r="HC163" s="77"/>
      <c r="HD163" s="77"/>
      <c r="HE163" s="77"/>
      <c r="HF163" s="77"/>
      <c r="HG163" s="77"/>
      <c r="HH163" s="77"/>
      <c r="HI163" s="77"/>
      <c r="HJ163" s="77"/>
      <c r="HK163" s="77"/>
      <c r="HL163" s="77"/>
      <c r="HM163" s="77"/>
      <c r="HN163" s="77"/>
      <c r="HO163" s="77"/>
      <c r="HP163" s="77"/>
      <c r="HQ163" s="77"/>
    </row>
    <row r="164" spans="1:225" hidden="1" x14ac:dyDescent="0.3">
      <c r="A164" s="78">
        <f>'Entrada datos'!C161</f>
        <v>0</v>
      </c>
      <c r="B164" s="74">
        <f>'Entrada datos'!D161</f>
        <v>0</v>
      </c>
      <c r="C164" s="75">
        <f>'Entrada datos'!G161</f>
        <v>0</v>
      </c>
      <c r="D164" s="75">
        <f>'Entrada datos'!H161</f>
        <v>0</v>
      </c>
      <c r="E164" s="74">
        <f t="shared" si="7"/>
        <v>0</v>
      </c>
      <c r="F164" s="68" t="str">
        <f t="shared" si="8"/>
        <v>no procede</v>
      </c>
      <c r="G164" s="74">
        <f>'Entrada datos'!P161</f>
        <v>0</v>
      </c>
      <c r="H164" s="74">
        <f>'Entrada datos'!Q161</f>
        <v>0</v>
      </c>
      <c r="I164" s="74">
        <f>'Entrada datos'!R161</f>
        <v>0</v>
      </c>
      <c r="J164" s="74">
        <f>'Entrada datos'!S161</f>
        <v>0</v>
      </c>
      <c r="K164" s="74">
        <f>'Entrada datos'!T161</f>
        <v>0</v>
      </c>
      <c r="L164" s="74">
        <f>'Entrada datos'!U161</f>
        <v>0</v>
      </c>
      <c r="M164" s="76"/>
      <c r="N164" s="76"/>
      <c r="O164" s="76"/>
      <c r="P164" s="76"/>
      <c r="Q164" s="76"/>
      <c r="R164" s="76"/>
      <c r="S164" s="77" t="s">
        <v>74</v>
      </c>
      <c r="T164" s="77"/>
      <c r="U164" s="77"/>
      <c r="V164" s="77">
        <f t="shared" si="9"/>
        <v>0</v>
      </c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  <c r="AI164" s="77"/>
      <c r="AJ164" s="77"/>
      <c r="AK164" s="77"/>
      <c r="AL164" s="77"/>
      <c r="AM164" s="77"/>
      <c r="AN164" s="77"/>
      <c r="AO164" s="77"/>
      <c r="AP164" s="77"/>
      <c r="AQ164" s="77"/>
      <c r="AR164" s="77"/>
      <c r="AS164" s="77"/>
      <c r="AT164" s="77"/>
      <c r="AU164" s="77"/>
      <c r="AV164" s="77"/>
      <c r="AW164" s="77"/>
      <c r="AX164" s="77"/>
      <c r="AY164" s="77"/>
      <c r="AZ164" s="77"/>
      <c r="BA164" s="77"/>
      <c r="BB164" s="77"/>
      <c r="BC164" s="77"/>
      <c r="BD164" s="77"/>
      <c r="BE164" s="77"/>
      <c r="BF164" s="77"/>
      <c r="BG164" s="77"/>
      <c r="BH164" s="77"/>
      <c r="BI164" s="77"/>
      <c r="BJ164" s="77"/>
      <c r="BK164" s="77"/>
      <c r="BL164" s="77"/>
      <c r="BM164" s="77"/>
      <c r="BN164" s="77"/>
      <c r="BO164" s="77"/>
      <c r="BP164" s="77"/>
      <c r="BQ164" s="77"/>
      <c r="BR164" s="77"/>
      <c r="BS164" s="77"/>
      <c r="BT164" s="77"/>
      <c r="BU164" s="77"/>
      <c r="BV164" s="77"/>
      <c r="BW164" s="77"/>
      <c r="BX164" s="77"/>
      <c r="BY164" s="77"/>
      <c r="BZ164" s="77"/>
      <c r="CA164" s="77"/>
      <c r="CB164" s="77"/>
      <c r="CC164" s="77"/>
      <c r="CD164" s="77"/>
      <c r="CE164" s="77"/>
      <c r="CF164" s="77"/>
      <c r="CG164" s="77"/>
      <c r="CH164" s="77"/>
      <c r="CI164" s="77"/>
      <c r="CJ164" s="77"/>
      <c r="CK164" s="77"/>
      <c r="CL164" s="77"/>
      <c r="CM164" s="77"/>
      <c r="CN164" s="77"/>
      <c r="CO164" s="77"/>
      <c r="CP164" s="77"/>
      <c r="CQ164" s="77"/>
      <c r="CR164" s="77"/>
      <c r="CS164" s="77"/>
      <c r="CT164" s="77"/>
      <c r="CU164" s="77"/>
      <c r="CV164" s="77"/>
      <c r="CW164" s="77"/>
      <c r="CX164" s="77"/>
      <c r="CY164" s="77"/>
      <c r="CZ164" s="77"/>
      <c r="DA164" s="77"/>
      <c r="DB164" s="77"/>
      <c r="DC164" s="77"/>
      <c r="DD164" s="77"/>
      <c r="DE164" s="77"/>
      <c r="DF164" s="77"/>
      <c r="DG164" s="77"/>
      <c r="DH164" s="77"/>
      <c r="DI164" s="77"/>
      <c r="DJ164" s="77"/>
      <c r="DK164" s="77"/>
      <c r="DL164" s="77"/>
      <c r="DM164" s="77"/>
      <c r="DN164" s="77"/>
      <c r="DO164" s="77"/>
      <c r="DP164" s="77"/>
      <c r="DQ164" s="77"/>
      <c r="DR164" s="77"/>
      <c r="DS164" s="77"/>
      <c r="DT164" s="77"/>
      <c r="DU164" s="77"/>
      <c r="DV164" s="77"/>
      <c r="DW164" s="77"/>
      <c r="DX164" s="77"/>
      <c r="DY164" s="77"/>
      <c r="DZ164" s="77"/>
      <c r="EA164" s="77"/>
      <c r="EB164" s="77"/>
      <c r="EC164" s="77"/>
      <c r="ED164" s="77"/>
      <c r="EE164" s="77"/>
      <c r="EF164" s="77"/>
      <c r="EG164" s="77"/>
      <c r="EH164" s="77"/>
      <c r="EI164" s="77"/>
      <c r="EJ164" s="77"/>
      <c r="EK164" s="77"/>
      <c r="EL164" s="77"/>
      <c r="EM164" s="77"/>
      <c r="EN164" s="77"/>
      <c r="EO164" s="77"/>
      <c r="EP164" s="77"/>
      <c r="EQ164" s="77"/>
      <c r="ER164" s="77"/>
      <c r="ES164" s="77"/>
      <c r="ET164" s="77"/>
      <c r="EU164" s="77"/>
      <c r="EV164" s="77"/>
      <c r="EW164" s="77"/>
      <c r="EX164" s="77"/>
      <c r="EY164" s="77"/>
      <c r="EZ164" s="77"/>
      <c r="FA164" s="77"/>
      <c r="FB164" s="77"/>
      <c r="FC164" s="77"/>
      <c r="FD164" s="77"/>
      <c r="FE164" s="77"/>
      <c r="FF164" s="77"/>
      <c r="FG164" s="77"/>
      <c r="FH164" s="77"/>
      <c r="FI164" s="77"/>
      <c r="FJ164" s="77"/>
      <c r="FK164" s="77"/>
      <c r="FL164" s="77"/>
      <c r="FM164" s="77"/>
      <c r="FN164" s="77"/>
      <c r="FO164" s="77"/>
      <c r="FP164" s="77"/>
      <c r="FQ164" s="77"/>
      <c r="FR164" s="77"/>
      <c r="FS164" s="77"/>
      <c r="FT164" s="77"/>
      <c r="FU164" s="77"/>
      <c r="FV164" s="77"/>
      <c r="FW164" s="77"/>
      <c r="FX164" s="77"/>
      <c r="FY164" s="77"/>
      <c r="FZ164" s="77"/>
      <c r="GA164" s="77"/>
      <c r="GB164" s="77"/>
      <c r="GC164" s="77"/>
      <c r="GD164" s="77"/>
      <c r="GE164" s="77"/>
      <c r="GF164" s="77"/>
      <c r="GG164" s="77"/>
      <c r="GH164" s="77"/>
      <c r="GI164" s="77"/>
      <c r="GJ164" s="77"/>
      <c r="GK164" s="77"/>
      <c r="GL164" s="77"/>
      <c r="GM164" s="77"/>
      <c r="GN164" s="77"/>
      <c r="GO164" s="77"/>
      <c r="GP164" s="77"/>
      <c r="GQ164" s="77"/>
      <c r="GR164" s="77"/>
      <c r="GS164" s="77"/>
      <c r="GT164" s="77"/>
      <c r="GU164" s="77"/>
      <c r="GV164" s="77"/>
      <c r="GW164" s="77"/>
      <c r="GX164" s="77"/>
      <c r="GY164" s="77"/>
      <c r="GZ164" s="77"/>
      <c r="HA164" s="77"/>
      <c r="HB164" s="77"/>
      <c r="HC164" s="77"/>
      <c r="HD164" s="77"/>
      <c r="HE164" s="77"/>
      <c r="HF164" s="77"/>
      <c r="HG164" s="77"/>
      <c r="HH164" s="77"/>
      <c r="HI164" s="77"/>
      <c r="HJ164" s="77"/>
      <c r="HK164" s="77"/>
      <c r="HL164" s="77"/>
      <c r="HM164" s="77"/>
      <c r="HN164" s="77"/>
      <c r="HO164" s="77"/>
      <c r="HP164" s="77"/>
      <c r="HQ164" s="77"/>
    </row>
    <row r="165" spans="1:225" hidden="1" x14ac:dyDescent="0.3">
      <c r="A165" s="78">
        <f>'Entrada datos'!C162</f>
        <v>0</v>
      </c>
      <c r="B165" s="74">
        <f>'Entrada datos'!D162</f>
        <v>0</v>
      </c>
      <c r="C165" s="75">
        <f>'Entrada datos'!G162</f>
        <v>0</v>
      </c>
      <c r="D165" s="75">
        <f>'Entrada datos'!H162</f>
        <v>0</v>
      </c>
      <c r="E165" s="74">
        <f t="shared" si="7"/>
        <v>0</v>
      </c>
      <c r="F165" s="68" t="str">
        <f t="shared" si="8"/>
        <v>no procede</v>
      </c>
      <c r="G165" s="74">
        <f>'Entrada datos'!P162</f>
        <v>0</v>
      </c>
      <c r="H165" s="74">
        <f>'Entrada datos'!Q162</f>
        <v>0</v>
      </c>
      <c r="I165" s="74">
        <f>'Entrada datos'!R162</f>
        <v>0</v>
      </c>
      <c r="J165" s="74">
        <f>'Entrada datos'!S162</f>
        <v>0</v>
      </c>
      <c r="K165" s="74">
        <f>'Entrada datos'!T162</f>
        <v>0</v>
      </c>
      <c r="L165" s="74">
        <f>'Entrada datos'!U162</f>
        <v>0</v>
      </c>
      <c r="M165" s="76"/>
      <c r="N165" s="76"/>
      <c r="O165" s="76"/>
      <c r="P165" s="76"/>
      <c r="Q165" s="76"/>
      <c r="R165" s="76"/>
      <c r="S165" s="77" t="s">
        <v>74</v>
      </c>
      <c r="T165" s="77"/>
      <c r="U165" s="77"/>
      <c r="V165" s="77">
        <f t="shared" si="9"/>
        <v>0</v>
      </c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  <c r="AI165" s="77"/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77"/>
      <c r="AW165" s="77"/>
      <c r="AX165" s="77"/>
      <c r="AY165" s="77"/>
      <c r="AZ165" s="77"/>
      <c r="BA165" s="77"/>
      <c r="BB165" s="77"/>
      <c r="BC165" s="77"/>
      <c r="BD165" s="77"/>
      <c r="BE165" s="77"/>
      <c r="BF165" s="77"/>
      <c r="BG165" s="77"/>
      <c r="BH165" s="77"/>
      <c r="BI165" s="77"/>
      <c r="BJ165" s="77"/>
      <c r="BK165" s="77"/>
      <c r="BL165" s="77"/>
      <c r="BM165" s="77"/>
      <c r="BN165" s="77"/>
      <c r="BO165" s="77"/>
      <c r="BP165" s="77"/>
      <c r="BQ165" s="77"/>
      <c r="BR165" s="77"/>
      <c r="BS165" s="77"/>
      <c r="BT165" s="77"/>
      <c r="BU165" s="77"/>
      <c r="BV165" s="77"/>
      <c r="BW165" s="77"/>
      <c r="BX165" s="77"/>
      <c r="BY165" s="77"/>
      <c r="BZ165" s="77"/>
      <c r="CA165" s="77"/>
      <c r="CB165" s="77"/>
      <c r="CC165" s="77"/>
      <c r="CD165" s="77"/>
      <c r="CE165" s="77"/>
      <c r="CF165" s="77"/>
      <c r="CG165" s="77"/>
      <c r="CH165" s="77"/>
      <c r="CI165" s="77"/>
      <c r="CJ165" s="77"/>
      <c r="CK165" s="77"/>
      <c r="CL165" s="77"/>
      <c r="CM165" s="77"/>
      <c r="CN165" s="77"/>
      <c r="CO165" s="77"/>
      <c r="CP165" s="77"/>
      <c r="CQ165" s="77"/>
      <c r="CR165" s="77"/>
      <c r="CS165" s="77"/>
      <c r="CT165" s="77"/>
      <c r="CU165" s="77"/>
      <c r="CV165" s="77"/>
      <c r="CW165" s="77"/>
      <c r="CX165" s="77"/>
      <c r="CY165" s="77"/>
      <c r="CZ165" s="77"/>
      <c r="DA165" s="77"/>
      <c r="DB165" s="77"/>
      <c r="DC165" s="77"/>
      <c r="DD165" s="77"/>
      <c r="DE165" s="77"/>
      <c r="DF165" s="77"/>
      <c r="DG165" s="77"/>
      <c r="DH165" s="77"/>
      <c r="DI165" s="77"/>
      <c r="DJ165" s="77"/>
      <c r="DK165" s="77"/>
      <c r="DL165" s="77"/>
      <c r="DM165" s="77"/>
      <c r="DN165" s="77"/>
      <c r="DO165" s="77"/>
      <c r="DP165" s="77"/>
      <c r="DQ165" s="77"/>
      <c r="DR165" s="77"/>
      <c r="DS165" s="77"/>
      <c r="DT165" s="77"/>
      <c r="DU165" s="77"/>
      <c r="DV165" s="77"/>
      <c r="DW165" s="77"/>
      <c r="DX165" s="77"/>
      <c r="DY165" s="77"/>
      <c r="DZ165" s="77"/>
      <c r="EA165" s="77"/>
      <c r="EB165" s="77"/>
      <c r="EC165" s="77"/>
      <c r="ED165" s="77"/>
      <c r="EE165" s="77"/>
      <c r="EF165" s="77"/>
      <c r="EG165" s="77"/>
      <c r="EH165" s="77"/>
      <c r="EI165" s="77"/>
      <c r="EJ165" s="77"/>
      <c r="EK165" s="77"/>
      <c r="EL165" s="77"/>
      <c r="EM165" s="77"/>
      <c r="EN165" s="77"/>
      <c r="EO165" s="77"/>
      <c r="EP165" s="77"/>
      <c r="EQ165" s="77"/>
      <c r="ER165" s="77"/>
      <c r="ES165" s="77"/>
      <c r="ET165" s="77"/>
      <c r="EU165" s="77"/>
      <c r="EV165" s="77"/>
      <c r="EW165" s="77"/>
      <c r="EX165" s="77"/>
      <c r="EY165" s="77"/>
      <c r="EZ165" s="77"/>
      <c r="FA165" s="77"/>
      <c r="FB165" s="77"/>
      <c r="FC165" s="77"/>
      <c r="FD165" s="77"/>
      <c r="FE165" s="77"/>
      <c r="FF165" s="77"/>
      <c r="FG165" s="77"/>
      <c r="FH165" s="77"/>
      <c r="FI165" s="77"/>
      <c r="FJ165" s="77"/>
      <c r="FK165" s="77"/>
      <c r="FL165" s="77"/>
      <c r="FM165" s="77"/>
      <c r="FN165" s="77"/>
      <c r="FO165" s="77"/>
      <c r="FP165" s="77"/>
      <c r="FQ165" s="77"/>
      <c r="FR165" s="77"/>
      <c r="FS165" s="77"/>
      <c r="FT165" s="77"/>
      <c r="FU165" s="77"/>
      <c r="FV165" s="77"/>
      <c r="FW165" s="77"/>
      <c r="FX165" s="77"/>
      <c r="FY165" s="77"/>
      <c r="FZ165" s="77"/>
      <c r="GA165" s="77"/>
      <c r="GB165" s="77"/>
      <c r="GC165" s="77"/>
      <c r="GD165" s="77"/>
      <c r="GE165" s="77"/>
      <c r="GF165" s="77"/>
      <c r="GG165" s="77"/>
      <c r="GH165" s="77"/>
      <c r="GI165" s="77"/>
      <c r="GJ165" s="77"/>
      <c r="GK165" s="77"/>
      <c r="GL165" s="77"/>
      <c r="GM165" s="77"/>
      <c r="GN165" s="77"/>
      <c r="GO165" s="77"/>
      <c r="GP165" s="77"/>
      <c r="GQ165" s="77"/>
      <c r="GR165" s="77"/>
      <c r="GS165" s="77"/>
      <c r="GT165" s="77"/>
      <c r="GU165" s="77"/>
      <c r="GV165" s="77"/>
      <c r="GW165" s="77"/>
      <c r="GX165" s="77"/>
      <c r="GY165" s="77"/>
      <c r="GZ165" s="77"/>
      <c r="HA165" s="77"/>
      <c r="HB165" s="77"/>
      <c r="HC165" s="77"/>
      <c r="HD165" s="77"/>
      <c r="HE165" s="77"/>
      <c r="HF165" s="77"/>
      <c r="HG165" s="77"/>
      <c r="HH165" s="77"/>
      <c r="HI165" s="77"/>
      <c r="HJ165" s="77"/>
      <c r="HK165" s="77"/>
      <c r="HL165" s="77"/>
      <c r="HM165" s="77"/>
      <c r="HN165" s="77"/>
      <c r="HO165" s="77"/>
      <c r="HP165" s="77"/>
      <c r="HQ165" s="77"/>
    </row>
    <row r="166" spans="1:225" hidden="1" x14ac:dyDescent="0.3">
      <c r="A166" s="78">
        <f>'Entrada datos'!C163</f>
        <v>0</v>
      </c>
      <c r="B166" s="74">
        <f>'Entrada datos'!D163</f>
        <v>0</v>
      </c>
      <c r="C166" s="75">
        <f>'Entrada datos'!G163</f>
        <v>0</v>
      </c>
      <c r="D166" s="75">
        <f>'Entrada datos'!H163</f>
        <v>0</v>
      </c>
      <c r="E166" s="74">
        <f t="shared" si="7"/>
        <v>0</v>
      </c>
      <c r="F166" s="68" t="str">
        <f t="shared" si="8"/>
        <v>no procede</v>
      </c>
      <c r="G166" s="74">
        <f>'Entrada datos'!P163</f>
        <v>0</v>
      </c>
      <c r="H166" s="74">
        <f>'Entrada datos'!Q163</f>
        <v>0</v>
      </c>
      <c r="I166" s="74">
        <f>'Entrada datos'!R163</f>
        <v>0</v>
      </c>
      <c r="J166" s="74">
        <f>'Entrada datos'!S163</f>
        <v>0</v>
      </c>
      <c r="K166" s="74">
        <f>'Entrada datos'!T163</f>
        <v>0</v>
      </c>
      <c r="L166" s="74">
        <f>'Entrada datos'!U163</f>
        <v>0</v>
      </c>
      <c r="M166" s="76"/>
      <c r="N166" s="76"/>
      <c r="O166" s="76"/>
      <c r="P166" s="76"/>
      <c r="Q166" s="76"/>
      <c r="R166" s="76"/>
      <c r="S166" s="77" t="s">
        <v>74</v>
      </c>
      <c r="T166" s="77"/>
      <c r="U166" s="77"/>
      <c r="V166" s="77">
        <f t="shared" si="9"/>
        <v>0</v>
      </c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  <c r="AI166" s="77"/>
      <c r="AJ166" s="77"/>
      <c r="AK166" s="77"/>
      <c r="AL166" s="77"/>
      <c r="AM166" s="77"/>
      <c r="AN166" s="77"/>
      <c r="AO166" s="77"/>
      <c r="AP166" s="77"/>
      <c r="AQ166" s="77"/>
      <c r="AR166" s="77"/>
      <c r="AS166" s="77"/>
      <c r="AT166" s="77"/>
      <c r="AU166" s="77"/>
      <c r="AV166" s="77"/>
      <c r="AW166" s="77"/>
      <c r="AX166" s="77"/>
      <c r="AY166" s="77"/>
      <c r="AZ166" s="77"/>
      <c r="BA166" s="77"/>
      <c r="BB166" s="77"/>
      <c r="BC166" s="77"/>
      <c r="BD166" s="77"/>
      <c r="BE166" s="77"/>
      <c r="BF166" s="77"/>
      <c r="BG166" s="77"/>
      <c r="BH166" s="77"/>
      <c r="BI166" s="77"/>
      <c r="BJ166" s="77"/>
      <c r="BK166" s="77"/>
      <c r="BL166" s="77"/>
      <c r="BM166" s="77"/>
      <c r="BN166" s="77"/>
      <c r="BO166" s="77"/>
      <c r="BP166" s="77"/>
      <c r="BQ166" s="77"/>
      <c r="BR166" s="77"/>
      <c r="BS166" s="77"/>
      <c r="BT166" s="77"/>
      <c r="BU166" s="77"/>
      <c r="BV166" s="77"/>
      <c r="BW166" s="77"/>
      <c r="BX166" s="77"/>
      <c r="BY166" s="77"/>
      <c r="BZ166" s="77"/>
      <c r="CA166" s="77"/>
      <c r="CB166" s="77"/>
      <c r="CC166" s="77"/>
      <c r="CD166" s="77"/>
      <c r="CE166" s="77"/>
      <c r="CF166" s="77"/>
      <c r="CG166" s="77"/>
      <c r="CH166" s="77"/>
      <c r="CI166" s="77"/>
      <c r="CJ166" s="77"/>
      <c r="CK166" s="77"/>
      <c r="CL166" s="77"/>
      <c r="CM166" s="77"/>
      <c r="CN166" s="77"/>
      <c r="CO166" s="77"/>
      <c r="CP166" s="77"/>
      <c r="CQ166" s="77"/>
      <c r="CR166" s="77"/>
      <c r="CS166" s="77"/>
      <c r="CT166" s="77"/>
      <c r="CU166" s="77"/>
      <c r="CV166" s="77"/>
      <c r="CW166" s="77"/>
      <c r="CX166" s="77"/>
      <c r="CY166" s="77"/>
      <c r="CZ166" s="77"/>
      <c r="DA166" s="77"/>
      <c r="DB166" s="77"/>
      <c r="DC166" s="77"/>
      <c r="DD166" s="77"/>
      <c r="DE166" s="77"/>
      <c r="DF166" s="77"/>
      <c r="DG166" s="77"/>
      <c r="DH166" s="77"/>
      <c r="DI166" s="77"/>
      <c r="DJ166" s="77"/>
      <c r="DK166" s="77"/>
      <c r="DL166" s="77"/>
      <c r="DM166" s="77"/>
      <c r="DN166" s="77"/>
      <c r="DO166" s="77"/>
      <c r="DP166" s="77"/>
      <c r="DQ166" s="77"/>
      <c r="DR166" s="77"/>
      <c r="DS166" s="77"/>
      <c r="DT166" s="77"/>
      <c r="DU166" s="77"/>
      <c r="DV166" s="77"/>
      <c r="DW166" s="77"/>
      <c r="DX166" s="77"/>
      <c r="DY166" s="77"/>
      <c r="DZ166" s="77"/>
      <c r="EA166" s="77"/>
      <c r="EB166" s="77"/>
      <c r="EC166" s="77"/>
      <c r="ED166" s="77"/>
      <c r="EE166" s="77"/>
      <c r="EF166" s="77"/>
      <c r="EG166" s="77"/>
      <c r="EH166" s="77"/>
      <c r="EI166" s="77"/>
      <c r="EJ166" s="77"/>
      <c r="EK166" s="77"/>
      <c r="EL166" s="77"/>
      <c r="EM166" s="77"/>
      <c r="EN166" s="77"/>
      <c r="EO166" s="77"/>
      <c r="EP166" s="77"/>
      <c r="EQ166" s="77"/>
      <c r="ER166" s="77"/>
      <c r="ES166" s="77"/>
      <c r="ET166" s="77"/>
      <c r="EU166" s="77"/>
      <c r="EV166" s="77"/>
      <c r="EW166" s="77"/>
      <c r="EX166" s="77"/>
      <c r="EY166" s="77"/>
      <c r="EZ166" s="77"/>
      <c r="FA166" s="77"/>
      <c r="FB166" s="77"/>
      <c r="FC166" s="77"/>
      <c r="FD166" s="77"/>
      <c r="FE166" s="77"/>
      <c r="FF166" s="77"/>
      <c r="FG166" s="77"/>
      <c r="FH166" s="77"/>
      <c r="FI166" s="77"/>
      <c r="FJ166" s="77"/>
      <c r="FK166" s="77"/>
      <c r="FL166" s="77"/>
      <c r="FM166" s="77"/>
      <c r="FN166" s="77"/>
      <c r="FO166" s="77"/>
      <c r="FP166" s="77"/>
      <c r="FQ166" s="77"/>
      <c r="FR166" s="77"/>
      <c r="FS166" s="77"/>
      <c r="FT166" s="77"/>
      <c r="FU166" s="77"/>
      <c r="FV166" s="77"/>
      <c r="FW166" s="77"/>
      <c r="FX166" s="77"/>
      <c r="FY166" s="77"/>
      <c r="FZ166" s="77"/>
      <c r="GA166" s="77"/>
      <c r="GB166" s="77"/>
      <c r="GC166" s="77"/>
      <c r="GD166" s="77"/>
      <c r="GE166" s="77"/>
      <c r="GF166" s="77"/>
      <c r="GG166" s="77"/>
      <c r="GH166" s="77"/>
      <c r="GI166" s="77"/>
      <c r="GJ166" s="77"/>
      <c r="GK166" s="77"/>
      <c r="GL166" s="77"/>
      <c r="GM166" s="77"/>
      <c r="GN166" s="77"/>
      <c r="GO166" s="77"/>
      <c r="GP166" s="77"/>
      <c r="GQ166" s="77"/>
      <c r="GR166" s="77"/>
      <c r="GS166" s="77"/>
      <c r="GT166" s="77"/>
      <c r="GU166" s="77"/>
      <c r="GV166" s="77"/>
      <c r="GW166" s="77"/>
      <c r="GX166" s="77"/>
      <c r="GY166" s="77"/>
      <c r="GZ166" s="77"/>
      <c r="HA166" s="77"/>
      <c r="HB166" s="77"/>
      <c r="HC166" s="77"/>
      <c r="HD166" s="77"/>
      <c r="HE166" s="77"/>
      <c r="HF166" s="77"/>
      <c r="HG166" s="77"/>
      <c r="HH166" s="77"/>
      <c r="HI166" s="77"/>
      <c r="HJ166" s="77"/>
      <c r="HK166" s="77"/>
      <c r="HL166" s="77"/>
      <c r="HM166" s="77"/>
      <c r="HN166" s="77"/>
      <c r="HO166" s="77"/>
      <c r="HP166" s="77"/>
      <c r="HQ166" s="77"/>
    </row>
    <row r="167" spans="1:225" hidden="1" x14ac:dyDescent="0.3">
      <c r="A167" s="78">
        <f>'Entrada datos'!C164</f>
        <v>0</v>
      </c>
      <c r="B167" s="74">
        <f>'Entrada datos'!D164</f>
        <v>0</v>
      </c>
      <c r="C167" s="75">
        <f>'Entrada datos'!G164</f>
        <v>0</v>
      </c>
      <c r="D167" s="75">
        <f>'Entrada datos'!H164</f>
        <v>0</v>
      </c>
      <c r="E167" s="74">
        <f t="shared" si="7"/>
        <v>0</v>
      </c>
      <c r="F167" s="68" t="str">
        <f t="shared" si="8"/>
        <v>no procede</v>
      </c>
      <c r="G167" s="74">
        <f>'Entrada datos'!P164</f>
        <v>0</v>
      </c>
      <c r="H167" s="74">
        <f>'Entrada datos'!Q164</f>
        <v>0</v>
      </c>
      <c r="I167" s="74">
        <f>'Entrada datos'!R164</f>
        <v>0</v>
      </c>
      <c r="J167" s="74">
        <f>'Entrada datos'!S164</f>
        <v>0</v>
      </c>
      <c r="K167" s="74">
        <f>'Entrada datos'!T164</f>
        <v>0</v>
      </c>
      <c r="L167" s="74">
        <f>'Entrada datos'!U164</f>
        <v>0</v>
      </c>
      <c r="M167" s="76"/>
      <c r="N167" s="76"/>
      <c r="O167" s="76"/>
      <c r="P167" s="76"/>
      <c r="Q167" s="76"/>
      <c r="R167" s="76"/>
      <c r="S167" s="77" t="s">
        <v>74</v>
      </c>
      <c r="T167" s="77"/>
      <c r="U167" s="77"/>
      <c r="V167" s="77">
        <f t="shared" si="9"/>
        <v>0</v>
      </c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  <c r="AI167" s="77"/>
      <c r="AJ167" s="77"/>
      <c r="AK167" s="77"/>
      <c r="AL167" s="77"/>
      <c r="AM167" s="77"/>
      <c r="AN167" s="77"/>
      <c r="AO167" s="77"/>
      <c r="AP167" s="77"/>
      <c r="AQ167" s="77"/>
      <c r="AR167" s="77"/>
      <c r="AS167" s="77"/>
      <c r="AT167" s="77"/>
      <c r="AU167" s="77"/>
      <c r="AV167" s="77"/>
      <c r="AW167" s="77"/>
      <c r="AX167" s="77"/>
      <c r="AY167" s="77"/>
      <c r="AZ167" s="77"/>
      <c r="BA167" s="77"/>
      <c r="BB167" s="77"/>
      <c r="BC167" s="77"/>
      <c r="BD167" s="77"/>
      <c r="BE167" s="77"/>
      <c r="BF167" s="77"/>
      <c r="BG167" s="77"/>
      <c r="BH167" s="77"/>
      <c r="BI167" s="77"/>
      <c r="BJ167" s="77"/>
      <c r="BK167" s="77"/>
      <c r="BL167" s="77"/>
      <c r="BM167" s="77"/>
      <c r="BN167" s="77"/>
      <c r="BO167" s="77"/>
      <c r="BP167" s="77"/>
      <c r="BQ167" s="77"/>
      <c r="BR167" s="77"/>
      <c r="BS167" s="77"/>
      <c r="BT167" s="77"/>
      <c r="BU167" s="77"/>
      <c r="BV167" s="77"/>
      <c r="BW167" s="77"/>
      <c r="BX167" s="77"/>
      <c r="BY167" s="77"/>
      <c r="BZ167" s="77"/>
      <c r="CA167" s="77"/>
      <c r="CB167" s="77"/>
      <c r="CC167" s="77"/>
      <c r="CD167" s="77"/>
      <c r="CE167" s="77"/>
      <c r="CF167" s="77"/>
      <c r="CG167" s="77"/>
      <c r="CH167" s="77"/>
      <c r="CI167" s="77"/>
      <c r="CJ167" s="77"/>
      <c r="CK167" s="77"/>
      <c r="CL167" s="77"/>
      <c r="CM167" s="77"/>
      <c r="CN167" s="77"/>
      <c r="CO167" s="77"/>
      <c r="CP167" s="77"/>
      <c r="CQ167" s="77"/>
      <c r="CR167" s="77"/>
      <c r="CS167" s="77"/>
      <c r="CT167" s="77"/>
      <c r="CU167" s="77"/>
      <c r="CV167" s="77"/>
      <c r="CW167" s="77"/>
      <c r="CX167" s="77"/>
      <c r="CY167" s="77"/>
      <c r="CZ167" s="77"/>
      <c r="DA167" s="77"/>
      <c r="DB167" s="77"/>
      <c r="DC167" s="77"/>
      <c r="DD167" s="77"/>
      <c r="DE167" s="77"/>
      <c r="DF167" s="77"/>
      <c r="DG167" s="77"/>
      <c r="DH167" s="77"/>
      <c r="DI167" s="77"/>
      <c r="DJ167" s="77"/>
      <c r="DK167" s="77"/>
      <c r="DL167" s="77"/>
      <c r="DM167" s="77"/>
      <c r="DN167" s="77"/>
      <c r="DO167" s="77"/>
      <c r="DP167" s="77"/>
      <c r="DQ167" s="77"/>
      <c r="DR167" s="77"/>
      <c r="DS167" s="77"/>
      <c r="DT167" s="77"/>
      <c r="DU167" s="77"/>
      <c r="DV167" s="77"/>
      <c r="DW167" s="77"/>
      <c r="DX167" s="77"/>
      <c r="DY167" s="77"/>
      <c r="DZ167" s="77"/>
      <c r="EA167" s="77"/>
      <c r="EB167" s="77"/>
      <c r="EC167" s="77"/>
      <c r="ED167" s="77"/>
      <c r="EE167" s="77"/>
      <c r="EF167" s="77"/>
      <c r="EG167" s="77"/>
      <c r="EH167" s="77"/>
      <c r="EI167" s="77"/>
      <c r="EJ167" s="77"/>
      <c r="EK167" s="77"/>
      <c r="EL167" s="77"/>
      <c r="EM167" s="77"/>
      <c r="EN167" s="77"/>
      <c r="EO167" s="77"/>
      <c r="EP167" s="77"/>
      <c r="EQ167" s="77"/>
      <c r="ER167" s="77"/>
      <c r="ES167" s="77"/>
      <c r="ET167" s="77"/>
      <c r="EU167" s="77"/>
      <c r="EV167" s="77"/>
      <c r="EW167" s="77"/>
      <c r="EX167" s="77"/>
      <c r="EY167" s="77"/>
      <c r="EZ167" s="77"/>
      <c r="FA167" s="77"/>
      <c r="FB167" s="77"/>
      <c r="FC167" s="77"/>
      <c r="FD167" s="77"/>
      <c r="FE167" s="77"/>
      <c r="FF167" s="77"/>
      <c r="FG167" s="77"/>
      <c r="FH167" s="77"/>
      <c r="FI167" s="77"/>
      <c r="FJ167" s="77"/>
      <c r="FK167" s="77"/>
      <c r="FL167" s="77"/>
      <c r="FM167" s="77"/>
      <c r="FN167" s="77"/>
      <c r="FO167" s="77"/>
      <c r="FP167" s="77"/>
      <c r="FQ167" s="77"/>
      <c r="FR167" s="77"/>
      <c r="FS167" s="77"/>
      <c r="FT167" s="77"/>
      <c r="FU167" s="77"/>
      <c r="FV167" s="77"/>
      <c r="FW167" s="77"/>
      <c r="FX167" s="77"/>
      <c r="FY167" s="77"/>
      <c r="FZ167" s="77"/>
      <c r="GA167" s="77"/>
      <c r="GB167" s="77"/>
      <c r="GC167" s="77"/>
      <c r="GD167" s="77"/>
      <c r="GE167" s="77"/>
      <c r="GF167" s="77"/>
      <c r="GG167" s="77"/>
      <c r="GH167" s="77"/>
      <c r="GI167" s="77"/>
      <c r="GJ167" s="77"/>
      <c r="GK167" s="77"/>
      <c r="GL167" s="77"/>
      <c r="GM167" s="77"/>
      <c r="GN167" s="77"/>
      <c r="GO167" s="77"/>
      <c r="GP167" s="77"/>
      <c r="GQ167" s="77"/>
      <c r="GR167" s="77"/>
      <c r="GS167" s="77"/>
      <c r="GT167" s="77"/>
      <c r="GU167" s="77"/>
      <c r="GV167" s="77"/>
      <c r="GW167" s="77"/>
      <c r="GX167" s="77"/>
      <c r="GY167" s="77"/>
      <c r="GZ167" s="77"/>
      <c r="HA167" s="77"/>
      <c r="HB167" s="77"/>
      <c r="HC167" s="77"/>
      <c r="HD167" s="77"/>
      <c r="HE167" s="77"/>
      <c r="HF167" s="77"/>
      <c r="HG167" s="77"/>
      <c r="HH167" s="77"/>
      <c r="HI167" s="77"/>
      <c r="HJ167" s="77"/>
      <c r="HK167" s="77"/>
      <c r="HL167" s="77"/>
      <c r="HM167" s="77"/>
      <c r="HN167" s="77"/>
      <c r="HO167" s="77"/>
      <c r="HP167" s="77"/>
      <c r="HQ167" s="77"/>
    </row>
    <row r="168" spans="1:225" hidden="1" x14ac:dyDescent="0.3">
      <c r="A168" s="78">
        <f>'Entrada datos'!C165</f>
        <v>0</v>
      </c>
      <c r="B168" s="74">
        <f>'Entrada datos'!D165</f>
        <v>0</v>
      </c>
      <c r="C168" s="75">
        <f>'Entrada datos'!G165</f>
        <v>0</v>
      </c>
      <c r="D168" s="75">
        <f>'Entrada datos'!H165</f>
        <v>0</v>
      </c>
      <c r="E168" s="74">
        <f t="shared" si="7"/>
        <v>0</v>
      </c>
      <c r="F168" s="68" t="str">
        <f t="shared" si="8"/>
        <v>no procede</v>
      </c>
      <c r="G168" s="74">
        <f>'Entrada datos'!P165</f>
        <v>0</v>
      </c>
      <c r="H168" s="74">
        <f>'Entrada datos'!Q165</f>
        <v>0</v>
      </c>
      <c r="I168" s="74">
        <f>'Entrada datos'!R165</f>
        <v>0</v>
      </c>
      <c r="J168" s="74">
        <f>'Entrada datos'!S165</f>
        <v>0</v>
      </c>
      <c r="K168" s="74">
        <f>'Entrada datos'!T165</f>
        <v>0</v>
      </c>
      <c r="L168" s="74">
        <f>'Entrada datos'!U165</f>
        <v>0</v>
      </c>
      <c r="M168" s="76"/>
      <c r="N168" s="76"/>
      <c r="O168" s="76"/>
      <c r="P168" s="76"/>
      <c r="Q168" s="76"/>
      <c r="R168" s="76"/>
      <c r="S168" s="77" t="s">
        <v>74</v>
      </c>
      <c r="T168" s="77"/>
      <c r="U168" s="77"/>
      <c r="V168" s="77">
        <f t="shared" si="9"/>
        <v>0</v>
      </c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  <c r="AI168" s="77"/>
      <c r="AJ168" s="77"/>
      <c r="AK168" s="77"/>
      <c r="AL168" s="77"/>
      <c r="AM168" s="77"/>
      <c r="AN168" s="77"/>
      <c r="AO168" s="77"/>
      <c r="AP168" s="77"/>
      <c r="AQ168" s="77"/>
      <c r="AR168" s="77"/>
      <c r="AS168" s="77"/>
      <c r="AT168" s="77"/>
      <c r="AU168" s="77"/>
      <c r="AV168" s="77"/>
      <c r="AW168" s="77"/>
      <c r="AX168" s="77"/>
      <c r="AY168" s="77"/>
      <c r="AZ168" s="77"/>
      <c r="BA168" s="77"/>
      <c r="BB168" s="77"/>
      <c r="BC168" s="77"/>
      <c r="BD168" s="77"/>
      <c r="BE168" s="77"/>
      <c r="BF168" s="77"/>
      <c r="BG168" s="77"/>
      <c r="BH168" s="77"/>
      <c r="BI168" s="77"/>
      <c r="BJ168" s="77"/>
      <c r="BK168" s="77"/>
      <c r="BL168" s="77"/>
      <c r="BM168" s="77"/>
      <c r="BN168" s="77"/>
      <c r="BO168" s="77"/>
      <c r="BP168" s="77"/>
      <c r="BQ168" s="77"/>
      <c r="BR168" s="77"/>
      <c r="BS168" s="77"/>
      <c r="BT168" s="77"/>
      <c r="BU168" s="77"/>
      <c r="BV168" s="77"/>
      <c r="BW168" s="77"/>
      <c r="BX168" s="77"/>
      <c r="BY168" s="77"/>
      <c r="BZ168" s="77"/>
      <c r="CA168" s="77"/>
      <c r="CB168" s="77"/>
      <c r="CC168" s="77"/>
      <c r="CD168" s="77"/>
      <c r="CE168" s="77"/>
      <c r="CF168" s="77"/>
      <c r="CG168" s="77"/>
      <c r="CH168" s="77"/>
      <c r="CI168" s="77"/>
      <c r="CJ168" s="77"/>
      <c r="CK168" s="77"/>
      <c r="CL168" s="77"/>
      <c r="CM168" s="77"/>
      <c r="CN168" s="77"/>
      <c r="CO168" s="77"/>
      <c r="CP168" s="77"/>
      <c r="CQ168" s="77"/>
      <c r="CR168" s="77"/>
      <c r="CS168" s="77"/>
      <c r="CT168" s="77"/>
      <c r="CU168" s="77"/>
      <c r="CV168" s="77"/>
      <c r="CW168" s="77"/>
      <c r="CX168" s="77"/>
      <c r="CY168" s="77"/>
      <c r="CZ168" s="77"/>
      <c r="DA168" s="77"/>
      <c r="DB168" s="77"/>
      <c r="DC168" s="77"/>
      <c r="DD168" s="77"/>
      <c r="DE168" s="77"/>
      <c r="DF168" s="77"/>
      <c r="DG168" s="77"/>
      <c r="DH168" s="77"/>
      <c r="DI168" s="77"/>
      <c r="DJ168" s="77"/>
      <c r="DK168" s="77"/>
      <c r="DL168" s="77"/>
      <c r="DM168" s="77"/>
      <c r="DN168" s="77"/>
      <c r="DO168" s="77"/>
      <c r="DP168" s="77"/>
      <c r="DQ168" s="77"/>
      <c r="DR168" s="77"/>
      <c r="DS168" s="77"/>
      <c r="DT168" s="77"/>
      <c r="DU168" s="77"/>
      <c r="DV168" s="77"/>
      <c r="DW168" s="77"/>
      <c r="DX168" s="77"/>
      <c r="DY168" s="77"/>
      <c r="DZ168" s="77"/>
      <c r="EA168" s="77"/>
      <c r="EB168" s="77"/>
      <c r="EC168" s="77"/>
      <c r="ED168" s="77"/>
      <c r="EE168" s="77"/>
      <c r="EF168" s="77"/>
      <c r="EG168" s="77"/>
      <c r="EH168" s="77"/>
      <c r="EI168" s="77"/>
      <c r="EJ168" s="77"/>
      <c r="EK168" s="77"/>
      <c r="EL168" s="77"/>
      <c r="EM168" s="77"/>
      <c r="EN168" s="77"/>
      <c r="EO168" s="77"/>
      <c r="EP168" s="77"/>
      <c r="EQ168" s="77"/>
      <c r="ER168" s="77"/>
      <c r="ES168" s="77"/>
      <c r="ET168" s="77"/>
      <c r="EU168" s="77"/>
      <c r="EV168" s="77"/>
      <c r="EW168" s="77"/>
      <c r="EX168" s="77"/>
      <c r="EY168" s="77"/>
      <c r="EZ168" s="77"/>
      <c r="FA168" s="77"/>
      <c r="FB168" s="77"/>
      <c r="FC168" s="77"/>
      <c r="FD168" s="77"/>
      <c r="FE168" s="77"/>
      <c r="FF168" s="77"/>
      <c r="FG168" s="77"/>
      <c r="FH168" s="77"/>
      <c r="FI168" s="77"/>
      <c r="FJ168" s="77"/>
      <c r="FK168" s="77"/>
      <c r="FL168" s="77"/>
      <c r="FM168" s="77"/>
      <c r="FN168" s="77"/>
      <c r="FO168" s="77"/>
      <c r="FP168" s="77"/>
      <c r="FQ168" s="77"/>
      <c r="FR168" s="77"/>
      <c r="FS168" s="77"/>
      <c r="FT168" s="77"/>
      <c r="FU168" s="77"/>
      <c r="FV168" s="77"/>
      <c r="FW168" s="77"/>
      <c r="FX168" s="77"/>
      <c r="FY168" s="77"/>
      <c r="FZ168" s="77"/>
      <c r="GA168" s="77"/>
      <c r="GB168" s="77"/>
      <c r="GC168" s="77"/>
      <c r="GD168" s="77"/>
      <c r="GE168" s="77"/>
      <c r="GF168" s="77"/>
      <c r="GG168" s="77"/>
      <c r="GH168" s="77"/>
      <c r="GI168" s="77"/>
      <c r="GJ168" s="77"/>
      <c r="GK168" s="77"/>
      <c r="GL168" s="77"/>
      <c r="GM168" s="77"/>
      <c r="GN168" s="77"/>
      <c r="GO168" s="77"/>
      <c r="GP168" s="77"/>
      <c r="GQ168" s="77"/>
      <c r="GR168" s="77"/>
      <c r="GS168" s="77"/>
      <c r="GT168" s="77"/>
      <c r="GU168" s="77"/>
      <c r="GV168" s="77"/>
      <c r="GW168" s="77"/>
      <c r="GX168" s="77"/>
      <c r="GY168" s="77"/>
      <c r="GZ168" s="77"/>
      <c r="HA168" s="77"/>
      <c r="HB168" s="77"/>
      <c r="HC168" s="77"/>
      <c r="HD168" s="77"/>
      <c r="HE168" s="77"/>
      <c r="HF168" s="77"/>
      <c r="HG168" s="77"/>
      <c r="HH168" s="77"/>
      <c r="HI168" s="77"/>
      <c r="HJ168" s="77"/>
      <c r="HK168" s="77"/>
      <c r="HL168" s="77"/>
      <c r="HM168" s="77"/>
      <c r="HN168" s="77"/>
      <c r="HO168" s="77"/>
      <c r="HP168" s="77"/>
      <c r="HQ168" s="77"/>
    </row>
    <row r="169" spans="1:225" hidden="1" x14ac:dyDescent="0.3">
      <c r="A169" s="78">
        <f>'Entrada datos'!C166</f>
        <v>0</v>
      </c>
      <c r="B169" s="74">
        <f>'Entrada datos'!D166</f>
        <v>0</v>
      </c>
      <c r="C169" s="75">
        <f>'Entrada datos'!G166</f>
        <v>0</v>
      </c>
      <c r="D169" s="75">
        <f>'Entrada datos'!H166</f>
        <v>0</v>
      </c>
      <c r="E169" s="74">
        <f t="shared" si="7"/>
        <v>0</v>
      </c>
      <c r="F169" s="68" t="str">
        <f t="shared" si="8"/>
        <v>no procede</v>
      </c>
      <c r="G169" s="74">
        <f>'Entrada datos'!P166</f>
        <v>0</v>
      </c>
      <c r="H169" s="74">
        <f>'Entrada datos'!Q166</f>
        <v>0</v>
      </c>
      <c r="I169" s="74">
        <f>'Entrada datos'!R166</f>
        <v>0</v>
      </c>
      <c r="J169" s="74">
        <f>'Entrada datos'!S166</f>
        <v>0</v>
      </c>
      <c r="K169" s="74">
        <f>'Entrada datos'!T166</f>
        <v>0</v>
      </c>
      <c r="L169" s="74">
        <f>'Entrada datos'!U166</f>
        <v>0</v>
      </c>
      <c r="M169" s="76"/>
      <c r="N169" s="76"/>
      <c r="O169" s="76"/>
      <c r="P169" s="76"/>
      <c r="Q169" s="76"/>
      <c r="R169" s="76"/>
      <c r="S169" s="77" t="s">
        <v>74</v>
      </c>
      <c r="T169" s="77"/>
      <c r="U169" s="77"/>
      <c r="V169" s="77">
        <f t="shared" si="9"/>
        <v>0</v>
      </c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  <c r="AI169" s="77"/>
      <c r="AJ169" s="77"/>
      <c r="AK169" s="77"/>
      <c r="AL169" s="77"/>
      <c r="AM169" s="77"/>
      <c r="AN169" s="77"/>
      <c r="AO169" s="77"/>
      <c r="AP169" s="77"/>
      <c r="AQ169" s="77"/>
      <c r="AR169" s="77"/>
      <c r="AS169" s="77"/>
      <c r="AT169" s="77"/>
      <c r="AU169" s="77"/>
      <c r="AV169" s="77"/>
      <c r="AW169" s="77"/>
      <c r="AX169" s="77"/>
      <c r="AY169" s="77"/>
      <c r="AZ169" s="77"/>
      <c r="BA169" s="77"/>
      <c r="BB169" s="77"/>
      <c r="BC169" s="77"/>
      <c r="BD169" s="77"/>
      <c r="BE169" s="77"/>
      <c r="BF169" s="77"/>
      <c r="BG169" s="77"/>
      <c r="BH169" s="77"/>
      <c r="BI169" s="77"/>
      <c r="BJ169" s="77"/>
      <c r="BK169" s="77"/>
      <c r="BL169" s="77"/>
      <c r="BM169" s="77"/>
      <c r="BN169" s="77"/>
      <c r="BO169" s="77"/>
      <c r="BP169" s="77"/>
      <c r="BQ169" s="77"/>
      <c r="BR169" s="77"/>
      <c r="BS169" s="77"/>
      <c r="BT169" s="77"/>
      <c r="BU169" s="77"/>
      <c r="BV169" s="77"/>
      <c r="BW169" s="77"/>
      <c r="BX169" s="77"/>
      <c r="BY169" s="77"/>
      <c r="BZ169" s="77"/>
      <c r="CA169" s="77"/>
      <c r="CB169" s="77"/>
      <c r="CC169" s="77"/>
      <c r="CD169" s="77"/>
      <c r="CE169" s="77"/>
      <c r="CF169" s="77"/>
      <c r="CG169" s="77"/>
      <c r="CH169" s="77"/>
      <c r="CI169" s="77"/>
      <c r="CJ169" s="77"/>
      <c r="CK169" s="77"/>
      <c r="CL169" s="77"/>
      <c r="CM169" s="77"/>
      <c r="CN169" s="77"/>
      <c r="CO169" s="77"/>
      <c r="CP169" s="77"/>
      <c r="CQ169" s="77"/>
      <c r="CR169" s="77"/>
      <c r="CS169" s="77"/>
      <c r="CT169" s="77"/>
      <c r="CU169" s="77"/>
      <c r="CV169" s="77"/>
      <c r="CW169" s="77"/>
      <c r="CX169" s="77"/>
      <c r="CY169" s="77"/>
      <c r="CZ169" s="77"/>
      <c r="DA169" s="77"/>
      <c r="DB169" s="77"/>
      <c r="DC169" s="77"/>
      <c r="DD169" s="77"/>
      <c r="DE169" s="77"/>
      <c r="DF169" s="77"/>
      <c r="DG169" s="77"/>
      <c r="DH169" s="77"/>
      <c r="DI169" s="77"/>
      <c r="DJ169" s="77"/>
      <c r="DK169" s="77"/>
      <c r="DL169" s="77"/>
      <c r="DM169" s="77"/>
      <c r="DN169" s="77"/>
      <c r="DO169" s="77"/>
      <c r="DP169" s="77"/>
      <c r="DQ169" s="77"/>
      <c r="DR169" s="77"/>
      <c r="DS169" s="77"/>
      <c r="DT169" s="77"/>
      <c r="DU169" s="77"/>
      <c r="DV169" s="77"/>
      <c r="DW169" s="77"/>
      <c r="DX169" s="77"/>
      <c r="DY169" s="77"/>
      <c r="DZ169" s="77"/>
      <c r="EA169" s="77"/>
      <c r="EB169" s="77"/>
      <c r="EC169" s="77"/>
      <c r="ED169" s="77"/>
      <c r="EE169" s="77"/>
      <c r="EF169" s="77"/>
      <c r="EG169" s="77"/>
      <c r="EH169" s="77"/>
      <c r="EI169" s="77"/>
      <c r="EJ169" s="77"/>
      <c r="EK169" s="77"/>
      <c r="EL169" s="77"/>
      <c r="EM169" s="77"/>
      <c r="EN169" s="77"/>
      <c r="EO169" s="77"/>
      <c r="EP169" s="77"/>
      <c r="EQ169" s="77"/>
      <c r="ER169" s="77"/>
      <c r="ES169" s="77"/>
      <c r="ET169" s="77"/>
      <c r="EU169" s="77"/>
      <c r="EV169" s="77"/>
      <c r="EW169" s="77"/>
      <c r="EX169" s="77"/>
      <c r="EY169" s="77"/>
      <c r="EZ169" s="77"/>
      <c r="FA169" s="77"/>
      <c r="FB169" s="77"/>
      <c r="FC169" s="77"/>
      <c r="FD169" s="77"/>
      <c r="FE169" s="77"/>
      <c r="FF169" s="77"/>
      <c r="FG169" s="77"/>
      <c r="FH169" s="77"/>
      <c r="FI169" s="77"/>
      <c r="FJ169" s="77"/>
      <c r="FK169" s="77"/>
      <c r="FL169" s="77"/>
      <c r="FM169" s="77"/>
      <c r="FN169" s="77"/>
      <c r="FO169" s="77"/>
      <c r="FP169" s="77"/>
      <c r="FQ169" s="77"/>
      <c r="FR169" s="77"/>
      <c r="FS169" s="77"/>
      <c r="FT169" s="77"/>
      <c r="FU169" s="77"/>
      <c r="FV169" s="77"/>
      <c r="FW169" s="77"/>
      <c r="FX169" s="77"/>
      <c r="FY169" s="77"/>
      <c r="FZ169" s="77"/>
      <c r="GA169" s="77"/>
      <c r="GB169" s="77"/>
      <c r="GC169" s="77"/>
      <c r="GD169" s="77"/>
      <c r="GE169" s="77"/>
      <c r="GF169" s="77"/>
      <c r="GG169" s="77"/>
      <c r="GH169" s="77"/>
      <c r="GI169" s="77"/>
      <c r="GJ169" s="77"/>
      <c r="GK169" s="77"/>
      <c r="GL169" s="77"/>
      <c r="GM169" s="77"/>
      <c r="GN169" s="77"/>
      <c r="GO169" s="77"/>
      <c r="GP169" s="77"/>
      <c r="GQ169" s="77"/>
      <c r="GR169" s="77"/>
      <c r="GS169" s="77"/>
      <c r="GT169" s="77"/>
      <c r="GU169" s="77"/>
      <c r="GV169" s="77"/>
      <c r="GW169" s="77"/>
      <c r="GX169" s="77"/>
      <c r="GY169" s="77"/>
      <c r="GZ169" s="77"/>
      <c r="HA169" s="77"/>
      <c r="HB169" s="77"/>
      <c r="HC169" s="77"/>
      <c r="HD169" s="77"/>
      <c r="HE169" s="77"/>
      <c r="HF169" s="77"/>
      <c r="HG169" s="77"/>
      <c r="HH169" s="77"/>
      <c r="HI169" s="77"/>
      <c r="HJ169" s="77"/>
      <c r="HK169" s="77"/>
      <c r="HL169" s="77"/>
      <c r="HM169" s="77"/>
      <c r="HN169" s="77"/>
      <c r="HO169" s="77"/>
      <c r="HP169" s="77"/>
      <c r="HQ169" s="77"/>
    </row>
    <row r="170" spans="1:225" hidden="1" x14ac:dyDescent="0.3">
      <c r="A170" s="78">
        <f>'Entrada datos'!C167</f>
        <v>0</v>
      </c>
      <c r="B170" s="74">
        <f>'Entrada datos'!D167</f>
        <v>0</v>
      </c>
      <c r="C170" s="75">
        <f>'Entrada datos'!G167</f>
        <v>0</v>
      </c>
      <c r="D170" s="75">
        <f>'Entrada datos'!H167</f>
        <v>0</v>
      </c>
      <c r="E170" s="74">
        <f t="shared" si="7"/>
        <v>0</v>
      </c>
      <c r="F170" s="68" t="str">
        <f t="shared" si="8"/>
        <v>no procede</v>
      </c>
      <c r="G170" s="74">
        <f>'Entrada datos'!P167</f>
        <v>0</v>
      </c>
      <c r="H170" s="74">
        <f>'Entrada datos'!Q167</f>
        <v>0</v>
      </c>
      <c r="I170" s="74">
        <f>'Entrada datos'!R167</f>
        <v>0</v>
      </c>
      <c r="J170" s="74">
        <f>'Entrada datos'!S167</f>
        <v>0</v>
      </c>
      <c r="K170" s="74">
        <f>'Entrada datos'!T167</f>
        <v>0</v>
      </c>
      <c r="L170" s="74">
        <f>'Entrada datos'!U167</f>
        <v>0</v>
      </c>
      <c r="M170" s="76"/>
      <c r="N170" s="76"/>
      <c r="O170" s="76"/>
      <c r="P170" s="76"/>
      <c r="Q170" s="76"/>
      <c r="R170" s="76"/>
      <c r="S170" s="77" t="s">
        <v>74</v>
      </c>
      <c r="T170" s="77"/>
      <c r="U170" s="77"/>
      <c r="V170" s="77">
        <f t="shared" si="9"/>
        <v>0</v>
      </c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  <c r="AI170" s="77"/>
      <c r="AJ170" s="77"/>
      <c r="AK170" s="77"/>
      <c r="AL170" s="77"/>
      <c r="AM170" s="77"/>
      <c r="AN170" s="77"/>
      <c r="AO170" s="77"/>
      <c r="AP170" s="77"/>
      <c r="AQ170" s="77"/>
      <c r="AR170" s="77"/>
      <c r="AS170" s="77"/>
      <c r="AT170" s="77"/>
      <c r="AU170" s="77"/>
      <c r="AV170" s="77"/>
      <c r="AW170" s="77"/>
      <c r="AX170" s="77"/>
      <c r="AY170" s="77"/>
      <c r="AZ170" s="77"/>
      <c r="BA170" s="77"/>
      <c r="BB170" s="77"/>
      <c r="BC170" s="77"/>
      <c r="BD170" s="77"/>
      <c r="BE170" s="77"/>
      <c r="BF170" s="77"/>
      <c r="BG170" s="77"/>
      <c r="BH170" s="77"/>
      <c r="BI170" s="77"/>
      <c r="BJ170" s="77"/>
      <c r="BK170" s="77"/>
      <c r="BL170" s="77"/>
      <c r="BM170" s="77"/>
      <c r="BN170" s="77"/>
      <c r="BO170" s="77"/>
      <c r="BP170" s="77"/>
      <c r="BQ170" s="77"/>
      <c r="BR170" s="77"/>
      <c r="BS170" s="77"/>
      <c r="BT170" s="77"/>
      <c r="BU170" s="77"/>
      <c r="BV170" s="77"/>
      <c r="BW170" s="77"/>
      <c r="BX170" s="77"/>
      <c r="BY170" s="77"/>
      <c r="BZ170" s="77"/>
      <c r="CA170" s="77"/>
      <c r="CB170" s="77"/>
      <c r="CC170" s="77"/>
      <c r="CD170" s="77"/>
      <c r="CE170" s="77"/>
      <c r="CF170" s="77"/>
      <c r="CG170" s="77"/>
      <c r="CH170" s="77"/>
      <c r="CI170" s="77"/>
      <c r="CJ170" s="77"/>
      <c r="CK170" s="77"/>
      <c r="CL170" s="77"/>
      <c r="CM170" s="77"/>
      <c r="CN170" s="77"/>
      <c r="CO170" s="77"/>
      <c r="CP170" s="77"/>
      <c r="CQ170" s="77"/>
      <c r="CR170" s="77"/>
      <c r="CS170" s="77"/>
      <c r="CT170" s="77"/>
      <c r="CU170" s="77"/>
      <c r="CV170" s="77"/>
      <c r="CW170" s="77"/>
      <c r="CX170" s="77"/>
      <c r="CY170" s="77"/>
      <c r="CZ170" s="77"/>
      <c r="DA170" s="77"/>
      <c r="DB170" s="77"/>
      <c r="DC170" s="77"/>
      <c r="DD170" s="77"/>
      <c r="DE170" s="77"/>
      <c r="DF170" s="77"/>
      <c r="DG170" s="77"/>
      <c r="DH170" s="77"/>
      <c r="DI170" s="77"/>
      <c r="DJ170" s="77"/>
      <c r="DK170" s="77"/>
      <c r="DL170" s="77"/>
      <c r="DM170" s="77"/>
      <c r="DN170" s="77"/>
      <c r="DO170" s="77"/>
      <c r="DP170" s="77"/>
      <c r="DQ170" s="77"/>
      <c r="DR170" s="77"/>
      <c r="DS170" s="77"/>
      <c r="DT170" s="77"/>
      <c r="DU170" s="77"/>
      <c r="DV170" s="77"/>
      <c r="DW170" s="77"/>
      <c r="DX170" s="77"/>
      <c r="DY170" s="77"/>
      <c r="DZ170" s="77"/>
      <c r="EA170" s="77"/>
      <c r="EB170" s="77"/>
      <c r="EC170" s="77"/>
      <c r="ED170" s="77"/>
      <c r="EE170" s="77"/>
      <c r="EF170" s="77"/>
      <c r="EG170" s="77"/>
      <c r="EH170" s="77"/>
      <c r="EI170" s="77"/>
      <c r="EJ170" s="77"/>
      <c r="EK170" s="77"/>
      <c r="EL170" s="77"/>
      <c r="EM170" s="77"/>
      <c r="EN170" s="77"/>
      <c r="EO170" s="77"/>
      <c r="EP170" s="77"/>
      <c r="EQ170" s="77"/>
      <c r="ER170" s="77"/>
      <c r="ES170" s="77"/>
      <c r="ET170" s="77"/>
      <c r="EU170" s="77"/>
      <c r="EV170" s="77"/>
      <c r="EW170" s="77"/>
      <c r="EX170" s="77"/>
      <c r="EY170" s="77"/>
      <c r="EZ170" s="77"/>
      <c r="FA170" s="77"/>
      <c r="FB170" s="77"/>
      <c r="FC170" s="77"/>
      <c r="FD170" s="77"/>
      <c r="FE170" s="77"/>
      <c r="FF170" s="77"/>
      <c r="FG170" s="77"/>
      <c r="FH170" s="77"/>
      <c r="FI170" s="77"/>
      <c r="FJ170" s="77"/>
      <c r="FK170" s="77"/>
      <c r="FL170" s="77"/>
      <c r="FM170" s="77"/>
      <c r="FN170" s="77"/>
      <c r="FO170" s="77"/>
      <c r="FP170" s="77"/>
      <c r="FQ170" s="77"/>
      <c r="FR170" s="77"/>
      <c r="FS170" s="77"/>
      <c r="FT170" s="77"/>
      <c r="FU170" s="77"/>
      <c r="FV170" s="77"/>
      <c r="FW170" s="77"/>
      <c r="FX170" s="77"/>
      <c r="FY170" s="77"/>
      <c r="FZ170" s="77"/>
      <c r="GA170" s="77"/>
      <c r="GB170" s="77"/>
      <c r="GC170" s="77"/>
      <c r="GD170" s="77"/>
      <c r="GE170" s="77"/>
      <c r="GF170" s="77"/>
      <c r="GG170" s="77"/>
      <c r="GH170" s="77"/>
      <c r="GI170" s="77"/>
      <c r="GJ170" s="77"/>
      <c r="GK170" s="77"/>
      <c r="GL170" s="77"/>
      <c r="GM170" s="77"/>
      <c r="GN170" s="77"/>
      <c r="GO170" s="77"/>
      <c r="GP170" s="77"/>
      <c r="GQ170" s="77"/>
      <c r="GR170" s="77"/>
      <c r="GS170" s="77"/>
      <c r="GT170" s="77"/>
      <c r="GU170" s="77"/>
      <c r="GV170" s="77"/>
      <c r="GW170" s="77"/>
      <c r="GX170" s="77"/>
      <c r="GY170" s="77"/>
      <c r="GZ170" s="77"/>
      <c r="HA170" s="77"/>
      <c r="HB170" s="77"/>
      <c r="HC170" s="77"/>
      <c r="HD170" s="77"/>
      <c r="HE170" s="77"/>
      <c r="HF170" s="77"/>
      <c r="HG170" s="77"/>
      <c r="HH170" s="77"/>
      <c r="HI170" s="77"/>
      <c r="HJ170" s="77"/>
      <c r="HK170" s="77"/>
      <c r="HL170" s="77"/>
      <c r="HM170" s="77"/>
      <c r="HN170" s="77"/>
      <c r="HO170" s="77"/>
      <c r="HP170" s="77"/>
      <c r="HQ170" s="77"/>
    </row>
    <row r="171" spans="1:225" hidden="1" x14ac:dyDescent="0.3">
      <c r="A171" s="78">
        <f>'Entrada datos'!C168</f>
        <v>0</v>
      </c>
      <c r="B171" s="74">
        <f>'Entrada datos'!D168</f>
        <v>0</v>
      </c>
      <c r="C171" s="75">
        <f>'Entrada datos'!G168</f>
        <v>0</v>
      </c>
      <c r="D171" s="75">
        <f>'Entrada datos'!H168</f>
        <v>0</v>
      </c>
      <c r="E171" s="74">
        <f t="shared" si="7"/>
        <v>0</v>
      </c>
      <c r="F171" s="68" t="str">
        <f t="shared" si="8"/>
        <v>no procede</v>
      </c>
      <c r="G171" s="74">
        <f>'Entrada datos'!P168</f>
        <v>0</v>
      </c>
      <c r="H171" s="74">
        <f>'Entrada datos'!Q168</f>
        <v>0</v>
      </c>
      <c r="I171" s="74">
        <f>'Entrada datos'!R168</f>
        <v>0</v>
      </c>
      <c r="J171" s="74">
        <f>'Entrada datos'!S168</f>
        <v>0</v>
      </c>
      <c r="K171" s="74">
        <f>'Entrada datos'!T168</f>
        <v>0</v>
      </c>
      <c r="L171" s="74">
        <f>'Entrada datos'!U168</f>
        <v>0</v>
      </c>
      <c r="M171" s="76"/>
      <c r="N171" s="76"/>
      <c r="O171" s="76"/>
      <c r="P171" s="76"/>
      <c r="Q171" s="76"/>
      <c r="R171" s="76"/>
      <c r="S171" s="77" t="s">
        <v>74</v>
      </c>
      <c r="T171" s="77"/>
      <c r="U171" s="77"/>
      <c r="V171" s="77">
        <f t="shared" si="9"/>
        <v>0</v>
      </c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  <c r="AI171" s="77"/>
      <c r="AJ171" s="77"/>
      <c r="AK171" s="77"/>
      <c r="AL171" s="77"/>
      <c r="AM171" s="77"/>
      <c r="AN171" s="77"/>
      <c r="AO171" s="77"/>
      <c r="AP171" s="77"/>
      <c r="AQ171" s="77"/>
      <c r="AR171" s="77"/>
      <c r="AS171" s="77"/>
      <c r="AT171" s="77"/>
      <c r="AU171" s="77"/>
      <c r="AV171" s="77"/>
      <c r="AW171" s="77"/>
      <c r="AX171" s="77"/>
      <c r="AY171" s="77"/>
      <c r="AZ171" s="77"/>
      <c r="BA171" s="77"/>
      <c r="BB171" s="77"/>
      <c r="BC171" s="77"/>
      <c r="BD171" s="77"/>
      <c r="BE171" s="77"/>
      <c r="BF171" s="77"/>
      <c r="BG171" s="77"/>
      <c r="BH171" s="77"/>
      <c r="BI171" s="77"/>
      <c r="BJ171" s="77"/>
      <c r="BK171" s="77"/>
      <c r="BL171" s="77"/>
      <c r="BM171" s="77"/>
      <c r="BN171" s="77"/>
      <c r="BO171" s="77"/>
      <c r="BP171" s="77"/>
      <c r="BQ171" s="77"/>
      <c r="BR171" s="77"/>
      <c r="BS171" s="77"/>
      <c r="BT171" s="77"/>
      <c r="BU171" s="77"/>
      <c r="BV171" s="77"/>
      <c r="BW171" s="77"/>
      <c r="BX171" s="77"/>
      <c r="BY171" s="77"/>
      <c r="BZ171" s="77"/>
      <c r="CA171" s="77"/>
      <c r="CB171" s="77"/>
      <c r="CC171" s="77"/>
      <c r="CD171" s="77"/>
      <c r="CE171" s="77"/>
      <c r="CF171" s="77"/>
      <c r="CG171" s="77"/>
      <c r="CH171" s="77"/>
      <c r="CI171" s="77"/>
      <c r="CJ171" s="77"/>
      <c r="CK171" s="77"/>
      <c r="CL171" s="77"/>
      <c r="CM171" s="77"/>
      <c r="CN171" s="77"/>
      <c r="CO171" s="77"/>
      <c r="CP171" s="77"/>
      <c r="CQ171" s="77"/>
      <c r="CR171" s="77"/>
      <c r="CS171" s="77"/>
      <c r="CT171" s="77"/>
      <c r="CU171" s="77"/>
      <c r="CV171" s="77"/>
      <c r="CW171" s="77"/>
      <c r="CX171" s="77"/>
      <c r="CY171" s="77"/>
      <c r="CZ171" s="77"/>
      <c r="DA171" s="77"/>
      <c r="DB171" s="77"/>
      <c r="DC171" s="77"/>
      <c r="DD171" s="77"/>
      <c r="DE171" s="77"/>
      <c r="DF171" s="77"/>
      <c r="DG171" s="77"/>
      <c r="DH171" s="77"/>
      <c r="DI171" s="77"/>
      <c r="DJ171" s="77"/>
      <c r="DK171" s="77"/>
      <c r="DL171" s="77"/>
      <c r="DM171" s="77"/>
      <c r="DN171" s="77"/>
      <c r="DO171" s="77"/>
      <c r="DP171" s="77"/>
      <c r="DQ171" s="77"/>
      <c r="DR171" s="77"/>
      <c r="DS171" s="77"/>
      <c r="DT171" s="77"/>
      <c r="DU171" s="77"/>
      <c r="DV171" s="77"/>
      <c r="DW171" s="77"/>
      <c r="DX171" s="77"/>
      <c r="DY171" s="77"/>
      <c r="DZ171" s="77"/>
      <c r="EA171" s="77"/>
      <c r="EB171" s="77"/>
      <c r="EC171" s="77"/>
      <c r="ED171" s="77"/>
      <c r="EE171" s="77"/>
      <c r="EF171" s="77"/>
      <c r="EG171" s="77"/>
      <c r="EH171" s="77"/>
      <c r="EI171" s="77"/>
      <c r="EJ171" s="77"/>
      <c r="EK171" s="77"/>
      <c r="EL171" s="77"/>
      <c r="EM171" s="77"/>
      <c r="EN171" s="77"/>
      <c r="EO171" s="77"/>
      <c r="EP171" s="77"/>
      <c r="EQ171" s="77"/>
      <c r="ER171" s="77"/>
      <c r="ES171" s="77"/>
      <c r="ET171" s="77"/>
      <c r="EU171" s="77"/>
      <c r="EV171" s="77"/>
      <c r="EW171" s="77"/>
      <c r="EX171" s="77"/>
      <c r="EY171" s="77"/>
      <c r="EZ171" s="77"/>
      <c r="FA171" s="77"/>
      <c r="FB171" s="77"/>
      <c r="FC171" s="77"/>
      <c r="FD171" s="77"/>
      <c r="FE171" s="77"/>
      <c r="FF171" s="77"/>
      <c r="FG171" s="77"/>
      <c r="FH171" s="77"/>
      <c r="FI171" s="77"/>
      <c r="FJ171" s="77"/>
      <c r="FK171" s="77"/>
      <c r="FL171" s="77"/>
      <c r="FM171" s="77"/>
      <c r="FN171" s="77"/>
      <c r="FO171" s="77"/>
      <c r="FP171" s="77"/>
      <c r="FQ171" s="77"/>
      <c r="FR171" s="77"/>
      <c r="FS171" s="77"/>
      <c r="FT171" s="77"/>
      <c r="FU171" s="77"/>
      <c r="FV171" s="77"/>
      <c r="FW171" s="77"/>
      <c r="FX171" s="77"/>
      <c r="FY171" s="77"/>
      <c r="FZ171" s="77"/>
      <c r="GA171" s="77"/>
      <c r="GB171" s="77"/>
      <c r="GC171" s="77"/>
      <c r="GD171" s="77"/>
      <c r="GE171" s="77"/>
      <c r="GF171" s="77"/>
      <c r="GG171" s="77"/>
      <c r="GH171" s="77"/>
      <c r="GI171" s="77"/>
      <c r="GJ171" s="77"/>
      <c r="GK171" s="77"/>
      <c r="GL171" s="77"/>
      <c r="GM171" s="77"/>
      <c r="GN171" s="77"/>
      <c r="GO171" s="77"/>
      <c r="GP171" s="77"/>
      <c r="GQ171" s="77"/>
      <c r="GR171" s="77"/>
      <c r="GS171" s="77"/>
      <c r="GT171" s="77"/>
      <c r="GU171" s="77"/>
      <c r="GV171" s="77"/>
      <c r="GW171" s="77"/>
      <c r="GX171" s="77"/>
      <c r="GY171" s="77"/>
      <c r="GZ171" s="77"/>
      <c r="HA171" s="77"/>
      <c r="HB171" s="77"/>
      <c r="HC171" s="77"/>
      <c r="HD171" s="77"/>
      <c r="HE171" s="77"/>
      <c r="HF171" s="77"/>
      <c r="HG171" s="77"/>
      <c r="HH171" s="77"/>
      <c r="HI171" s="77"/>
      <c r="HJ171" s="77"/>
      <c r="HK171" s="77"/>
      <c r="HL171" s="77"/>
      <c r="HM171" s="77"/>
      <c r="HN171" s="77"/>
      <c r="HO171" s="77"/>
      <c r="HP171" s="77"/>
      <c r="HQ171" s="77"/>
    </row>
    <row r="172" spans="1:225" hidden="1" x14ac:dyDescent="0.3">
      <c r="A172" s="78">
        <f>'Entrada datos'!C169</f>
        <v>0</v>
      </c>
      <c r="B172" s="74">
        <f>'Entrada datos'!D169</f>
        <v>0</v>
      </c>
      <c r="C172" s="75">
        <f>'Entrada datos'!G169</f>
        <v>0</v>
      </c>
      <c r="D172" s="75">
        <f>'Entrada datos'!H169</f>
        <v>0</v>
      </c>
      <c r="E172" s="74">
        <f t="shared" si="7"/>
        <v>0</v>
      </c>
      <c r="F172" s="68" t="str">
        <f t="shared" si="8"/>
        <v>no procede</v>
      </c>
      <c r="G172" s="74">
        <f>'Entrada datos'!P169</f>
        <v>0</v>
      </c>
      <c r="H172" s="74">
        <f>'Entrada datos'!Q169</f>
        <v>0</v>
      </c>
      <c r="I172" s="74">
        <f>'Entrada datos'!R169</f>
        <v>0</v>
      </c>
      <c r="J172" s="74">
        <f>'Entrada datos'!S169</f>
        <v>0</v>
      </c>
      <c r="K172" s="74">
        <f>'Entrada datos'!T169</f>
        <v>0</v>
      </c>
      <c r="L172" s="74">
        <f>'Entrada datos'!U169</f>
        <v>0</v>
      </c>
      <c r="M172" s="76"/>
      <c r="N172" s="76"/>
      <c r="O172" s="76"/>
      <c r="P172" s="76"/>
      <c r="Q172" s="76"/>
      <c r="R172" s="76"/>
      <c r="S172" s="77" t="s">
        <v>74</v>
      </c>
      <c r="T172" s="77"/>
      <c r="U172" s="77"/>
      <c r="V172" s="77">
        <f t="shared" si="9"/>
        <v>0</v>
      </c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  <c r="AI172" s="77"/>
      <c r="AJ172" s="77"/>
      <c r="AK172" s="77"/>
      <c r="AL172" s="77"/>
      <c r="AM172" s="77"/>
      <c r="AN172" s="77"/>
      <c r="AO172" s="77"/>
      <c r="AP172" s="77"/>
      <c r="AQ172" s="77"/>
      <c r="AR172" s="77"/>
      <c r="AS172" s="77"/>
      <c r="AT172" s="77"/>
      <c r="AU172" s="77"/>
      <c r="AV172" s="77"/>
      <c r="AW172" s="77"/>
      <c r="AX172" s="77"/>
      <c r="AY172" s="77"/>
      <c r="AZ172" s="77"/>
      <c r="BA172" s="77"/>
      <c r="BB172" s="77"/>
      <c r="BC172" s="77"/>
      <c r="BD172" s="77"/>
      <c r="BE172" s="77"/>
      <c r="BF172" s="77"/>
      <c r="BG172" s="77"/>
      <c r="BH172" s="77"/>
      <c r="BI172" s="77"/>
      <c r="BJ172" s="77"/>
      <c r="BK172" s="77"/>
      <c r="BL172" s="77"/>
      <c r="BM172" s="77"/>
      <c r="BN172" s="77"/>
      <c r="BO172" s="77"/>
      <c r="BP172" s="77"/>
      <c r="BQ172" s="77"/>
      <c r="BR172" s="77"/>
      <c r="BS172" s="77"/>
      <c r="BT172" s="77"/>
      <c r="BU172" s="77"/>
      <c r="BV172" s="77"/>
      <c r="BW172" s="77"/>
      <c r="BX172" s="77"/>
      <c r="BY172" s="77"/>
      <c r="BZ172" s="77"/>
      <c r="CA172" s="77"/>
      <c r="CB172" s="77"/>
      <c r="CC172" s="77"/>
      <c r="CD172" s="77"/>
      <c r="CE172" s="77"/>
      <c r="CF172" s="77"/>
      <c r="CG172" s="77"/>
      <c r="CH172" s="77"/>
      <c r="CI172" s="77"/>
      <c r="CJ172" s="77"/>
      <c r="CK172" s="77"/>
      <c r="CL172" s="77"/>
      <c r="CM172" s="77"/>
      <c r="CN172" s="77"/>
      <c r="CO172" s="77"/>
      <c r="CP172" s="77"/>
      <c r="CQ172" s="77"/>
      <c r="CR172" s="77"/>
      <c r="CS172" s="77"/>
      <c r="CT172" s="77"/>
      <c r="CU172" s="77"/>
      <c r="CV172" s="77"/>
      <c r="CW172" s="77"/>
      <c r="CX172" s="77"/>
      <c r="CY172" s="77"/>
      <c r="CZ172" s="77"/>
      <c r="DA172" s="77"/>
      <c r="DB172" s="77"/>
      <c r="DC172" s="77"/>
      <c r="DD172" s="77"/>
      <c r="DE172" s="77"/>
      <c r="DF172" s="77"/>
      <c r="DG172" s="77"/>
      <c r="DH172" s="77"/>
      <c r="DI172" s="77"/>
      <c r="DJ172" s="77"/>
      <c r="DK172" s="77"/>
      <c r="DL172" s="77"/>
      <c r="DM172" s="77"/>
      <c r="DN172" s="77"/>
      <c r="DO172" s="77"/>
      <c r="DP172" s="77"/>
      <c r="DQ172" s="77"/>
      <c r="DR172" s="77"/>
      <c r="DS172" s="77"/>
      <c r="DT172" s="77"/>
      <c r="DU172" s="77"/>
      <c r="DV172" s="77"/>
      <c r="DW172" s="77"/>
      <c r="DX172" s="77"/>
      <c r="DY172" s="77"/>
      <c r="DZ172" s="77"/>
      <c r="EA172" s="77"/>
      <c r="EB172" s="77"/>
      <c r="EC172" s="77"/>
      <c r="ED172" s="77"/>
      <c r="EE172" s="77"/>
      <c r="EF172" s="77"/>
      <c r="EG172" s="77"/>
      <c r="EH172" s="77"/>
      <c r="EI172" s="77"/>
      <c r="EJ172" s="77"/>
      <c r="EK172" s="77"/>
      <c r="EL172" s="77"/>
      <c r="EM172" s="77"/>
      <c r="EN172" s="77"/>
      <c r="EO172" s="77"/>
      <c r="EP172" s="77"/>
      <c r="EQ172" s="77"/>
      <c r="ER172" s="77"/>
      <c r="ES172" s="77"/>
      <c r="ET172" s="77"/>
      <c r="EU172" s="77"/>
      <c r="EV172" s="77"/>
      <c r="EW172" s="77"/>
      <c r="EX172" s="77"/>
      <c r="EY172" s="77"/>
      <c r="EZ172" s="77"/>
      <c r="FA172" s="77"/>
      <c r="FB172" s="77"/>
      <c r="FC172" s="77"/>
      <c r="FD172" s="77"/>
      <c r="FE172" s="77"/>
      <c r="FF172" s="77"/>
      <c r="FG172" s="77"/>
      <c r="FH172" s="77"/>
      <c r="FI172" s="77"/>
      <c r="FJ172" s="77"/>
      <c r="FK172" s="77"/>
      <c r="FL172" s="77"/>
      <c r="FM172" s="77"/>
      <c r="FN172" s="77"/>
      <c r="FO172" s="77"/>
      <c r="FP172" s="77"/>
      <c r="FQ172" s="77"/>
      <c r="FR172" s="77"/>
      <c r="FS172" s="77"/>
      <c r="FT172" s="77"/>
      <c r="FU172" s="77"/>
      <c r="FV172" s="77"/>
      <c r="FW172" s="77"/>
      <c r="FX172" s="77"/>
      <c r="FY172" s="77"/>
      <c r="FZ172" s="77"/>
      <c r="GA172" s="77"/>
      <c r="GB172" s="77"/>
      <c r="GC172" s="77"/>
      <c r="GD172" s="77"/>
      <c r="GE172" s="77"/>
      <c r="GF172" s="77"/>
      <c r="GG172" s="77"/>
      <c r="GH172" s="77"/>
      <c r="GI172" s="77"/>
      <c r="GJ172" s="77"/>
      <c r="GK172" s="77"/>
      <c r="GL172" s="77"/>
      <c r="GM172" s="77"/>
      <c r="GN172" s="77"/>
      <c r="GO172" s="77"/>
      <c r="GP172" s="77"/>
      <c r="GQ172" s="77"/>
      <c r="GR172" s="77"/>
      <c r="GS172" s="77"/>
      <c r="GT172" s="77"/>
      <c r="GU172" s="77"/>
      <c r="GV172" s="77"/>
      <c r="GW172" s="77"/>
      <c r="GX172" s="77"/>
      <c r="GY172" s="77"/>
      <c r="GZ172" s="77"/>
      <c r="HA172" s="77"/>
      <c r="HB172" s="77"/>
      <c r="HC172" s="77"/>
      <c r="HD172" s="77"/>
      <c r="HE172" s="77"/>
      <c r="HF172" s="77"/>
      <c r="HG172" s="77"/>
      <c r="HH172" s="77"/>
      <c r="HI172" s="77"/>
      <c r="HJ172" s="77"/>
      <c r="HK172" s="77"/>
      <c r="HL172" s="77"/>
      <c r="HM172" s="77"/>
      <c r="HN172" s="77"/>
      <c r="HO172" s="77"/>
      <c r="HP172" s="77"/>
      <c r="HQ172" s="77"/>
    </row>
    <row r="173" spans="1:225" hidden="1" x14ac:dyDescent="0.3">
      <c r="A173" s="78">
        <f>'Entrada datos'!C170</f>
        <v>0</v>
      </c>
      <c r="B173" s="74">
        <f>'Entrada datos'!D170</f>
        <v>0</v>
      </c>
      <c r="C173" s="75">
        <f>'Entrada datos'!G170</f>
        <v>0</v>
      </c>
      <c r="D173" s="75">
        <f>'Entrada datos'!H170</f>
        <v>0</v>
      </c>
      <c r="E173" s="74">
        <f t="shared" si="7"/>
        <v>0</v>
      </c>
      <c r="F173" s="68" t="str">
        <f t="shared" si="8"/>
        <v>no procede</v>
      </c>
      <c r="G173" s="74">
        <f>'Entrada datos'!P170</f>
        <v>0</v>
      </c>
      <c r="H173" s="74">
        <f>'Entrada datos'!Q170</f>
        <v>0</v>
      </c>
      <c r="I173" s="74">
        <f>'Entrada datos'!R170</f>
        <v>0</v>
      </c>
      <c r="J173" s="74">
        <f>'Entrada datos'!S170</f>
        <v>0</v>
      </c>
      <c r="K173" s="74">
        <f>'Entrada datos'!T170</f>
        <v>0</v>
      </c>
      <c r="L173" s="74">
        <f>'Entrada datos'!U170</f>
        <v>0</v>
      </c>
      <c r="M173" s="76"/>
      <c r="N173" s="76"/>
      <c r="O173" s="76"/>
      <c r="P173" s="76"/>
      <c r="Q173" s="76"/>
      <c r="R173" s="76"/>
      <c r="S173" s="77" t="s">
        <v>74</v>
      </c>
      <c r="T173" s="77"/>
      <c r="U173" s="77"/>
      <c r="V173" s="77">
        <f t="shared" si="9"/>
        <v>0</v>
      </c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  <c r="AI173" s="77"/>
      <c r="AJ173" s="77"/>
      <c r="AK173" s="77"/>
      <c r="AL173" s="77"/>
      <c r="AM173" s="77"/>
      <c r="AN173" s="77"/>
      <c r="AO173" s="77"/>
      <c r="AP173" s="77"/>
      <c r="AQ173" s="77"/>
      <c r="AR173" s="77"/>
      <c r="AS173" s="77"/>
      <c r="AT173" s="77"/>
      <c r="AU173" s="77"/>
      <c r="AV173" s="77"/>
      <c r="AW173" s="77"/>
      <c r="AX173" s="77"/>
      <c r="AY173" s="77"/>
      <c r="AZ173" s="77"/>
      <c r="BA173" s="77"/>
      <c r="BB173" s="77"/>
      <c r="BC173" s="77"/>
      <c r="BD173" s="77"/>
      <c r="BE173" s="77"/>
      <c r="BF173" s="77"/>
      <c r="BG173" s="77"/>
      <c r="BH173" s="77"/>
      <c r="BI173" s="77"/>
      <c r="BJ173" s="77"/>
      <c r="BK173" s="77"/>
      <c r="BL173" s="77"/>
      <c r="BM173" s="77"/>
      <c r="BN173" s="77"/>
      <c r="BO173" s="77"/>
      <c r="BP173" s="77"/>
      <c r="BQ173" s="77"/>
      <c r="BR173" s="77"/>
      <c r="BS173" s="77"/>
      <c r="BT173" s="77"/>
      <c r="BU173" s="77"/>
      <c r="BV173" s="77"/>
      <c r="BW173" s="77"/>
      <c r="BX173" s="77"/>
      <c r="BY173" s="77"/>
      <c r="BZ173" s="77"/>
      <c r="CA173" s="77"/>
      <c r="CB173" s="77"/>
      <c r="CC173" s="77"/>
      <c r="CD173" s="77"/>
      <c r="CE173" s="77"/>
      <c r="CF173" s="77"/>
      <c r="CG173" s="77"/>
      <c r="CH173" s="77"/>
      <c r="CI173" s="77"/>
      <c r="CJ173" s="77"/>
      <c r="CK173" s="77"/>
      <c r="CL173" s="77"/>
      <c r="CM173" s="77"/>
      <c r="CN173" s="77"/>
      <c r="CO173" s="77"/>
      <c r="CP173" s="77"/>
      <c r="CQ173" s="77"/>
      <c r="CR173" s="77"/>
      <c r="CS173" s="77"/>
      <c r="CT173" s="77"/>
      <c r="CU173" s="77"/>
      <c r="CV173" s="77"/>
      <c r="CW173" s="77"/>
      <c r="CX173" s="77"/>
      <c r="CY173" s="77"/>
      <c r="CZ173" s="77"/>
      <c r="DA173" s="77"/>
      <c r="DB173" s="77"/>
      <c r="DC173" s="77"/>
      <c r="DD173" s="77"/>
      <c r="DE173" s="77"/>
      <c r="DF173" s="77"/>
      <c r="DG173" s="77"/>
      <c r="DH173" s="77"/>
      <c r="DI173" s="77"/>
      <c r="DJ173" s="77"/>
      <c r="DK173" s="77"/>
      <c r="DL173" s="77"/>
      <c r="DM173" s="77"/>
      <c r="DN173" s="77"/>
      <c r="DO173" s="77"/>
      <c r="DP173" s="77"/>
      <c r="DQ173" s="77"/>
      <c r="DR173" s="77"/>
      <c r="DS173" s="77"/>
      <c r="DT173" s="77"/>
      <c r="DU173" s="77"/>
      <c r="DV173" s="77"/>
      <c r="DW173" s="77"/>
      <c r="DX173" s="77"/>
      <c r="DY173" s="77"/>
      <c r="DZ173" s="77"/>
      <c r="EA173" s="77"/>
      <c r="EB173" s="77"/>
      <c r="EC173" s="77"/>
      <c r="ED173" s="77"/>
      <c r="EE173" s="77"/>
      <c r="EF173" s="77"/>
      <c r="EG173" s="77"/>
      <c r="EH173" s="77"/>
      <c r="EI173" s="77"/>
      <c r="EJ173" s="77"/>
      <c r="EK173" s="77"/>
      <c r="EL173" s="77"/>
      <c r="EM173" s="77"/>
      <c r="EN173" s="77"/>
      <c r="EO173" s="77"/>
      <c r="EP173" s="77"/>
      <c r="EQ173" s="77"/>
      <c r="ER173" s="77"/>
      <c r="ES173" s="77"/>
      <c r="ET173" s="77"/>
      <c r="EU173" s="77"/>
      <c r="EV173" s="77"/>
      <c r="EW173" s="77"/>
      <c r="EX173" s="77"/>
      <c r="EY173" s="77"/>
      <c r="EZ173" s="77"/>
      <c r="FA173" s="77"/>
      <c r="FB173" s="77"/>
      <c r="FC173" s="77"/>
      <c r="FD173" s="77"/>
      <c r="FE173" s="77"/>
      <c r="FF173" s="77"/>
      <c r="FG173" s="77"/>
      <c r="FH173" s="77"/>
      <c r="FI173" s="77"/>
      <c r="FJ173" s="77"/>
      <c r="FK173" s="77"/>
      <c r="FL173" s="77"/>
      <c r="FM173" s="77"/>
      <c r="FN173" s="77"/>
      <c r="FO173" s="77"/>
      <c r="FP173" s="77"/>
      <c r="FQ173" s="77"/>
      <c r="FR173" s="77"/>
      <c r="FS173" s="77"/>
      <c r="FT173" s="77"/>
      <c r="FU173" s="77"/>
      <c r="FV173" s="77"/>
      <c r="FW173" s="77"/>
      <c r="FX173" s="77"/>
      <c r="FY173" s="77"/>
      <c r="FZ173" s="77"/>
      <c r="GA173" s="77"/>
      <c r="GB173" s="77"/>
      <c r="GC173" s="77"/>
      <c r="GD173" s="77"/>
      <c r="GE173" s="77"/>
      <c r="GF173" s="77"/>
      <c r="GG173" s="77"/>
      <c r="GH173" s="77"/>
      <c r="GI173" s="77"/>
      <c r="GJ173" s="77"/>
      <c r="GK173" s="77"/>
      <c r="GL173" s="77"/>
      <c r="GM173" s="77"/>
      <c r="GN173" s="77"/>
      <c r="GO173" s="77"/>
      <c r="GP173" s="77"/>
      <c r="GQ173" s="77"/>
      <c r="GR173" s="77"/>
      <c r="GS173" s="77"/>
      <c r="GT173" s="77"/>
      <c r="GU173" s="77"/>
      <c r="GV173" s="77"/>
      <c r="GW173" s="77"/>
      <c r="GX173" s="77"/>
      <c r="GY173" s="77"/>
      <c r="GZ173" s="77"/>
      <c r="HA173" s="77"/>
      <c r="HB173" s="77"/>
      <c r="HC173" s="77"/>
      <c r="HD173" s="77"/>
      <c r="HE173" s="77"/>
      <c r="HF173" s="77"/>
      <c r="HG173" s="77"/>
      <c r="HH173" s="77"/>
      <c r="HI173" s="77"/>
      <c r="HJ173" s="77"/>
      <c r="HK173" s="77"/>
      <c r="HL173" s="77"/>
      <c r="HM173" s="77"/>
      <c r="HN173" s="77"/>
      <c r="HO173" s="77"/>
      <c r="HP173" s="77"/>
      <c r="HQ173" s="77"/>
    </row>
    <row r="174" spans="1:225" hidden="1" x14ac:dyDescent="0.3">
      <c r="A174" s="78">
        <f>'Entrada datos'!C171</f>
        <v>0</v>
      </c>
      <c r="B174" s="74">
        <f>'Entrada datos'!D171</f>
        <v>0</v>
      </c>
      <c r="C174" s="75">
        <f>'Entrada datos'!G171</f>
        <v>0</v>
      </c>
      <c r="D174" s="75">
        <f>'Entrada datos'!H171</f>
        <v>0</v>
      </c>
      <c r="E174" s="74">
        <f t="shared" si="7"/>
        <v>0</v>
      </c>
      <c r="F174" s="68" t="str">
        <f t="shared" si="8"/>
        <v>no procede</v>
      </c>
      <c r="G174" s="74">
        <f>'Entrada datos'!P171</f>
        <v>0</v>
      </c>
      <c r="H174" s="74">
        <f>'Entrada datos'!Q171</f>
        <v>0</v>
      </c>
      <c r="I174" s="74">
        <f>'Entrada datos'!R171</f>
        <v>0</v>
      </c>
      <c r="J174" s="74">
        <f>'Entrada datos'!S171</f>
        <v>0</v>
      </c>
      <c r="K174" s="74">
        <f>'Entrada datos'!T171</f>
        <v>0</v>
      </c>
      <c r="L174" s="74">
        <f>'Entrada datos'!U171</f>
        <v>0</v>
      </c>
      <c r="M174" s="76"/>
      <c r="N174" s="76"/>
      <c r="O174" s="76"/>
      <c r="P174" s="76"/>
      <c r="Q174" s="76"/>
      <c r="R174" s="76"/>
      <c r="S174" s="77" t="s">
        <v>74</v>
      </c>
      <c r="T174" s="77"/>
      <c r="U174" s="77"/>
      <c r="V174" s="77">
        <f t="shared" si="9"/>
        <v>0</v>
      </c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  <c r="AI174" s="77"/>
      <c r="AJ174" s="77"/>
      <c r="AK174" s="77"/>
      <c r="AL174" s="77"/>
      <c r="AM174" s="77"/>
      <c r="AN174" s="77"/>
      <c r="AO174" s="77"/>
      <c r="AP174" s="77"/>
      <c r="AQ174" s="77"/>
      <c r="AR174" s="77"/>
      <c r="AS174" s="77"/>
      <c r="AT174" s="77"/>
      <c r="AU174" s="77"/>
      <c r="AV174" s="77"/>
      <c r="AW174" s="77"/>
      <c r="AX174" s="77"/>
      <c r="AY174" s="77"/>
      <c r="AZ174" s="77"/>
      <c r="BA174" s="77"/>
      <c r="BB174" s="77"/>
      <c r="BC174" s="77"/>
      <c r="BD174" s="77"/>
      <c r="BE174" s="77"/>
      <c r="BF174" s="77"/>
      <c r="BG174" s="77"/>
      <c r="BH174" s="77"/>
      <c r="BI174" s="77"/>
      <c r="BJ174" s="77"/>
      <c r="BK174" s="77"/>
      <c r="BL174" s="77"/>
      <c r="BM174" s="77"/>
      <c r="BN174" s="77"/>
      <c r="BO174" s="77"/>
      <c r="BP174" s="77"/>
      <c r="BQ174" s="77"/>
      <c r="BR174" s="77"/>
      <c r="BS174" s="77"/>
      <c r="BT174" s="77"/>
      <c r="BU174" s="77"/>
      <c r="BV174" s="77"/>
      <c r="BW174" s="77"/>
      <c r="BX174" s="77"/>
      <c r="BY174" s="77"/>
      <c r="BZ174" s="77"/>
      <c r="CA174" s="77"/>
      <c r="CB174" s="77"/>
      <c r="CC174" s="77"/>
      <c r="CD174" s="77"/>
      <c r="CE174" s="77"/>
      <c r="CF174" s="77"/>
      <c r="CG174" s="77"/>
      <c r="CH174" s="77"/>
      <c r="CI174" s="77"/>
      <c r="CJ174" s="77"/>
      <c r="CK174" s="77"/>
      <c r="CL174" s="77"/>
      <c r="CM174" s="77"/>
      <c r="CN174" s="77"/>
      <c r="CO174" s="77"/>
      <c r="CP174" s="77"/>
      <c r="CQ174" s="77"/>
      <c r="CR174" s="77"/>
      <c r="CS174" s="77"/>
      <c r="CT174" s="77"/>
      <c r="CU174" s="77"/>
      <c r="CV174" s="77"/>
      <c r="CW174" s="77"/>
      <c r="CX174" s="77"/>
      <c r="CY174" s="77"/>
      <c r="CZ174" s="77"/>
      <c r="DA174" s="77"/>
      <c r="DB174" s="77"/>
      <c r="DC174" s="77"/>
      <c r="DD174" s="77"/>
      <c r="DE174" s="77"/>
      <c r="DF174" s="77"/>
      <c r="DG174" s="77"/>
      <c r="DH174" s="77"/>
      <c r="DI174" s="77"/>
      <c r="DJ174" s="77"/>
      <c r="DK174" s="77"/>
      <c r="DL174" s="77"/>
      <c r="DM174" s="77"/>
      <c r="DN174" s="77"/>
      <c r="DO174" s="77"/>
      <c r="DP174" s="77"/>
      <c r="DQ174" s="77"/>
      <c r="DR174" s="77"/>
      <c r="DS174" s="77"/>
      <c r="DT174" s="77"/>
      <c r="DU174" s="77"/>
      <c r="DV174" s="77"/>
      <c r="DW174" s="77"/>
      <c r="DX174" s="77"/>
      <c r="DY174" s="77"/>
      <c r="DZ174" s="77"/>
      <c r="EA174" s="77"/>
      <c r="EB174" s="77"/>
      <c r="EC174" s="77"/>
      <c r="ED174" s="77"/>
      <c r="EE174" s="77"/>
      <c r="EF174" s="77"/>
      <c r="EG174" s="77"/>
      <c r="EH174" s="77"/>
      <c r="EI174" s="77"/>
      <c r="EJ174" s="77"/>
      <c r="EK174" s="77"/>
      <c r="EL174" s="77"/>
      <c r="EM174" s="77"/>
      <c r="EN174" s="77"/>
      <c r="EO174" s="77"/>
      <c r="EP174" s="77"/>
      <c r="EQ174" s="77"/>
      <c r="ER174" s="77"/>
      <c r="ES174" s="77"/>
      <c r="ET174" s="77"/>
      <c r="EU174" s="77"/>
      <c r="EV174" s="77"/>
      <c r="EW174" s="77"/>
      <c r="EX174" s="77"/>
      <c r="EY174" s="77"/>
      <c r="EZ174" s="77"/>
      <c r="FA174" s="77"/>
      <c r="FB174" s="77"/>
      <c r="FC174" s="77"/>
      <c r="FD174" s="77"/>
      <c r="FE174" s="77"/>
      <c r="FF174" s="77"/>
      <c r="FG174" s="77"/>
      <c r="FH174" s="77"/>
      <c r="FI174" s="77"/>
      <c r="FJ174" s="77"/>
      <c r="FK174" s="77"/>
      <c r="FL174" s="77"/>
      <c r="FM174" s="77"/>
      <c r="FN174" s="77"/>
      <c r="FO174" s="77"/>
      <c r="FP174" s="77"/>
      <c r="FQ174" s="77"/>
      <c r="FR174" s="77"/>
      <c r="FS174" s="77"/>
      <c r="FT174" s="77"/>
      <c r="FU174" s="77"/>
      <c r="FV174" s="77"/>
      <c r="FW174" s="77"/>
      <c r="FX174" s="77"/>
      <c r="FY174" s="77"/>
      <c r="FZ174" s="77"/>
      <c r="GA174" s="77"/>
      <c r="GB174" s="77"/>
      <c r="GC174" s="77"/>
      <c r="GD174" s="77"/>
      <c r="GE174" s="77"/>
      <c r="GF174" s="77"/>
      <c r="GG174" s="77"/>
      <c r="GH174" s="77"/>
      <c r="GI174" s="77"/>
      <c r="GJ174" s="77"/>
      <c r="GK174" s="77"/>
      <c r="GL174" s="77"/>
      <c r="GM174" s="77"/>
      <c r="GN174" s="77"/>
      <c r="GO174" s="77"/>
      <c r="GP174" s="77"/>
      <c r="GQ174" s="77"/>
      <c r="GR174" s="77"/>
      <c r="GS174" s="77"/>
      <c r="GT174" s="77"/>
      <c r="GU174" s="77"/>
      <c r="GV174" s="77"/>
      <c r="GW174" s="77"/>
      <c r="GX174" s="77"/>
      <c r="GY174" s="77"/>
      <c r="GZ174" s="77"/>
      <c r="HA174" s="77"/>
      <c r="HB174" s="77"/>
      <c r="HC174" s="77"/>
      <c r="HD174" s="77"/>
      <c r="HE174" s="77"/>
      <c r="HF174" s="77"/>
      <c r="HG174" s="77"/>
      <c r="HH174" s="77"/>
      <c r="HI174" s="77"/>
      <c r="HJ174" s="77"/>
      <c r="HK174" s="77"/>
      <c r="HL174" s="77"/>
      <c r="HM174" s="77"/>
      <c r="HN174" s="77"/>
      <c r="HO174" s="77"/>
      <c r="HP174" s="77"/>
      <c r="HQ174" s="77"/>
    </row>
    <row r="175" spans="1:225" hidden="1" x14ac:dyDescent="0.3">
      <c r="A175" s="78">
        <f>'Entrada datos'!C172</f>
        <v>0</v>
      </c>
      <c r="B175" s="74">
        <f>'Entrada datos'!D172</f>
        <v>0</v>
      </c>
      <c r="C175" s="75">
        <f>'Entrada datos'!G172</f>
        <v>0</v>
      </c>
      <c r="D175" s="75">
        <f>'Entrada datos'!H172</f>
        <v>0</v>
      </c>
      <c r="E175" s="74">
        <f t="shared" si="7"/>
        <v>0</v>
      </c>
      <c r="F175" s="68" t="str">
        <f t="shared" si="8"/>
        <v>no procede</v>
      </c>
      <c r="G175" s="74">
        <f>'Entrada datos'!P172</f>
        <v>0</v>
      </c>
      <c r="H175" s="74">
        <f>'Entrada datos'!Q172</f>
        <v>0</v>
      </c>
      <c r="I175" s="74">
        <f>'Entrada datos'!R172</f>
        <v>0</v>
      </c>
      <c r="J175" s="74">
        <f>'Entrada datos'!S172</f>
        <v>0</v>
      </c>
      <c r="K175" s="74">
        <f>'Entrada datos'!T172</f>
        <v>0</v>
      </c>
      <c r="L175" s="74">
        <f>'Entrada datos'!U172</f>
        <v>0</v>
      </c>
      <c r="M175" s="76"/>
      <c r="N175" s="76"/>
      <c r="O175" s="76"/>
      <c r="P175" s="76"/>
      <c r="Q175" s="76"/>
      <c r="R175" s="76"/>
      <c r="S175" s="77" t="s">
        <v>74</v>
      </c>
      <c r="T175" s="77"/>
      <c r="U175" s="77"/>
      <c r="V175" s="77">
        <f t="shared" si="9"/>
        <v>0</v>
      </c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  <c r="AI175" s="77"/>
      <c r="AJ175" s="77"/>
      <c r="AK175" s="77"/>
      <c r="AL175" s="77"/>
      <c r="AM175" s="77"/>
      <c r="AN175" s="77"/>
      <c r="AO175" s="77"/>
      <c r="AP175" s="77"/>
      <c r="AQ175" s="77"/>
      <c r="AR175" s="77"/>
      <c r="AS175" s="77"/>
      <c r="AT175" s="77"/>
      <c r="AU175" s="77"/>
      <c r="AV175" s="77"/>
      <c r="AW175" s="77"/>
      <c r="AX175" s="77"/>
      <c r="AY175" s="77"/>
      <c r="AZ175" s="77"/>
      <c r="BA175" s="77"/>
      <c r="BB175" s="77"/>
      <c r="BC175" s="77"/>
      <c r="BD175" s="77"/>
      <c r="BE175" s="77"/>
      <c r="BF175" s="77"/>
      <c r="BG175" s="77"/>
      <c r="BH175" s="77"/>
      <c r="BI175" s="77"/>
      <c r="BJ175" s="77"/>
      <c r="BK175" s="77"/>
      <c r="BL175" s="77"/>
      <c r="BM175" s="77"/>
      <c r="BN175" s="77"/>
      <c r="BO175" s="77"/>
      <c r="BP175" s="77"/>
      <c r="BQ175" s="77"/>
      <c r="BR175" s="77"/>
      <c r="BS175" s="77"/>
      <c r="BT175" s="77"/>
      <c r="BU175" s="77"/>
      <c r="BV175" s="77"/>
      <c r="BW175" s="77"/>
      <c r="BX175" s="77"/>
      <c r="BY175" s="77"/>
      <c r="BZ175" s="77"/>
      <c r="CA175" s="77"/>
      <c r="CB175" s="77"/>
      <c r="CC175" s="77"/>
      <c r="CD175" s="77"/>
      <c r="CE175" s="77"/>
      <c r="CF175" s="77"/>
      <c r="CG175" s="77"/>
      <c r="CH175" s="77"/>
      <c r="CI175" s="77"/>
      <c r="CJ175" s="77"/>
      <c r="CK175" s="77"/>
      <c r="CL175" s="77"/>
      <c r="CM175" s="77"/>
      <c r="CN175" s="77"/>
      <c r="CO175" s="77"/>
      <c r="CP175" s="77"/>
      <c r="CQ175" s="77"/>
      <c r="CR175" s="77"/>
      <c r="CS175" s="77"/>
      <c r="CT175" s="77"/>
      <c r="CU175" s="77"/>
      <c r="CV175" s="77"/>
      <c r="CW175" s="77"/>
      <c r="CX175" s="77"/>
      <c r="CY175" s="77"/>
      <c r="CZ175" s="77"/>
      <c r="DA175" s="77"/>
      <c r="DB175" s="77"/>
      <c r="DC175" s="77"/>
      <c r="DD175" s="77"/>
      <c r="DE175" s="77"/>
      <c r="DF175" s="77"/>
      <c r="DG175" s="77"/>
      <c r="DH175" s="77"/>
      <c r="DI175" s="77"/>
      <c r="DJ175" s="77"/>
      <c r="DK175" s="77"/>
      <c r="DL175" s="77"/>
      <c r="DM175" s="77"/>
      <c r="DN175" s="77"/>
      <c r="DO175" s="77"/>
      <c r="DP175" s="77"/>
      <c r="DQ175" s="77"/>
      <c r="DR175" s="77"/>
      <c r="DS175" s="77"/>
      <c r="DT175" s="77"/>
      <c r="DU175" s="77"/>
      <c r="DV175" s="77"/>
      <c r="DW175" s="77"/>
      <c r="DX175" s="77"/>
      <c r="DY175" s="77"/>
      <c r="DZ175" s="77"/>
      <c r="EA175" s="77"/>
      <c r="EB175" s="77"/>
      <c r="EC175" s="77"/>
      <c r="ED175" s="77"/>
      <c r="EE175" s="77"/>
      <c r="EF175" s="77"/>
      <c r="EG175" s="77"/>
      <c r="EH175" s="77"/>
      <c r="EI175" s="77"/>
      <c r="EJ175" s="77"/>
      <c r="EK175" s="77"/>
      <c r="EL175" s="77"/>
      <c r="EM175" s="77"/>
      <c r="EN175" s="77"/>
      <c r="EO175" s="77"/>
      <c r="EP175" s="77"/>
      <c r="EQ175" s="77"/>
      <c r="ER175" s="77"/>
      <c r="ES175" s="77"/>
      <c r="ET175" s="77"/>
      <c r="EU175" s="77"/>
      <c r="EV175" s="77"/>
      <c r="EW175" s="77"/>
      <c r="EX175" s="77"/>
      <c r="EY175" s="77"/>
      <c r="EZ175" s="77"/>
      <c r="FA175" s="77"/>
      <c r="FB175" s="77"/>
      <c r="FC175" s="77"/>
      <c r="FD175" s="77"/>
      <c r="FE175" s="77"/>
      <c r="FF175" s="77"/>
      <c r="FG175" s="77"/>
      <c r="FH175" s="77"/>
      <c r="FI175" s="77"/>
      <c r="FJ175" s="77"/>
      <c r="FK175" s="77"/>
      <c r="FL175" s="77"/>
      <c r="FM175" s="77"/>
      <c r="FN175" s="77"/>
      <c r="FO175" s="77"/>
      <c r="FP175" s="77"/>
      <c r="FQ175" s="77"/>
      <c r="FR175" s="77"/>
      <c r="FS175" s="77"/>
      <c r="FT175" s="77"/>
      <c r="FU175" s="77"/>
      <c r="FV175" s="77"/>
      <c r="FW175" s="77"/>
      <c r="FX175" s="77"/>
      <c r="FY175" s="77"/>
      <c r="FZ175" s="77"/>
      <c r="GA175" s="77"/>
      <c r="GB175" s="77"/>
      <c r="GC175" s="77"/>
      <c r="GD175" s="77"/>
      <c r="GE175" s="77"/>
      <c r="GF175" s="77"/>
      <c r="GG175" s="77"/>
      <c r="GH175" s="77"/>
      <c r="GI175" s="77"/>
      <c r="GJ175" s="77"/>
      <c r="GK175" s="77"/>
      <c r="GL175" s="77"/>
      <c r="GM175" s="77"/>
      <c r="GN175" s="77"/>
      <c r="GO175" s="77"/>
      <c r="GP175" s="77"/>
      <c r="GQ175" s="77"/>
      <c r="GR175" s="77"/>
      <c r="GS175" s="77"/>
      <c r="GT175" s="77"/>
      <c r="GU175" s="77"/>
      <c r="GV175" s="77"/>
      <c r="GW175" s="77"/>
      <c r="GX175" s="77"/>
      <c r="GY175" s="77"/>
      <c r="GZ175" s="77"/>
      <c r="HA175" s="77"/>
      <c r="HB175" s="77"/>
      <c r="HC175" s="77"/>
      <c r="HD175" s="77"/>
      <c r="HE175" s="77"/>
      <c r="HF175" s="77"/>
      <c r="HG175" s="77"/>
      <c r="HH175" s="77"/>
      <c r="HI175" s="77"/>
      <c r="HJ175" s="77"/>
      <c r="HK175" s="77"/>
      <c r="HL175" s="77"/>
      <c r="HM175" s="77"/>
      <c r="HN175" s="77"/>
      <c r="HO175" s="77"/>
      <c r="HP175" s="77"/>
      <c r="HQ175" s="77"/>
    </row>
    <row r="176" spans="1:225" hidden="1" x14ac:dyDescent="0.3">
      <c r="A176" s="78">
        <f>'Entrada datos'!C173</f>
        <v>0</v>
      </c>
      <c r="B176" s="74">
        <f>'Entrada datos'!D173</f>
        <v>0</v>
      </c>
      <c r="C176" s="75">
        <f>'Entrada datos'!G173</f>
        <v>0</v>
      </c>
      <c r="D176" s="75">
        <f>'Entrada datos'!H173</f>
        <v>0</v>
      </c>
      <c r="E176" s="74">
        <f t="shared" si="7"/>
        <v>0</v>
      </c>
      <c r="F176" s="68" t="str">
        <f t="shared" si="8"/>
        <v>no procede</v>
      </c>
      <c r="G176" s="74">
        <f>'Entrada datos'!P173</f>
        <v>0</v>
      </c>
      <c r="H176" s="74">
        <f>'Entrada datos'!Q173</f>
        <v>0</v>
      </c>
      <c r="I176" s="74">
        <f>'Entrada datos'!R173</f>
        <v>0</v>
      </c>
      <c r="J176" s="74">
        <f>'Entrada datos'!S173</f>
        <v>0</v>
      </c>
      <c r="K176" s="74">
        <f>'Entrada datos'!T173</f>
        <v>0</v>
      </c>
      <c r="L176" s="74">
        <f>'Entrada datos'!U173</f>
        <v>0</v>
      </c>
      <c r="M176" s="76"/>
      <c r="N176" s="76"/>
      <c r="O176" s="76"/>
      <c r="P176" s="76"/>
      <c r="Q176" s="76"/>
      <c r="R176" s="76"/>
      <c r="S176" s="77" t="s">
        <v>74</v>
      </c>
      <c r="T176" s="77"/>
      <c r="U176" s="77"/>
      <c r="V176" s="77">
        <f t="shared" si="9"/>
        <v>0</v>
      </c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  <c r="AI176" s="77"/>
      <c r="AJ176" s="77"/>
      <c r="AK176" s="77"/>
      <c r="AL176" s="77"/>
      <c r="AM176" s="77"/>
      <c r="AN176" s="77"/>
      <c r="AO176" s="77"/>
      <c r="AP176" s="77"/>
      <c r="AQ176" s="77"/>
      <c r="AR176" s="77"/>
      <c r="AS176" s="77"/>
      <c r="AT176" s="77"/>
      <c r="AU176" s="77"/>
      <c r="AV176" s="77"/>
      <c r="AW176" s="77"/>
      <c r="AX176" s="77"/>
      <c r="AY176" s="77"/>
      <c r="AZ176" s="77"/>
      <c r="BA176" s="77"/>
      <c r="BB176" s="77"/>
      <c r="BC176" s="77"/>
      <c r="BD176" s="77"/>
      <c r="BE176" s="77"/>
      <c r="BF176" s="77"/>
      <c r="BG176" s="77"/>
      <c r="BH176" s="77"/>
      <c r="BI176" s="77"/>
      <c r="BJ176" s="77"/>
      <c r="BK176" s="77"/>
      <c r="BL176" s="77"/>
      <c r="BM176" s="77"/>
      <c r="BN176" s="77"/>
      <c r="BO176" s="77"/>
      <c r="BP176" s="77"/>
      <c r="BQ176" s="77"/>
      <c r="BR176" s="77"/>
      <c r="BS176" s="77"/>
      <c r="BT176" s="77"/>
      <c r="BU176" s="77"/>
      <c r="BV176" s="77"/>
      <c r="BW176" s="77"/>
      <c r="BX176" s="77"/>
      <c r="BY176" s="77"/>
      <c r="BZ176" s="77"/>
      <c r="CA176" s="77"/>
      <c r="CB176" s="77"/>
      <c r="CC176" s="77"/>
      <c r="CD176" s="77"/>
      <c r="CE176" s="77"/>
      <c r="CF176" s="77"/>
      <c r="CG176" s="77"/>
      <c r="CH176" s="77"/>
      <c r="CI176" s="77"/>
      <c r="CJ176" s="77"/>
      <c r="CK176" s="77"/>
      <c r="CL176" s="77"/>
      <c r="CM176" s="77"/>
      <c r="CN176" s="77"/>
      <c r="CO176" s="77"/>
      <c r="CP176" s="77"/>
      <c r="CQ176" s="77"/>
      <c r="CR176" s="77"/>
      <c r="CS176" s="77"/>
      <c r="CT176" s="77"/>
      <c r="CU176" s="77"/>
      <c r="CV176" s="77"/>
      <c r="CW176" s="77"/>
      <c r="CX176" s="77"/>
      <c r="CY176" s="77"/>
      <c r="CZ176" s="77"/>
      <c r="DA176" s="77"/>
      <c r="DB176" s="77"/>
      <c r="DC176" s="77"/>
      <c r="DD176" s="77"/>
      <c r="DE176" s="77"/>
      <c r="DF176" s="77"/>
      <c r="DG176" s="77"/>
      <c r="DH176" s="77"/>
      <c r="DI176" s="77"/>
      <c r="DJ176" s="77"/>
      <c r="DK176" s="77"/>
      <c r="DL176" s="77"/>
      <c r="DM176" s="77"/>
      <c r="DN176" s="77"/>
      <c r="DO176" s="77"/>
      <c r="DP176" s="77"/>
      <c r="DQ176" s="77"/>
      <c r="DR176" s="77"/>
      <c r="DS176" s="77"/>
      <c r="DT176" s="77"/>
      <c r="DU176" s="77"/>
      <c r="DV176" s="77"/>
      <c r="DW176" s="77"/>
      <c r="DX176" s="77"/>
      <c r="DY176" s="77"/>
      <c r="DZ176" s="77"/>
      <c r="EA176" s="77"/>
      <c r="EB176" s="77"/>
      <c r="EC176" s="77"/>
      <c r="ED176" s="77"/>
      <c r="EE176" s="77"/>
      <c r="EF176" s="77"/>
      <c r="EG176" s="77"/>
      <c r="EH176" s="77"/>
      <c r="EI176" s="77"/>
      <c r="EJ176" s="77"/>
      <c r="EK176" s="77"/>
      <c r="EL176" s="77"/>
      <c r="EM176" s="77"/>
      <c r="EN176" s="77"/>
      <c r="EO176" s="77"/>
      <c r="EP176" s="77"/>
      <c r="EQ176" s="77"/>
      <c r="ER176" s="77"/>
      <c r="ES176" s="77"/>
      <c r="ET176" s="77"/>
      <c r="EU176" s="77"/>
      <c r="EV176" s="77"/>
      <c r="EW176" s="77"/>
      <c r="EX176" s="77"/>
      <c r="EY176" s="77"/>
      <c r="EZ176" s="77"/>
      <c r="FA176" s="77"/>
      <c r="FB176" s="77"/>
      <c r="FC176" s="77"/>
      <c r="FD176" s="77"/>
      <c r="FE176" s="77"/>
      <c r="FF176" s="77"/>
      <c r="FG176" s="77"/>
      <c r="FH176" s="77"/>
      <c r="FI176" s="77"/>
      <c r="FJ176" s="77"/>
      <c r="FK176" s="77"/>
      <c r="FL176" s="77"/>
      <c r="FM176" s="77"/>
      <c r="FN176" s="77"/>
      <c r="FO176" s="77"/>
      <c r="FP176" s="77"/>
      <c r="FQ176" s="77"/>
      <c r="FR176" s="77"/>
      <c r="FS176" s="77"/>
      <c r="FT176" s="77"/>
      <c r="FU176" s="77"/>
      <c r="FV176" s="77"/>
      <c r="FW176" s="77"/>
      <c r="FX176" s="77"/>
      <c r="FY176" s="77"/>
      <c r="FZ176" s="77"/>
      <c r="GA176" s="77"/>
      <c r="GB176" s="77"/>
      <c r="GC176" s="77"/>
      <c r="GD176" s="77"/>
      <c r="GE176" s="77"/>
      <c r="GF176" s="77"/>
      <c r="GG176" s="77"/>
      <c r="GH176" s="77"/>
      <c r="GI176" s="77"/>
      <c r="GJ176" s="77"/>
      <c r="GK176" s="77"/>
      <c r="GL176" s="77"/>
      <c r="GM176" s="77"/>
      <c r="GN176" s="77"/>
      <c r="GO176" s="77"/>
      <c r="GP176" s="77"/>
      <c r="GQ176" s="77"/>
      <c r="GR176" s="77"/>
      <c r="GS176" s="77"/>
      <c r="GT176" s="77"/>
      <c r="GU176" s="77"/>
      <c r="GV176" s="77"/>
      <c r="GW176" s="77"/>
      <c r="GX176" s="77"/>
      <c r="GY176" s="77"/>
      <c r="GZ176" s="77"/>
      <c r="HA176" s="77"/>
      <c r="HB176" s="77"/>
      <c r="HC176" s="77"/>
      <c r="HD176" s="77"/>
      <c r="HE176" s="77"/>
      <c r="HF176" s="77"/>
      <c r="HG176" s="77"/>
      <c r="HH176" s="77"/>
      <c r="HI176" s="77"/>
      <c r="HJ176" s="77"/>
      <c r="HK176" s="77"/>
      <c r="HL176" s="77"/>
      <c r="HM176" s="77"/>
      <c r="HN176" s="77"/>
      <c r="HO176" s="77"/>
      <c r="HP176" s="77"/>
      <c r="HQ176" s="77"/>
    </row>
    <row r="177" spans="1:225" hidden="1" x14ac:dyDescent="0.3">
      <c r="A177" s="78">
        <f>'Entrada datos'!C174</f>
        <v>0</v>
      </c>
      <c r="B177" s="74">
        <f>'Entrada datos'!D174</f>
        <v>0</v>
      </c>
      <c r="C177" s="75">
        <f>'Entrada datos'!G174</f>
        <v>0</v>
      </c>
      <c r="D177" s="75">
        <f>'Entrada datos'!H174</f>
        <v>0</v>
      </c>
      <c r="E177" s="74">
        <f t="shared" si="7"/>
        <v>0</v>
      </c>
      <c r="F177" s="68" t="str">
        <f t="shared" si="8"/>
        <v>no procede</v>
      </c>
      <c r="G177" s="74">
        <f>'Entrada datos'!P174</f>
        <v>0</v>
      </c>
      <c r="H177" s="74">
        <f>'Entrada datos'!Q174</f>
        <v>0</v>
      </c>
      <c r="I177" s="74">
        <f>'Entrada datos'!R174</f>
        <v>0</v>
      </c>
      <c r="J177" s="74">
        <f>'Entrada datos'!S174</f>
        <v>0</v>
      </c>
      <c r="K177" s="74">
        <f>'Entrada datos'!T174</f>
        <v>0</v>
      </c>
      <c r="L177" s="74">
        <f>'Entrada datos'!U174</f>
        <v>0</v>
      </c>
      <c r="M177" s="76"/>
      <c r="N177" s="76"/>
      <c r="O177" s="76"/>
      <c r="P177" s="76"/>
      <c r="Q177" s="76"/>
      <c r="R177" s="76"/>
      <c r="S177" s="77" t="s">
        <v>74</v>
      </c>
      <c r="T177" s="77"/>
      <c r="U177" s="77"/>
      <c r="V177" s="77">
        <f t="shared" si="9"/>
        <v>0</v>
      </c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  <c r="AI177" s="77"/>
      <c r="AJ177" s="77"/>
      <c r="AK177" s="77"/>
      <c r="AL177" s="77"/>
      <c r="AM177" s="77"/>
      <c r="AN177" s="77"/>
      <c r="AO177" s="77"/>
      <c r="AP177" s="77"/>
      <c r="AQ177" s="77"/>
      <c r="AR177" s="77"/>
      <c r="AS177" s="77"/>
      <c r="AT177" s="77"/>
      <c r="AU177" s="77"/>
      <c r="AV177" s="77"/>
      <c r="AW177" s="77"/>
      <c r="AX177" s="77"/>
      <c r="AY177" s="77"/>
      <c r="AZ177" s="77"/>
      <c r="BA177" s="77"/>
      <c r="BB177" s="77"/>
      <c r="BC177" s="77"/>
      <c r="BD177" s="77"/>
      <c r="BE177" s="77"/>
      <c r="BF177" s="77"/>
      <c r="BG177" s="77"/>
      <c r="BH177" s="77"/>
      <c r="BI177" s="77"/>
      <c r="BJ177" s="77"/>
      <c r="BK177" s="77"/>
      <c r="BL177" s="77"/>
      <c r="BM177" s="77"/>
      <c r="BN177" s="77"/>
      <c r="BO177" s="77"/>
      <c r="BP177" s="77"/>
      <c r="BQ177" s="77"/>
      <c r="BR177" s="77"/>
      <c r="BS177" s="77"/>
      <c r="BT177" s="77"/>
      <c r="BU177" s="77"/>
      <c r="BV177" s="77"/>
      <c r="BW177" s="77"/>
      <c r="BX177" s="77"/>
      <c r="BY177" s="77"/>
      <c r="BZ177" s="77"/>
      <c r="CA177" s="77"/>
      <c r="CB177" s="77"/>
      <c r="CC177" s="77"/>
      <c r="CD177" s="77"/>
      <c r="CE177" s="77"/>
      <c r="CF177" s="77"/>
      <c r="CG177" s="77"/>
      <c r="CH177" s="77"/>
      <c r="CI177" s="77"/>
      <c r="CJ177" s="77"/>
      <c r="CK177" s="77"/>
      <c r="CL177" s="77"/>
      <c r="CM177" s="77"/>
      <c r="CN177" s="77"/>
      <c r="CO177" s="77"/>
      <c r="CP177" s="77"/>
      <c r="CQ177" s="77"/>
      <c r="CR177" s="77"/>
      <c r="CS177" s="77"/>
      <c r="CT177" s="77"/>
      <c r="CU177" s="77"/>
      <c r="CV177" s="77"/>
      <c r="CW177" s="77"/>
      <c r="CX177" s="77"/>
      <c r="CY177" s="77"/>
      <c r="CZ177" s="77"/>
      <c r="DA177" s="77"/>
      <c r="DB177" s="77"/>
      <c r="DC177" s="77"/>
      <c r="DD177" s="77"/>
      <c r="DE177" s="77"/>
      <c r="DF177" s="77"/>
      <c r="DG177" s="77"/>
      <c r="DH177" s="77"/>
      <c r="DI177" s="77"/>
      <c r="DJ177" s="77"/>
      <c r="DK177" s="77"/>
      <c r="DL177" s="77"/>
      <c r="DM177" s="77"/>
      <c r="DN177" s="77"/>
      <c r="DO177" s="77"/>
      <c r="DP177" s="77"/>
      <c r="DQ177" s="77"/>
      <c r="DR177" s="77"/>
      <c r="DS177" s="77"/>
      <c r="DT177" s="77"/>
      <c r="DU177" s="77"/>
      <c r="DV177" s="77"/>
      <c r="DW177" s="77"/>
      <c r="DX177" s="77"/>
      <c r="DY177" s="77"/>
      <c r="DZ177" s="77"/>
      <c r="EA177" s="77"/>
      <c r="EB177" s="77"/>
      <c r="EC177" s="77"/>
      <c r="ED177" s="77"/>
      <c r="EE177" s="77"/>
      <c r="EF177" s="77"/>
      <c r="EG177" s="77"/>
      <c r="EH177" s="77"/>
      <c r="EI177" s="77"/>
      <c r="EJ177" s="77"/>
      <c r="EK177" s="77"/>
      <c r="EL177" s="77"/>
      <c r="EM177" s="77"/>
      <c r="EN177" s="77"/>
      <c r="EO177" s="77"/>
      <c r="EP177" s="77"/>
      <c r="EQ177" s="77"/>
      <c r="ER177" s="77"/>
      <c r="ES177" s="77"/>
      <c r="ET177" s="77"/>
      <c r="EU177" s="77"/>
      <c r="EV177" s="77"/>
      <c r="EW177" s="77"/>
      <c r="EX177" s="77"/>
      <c r="EY177" s="77"/>
      <c r="EZ177" s="77"/>
      <c r="FA177" s="77"/>
      <c r="FB177" s="77"/>
      <c r="FC177" s="77"/>
      <c r="FD177" s="77"/>
      <c r="FE177" s="77"/>
      <c r="FF177" s="77"/>
      <c r="FG177" s="77"/>
      <c r="FH177" s="77"/>
      <c r="FI177" s="77"/>
      <c r="FJ177" s="77"/>
      <c r="FK177" s="77"/>
      <c r="FL177" s="77"/>
      <c r="FM177" s="77"/>
      <c r="FN177" s="77"/>
      <c r="FO177" s="77"/>
      <c r="FP177" s="77"/>
      <c r="FQ177" s="77"/>
      <c r="FR177" s="77"/>
      <c r="FS177" s="77"/>
      <c r="FT177" s="77"/>
      <c r="FU177" s="77"/>
      <c r="FV177" s="77"/>
      <c r="FW177" s="77"/>
      <c r="FX177" s="77"/>
      <c r="FY177" s="77"/>
      <c r="FZ177" s="77"/>
      <c r="GA177" s="77"/>
      <c r="GB177" s="77"/>
      <c r="GC177" s="77"/>
      <c r="GD177" s="77"/>
      <c r="GE177" s="77"/>
      <c r="GF177" s="77"/>
      <c r="GG177" s="77"/>
      <c r="GH177" s="77"/>
      <c r="GI177" s="77"/>
      <c r="GJ177" s="77"/>
      <c r="GK177" s="77"/>
      <c r="GL177" s="77"/>
      <c r="GM177" s="77"/>
      <c r="GN177" s="77"/>
      <c r="GO177" s="77"/>
      <c r="GP177" s="77"/>
      <c r="GQ177" s="77"/>
      <c r="GR177" s="77"/>
      <c r="GS177" s="77"/>
      <c r="GT177" s="77"/>
      <c r="GU177" s="77"/>
      <c r="GV177" s="77"/>
      <c r="GW177" s="77"/>
      <c r="GX177" s="77"/>
      <c r="GY177" s="77"/>
      <c r="GZ177" s="77"/>
      <c r="HA177" s="77"/>
      <c r="HB177" s="77"/>
      <c r="HC177" s="77"/>
      <c r="HD177" s="77"/>
      <c r="HE177" s="77"/>
      <c r="HF177" s="77"/>
      <c r="HG177" s="77"/>
      <c r="HH177" s="77"/>
      <c r="HI177" s="77"/>
      <c r="HJ177" s="77"/>
      <c r="HK177" s="77"/>
      <c r="HL177" s="77"/>
      <c r="HM177" s="77"/>
      <c r="HN177" s="77"/>
      <c r="HO177" s="77"/>
      <c r="HP177" s="77"/>
      <c r="HQ177" s="77"/>
    </row>
    <row r="178" spans="1:225" hidden="1" x14ac:dyDescent="0.3">
      <c r="A178" s="78">
        <f>'Entrada datos'!C175</f>
        <v>0</v>
      </c>
      <c r="B178" s="74">
        <f>'Entrada datos'!D175</f>
        <v>0</v>
      </c>
      <c r="C178" s="75">
        <f>'Entrada datos'!G175</f>
        <v>0</v>
      </c>
      <c r="D178" s="75">
        <f>'Entrada datos'!H175</f>
        <v>0</v>
      </c>
      <c r="E178" s="74">
        <f t="shared" si="7"/>
        <v>0</v>
      </c>
      <c r="F178" s="68" t="str">
        <f t="shared" si="8"/>
        <v>no procede</v>
      </c>
      <c r="G178" s="74">
        <f>'Entrada datos'!P175</f>
        <v>0</v>
      </c>
      <c r="H178" s="74">
        <f>'Entrada datos'!Q175</f>
        <v>0</v>
      </c>
      <c r="I178" s="74">
        <f>'Entrada datos'!R175</f>
        <v>0</v>
      </c>
      <c r="J178" s="74">
        <f>'Entrada datos'!S175</f>
        <v>0</v>
      </c>
      <c r="K178" s="74">
        <f>'Entrada datos'!T175</f>
        <v>0</v>
      </c>
      <c r="L178" s="74">
        <f>'Entrada datos'!U175</f>
        <v>0</v>
      </c>
      <c r="M178" s="76"/>
      <c r="N178" s="76"/>
      <c r="O178" s="76"/>
      <c r="P178" s="76"/>
      <c r="Q178" s="76"/>
      <c r="R178" s="76"/>
      <c r="S178" s="77" t="s">
        <v>74</v>
      </c>
      <c r="T178" s="77"/>
      <c r="U178" s="77"/>
      <c r="V178" s="77">
        <f t="shared" si="9"/>
        <v>0</v>
      </c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  <c r="AI178" s="77"/>
      <c r="AJ178" s="77"/>
      <c r="AK178" s="77"/>
      <c r="AL178" s="77"/>
      <c r="AM178" s="77"/>
      <c r="AN178" s="77"/>
      <c r="AO178" s="77"/>
      <c r="AP178" s="77"/>
      <c r="AQ178" s="77"/>
      <c r="AR178" s="77"/>
      <c r="AS178" s="77"/>
      <c r="AT178" s="77"/>
      <c r="AU178" s="77"/>
      <c r="AV178" s="77"/>
      <c r="AW178" s="77"/>
      <c r="AX178" s="77"/>
      <c r="AY178" s="77"/>
      <c r="AZ178" s="77"/>
      <c r="BA178" s="77"/>
      <c r="BB178" s="77"/>
      <c r="BC178" s="77"/>
      <c r="BD178" s="77"/>
      <c r="BE178" s="77"/>
      <c r="BF178" s="77"/>
      <c r="BG178" s="77"/>
      <c r="BH178" s="77"/>
      <c r="BI178" s="77"/>
      <c r="BJ178" s="77"/>
      <c r="BK178" s="77"/>
      <c r="BL178" s="77"/>
      <c r="BM178" s="77"/>
      <c r="BN178" s="77"/>
      <c r="BO178" s="77"/>
      <c r="BP178" s="77"/>
      <c r="BQ178" s="77"/>
      <c r="BR178" s="77"/>
      <c r="BS178" s="77"/>
      <c r="BT178" s="77"/>
      <c r="BU178" s="77"/>
      <c r="BV178" s="77"/>
      <c r="BW178" s="77"/>
      <c r="BX178" s="77"/>
      <c r="BY178" s="77"/>
      <c r="BZ178" s="77"/>
      <c r="CA178" s="77"/>
      <c r="CB178" s="77"/>
      <c r="CC178" s="77"/>
      <c r="CD178" s="77"/>
      <c r="CE178" s="77"/>
      <c r="CF178" s="77"/>
      <c r="CG178" s="77"/>
      <c r="CH178" s="77"/>
      <c r="CI178" s="77"/>
      <c r="CJ178" s="77"/>
      <c r="CK178" s="77"/>
      <c r="CL178" s="77"/>
      <c r="CM178" s="77"/>
      <c r="CN178" s="77"/>
      <c r="CO178" s="77"/>
      <c r="CP178" s="77"/>
      <c r="CQ178" s="77"/>
      <c r="CR178" s="77"/>
      <c r="CS178" s="77"/>
      <c r="CT178" s="77"/>
      <c r="CU178" s="77"/>
      <c r="CV178" s="77"/>
      <c r="CW178" s="77"/>
      <c r="CX178" s="77"/>
      <c r="CY178" s="77"/>
      <c r="CZ178" s="77"/>
      <c r="DA178" s="77"/>
      <c r="DB178" s="77"/>
      <c r="DC178" s="77"/>
      <c r="DD178" s="77"/>
      <c r="DE178" s="77"/>
      <c r="DF178" s="77"/>
      <c r="DG178" s="77"/>
      <c r="DH178" s="77"/>
      <c r="DI178" s="77"/>
      <c r="DJ178" s="77"/>
      <c r="DK178" s="77"/>
      <c r="DL178" s="77"/>
      <c r="DM178" s="77"/>
      <c r="DN178" s="77"/>
      <c r="DO178" s="77"/>
      <c r="DP178" s="77"/>
      <c r="DQ178" s="77"/>
      <c r="DR178" s="77"/>
      <c r="DS178" s="77"/>
      <c r="DT178" s="77"/>
      <c r="DU178" s="77"/>
      <c r="DV178" s="77"/>
      <c r="DW178" s="77"/>
      <c r="DX178" s="77"/>
      <c r="DY178" s="77"/>
      <c r="DZ178" s="77"/>
      <c r="EA178" s="77"/>
      <c r="EB178" s="77"/>
      <c r="EC178" s="77"/>
      <c r="ED178" s="77"/>
      <c r="EE178" s="77"/>
      <c r="EF178" s="77"/>
      <c r="EG178" s="77"/>
      <c r="EH178" s="77"/>
      <c r="EI178" s="77"/>
      <c r="EJ178" s="77"/>
      <c r="EK178" s="77"/>
      <c r="EL178" s="77"/>
      <c r="EM178" s="77"/>
      <c r="EN178" s="77"/>
      <c r="EO178" s="77"/>
      <c r="EP178" s="77"/>
      <c r="EQ178" s="77"/>
      <c r="ER178" s="77"/>
      <c r="ES178" s="77"/>
      <c r="ET178" s="77"/>
      <c r="EU178" s="77"/>
      <c r="EV178" s="77"/>
      <c r="EW178" s="77"/>
      <c r="EX178" s="77"/>
      <c r="EY178" s="77"/>
      <c r="EZ178" s="77"/>
      <c r="FA178" s="77"/>
      <c r="FB178" s="77"/>
      <c r="FC178" s="77"/>
      <c r="FD178" s="77"/>
      <c r="FE178" s="77"/>
      <c r="FF178" s="77"/>
      <c r="FG178" s="77"/>
      <c r="FH178" s="77"/>
      <c r="FI178" s="77"/>
      <c r="FJ178" s="77"/>
      <c r="FK178" s="77"/>
      <c r="FL178" s="77"/>
      <c r="FM178" s="77"/>
      <c r="FN178" s="77"/>
      <c r="FO178" s="77"/>
      <c r="FP178" s="77"/>
      <c r="FQ178" s="77"/>
      <c r="FR178" s="77"/>
      <c r="FS178" s="77"/>
      <c r="FT178" s="77"/>
      <c r="FU178" s="77"/>
      <c r="FV178" s="77"/>
      <c r="FW178" s="77"/>
      <c r="FX178" s="77"/>
      <c r="FY178" s="77"/>
      <c r="FZ178" s="77"/>
      <c r="GA178" s="77"/>
      <c r="GB178" s="77"/>
      <c r="GC178" s="77"/>
      <c r="GD178" s="77"/>
      <c r="GE178" s="77"/>
      <c r="GF178" s="77"/>
      <c r="GG178" s="77"/>
      <c r="GH178" s="77"/>
      <c r="GI178" s="77"/>
      <c r="GJ178" s="77"/>
      <c r="GK178" s="77"/>
      <c r="GL178" s="77"/>
      <c r="GM178" s="77"/>
      <c r="GN178" s="77"/>
      <c r="GO178" s="77"/>
      <c r="GP178" s="77"/>
      <c r="GQ178" s="77"/>
      <c r="GR178" s="77"/>
      <c r="GS178" s="77"/>
      <c r="GT178" s="77"/>
      <c r="GU178" s="77"/>
      <c r="GV178" s="77"/>
      <c r="GW178" s="77"/>
      <c r="GX178" s="77"/>
      <c r="GY178" s="77"/>
      <c r="GZ178" s="77"/>
      <c r="HA178" s="77"/>
      <c r="HB178" s="77"/>
      <c r="HC178" s="77"/>
      <c r="HD178" s="77"/>
      <c r="HE178" s="77"/>
      <c r="HF178" s="77"/>
      <c r="HG178" s="77"/>
      <c r="HH178" s="77"/>
      <c r="HI178" s="77"/>
      <c r="HJ178" s="77"/>
      <c r="HK178" s="77"/>
      <c r="HL178" s="77"/>
      <c r="HM178" s="77"/>
      <c r="HN178" s="77"/>
      <c r="HO178" s="77"/>
      <c r="HP178" s="77"/>
      <c r="HQ178" s="77"/>
    </row>
    <row r="179" spans="1:225" hidden="1" x14ac:dyDescent="0.3">
      <c r="A179" s="78">
        <f>'Entrada datos'!C176</f>
        <v>0</v>
      </c>
      <c r="B179" s="74">
        <f>'Entrada datos'!D176</f>
        <v>0</v>
      </c>
      <c r="C179" s="75">
        <f>'Entrada datos'!G176</f>
        <v>0</v>
      </c>
      <c r="D179" s="75">
        <f>'Entrada datos'!H176</f>
        <v>0</v>
      </c>
      <c r="E179" s="74">
        <f t="shared" si="7"/>
        <v>0</v>
      </c>
      <c r="F179" s="68" t="str">
        <f t="shared" si="8"/>
        <v>no procede</v>
      </c>
      <c r="G179" s="74">
        <f>'Entrada datos'!P176</f>
        <v>0</v>
      </c>
      <c r="H179" s="74">
        <f>'Entrada datos'!Q176</f>
        <v>0</v>
      </c>
      <c r="I179" s="74">
        <f>'Entrada datos'!R176</f>
        <v>0</v>
      </c>
      <c r="J179" s="74">
        <f>'Entrada datos'!S176</f>
        <v>0</v>
      </c>
      <c r="K179" s="74">
        <f>'Entrada datos'!T176</f>
        <v>0</v>
      </c>
      <c r="L179" s="74">
        <f>'Entrada datos'!U176</f>
        <v>0</v>
      </c>
      <c r="M179" s="76"/>
      <c r="N179" s="76"/>
      <c r="O179" s="76"/>
      <c r="P179" s="76"/>
      <c r="Q179" s="76"/>
      <c r="R179" s="76"/>
      <c r="S179" s="77" t="s">
        <v>74</v>
      </c>
      <c r="T179" s="77"/>
      <c r="U179" s="77"/>
      <c r="V179" s="77">
        <f t="shared" si="9"/>
        <v>0</v>
      </c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AY179" s="77"/>
      <c r="AZ179" s="77"/>
      <c r="BA179" s="77"/>
      <c r="BB179" s="77"/>
      <c r="BC179" s="77"/>
      <c r="BD179" s="77"/>
      <c r="BE179" s="77"/>
      <c r="BF179" s="77"/>
      <c r="BG179" s="77"/>
      <c r="BH179" s="77"/>
      <c r="BI179" s="77"/>
      <c r="BJ179" s="77"/>
      <c r="BK179" s="77"/>
      <c r="BL179" s="77"/>
      <c r="BM179" s="77"/>
      <c r="BN179" s="77"/>
      <c r="BO179" s="77"/>
      <c r="BP179" s="77"/>
      <c r="BQ179" s="77"/>
      <c r="BR179" s="77"/>
      <c r="BS179" s="77"/>
      <c r="BT179" s="77"/>
      <c r="BU179" s="77"/>
      <c r="BV179" s="77"/>
      <c r="BW179" s="77"/>
      <c r="BX179" s="77"/>
      <c r="BY179" s="77"/>
      <c r="BZ179" s="77"/>
      <c r="CA179" s="77"/>
      <c r="CB179" s="77"/>
      <c r="CC179" s="77"/>
      <c r="CD179" s="77"/>
      <c r="CE179" s="77"/>
      <c r="CF179" s="77"/>
      <c r="CG179" s="77"/>
      <c r="CH179" s="77"/>
      <c r="CI179" s="77"/>
      <c r="CJ179" s="77"/>
      <c r="CK179" s="77"/>
      <c r="CL179" s="77"/>
      <c r="CM179" s="77"/>
      <c r="CN179" s="77"/>
      <c r="CO179" s="77"/>
      <c r="CP179" s="77"/>
      <c r="CQ179" s="77"/>
      <c r="CR179" s="77"/>
      <c r="CS179" s="77"/>
      <c r="CT179" s="77"/>
      <c r="CU179" s="77"/>
      <c r="CV179" s="77"/>
      <c r="CW179" s="77"/>
      <c r="CX179" s="77"/>
      <c r="CY179" s="77"/>
      <c r="CZ179" s="77"/>
      <c r="DA179" s="77"/>
      <c r="DB179" s="77"/>
      <c r="DC179" s="77"/>
      <c r="DD179" s="77"/>
      <c r="DE179" s="77"/>
      <c r="DF179" s="77"/>
      <c r="DG179" s="77"/>
      <c r="DH179" s="77"/>
      <c r="DI179" s="77"/>
      <c r="DJ179" s="77"/>
      <c r="DK179" s="77"/>
      <c r="DL179" s="77"/>
      <c r="DM179" s="77"/>
      <c r="DN179" s="77"/>
      <c r="DO179" s="77"/>
      <c r="DP179" s="77"/>
      <c r="DQ179" s="77"/>
      <c r="DR179" s="77"/>
      <c r="DS179" s="77"/>
      <c r="DT179" s="77"/>
      <c r="DU179" s="77"/>
      <c r="DV179" s="77"/>
      <c r="DW179" s="77"/>
      <c r="DX179" s="77"/>
      <c r="DY179" s="77"/>
      <c r="DZ179" s="77"/>
      <c r="EA179" s="77"/>
      <c r="EB179" s="77"/>
      <c r="EC179" s="77"/>
      <c r="ED179" s="77"/>
      <c r="EE179" s="77"/>
      <c r="EF179" s="77"/>
      <c r="EG179" s="77"/>
      <c r="EH179" s="77"/>
      <c r="EI179" s="77"/>
      <c r="EJ179" s="77"/>
      <c r="EK179" s="77"/>
      <c r="EL179" s="77"/>
      <c r="EM179" s="77"/>
      <c r="EN179" s="77"/>
      <c r="EO179" s="77"/>
      <c r="EP179" s="77"/>
      <c r="EQ179" s="77"/>
      <c r="ER179" s="77"/>
      <c r="ES179" s="77"/>
      <c r="ET179" s="77"/>
      <c r="EU179" s="77"/>
      <c r="EV179" s="77"/>
      <c r="EW179" s="77"/>
      <c r="EX179" s="77"/>
      <c r="EY179" s="77"/>
      <c r="EZ179" s="77"/>
      <c r="FA179" s="77"/>
      <c r="FB179" s="77"/>
      <c r="FC179" s="77"/>
      <c r="FD179" s="77"/>
      <c r="FE179" s="77"/>
      <c r="FF179" s="77"/>
      <c r="FG179" s="77"/>
      <c r="FH179" s="77"/>
      <c r="FI179" s="77"/>
      <c r="FJ179" s="77"/>
      <c r="FK179" s="77"/>
      <c r="FL179" s="77"/>
      <c r="FM179" s="77"/>
      <c r="FN179" s="77"/>
      <c r="FO179" s="77"/>
      <c r="FP179" s="77"/>
      <c r="FQ179" s="77"/>
      <c r="FR179" s="77"/>
      <c r="FS179" s="77"/>
      <c r="FT179" s="77"/>
      <c r="FU179" s="77"/>
      <c r="FV179" s="77"/>
      <c r="FW179" s="77"/>
      <c r="FX179" s="77"/>
      <c r="FY179" s="77"/>
      <c r="FZ179" s="77"/>
      <c r="GA179" s="77"/>
      <c r="GB179" s="77"/>
      <c r="GC179" s="77"/>
      <c r="GD179" s="77"/>
      <c r="GE179" s="77"/>
      <c r="GF179" s="77"/>
      <c r="GG179" s="77"/>
      <c r="GH179" s="77"/>
      <c r="GI179" s="77"/>
      <c r="GJ179" s="77"/>
      <c r="GK179" s="77"/>
      <c r="GL179" s="77"/>
      <c r="GM179" s="77"/>
      <c r="GN179" s="77"/>
      <c r="GO179" s="77"/>
      <c r="GP179" s="77"/>
      <c r="GQ179" s="77"/>
      <c r="GR179" s="77"/>
      <c r="GS179" s="77"/>
      <c r="GT179" s="77"/>
      <c r="GU179" s="77"/>
      <c r="GV179" s="77"/>
      <c r="GW179" s="77"/>
      <c r="GX179" s="77"/>
      <c r="GY179" s="77"/>
      <c r="GZ179" s="77"/>
      <c r="HA179" s="77"/>
      <c r="HB179" s="77"/>
      <c r="HC179" s="77"/>
      <c r="HD179" s="77"/>
      <c r="HE179" s="77"/>
      <c r="HF179" s="77"/>
      <c r="HG179" s="77"/>
      <c r="HH179" s="77"/>
      <c r="HI179" s="77"/>
      <c r="HJ179" s="77"/>
      <c r="HK179" s="77"/>
      <c r="HL179" s="77"/>
      <c r="HM179" s="77"/>
      <c r="HN179" s="77"/>
      <c r="HO179" s="77"/>
      <c r="HP179" s="77"/>
      <c r="HQ179" s="77"/>
    </row>
    <row r="180" spans="1:225" hidden="1" x14ac:dyDescent="0.3">
      <c r="A180" s="78">
        <f>'Entrada datos'!C177</f>
        <v>0</v>
      </c>
      <c r="B180" s="74">
        <f>'Entrada datos'!D177</f>
        <v>0</v>
      </c>
      <c r="C180" s="75">
        <f>'Entrada datos'!G177</f>
        <v>0</v>
      </c>
      <c r="D180" s="75">
        <f>'Entrada datos'!H177</f>
        <v>0</v>
      </c>
      <c r="E180" s="74">
        <f t="shared" si="7"/>
        <v>0</v>
      </c>
      <c r="F180" s="68" t="str">
        <f t="shared" si="8"/>
        <v>no procede</v>
      </c>
      <c r="G180" s="74">
        <f>'Entrada datos'!P177</f>
        <v>0</v>
      </c>
      <c r="H180" s="74">
        <f>'Entrada datos'!Q177</f>
        <v>0</v>
      </c>
      <c r="I180" s="74">
        <f>'Entrada datos'!R177</f>
        <v>0</v>
      </c>
      <c r="J180" s="74">
        <f>'Entrada datos'!S177</f>
        <v>0</v>
      </c>
      <c r="K180" s="74">
        <f>'Entrada datos'!T177</f>
        <v>0</v>
      </c>
      <c r="L180" s="74">
        <f>'Entrada datos'!U177</f>
        <v>0</v>
      </c>
      <c r="M180" s="76"/>
      <c r="N180" s="76"/>
      <c r="O180" s="76"/>
      <c r="P180" s="76"/>
      <c r="Q180" s="76"/>
      <c r="R180" s="76"/>
      <c r="S180" s="77" t="s">
        <v>74</v>
      </c>
      <c r="T180" s="77"/>
      <c r="U180" s="77"/>
      <c r="V180" s="77">
        <f t="shared" si="9"/>
        <v>0</v>
      </c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W180" s="77"/>
      <c r="AX180" s="77"/>
      <c r="AY180" s="77"/>
      <c r="AZ180" s="77"/>
      <c r="BA180" s="77"/>
      <c r="BB180" s="77"/>
      <c r="BC180" s="77"/>
      <c r="BD180" s="77"/>
      <c r="BE180" s="77"/>
      <c r="BF180" s="77"/>
      <c r="BG180" s="77"/>
      <c r="BH180" s="77"/>
      <c r="BI180" s="77"/>
      <c r="BJ180" s="77"/>
      <c r="BK180" s="77"/>
      <c r="BL180" s="77"/>
      <c r="BM180" s="77"/>
      <c r="BN180" s="77"/>
      <c r="BO180" s="77"/>
      <c r="BP180" s="77"/>
      <c r="BQ180" s="77"/>
      <c r="BR180" s="77"/>
      <c r="BS180" s="77"/>
      <c r="BT180" s="77"/>
      <c r="BU180" s="77"/>
      <c r="BV180" s="77"/>
      <c r="BW180" s="77"/>
      <c r="BX180" s="77"/>
      <c r="BY180" s="77"/>
      <c r="BZ180" s="77"/>
      <c r="CA180" s="77"/>
      <c r="CB180" s="77"/>
      <c r="CC180" s="77"/>
      <c r="CD180" s="77"/>
      <c r="CE180" s="77"/>
      <c r="CF180" s="77"/>
      <c r="CG180" s="77"/>
      <c r="CH180" s="77"/>
      <c r="CI180" s="77"/>
      <c r="CJ180" s="77"/>
      <c r="CK180" s="77"/>
      <c r="CL180" s="77"/>
      <c r="CM180" s="77"/>
      <c r="CN180" s="77"/>
      <c r="CO180" s="77"/>
      <c r="CP180" s="77"/>
      <c r="CQ180" s="77"/>
      <c r="CR180" s="77"/>
      <c r="CS180" s="77"/>
      <c r="CT180" s="77"/>
      <c r="CU180" s="77"/>
      <c r="CV180" s="77"/>
      <c r="CW180" s="77"/>
      <c r="CX180" s="77"/>
      <c r="CY180" s="77"/>
      <c r="CZ180" s="77"/>
      <c r="DA180" s="77"/>
      <c r="DB180" s="77"/>
      <c r="DC180" s="77"/>
      <c r="DD180" s="77"/>
      <c r="DE180" s="77"/>
      <c r="DF180" s="77"/>
      <c r="DG180" s="77"/>
      <c r="DH180" s="77"/>
      <c r="DI180" s="77"/>
      <c r="DJ180" s="77"/>
      <c r="DK180" s="77"/>
      <c r="DL180" s="77"/>
      <c r="DM180" s="77"/>
      <c r="DN180" s="77"/>
      <c r="DO180" s="77"/>
      <c r="DP180" s="77"/>
      <c r="DQ180" s="77"/>
      <c r="DR180" s="77"/>
      <c r="DS180" s="77"/>
      <c r="DT180" s="77"/>
      <c r="DU180" s="77"/>
      <c r="DV180" s="77"/>
      <c r="DW180" s="77"/>
      <c r="DX180" s="77"/>
      <c r="DY180" s="77"/>
      <c r="DZ180" s="77"/>
      <c r="EA180" s="77"/>
      <c r="EB180" s="77"/>
      <c r="EC180" s="77"/>
      <c r="ED180" s="77"/>
      <c r="EE180" s="77"/>
      <c r="EF180" s="77"/>
      <c r="EG180" s="77"/>
      <c r="EH180" s="77"/>
      <c r="EI180" s="77"/>
      <c r="EJ180" s="77"/>
      <c r="EK180" s="77"/>
      <c r="EL180" s="77"/>
      <c r="EM180" s="77"/>
      <c r="EN180" s="77"/>
      <c r="EO180" s="77"/>
      <c r="EP180" s="77"/>
      <c r="EQ180" s="77"/>
      <c r="ER180" s="77"/>
      <c r="ES180" s="77"/>
      <c r="ET180" s="77"/>
      <c r="EU180" s="77"/>
      <c r="EV180" s="77"/>
      <c r="EW180" s="77"/>
      <c r="EX180" s="77"/>
      <c r="EY180" s="77"/>
      <c r="EZ180" s="77"/>
      <c r="FA180" s="77"/>
      <c r="FB180" s="77"/>
      <c r="FC180" s="77"/>
      <c r="FD180" s="77"/>
      <c r="FE180" s="77"/>
      <c r="FF180" s="77"/>
      <c r="FG180" s="77"/>
      <c r="FH180" s="77"/>
      <c r="FI180" s="77"/>
      <c r="FJ180" s="77"/>
      <c r="FK180" s="77"/>
      <c r="FL180" s="77"/>
      <c r="FM180" s="77"/>
      <c r="FN180" s="77"/>
      <c r="FO180" s="77"/>
      <c r="FP180" s="77"/>
      <c r="FQ180" s="77"/>
      <c r="FR180" s="77"/>
      <c r="FS180" s="77"/>
      <c r="FT180" s="77"/>
      <c r="FU180" s="77"/>
      <c r="FV180" s="77"/>
      <c r="FW180" s="77"/>
      <c r="FX180" s="77"/>
      <c r="FY180" s="77"/>
      <c r="FZ180" s="77"/>
      <c r="GA180" s="77"/>
      <c r="GB180" s="77"/>
      <c r="GC180" s="77"/>
      <c r="GD180" s="77"/>
      <c r="GE180" s="77"/>
      <c r="GF180" s="77"/>
      <c r="GG180" s="77"/>
      <c r="GH180" s="77"/>
      <c r="GI180" s="77"/>
      <c r="GJ180" s="77"/>
      <c r="GK180" s="77"/>
      <c r="GL180" s="77"/>
      <c r="GM180" s="77"/>
      <c r="GN180" s="77"/>
      <c r="GO180" s="77"/>
      <c r="GP180" s="77"/>
      <c r="GQ180" s="77"/>
      <c r="GR180" s="77"/>
      <c r="GS180" s="77"/>
      <c r="GT180" s="77"/>
      <c r="GU180" s="77"/>
      <c r="GV180" s="77"/>
      <c r="GW180" s="77"/>
      <c r="GX180" s="77"/>
      <c r="GY180" s="77"/>
      <c r="GZ180" s="77"/>
      <c r="HA180" s="77"/>
      <c r="HB180" s="77"/>
      <c r="HC180" s="77"/>
      <c r="HD180" s="77"/>
      <c r="HE180" s="77"/>
      <c r="HF180" s="77"/>
      <c r="HG180" s="77"/>
      <c r="HH180" s="77"/>
      <c r="HI180" s="77"/>
      <c r="HJ180" s="77"/>
      <c r="HK180" s="77"/>
      <c r="HL180" s="77"/>
      <c r="HM180" s="77"/>
      <c r="HN180" s="77"/>
      <c r="HO180" s="77"/>
      <c r="HP180" s="77"/>
      <c r="HQ180" s="77"/>
    </row>
    <row r="181" spans="1:225" hidden="1" x14ac:dyDescent="0.3">
      <c r="A181" s="78">
        <f>'Entrada datos'!C178</f>
        <v>0</v>
      </c>
      <c r="B181" s="74">
        <f>'Entrada datos'!D178</f>
        <v>0</v>
      </c>
      <c r="C181" s="75">
        <f>'Entrada datos'!G178</f>
        <v>0</v>
      </c>
      <c r="D181" s="75">
        <f>'Entrada datos'!H178</f>
        <v>0</v>
      </c>
      <c r="E181" s="74">
        <f t="shared" si="7"/>
        <v>0</v>
      </c>
      <c r="F181" s="68" t="str">
        <f t="shared" si="8"/>
        <v>no procede</v>
      </c>
      <c r="G181" s="74">
        <f>'Entrada datos'!P178</f>
        <v>0</v>
      </c>
      <c r="H181" s="74">
        <f>'Entrada datos'!Q178</f>
        <v>0</v>
      </c>
      <c r="I181" s="74">
        <f>'Entrada datos'!R178</f>
        <v>0</v>
      </c>
      <c r="J181" s="74">
        <f>'Entrada datos'!S178</f>
        <v>0</v>
      </c>
      <c r="K181" s="74">
        <f>'Entrada datos'!T178</f>
        <v>0</v>
      </c>
      <c r="L181" s="74">
        <f>'Entrada datos'!U178</f>
        <v>0</v>
      </c>
      <c r="M181" s="76"/>
      <c r="N181" s="76"/>
      <c r="O181" s="76"/>
      <c r="P181" s="76"/>
      <c r="Q181" s="76"/>
      <c r="R181" s="76"/>
      <c r="S181" s="77" t="s">
        <v>74</v>
      </c>
      <c r="T181" s="77"/>
      <c r="U181" s="77"/>
      <c r="V181" s="77">
        <f t="shared" si="9"/>
        <v>0</v>
      </c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7"/>
      <c r="BM181" s="77"/>
      <c r="BN181" s="77"/>
      <c r="BO181" s="77"/>
      <c r="BP181" s="77"/>
      <c r="BQ181" s="77"/>
      <c r="BR181" s="77"/>
      <c r="BS181" s="77"/>
      <c r="BT181" s="77"/>
      <c r="BU181" s="77"/>
      <c r="BV181" s="77"/>
      <c r="BW181" s="77"/>
      <c r="BX181" s="77"/>
      <c r="BY181" s="77"/>
      <c r="BZ181" s="77"/>
      <c r="CA181" s="77"/>
      <c r="CB181" s="77"/>
      <c r="CC181" s="77"/>
      <c r="CD181" s="77"/>
      <c r="CE181" s="77"/>
      <c r="CF181" s="77"/>
      <c r="CG181" s="77"/>
      <c r="CH181" s="77"/>
      <c r="CI181" s="77"/>
      <c r="CJ181" s="77"/>
      <c r="CK181" s="77"/>
      <c r="CL181" s="77"/>
      <c r="CM181" s="77"/>
      <c r="CN181" s="77"/>
      <c r="CO181" s="77"/>
      <c r="CP181" s="77"/>
      <c r="CQ181" s="77"/>
      <c r="CR181" s="77"/>
      <c r="CS181" s="77"/>
      <c r="CT181" s="77"/>
      <c r="CU181" s="77"/>
      <c r="CV181" s="77"/>
      <c r="CW181" s="77"/>
      <c r="CX181" s="77"/>
      <c r="CY181" s="77"/>
      <c r="CZ181" s="77"/>
      <c r="DA181" s="77"/>
      <c r="DB181" s="77"/>
      <c r="DC181" s="77"/>
      <c r="DD181" s="77"/>
      <c r="DE181" s="77"/>
      <c r="DF181" s="77"/>
      <c r="DG181" s="77"/>
      <c r="DH181" s="77"/>
      <c r="DI181" s="77"/>
      <c r="DJ181" s="77"/>
      <c r="DK181" s="77"/>
      <c r="DL181" s="77"/>
      <c r="DM181" s="77"/>
      <c r="DN181" s="77"/>
      <c r="DO181" s="77"/>
      <c r="DP181" s="77"/>
      <c r="DQ181" s="77"/>
      <c r="DR181" s="77"/>
      <c r="DS181" s="77"/>
      <c r="DT181" s="77"/>
      <c r="DU181" s="77"/>
      <c r="DV181" s="77"/>
      <c r="DW181" s="77"/>
      <c r="DX181" s="77"/>
      <c r="DY181" s="77"/>
      <c r="DZ181" s="77"/>
      <c r="EA181" s="77"/>
      <c r="EB181" s="77"/>
      <c r="EC181" s="77"/>
      <c r="ED181" s="77"/>
      <c r="EE181" s="77"/>
      <c r="EF181" s="77"/>
      <c r="EG181" s="77"/>
      <c r="EH181" s="77"/>
      <c r="EI181" s="77"/>
      <c r="EJ181" s="77"/>
      <c r="EK181" s="77"/>
      <c r="EL181" s="77"/>
      <c r="EM181" s="77"/>
      <c r="EN181" s="77"/>
      <c r="EO181" s="77"/>
      <c r="EP181" s="77"/>
      <c r="EQ181" s="77"/>
      <c r="ER181" s="77"/>
      <c r="ES181" s="77"/>
      <c r="ET181" s="77"/>
      <c r="EU181" s="77"/>
      <c r="EV181" s="77"/>
      <c r="EW181" s="77"/>
      <c r="EX181" s="77"/>
      <c r="EY181" s="77"/>
      <c r="EZ181" s="77"/>
      <c r="FA181" s="77"/>
      <c r="FB181" s="77"/>
      <c r="FC181" s="77"/>
      <c r="FD181" s="77"/>
      <c r="FE181" s="77"/>
      <c r="FF181" s="77"/>
      <c r="FG181" s="77"/>
      <c r="FH181" s="77"/>
      <c r="FI181" s="77"/>
      <c r="FJ181" s="77"/>
      <c r="FK181" s="77"/>
      <c r="FL181" s="77"/>
      <c r="FM181" s="77"/>
      <c r="FN181" s="77"/>
      <c r="FO181" s="77"/>
      <c r="FP181" s="77"/>
      <c r="FQ181" s="77"/>
      <c r="FR181" s="77"/>
      <c r="FS181" s="77"/>
      <c r="FT181" s="77"/>
      <c r="FU181" s="77"/>
      <c r="FV181" s="77"/>
      <c r="FW181" s="77"/>
      <c r="FX181" s="77"/>
      <c r="FY181" s="77"/>
      <c r="FZ181" s="77"/>
      <c r="GA181" s="77"/>
      <c r="GB181" s="77"/>
      <c r="GC181" s="77"/>
      <c r="GD181" s="77"/>
      <c r="GE181" s="77"/>
      <c r="GF181" s="77"/>
      <c r="GG181" s="77"/>
      <c r="GH181" s="77"/>
      <c r="GI181" s="77"/>
      <c r="GJ181" s="77"/>
      <c r="GK181" s="77"/>
      <c r="GL181" s="77"/>
      <c r="GM181" s="77"/>
      <c r="GN181" s="77"/>
      <c r="GO181" s="77"/>
      <c r="GP181" s="77"/>
      <c r="GQ181" s="77"/>
      <c r="GR181" s="77"/>
      <c r="GS181" s="77"/>
      <c r="GT181" s="77"/>
      <c r="GU181" s="77"/>
      <c r="GV181" s="77"/>
      <c r="GW181" s="77"/>
      <c r="GX181" s="77"/>
      <c r="GY181" s="77"/>
      <c r="GZ181" s="77"/>
      <c r="HA181" s="77"/>
      <c r="HB181" s="77"/>
      <c r="HC181" s="77"/>
      <c r="HD181" s="77"/>
      <c r="HE181" s="77"/>
      <c r="HF181" s="77"/>
      <c r="HG181" s="77"/>
      <c r="HH181" s="77"/>
      <c r="HI181" s="77"/>
      <c r="HJ181" s="77"/>
      <c r="HK181" s="77"/>
      <c r="HL181" s="77"/>
      <c r="HM181" s="77"/>
      <c r="HN181" s="77"/>
      <c r="HO181" s="77"/>
      <c r="HP181" s="77"/>
      <c r="HQ181" s="77"/>
    </row>
    <row r="182" spans="1:225" hidden="1" x14ac:dyDescent="0.3">
      <c r="A182" s="78">
        <f>'Entrada datos'!C179</f>
        <v>0</v>
      </c>
      <c r="B182" s="74">
        <f>'Entrada datos'!D179</f>
        <v>0</v>
      </c>
      <c r="C182" s="75">
        <f>'Entrada datos'!G179</f>
        <v>0</v>
      </c>
      <c r="D182" s="75">
        <f>'Entrada datos'!H179</f>
        <v>0</v>
      </c>
      <c r="E182" s="74">
        <f t="shared" si="7"/>
        <v>0</v>
      </c>
      <c r="F182" s="68" t="str">
        <f t="shared" si="8"/>
        <v>no procede</v>
      </c>
      <c r="G182" s="74">
        <f>'Entrada datos'!P179</f>
        <v>0</v>
      </c>
      <c r="H182" s="74">
        <f>'Entrada datos'!Q179</f>
        <v>0</v>
      </c>
      <c r="I182" s="74">
        <f>'Entrada datos'!R179</f>
        <v>0</v>
      </c>
      <c r="J182" s="74">
        <f>'Entrada datos'!S179</f>
        <v>0</v>
      </c>
      <c r="K182" s="74">
        <f>'Entrada datos'!T179</f>
        <v>0</v>
      </c>
      <c r="L182" s="74">
        <f>'Entrada datos'!U179</f>
        <v>0</v>
      </c>
      <c r="M182" s="76"/>
      <c r="N182" s="76"/>
      <c r="O182" s="76"/>
      <c r="P182" s="76"/>
      <c r="Q182" s="76"/>
      <c r="R182" s="76"/>
      <c r="S182" s="77" t="s">
        <v>74</v>
      </c>
      <c r="T182" s="77"/>
      <c r="U182" s="77"/>
      <c r="V182" s="77">
        <f t="shared" si="9"/>
        <v>0</v>
      </c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W182" s="77"/>
      <c r="AX182" s="77"/>
      <c r="AY182" s="77"/>
      <c r="AZ182" s="77"/>
      <c r="BA182" s="77"/>
      <c r="BB182" s="77"/>
      <c r="BC182" s="77"/>
      <c r="BD182" s="77"/>
      <c r="BE182" s="77"/>
      <c r="BF182" s="77"/>
      <c r="BG182" s="77"/>
      <c r="BH182" s="77"/>
      <c r="BI182" s="77"/>
      <c r="BJ182" s="77"/>
      <c r="BK182" s="77"/>
      <c r="BL182" s="77"/>
      <c r="BM182" s="77"/>
      <c r="BN182" s="77"/>
      <c r="BO182" s="77"/>
      <c r="BP182" s="77"/>
      <c r="BQ182" s="77"/>
      <c r="BR182" s="77"/>
      <c r="BS182" s="77"/>
      <c r="BT182" s="77"/>
      <c r="BU182" s="77"/>
      <c r="BV182" s="77"/>
      <c r="BW182" s="77"/>
      <c r="BX182" s="77"/>
      <c r="BY182" s="77"/>
      <c r="BZ182" s="77"/>
      <c r="CA182" s="77"/>
      <c r="CB182" s="77"/>
      <c r="CC182" s="77"/>
      <c r="CD182" s="77"/>
      <c r="CE182" s="77"/>
      <c r="CF182" s="77"/>
      <c r="CG182" s="77"/>
      <c r="CH182" s="77"/>
      <c r="CI182" s="77"/>
      <c r="CJ182" s="77"/>
      <c r="CK182" s="77"/>
      <c r="CL182" s="77"/>
      <c r="CM182" s="77"/>
      <c r="CN182" s="77"/>
      <c r="CO182" s="77"/>
      <c r="CP182" s="77"/>
      <c r="CQ182" s="77"/>
      <c r="CR182" s="77"/>
      <c r="CS182" s="77"/>
      <c r="CT182" s="77"/>
      <c r="CU182" s="77"/>
      <c r="CV182" s="77"/>
      <c r="CW182" s="77"/>
      <c r="CX182" s="77"/>
      <c r="CY182" s="77"/>
      <c r="CZ182" s="77"/>
      <c r="DA182" s="77"/>
      <c r="DB182" s="77"/>
      <c r="DC182" s="77"/>
      <c r="DD182" s="77"/>
      <c r="DE182" s="77"/>
      <c r="DF182" s="77"/>
      <c r="DG182" s="77"/>
      <c r="DH182" s="77"/>
      <c r="DI182" s="77"/>
      <c r="DJ182" s="77"/>
      <c r="DK182" s="77"/>
      <c r="DL182" s="77"/>
      <c r="DM182" s="77"/>
      <c r="DN182" s="77"/>
      <c r="DO182" s="77"/>
      <c r="DP182" s="77"/>
      <c r="DQ182" s="77"/>
      <c r="DR182" s="77"/>
      <c r="DS182" s="77"/>
      <c r="DT182" s="77"/>
      <c r="DU182" s="77"/>
      <c r="DV182" s="77"/>
      <c r="DW182" s="77"/>
      <c r="DX182" s="77"/>
      <c r="DY182" s="77"/>
      <c r="DZ182" s="77"/>
      <c r="EA182" s="77"/>
      <c r="EB182" s="77"/>
      <c r="EC182" s="77"/>
      <c r="ED182" s="77"/>
      <c r="EE182" s="77"/>
      <c r="EF182" s="77"/>
      <c r="EG182" s="77"/>
      <c r="EH182" s="77"/>
      <c r="EI182" s="77"/>
      <c r="EJ182" s="77"/>
      <c r="EK182" s="77"/>
      <c r="EL182" s="77"/>
      <c r="EM182" s="77"/>
      <c r="EN182" s="77"/>
      <c r="EO182" s="77"/>
      <c r="EP182" s="77"/>
      <c r="EQ182" s="77"/>
      <c r="ER182" s="77"/>
      <c r="ES182" s="77"/>
      <c r="ET182" s="77"/>
      <c r="EU182" s="77"/>
      <c r="EV182" s="77"/>
      <c r="EW182" s="77"/>
      <c r="EX182" s="77"/>
      <c r="EY182" s="77"/>
      <c r="EZ182" s="77"/>
      <c r="FA182" s="77"/>
      <c r="FB182" s="77"/>
      <c r="FC182" s="77"/>
      <c r="FD182" s="77"/>
      <c r="FE182" s="77"/>
      <c r="FF182" s="77"/>
      <c r="FG182" s="77"/>
      <c r="FH182" s="77"/>
      <c r="FI182" s="77"/>
      <c r="FJ182" s="77"/>
      <c r="FK182" s="77"/>
      <c r="FL182" s="77"/>
      <c r="FM182" s="77"/>
      <c r="FN182" s="77"/>
      <c r="FO182" s="77"/>
      <c r="FP182" s="77"/>
      <c r="FQ182" s="77"/>
      <c r="FR182" s="77"/>
      <c r="FS182" s="77"/>
      <c r="FT182" s="77"/>
      <c r="FU182" s="77"/>
      <c r="FV182" s="77"/>
      <c r="FW182" s="77"/>
      <c r="FX182" s="77"/>
      <c r="FY182" s="77"/>
      <c r="FZ182" s="77"/>
      <c r="GA182" s="77"/>
      <c r="GB182" s="77"/>
      <c r="GC182" s="77"/>
      <c r="GD182" s="77"/>
      <c r="GE182" s="77"/>
      <c r="GF182" s="77"/>
      <c r="GG182" s="77"/>
      <c r="GH182" s="77"/>
      <c r="GI182" s="77"/>
      <c r="GJ182" s="77"/>
      <c r="GK182" s="77"/>
      <c r="GL182" s="77"/>
      <c r="GM182" s="77"/>
      <c r="GN182" s="77"/>
      <c r="GO182" s="77"/>
      <c r="GP182" s="77"/>
      <c r="GQ182" s="77"/>
      <c r="GR182" s="77"/>
      <c r="GS182" s="77"/>
      <c r="GT182" s="77"/>
      <c r="GU182" s="77"/>
      <c r="GV182" s="77"/>
      <c r="GW182" s="77"/>
      <c r="GX182" s="77"/>
      <c r="GY182" s="77"/>
      <c r="GZ182" s="77"/>
      <c r="HA182" s="77"/>
      <c r="HB182" s="77"/>
      <c r="HC182" s="77"/>
      <c r="HD182" s="77"/>
      <c r="HE182" s="77"/>
      <c r="HF182" s="77"/>
      <c r="HG182" s="77"/>
      <c r="HH182" s="77"/>
      <c r="HI182" s="77"/>
      <c r="HJ182" s="77"/>
      <c r="HK182" s="77"/>
      <c r="HL182" s="77"/>
      <c r="HM182" s="77"/>
      <c r="HN182" s="77"/>
      <c r="HO182" s="77"/>
      <c r="HP182" s="77"/>
      <c r="HQ182" s="77"/>
    </row>
    <row r="183" spans="1:225" hidden="1" x14ac:dyDescent="0.3">
      <c r="A183" s="78">
        <f>'Entrada datos'!C180</f>
        <v>0</v>
      </c>
      <c r="B183" s="74">
        <f>'Entrada datos'!D180</f>
        <v>0</v>
      </c>
      <c r="C183" s="75">
        <f>'Entrada datos'!G180</f>
        <v>0</v>
      </c>
      <c r="D183" s="75">
        <f>'Entrada datos'!H180</f>
        <v>0</v>
      </c>
      <c r="E183" s="74">
        <f t="shared" si="7"/>
        <v>0</v>
      </c>
      <c r="F183" s="68" t="str">
        <f t="shared" si="8"/>
        <v>no procede</v>
      </c>
      <c r="G183" s="74">
        <f>'Entrada datos'!P180</f>
        <v>0</v>
      </c>
      <c r="H183" s="74">
        <f>'Entrada datos'!Q180</f>
        <v>0</v>
      </c>
      <c r="I183" s="74">
        <f>'Entrada datos'!R180</f>
        <v>0</v>
      </c>
      <c r="J183" s="74">
        <f>'Entrada datos'!S180</f>
        <v>0</v>
      </c>
      <c r="K183" s="74">
        <f>'Entrada datos'!T180</f>
        <v>0</v>
      </c>
      <c r="L183" s="74">
        <f>'Entrada datos'!U180</f>
        <v>0</v>
      </c>
      <c r="M183" s="76"/>
      <c r="N183" s="76"/>
      <c r="O183" s="76"/>
      <c r="P183" s="76"/>
      <c r="Q183" s="76"/>
      <c r="R183" s="76"/>
      <c r="S183" s="77" t="s">
        <v>74</v>
      </c>
      <c r="T183" s="77"/>
      <c r="U183" s="77"/>
      <c r="V183" s="77">
        <f t="shared" si="9"/>
        <v>0</v>
      </c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  <c r="AI183" s="77"/>
      <c r="AJ183" s="77"/>
      <c r="AK183" s="77"/>
      <c r="AL183" s="77"/>
      <c r="AM183" s="77"/>
      <c r="AN183" s="77"/>
      <c r="AO183" s="77"/>
      <c r="AP183" s="77"/>
      <c r="AQ183" s="77"/>
      <c r="AR183" s="77"/>
      <c r="AS183" s="77"/>
      <c r="AT183" s="77"/>
      <c r="AU183" s="77"/>
      <c r="AV183" s="77"/>
      <c r="AW183" s="77"/>
      <c r="AX183" s="77"/>
      <c r="AY183" s="77"/>
      <c r="AZ183" s="77"/>
      <c r="BA183" s="77"/>
      <c r="BB183" s="77"/>
      <c r="BC183" s="77"/>
      <c r="BD183" s="77"/>
      <c r="BE183" s="77"/>
      <c r="BF183" s="77"/>
      <c r="BG183" s="77"/>
      <c r="BH183" s="77"/>
      <c r="BI183" s="77"/>
      <c r="BJ183" s="77"/>
      <c r="BK183" s="77"/>
      <c r="BL183" s="77"/>
      <c r="BM183" s="77"/>
      <c r="BN183" s="77"/>
      <c r="BO183" s="77"/>
      <c r="BP183" s="77"/>
      <c r="BQ183" s="77"/>
      <c r="BR183" s="77"/>
      <c r="BS183" s="77"/>
      <c r="BT183" s="77"/>
      <c r="BU183" s="77"/>
      <c r="BV183" s="77"/>
      <c r="BW183" s="77"/>
      <c r="BX183" s="77"/>
      <c r="BY183" s="77"/>
      <c r="BZ183" s="77"/>
      <c r="CA183" s="77"/>
      <c r="CB183" s="77"/>
      <c r="CC183" s="77"/>
      <c r="CD183" s="77"/>
      <c r="CE183" s="77"/>
      <c r="CF183" s="77"/>
      <c r="CG183" s="77"/>
      <c r="CH183" s="77"/>
      <c r="CI183" s="77"/>
      <c r="CJ183" s="77"/>
      <c r="CK183" s="77"/>
      <c r="CL183" s="77"/>
      <c r="CM183" s="77"/>
      <c r="CN183" s="77"/>
      <c r="CO183" s="77"/>
      <c r="CP183" s="77"/>
      <c r="CQ183" s="77"/>
      <c r="CR183" s="77"/>
      <c r="CS183" s="77"/>
      <c r="CT183" s="77"/>
      <c r="CU183" s="77"/>
      <c r="CV183" s="77"/>
      <c r="CW183" s="77"/>
      <c r="CX183" s="77"/>
      <c r="CY183" s="77"/>
      <c r="CZ183" s="77"/>
      <c r="DA183" s="77"/>
      <c r="DB183" s="77"/>
      <c r="DC183" s="77"/>
      <c r="DD183" s="77"/>
      <c r="DE183" s="77"/>
      <c r="DF183" s="77"/>
      <c r="DG183" s="77"/>
      <c r="DH183" s="77"/>
      <c r="DI183" s="77"/>
      <c r="DJ183" s="77"/>
      <c r="DK183" s="77"/>
      <c r="DL183" s="77"/>
      <c r="DM183" s="77"/>
      <c r="DN183" s="77"/>
      <c r="DO183" s="77"/>
      <c r="DP183" s="77"/>
      <c r="DQ183" s="77"/>
      <c r="DR183" s="77"/>
      <c r="DS183" s="77"/>
      <c r="DT183" s="77"/>
      <c r="DU183" s="77"/>
      <c r="DV183" s="77"/>
      <c r="DW183" s="77"/>
      <c r="DX183" s="77"/>
      <c r="DY183" s="77"/>
      <c r="DZ183" s="77"/>
      <c r="EA183" s="77"/>
      <c r="EB183" s="77"/>
      <c r="EC183" s="77"/>
      <c r="ED183" s="77"/>
      <c r="EE183" s="77"/>
      <c r="EF183" s="77"/>
      <c r="EG183" s="77"/>
      <c r="EH183" s="77"/>
      <c r="EI183" s="77"/>
      <c r="EJ183" s="77"/>
      <c r="EK183" s="77"/>
      <c r="EL183" s="77"/>
      <c r="EM183" s="77"/>
      <c r="EN183" s="77"/>
      <c r="EO183" s="77"/>
      <c r="EP183" s="77"/>
      <c r="EQ183" s="77"/>
      <c r="ER183" s="77"/>
      <c r="ES183" s="77"/>
      <c r="ET183" s="77"/>
      <c r="EU183" s="77"/>
      <c r="EV183" s="77"/>
      <c r="EW183" s="77"/>
      <c r="EX183" s="77"/>
      <c r="EY183" s="77"/>
      <c r="EZ183" s="77"/>
      <c r="FA183" s="77"/>
      <c r="FB183" s="77"/>
      <c r="FC183" s="77"/>
      <c r="FD183" s="77"/>
      <c r="FE183" s="77"/>
      <c r="FF183" s="77"/>
      <c r="FG183" s="77"/>
      <c r="FH183" s="77"/>
      <c r="FI183" s="77"/>
      <c r="FJ183" s="77"/>
      <c r="FK183" s="77"/>
      <c r="FL183" s="77"/>
      <c r="FM183" s="77"/>
      <c r="FN183" s="77"/>
      <c r="FO183" s="77"/>
      <c r="FP183" s="77"/>
      <c r="FQ183" s="77"/>
      <c r="FR183" s="77"/>
      <c r="FS183" s="77"/>
      <c r="FT183" s="77"/>
      <c r="FU183" s="77"/>
      <c r="FV183" s="77"/>
      <c r="FW183" s="77"/>
      <c r="FX183" s="77"/>
      <c r="FY183" s="77"/>
      <c r="FZ183" s="77"/>
      <c r="GA183" s="77"/>
      <c r="GB183" s="77"/>
      <c r="GC183" s="77"/>
      <c r="GD183" s="77"/>
      <c r="GE183" s="77"/>
      <c r="GF183" s="77"/>
      <c r="GG183" s="77"/>
      <c r="GH183" s="77"/>
      <c r="GI183" s="77"/>
      <c r="GJ183" s="77"/>
      <c r="GK183" s="77"/>
      <c r="GL183" s="77"/>
      <c r="GM183" s="77"/>
      <c r="GN183" s="77"/>
      <c r="GO183" s="77"/>
      <c r="GP183" s="77"/>
      <c r="GQ183" s="77"/>
      <c r="GR183" s="77"/>
      <c r="GS183" s="77"/>
      <c r="GT183" s="77"/>
      <c r="GU183" s="77"/>
      <c r="GV183" s="77"/>
      <c r="GW183" s="77"/>
      <c r="GX183" s="77"/>
      <c r="GY183" s="77"/>
      <c r="GZ183" s="77"/>
      <c r="HA183" s="77"/>
      <c r="HB183" s="77"/>
      <c r="HC183" s="77"/>
      <c r="HD183" s="77"/>
      <c r="HE183" s="77"/>
      <c r="HF183" s="77"/>
      <c r="HG183" s="77"/>
      <c r="HH183" s="77"/>
      <c r="HI183" s="77"/>
      <c r="HJ183" s="77"/>
      <c r="HK183" s="77"/>
      <c r="HL183" s="77"/>
      <c r="HM183" s="77"/>
      <c r="HN183" s="77"/>
      <c r="HO183" s="77"/>
      <c r="HP183" s="77"/>
      <c r="HQ183" s="77"/>
    </row>
    <row r="184" spans="1:225" hidden="1" x14ac:dyDescent="0.3">
      <c r="A184" s="78">
        <f>'Entrada datos'!C181</f>
        <v>0</v>
      </c>
      <c r="B184" s="74">
        <f>'Entrada datos'!D181</f>
        <v>0</v>
      </c>
      <c r="C184" s="75">
        <f>'Entrada datos'!G181</f>
        <v>0</v>
      </c>
      <c r="D184" s="75">
        <f>'Entrada datos'!H181</f>
        <v>0</v>
      </c>
      <c r="E184" s="74">
        <f t="shared" si="7"/>
        <v>0</v>
      </c>
      <c r="F184" s="68" t="str">
        <f t="shared" si="8"/>
        <v>no procede</v>
      </c>
      <c r="G184" s="74">
        <f>'Entrada datos'!P181</f>
        <v>0</v>
      </c>
      <c r="H184" s="74">
        <f>'Entrada datos'!Q181</f>
        <v>0</v>
      </c>
      <c r="I184" s="74">
        <f>'Entrada datos'!R181</f>
        <v>0</v>
      </c>
      <c r="J184" s="74">
        <f>'Entrada datos'!S181</f>
        <v>0</v>
      </c>
      <c r="K184" s="74">
        <f>'Entrada datos'!T181</f>
        <v>0</v>
      </c>
      <c r="L184" s="74">
        <f>'Entrada datos'!U181</f>
        <v>0</v>
      </c>
      <c r="M184" s="76"/>
      <c r="N184" s="76"/>
      <c r="O184" s="76"/>
      <c r="P184" s="76"/>
      <c r="Q184" s="76"/>
      <c r="R184" s="76"/>
      <c r="S184" s="77" t="s">
        <v>74</v>
      </c>
      <c r="T184" s="77"/>
      <c r="U184" s="77"/>
      <c r="V184" s="77">
        <f t="shared" si="9"/>
        <v>0</v>
      </c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  <c r="AI184" s="77"/>
      <c r="AJ184" s="77"/>
      <c r="AK184" s="77"/>
      <c r="AL184" s="77"/>
      <c r="AM184" s="77"/>
      <c r="AN184" s="77"/>
      <c r="AO184" s="77"/>
      <c r="AP184" s="77"/>
      <c r="AQ184" s="77"/>
      <c r="AR184" s="77"/>
      <c r="AS184" s="77"/>
      <c r="AT184" s="77"/>
      <c r="AU184" s="77"/>
      <c r="AV184" s="77"/>
      <c r="AW184" s="77"/>
      <c r="AX184" s="77"/>
      <c r="AY184" s="77"/>
      <c r="AZ184" s="77"/>
      <c r="BA184" s="77"/>
      <c r="BB184" s="77"/>
      <c r="BC184" s="77"/>
      <c r="BD184" s="77"/>
      <c r="BE184" s="77"/>
      <c r="BF184" s="77"/>
      <c r="BG184" s="77"/>
      <c r="BH184" s="77"/>
      <c r="BI184" s="77"/>
      <c r="BJ184" s="77"/>
      <c r="BK184" s="77"/>
      <c r="BL184" s="77"/>
      <c r="BM184" s="77"/>
      <c r="BN184" s="77"/>
      <c r="BO184" s="77"/>
      <c r="BP184" s="77"/>
      <c r="BQ184" s="77"/>
      <c r="BR184" s="77"/>
      <c r="BS184" s="77"/>
      <c r="BT184" s="77"/>
      <c r="BU184" s="77"/>
      <c r="BV184" s="77"/>
      <c r="BW184" s="77"/>
      <c r="BX184" s="77"/>
      <c r="BY184" s="77"/>
      <c r="BZ184" s="77"/>
      <c r="CA184" s="77"/>
      <c r="CB184" s="77"/>
      <c r="CC184" s="77"/>
      <c r="CD184" s="77"/>
      <c r="CE184" s="77"/>
      <c r="CF184" s="77"/>
      <c r="CG184" s="77"/>
      <c r="CH184" s="77"/>
      <c r="CI184" s="77"/>
      <c r="CJ184" s="77"/>
      <c r="CK184" s="77"/>
      <c r="CL184" s="77"/>
      <c r="CM184" s="77"/>
      <c r="CN184" s="77"/>
      <c r="CO184" s="77"/>
      <c r="CP184" s="77"/>
      <c r="CQ184" s="77"/>
      <c r="CR184" s="77"/>
      <c r="CS184" s="77"/>
      <c r="CT184" s="77"/>
      <c r="CU184" s="77"/>
      <c r="CV184" s="77"/>
      <c r="CW184" s="77"/>
      <c r="CX184" s="77"/>
      <c r="CY184" s="77"/>
      <c r="CZ184" s="77"/>
      <c r="DA184" s="77"/>
      <c r="DB184" s="77"/>
      <c r="DC184" s="77"/>
      <c r="DD184" s="77"/>
      <c r="DE184" s="77"/>
      <c r="DF184" s="77"/>
      <c r="DG184" s="77"/>
      <c r="DH184" s="77"/>
      <c r="DI184" s="77"/>
      <c r="DJ184" s="77"/>
      <c r="DK184" s="77"/>
      <c r="DL184" s="77"/>
      <c r="DM184" s="77"/>
      <c r="DN184" s="77"/>
      <c r="DO184" s="77"/>
      <c r="DP184" s="77"/>
      <c r="DQ184" s="77"/>
      <c r="DR184" s="77"/>
      <c r="DS184" s="77"/>
      <c r="DT184" s="77"/>
      <c r="DU184" s="77"/>
      <c r="DV184" s="77"/>
      <c r="DW184" s="77"/>
      <c r="DX184" s="77"/>
      <c r="DY184" s="77"/>
      <c r="DZ184" s="77"/>
      <c r="EA184" s="77"/>
      <c r="EB184" s="77"/>
      <c r="EC184" s="77"/>
      <c r="ED184" s="77"/>
      <c r="EE184" s="77"/>
      <c r="EF184" s="77"/>
      <c r="EG184" s="77"/>
      <c r="EH184" s="77"/>
      <c r="EI184" s="77"/>
      <c r="EJ184" s="77"/>
      <c r="EK184" s="77"/>
      <c r="EL184" s="77"/>
      <c r="EM184" s="77"/>
      <c r="EN184" s="77"/>
      <c r="EO184" s="77"/>
      <c r="EP184" s="77"/>
      <c r="EQ184" s="77"/>
      <c r="ER184" s="77"/>
      <c r="ES184" s="77"/>
      <c r="ET184" s="77"/>
      <c r="EU184" s="77"/>
      <c r="EV184" s="77"/>
      <c r="EW184" s="77"/>
      <c r="EX184" s="77"/>
      <c r="EY184" s="77"/>
      <c r="EZ184" s="77"/>
      <c r="FA184" s="77"/>
      <c r="FB184" s="77"/>
      <c r="FC184" s="77"/>
      <c r="FD184" s="77"/>
      <c r="FE184" s="77"/>
      <c r="FF184" s="77"/>
      <c r="FG184" s="77"/>
      <c r="FH184" s="77"/>
      <c r="FI184" s="77"/>
      <c r="FJ184" s="77"/>
      <c r="FK184" s="77"/>
      <c r="FL184" s="77"/>
      <c r="FM184" s="77"/>
      <c r="FN184" s="77"/>
      <c r="FO184" s="77"/>
      <c r="FP184" s="77"/>
      <c r="FQ184" s="77"/>
      <c r="FR184" s="77"/>
      <c r="FS184" s="77"/>
      <c r="FT184" s="77"/>
      <c r="FU184" s="77"/>
      <c r="FV184" s="77"/>
      <c r="FW184" s="77"/>
      <c r="FX184" s="77"/>
      <c r="FY184" s="77"/>
      <c r="FZ184" s="77"/>
      <c r="GA184" s="77"/>
      <c r="GB184" s="77"/>
      <c r="GC184" s="77"/>
      <c r="GD184" s="77"/>
      <c r="GE184" s="77"/>
      <c r="GF184" s="77"/>
      <c r="GG184" s="77"/>
      <c r="GH184" s="77"/>
      <c r="GI184" s="77"/>
      <c r="GJ184" s="77"/>
      <c r="GK184" s="77"/>
      <c r="GL184" s="77"/>
      <c r="GM184" s="77"/>
      <c r="GN184" s="77"/>
      <c r="GO184" s="77"/>
      <c r="GP184" s="77"/>
      <c r="GQ184" s="77"/>
      <c r="GR184" s="77"/>
      <c r="GS184" s="77"/>
      <c r="GT184" s="77"/>
      <c r="GU184" s="77"/>
      <c r="GV184" s="77"/>
      <c r="GW184" s="77"/>
      <c r="GX184" s="77"/>
      <c r="GY184" s="77"/>
      <c r="GZ184" s="77"/>
      <c r="HA184" s="77"/>
      <c r="HB184" s="77"/>
      <c r="HC184" s="77"/>
      <c r="HD184" s="77"/>
      <c r="HE184" s="77"/>
      <c r="HF184" s="77"/>
      <c r="HG184" s="77"/>
      <c r="HH184" s="77"/>
      <c r="HI184" s="77"/>
      <c r="HJ184" s="77"/>
      <c r="HK184" s="77"/>
      <c r="HL184" s="77"/>
      <c r="HM184" s="77"/>
      <c r="HN184" s="77"/>
      <c r="HO184" s="77"/>
      <c r="HP184" s="77"/>
      <c r="HQ184" s="77"/>
    </row>
    <row r="185" spans="1:225" hidden="1" x14ac:dyDescent="0.3">
      <c r="A185" s="78">
        <f>'Entrada datos'!C182</f>
        <v>0</v>
      </c>
      <c r="B185" s="74">
        <f>'Entrada datos'!D182</f>
        <v>0</v>
      </c>
      <c r="C185" s="75">
        <f>'Entrada datos'!G182</f>
        <v>0</v>
      </c>
      <c r="D185" s="75">
        <f>'Entrada datos'!H182</f>
        <v>0</v>
      </c>
      <c r="E185" s="74">
        <f t="shared" si="7"/>
        <v>0</v>
      </c>
      <c r="F185" s="68" t="str">
        <f t="shared" si="8"/>
        <v>no procede</v>
      </c>
      <c r="G185" s="74">
        <f>'Entrada datos'!P182</f>
        <v>0</v>
      </c>
      <c r="H185" s="74">
        <f>'Entrada datos'!Q182</f>
        <v>0</v>
      </c>
      <c r="I185" s="74">
        <f>'Entrada datos'!R182</f>
        <v>0</v>
      </c>
      <c r="J185" s="74">
        <f>'Entrada datos'!S182</f>
        <v>0</v>
      </c>
      <c r="K185" s="74">
        <f>'Entrada datos'!T182</f>
        <v>0</v>
      </c>
      <c r="L185" s="74">
        <f>'Entrada datos'!U182</f>
        <v>0</v>
      </c>
      <c r="M185" s="76"/>
      <c r="N185" s="76"/>
      <c r="O185" s="76"/>
      <c r="P185" s="76"/>
      <c r="Q185" s="76"/>
      <c r="R185" s="76"/>
      <c r="S185" s="77" t="s">
        <v>74</v>
      </c>
      <c r="T185" s="77"/>
      <c r="U185" s="77"/>
      <c r="V185" s="77">
        <f t="shared" si="9"/>
        <v>0</v>
      </c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  <c r="AI185" s="77"/>
      <c r="AJ185" s="77"/>
      <c r="AK185" s="77"/>
      <c r="AL185" s="77"/>
      <c r="AM185" s="77"/>
      <c r="AN185" s="77"/>
      <c r="AO185" s="77"/>
      <c r="AP185" s="77"/>
      <c r="AQ185" s="77"/>
      <c r="AR185" s="77"/>
      <c r="AS185" s="77"/>
      <c r="AT185" s="77"/>
      <c r="AU185" s="77"/>
      <c r="AV185" s="77"/>
      <c r="AW185" s="77"/>
      <c r="AX185" s="77"/>
      <c r="AY185" s="77"/>
      <c r="AZ185" s="77"/>
      <c r="BA185" s="77"/>
      <c r="BB185" s="77"/>
      <c r="BC185" s="77"/>
      <c r="BD185" s="77"/>
      <c r="BE185" s="77"/>
      <c r="BF185" s="77"/>
      <c r="BG185" s="77"/>
      <c r="BH185" s="77"/>
      <c r="BI185" s="77"/>
      <c r="BJ185" s="77"/>
      <c r="BK185" s="77"/>
      <c r="BL185" s="77"/>
      <c r="BM185" s="77"/>
      <c r="BN185" s="77"/>
      <c r="BO185" s="77"/>
      <c r="BP185" s="77"/>
      <c r="BQ185" s="77"/>
      <c r="BR185" s="77"/>
      <c r="BS185" s="77"/>
      <c r="BT185" s="77"/>
      <c r="BU185" s="77"/>
      <c r="BV185" s="77"/>
      <c r="BW185" s="77"/>
      <c r="BX185" s="77"/>
      <c r="BY185" s="77"/>
      <c r="BZ185" s="77"/>
      <c r="CA185" s="77"/>
      <c r="CB185" s="77"/>
      <c r="CC185" s="77"/>
      <c r="CD185" s="77"/>
      <c r="CE185" s="77"/>
      <c r="CF185" s="77"/>
      <c r="CG185" s="77"/>
      <c r="CH185" s="77"/>
      <c r="CI185" s="77"/>
      <c r="CJ185" s="77"/>
      <c r="CK185" s="77"/>
      <c r="CL185" s="77"/>
      <c r="CM185" s="77"/>
      <c r="CN185" s="77"/>
      <c r="CO185" s="77"/>
      <c r="CP185" s="77"/>
      <c r="CQ185" s="77"/>
      <c r="CR185" s="77"/>
      <c r="CS185" s="77"/>
      <c r="CT185" s="77"/>
      <c r="CU185" s="77"/>
      <c r="CV185" s="77"/>
      <c r="CW185" s="77"/>
      <c r="CX185" s="77"/>
      <c r="CY185" s="77"/>
      <c r="CZ185" s="77"/>
      <c r="DA185" s="77"/>
      <c r="DB185" s="77"/>
      <c r="DC185" s="77"/>
      <c r="DD185" s="77"/>
      <c r="DE185" s="77"/>
      <c r="DF185" s="77"/>
      <c r="DG185" s="77"/>
      <c r="DH185" s="77"/>
      <c r="DI185" s="77"/>
      <c r="DJ185" s="77"/>
      <c r="DK185" s="77"/>
      <c r="DL185" s="77"/>
      <c r="DM185" s="77"/>
      <c r="DN185" s="77"/>
      <c r="DO185" s="77"/>
      <c r="DP185" s="77"/>
      <c r="DQ185" s="77"/>
      <c r="DR185" s="77"/>
      <c r="DS185" s="77"/>
      <c r="DT185" s="77"/>
      <c r="DU185" s="77"/>
      <c r="DV185" s="77"/>
      <c r="DW185" s="77"/>
      <c r="DX185" s="77"/>
      <c r="DY185" s="77"/>
      <c r="DZ185" s="77"/>
      <c r="EA185" s="77"/>
      <c r="EB185" s="77"/>
      <c r="EC185" s="77"/>
      <c r="ED185" s="77"/>
      <c r="EE185" s="77"/>
      <c r="EF185" s="77"/>
      <c r="EG185" s="77"/>
      <c r="EH185" s="77"/>
      <c r="EI185" s="77"/>
      <c r="EJ185" s="77"/>
      <c r="EK185" s="77"/>
      <c r="EL185" s="77"/>
      <c r="EM185" s="77"/>
      <c r="EN185" s="77"/>
      <c r="EO185" s="77"/>
      <c r="EP185" s="77"/>
      <c r="EQ185" s="77"/>
      <c r="ER185" s="77"/>
      <c r="ES185" s="77"/>
      <c r="ET185" s="77"/>
      <c r="EU185" s="77"/>
      <c r="EV185" s="77"/>
      <c r="EW185" s="77"/>
      <c r="EX185" s="77"/>
      <c r="EY185" s="77"/>
      <c r="EZ185" s="77"/>
      <c r="FA185" s="77"/>
      <c r="FB185" s="77"/>
      <c r="FC185" s="77"/>
      <c r="FD185" s="77"/>
      <c r="FE185" s="77"/>
      <c r="FF185" s="77"/>
      <c r="FG185" s="77"/>
      <c r="FH185" s="77"/>
      <c r="FI185" s="77"/>
      <c r="FJ185" s="77"/>
      <c r="FK185" s="77"/>
      <c r="FL185" s="77"/>
      <c r="FM185" s="77"/>
      <c r="FN185" s="77"/>
      <c r="FO185" s="77"/>
      <c r="FP185" s="77"/>
      <c r="FQ185" s="77"/>
      <c r="FR185" s="77"/>
      <c r="FS185" s="77"/>
      <c r="FT185" s="77"/>
      <c r="FU185" s="77"/>
      <c r="FV185" s="77"/>
      <c r="FW185" s="77"/>
      <c r="FX185" s="77"/>
      <c r="FY185" s="77"/>
      <c r="FZ185" s="77"/>
      <c r="GA185" s="77"/>
      <c r="GB185" s="77"/>
      <c r="GC185" s="77"/>
      <c r="GD185" s="77"/>
      <c r="GE185" s="77"/>
      <c r="GF185" s="77"/>
      <c r="GG185" s="77"/>
      <c r="GH185" s="77"/>
      <c r="GI185" s="77"/>
      <c r="GJ185" s="77"/>
      <c r="GK185" s="77"/>
      <c r="GL185" s="77"/>
      <c r="GM185" s="77"/>
      <c r="GN185" s="77"/>
      <c r="GO185" s="77"/>
      <c r="GP185" s="77"/>
      <c r="GQ185" s="77"/>
      <c r="GR185" s="77"/>
      <c r="GS185" s="77"/>
      <c r="GT185" s="77"/>
      <c r="GU185" s="77"/>
      <c r="GV185" s="77"/>
      <c r="GW185" s="77"/>
      <c r="GX185" s="77"/>
      <c r="GY185" s="77"/>
      <c r="GZ185" s="77"/>
      <c r="HA185" s="77"/>
      <c r="HB185" s="77"/>
      <c r="HC185" s="77"/>
      <c r="HD185" s="77"/>
      <c r="HE185" s="77"/>
      <c r="HF185" s="77"/>
      <c r="HG185" s="77"/>
      <c r="HH185" s="77"/>
      <c r="HI185" s="77"/>
      <c r="HJ185" s="77"/>
      <c r="HK185" s="77"/>
      <c r="HL185" s="77"/>
      <c r="HM185" s="77"/>
      <c r="HN185" s="77"/>
      <c r="HO185" s="77"/>
      <c r="HP185" s="77"/>
      <c r="HQ185" s="77"/>
    </row>
    <row r="186" spans="1:225" hidden="1" x14ac:dyDescent="0.3">
      <c r="A186" s="78">
        <f>'Entrada datos'!C183</f>
        <v>0</v>
      </c>
      <c r="B186" s="74">
        <f>'Entrada datos'!D183</f>
        <v>0</v>
      </c>
      <c r="C186" s="75">
        <f>'Entrada datos'!G183</f>
        <v>0</v>
      </c>
      <c r="D186" s="75">
        <f>'Entrada datos'!H183</f>
        <v>0</v>
      </c>
      <c r="E186" s="74">
        <f t="shared" si="7"/>
        <v>0</v>
      </c>
      <c r="F186" s="68" t="str">
        <f t="shared" si="8"/>
        <v>no procede</v>
      </c>
      <c r="G186" s="74">
        <f>'Entrada datos'!P183</f>
        <v>0</v>
      </c>
      <c r="H186" s="74">
        <f>'Entrada datos'!Q183</f>
        <v>0</v>
      </c>
      <c r="I186" s="74">
        <f>'Entrada datos'!R183</f>
        <v>0</v>
      </c>
      <c r="J186" s="74">
        <f>'Entrada datos'!S183</f>
        <v>0</v>
      </c>
      <c r="K186" s="74">
        <f>'Entrada datos'!T183</f>
        <v>0</v>
      </c>
      <c r="L186" s="74">
        <f>'Entrada datos'!U183</f>
        <v>0</v>
      </c>
      <c r="M186" s="76"/>
      <c r="N186" s="76"/>
      <c r="O186" s="76"/>
      <c r="P186" s="76"/>
      <c r="Q186" s="76"/>
      <c r="R186" s="76"/>
      <c r="S186" s="77" t="s">
        <v>74</v>
      </c>
      <c r="T186" s="77"/>
      <c r="U186" s="77"/>
      <c r="V186" s="77">
        <f t="shared" si="9"/>
        <v>0</v>
      </c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  <c r="AI186" s="77"/>
      <c r="AJ186" s="77"/>
      <c r="AK186" s="77"/>
      <c r="AL186" s="77"/>
      <c r="AM186" s="77"/>
      <c r="AN186" s="77"/>
      <c r="AO186" s="77"/>
      <c r="AP186" s="77"/>
      <c r="AQ186" s="77"/>
      <c r="AR186" s="77"/>
      <c r="AS186" s="77"/>
      <c r="AT186" s="77"/>
      <c r="AU186" s="77"/>
      <c r="AV186" s="77"/>
      <c r="AW186" s="77"/>
      <c r="AX186" s="77"/>
      <c r="AY186" s="77"/>
      <c r="AZ186" s="77"/>
      <c r="BA186" s="77"/>
      <c r="BB186" s="77"/>
      <c r="BC186" s="77"/>
      <c r="BD186" s="77"/>
      <c r="BE186" s="77"/>
      <c r="BF186" s="77"/>
      <c r="BG186" s="77"/>
      <c r="BH186" s="77"/>
      <c r="BI186" s="77"/>
      <c r="BJ186" s="77"/>
      <c r="BK186" s="77"/>
      <c r="BL186" s="77"/>
      <c r="BM186" s="77"/>
      <c r="BN186" s="77"/>
      <c r="BO186" s="77"/>
      <c r="BP186" s="77"/>
      <c r="BQ186" s="77"/>
      <c r="BR186" s="77"/>
      <c r="BS186" s="77"/>
      <c r="BT186" s="77"/>
      <c r="BU186" s="77"/>
      <c r="BV186" s="77"/>
      <c r="BW186" s="77"/>
      <c r="BX186" s="77"/>
      <c r="BY186" s="77"/>
      <c r="BZ186" s="77"/>
      <c r="CA186" s="77"/>
      <c r="CB186" s="77"/>
      <c r="CC186" s="77"/>
      <c r="CD186" s="77"/>
      <c r="CE186" s="77"/>
      <c r="CF186" s="77"/>
      <c r="CG186" s="77"/>
      <c r="CH186" s="77"/>
      <c r="CI186" s="77"/>
      <c r="CJ186" s="77"/>
      <c r="CK186" s="77"/>
      <c r="CL186" s="77"/>
      <c r="CM186" s="77"/>
      <c r="CN186" s="77"/>
      <c r="CO186" s="77"/>
      <c r="CP186" s="77"/>
      <c r="CQ186" s="77"/>
      <c r="CR186" s="77"/>
      <c r="CS186" s="77"/>
      <c r="CT186" s="77"/>
      <c r="CU186" s="77"/>
      <c r="CV186" s="77"/>
      <c r="CW186" s="77"/>
      <c r="CX186" s="77"/>
      <c r="CY186" s="77"/>
      <c r="CZ186" s="77"/>
      <c r="DA186" s="77"/>
      <c r="DB186" s="77"/>
      <c r="DC186" s="77"/>
      <c r="DD186" s="77"/>
      <c r="DE186" s="77"/>
      <c r="DF186" s="77"/>
      <c r="DG186" s="77"/>
      <c r="DH186" s="77"/>
      <c r="DI186" s="77"/>
      <c r="DJ186" s="77"/>
      <c r="DK186" s="77"/>
      <c r="DL186" s="77"/>
      <c r="DM186" s="77"/>
      <c r="DN186" s="77"/>
      <c r="DO186" s="77"/>
      <c r="DP186" s="77"/>
      <c r="DQ186" s="77"/>
      <c r="DR186" s="77"/>
      <c r="DS186" s="77"/>
      <c r="DT186" s="77"/>
      <c r="DU186" s="77"/>
      <c r="DV186" s="77"/>
      <c r="DW186" s="77"/>
      <c r="DX186" s="77"/>
      <c r="DY186" s="77"/>
      <c r="DZ186" s="77"/>
      <c r="EA186" s="77"/>
      <c r="EB186" s="77"/>
      <c r="EC186" s="77"/>
      <c r="ED186" s="77"/>
      <c r="EE186" s="77"/>
      <c r="EF186" s="77"/>
      <c r="EG186" s="77"/>
      <c r="EH186" s="77"/>
      <c r="EI186" s="77"/>
      <c r="EJ186" s="77"/>
      <c r="EK186" s="77"/>
      <c r="EL186" s="77"/>
      <c r="EM186" s="77"/>
      <c r="EN186" s="77"/>
      <c r="EO186" s="77"/>
      <c r="EP186" s="77"/>
      <c r="EQ186" s="77"/>
      <c r="ER186" s="77"/>
      <c r="ES186" s="77"/>
      <c r="ET186" s="77"/>
      <c r="EU186" s="77"/>
      <c r="EV186" s="77"/>
      <c r="EW186" s="77"/>
      <c r="EX186" s="77"/>
      <c r="EY186" s="77"/>
      <c r="EZ186" s="77"/>
      <c r="FA186" s="77"/>
      <c r="FB186" s="77"/>
      <c r="FC186" s="77"/>
      <c r="FD186" s="77"/>
      <c r="FE186" s="77"/>
      <c r="FF186" s="77"/>
      <c r="FG186" s="77"/>
      <c r="FH186" s="77"/>
      <c r="FI186" s="77"/>
      <c r="FJ186" s="77"/>
      <c r="FK186" s="77"/>
      <c r="FL186" s="77"/>
      <c r="FM186" s="77"/>
      <c r="FN186" s="77"/>
      <c r="FO186" s="77"/>
      <c r="FP186" s="77"/>
      <c r="FQ186" s="77"/>
      <c r="FR186" s="77"/>
      <c r="FS186" s="77"/>
      <c r="FT186" s="77"/>
      <c r="FU186" s="77"/>
      <c r="FV186" s="77"/>
      <c r="FW186" s="77"/>
      <c r="FX186" s="77"/>
      <c r="FY186" s="77"/>
      <c r="FZ186" s="77"/>
      <c r="GA186" s="77"/>
      <c r="GB186" s="77"/>
      <c r="GC186" s="77"/>
      <c r="GD186" s="77"/>
      <c r="GE186" s="77"/>
      <c r="GF186" s="77"/>
      <c r="GG186" s="77"/>
      <c r="GH186" s="77"/>
      <c r="GI186" s="77"/>
      <c r="GJ186" s="77"/>
      <c r="GK186" s="77"/>
      <c r="GL186" s="77"/>
      <c r="GM186" s="77"/>
      <c r="GN186" s="77"/>
      <c r="GO186" s="77"/>
      <c r="GP186" s="77"/>
      <c r="GQ186" s="77"/>
      <c r="GR186" s="77"/>
      <c r="GS186" s="77"/>
      <c r="GT186" s="77"/>
      <c r="GU186" s="77"/>
      <c r="GV186" s="77"/>
      <c r="GW186" s="77"/>
      <c r="GX186" s="77"/>
      <c r="GY186" s="77"/>
      <c r="GZ186" s="77"/>
      <c r="HA186" s="77"/>
      <c r="HB186" s="77"/>
      <c r="HC186" s="77"/>
      <c r="HD186" s="77"/>
      <c r="HE186" s="77"/>
      <c r="HF186" s="77"/>
      <c r="HG186" s="77"/>
      <c r="HH186" s="77"/>
      <c r="HI186" s="77"/>
      <c r="HJ186" s="77"/>
      <c r="HK186" s="77"/>
      <c r="HL186" s="77"/>
      <c r="HM186" s="77"/>
      <c r="HN186" s="77"/>
      <c r="HO186" s="77"/>
      <c r="HP186" s="77"/>
      <c r="HQ186" s="77"/>
    </row>
    <row r="187" spans="1:225" hidden="1" x14ac:dyDescent="0.3">
      <c r="A187" s="78">
        <f>'Entrada datos'!C184</f>
        <v>0</v>
      </c>
      <c r="B187" s="74">
        <f>'Entrada datos'!D184</f>
        <v>0</v>
      </c>
      <c r="C187" s="75">
        <f>'Entrada datos'!G184</f>
        <v>0</v>
      </c>
      <c r="D187" s="75">
        <f>'Entrada datos'!H184</f>
        <v>0</v>
      </c>
      <c r="E187" s="74">
        <f t="shared" si="7"/>
        <v>0</v>
      </c>
      <c r="F187" s="68" t="str">
        <f t="shared" si="8"/>
        <v>no procede</v>
      </c>
      <c r="G187" s="74">
        <f>'Entrada datos'!P184</f>
        <v>0</v>
      </c>
      <c r="H187" s="74">
        <f>'Entrada datos'!Q184</f>
        <v>0</v>
      </c>
      <c r="I187" s="74">
        <f>'Entrada datos'!R184</f>
        <v>0</v>
      </c>
      <c r="J187" s="74">
        <f>'Entrada datos'!S184</f>
        <v>0</v>
      </c>
      <c r="K187" s="74">
        <f>'Entrada datos'!T184</f>
        <v>0</v>
      </c>
      <c r="L187" s="74">
        <f>'Entrada datos'!U184</f>
        <v>0</v>
      </c>
      <c r="M187" s="76"/>
      <c r="N187" s="76"/>
      <c r="O187" s="76"/>
      <c r="P187" s="76"/>
      <c r="Q187" s="76"/>
      <c r="R187" s="76"/>
      <c r="S187" s="77" t="s">
        <v>74</v>
      </c>
      <c r="T187" s="77"/>
      <c r="U187" s="77"/>
      <c r="V187" s="77">
        <f t="shared" si="9"/>
        <v>0</v>
      </c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  <c r="AI187" s="77"/>
      <c r="AJ187" s="77"/>
      <c r="AK187" s="77"/>
      <c r="AL187" s="77"/>
      <c r="AM187" s="77"/>
      <c r="AN187" s="77"/>
      <c r="AO187" s="77"/>
      <c r="AP187" s="77"/>
      <c r="AQ187" s="77"/>
      <c r="AR187" s="77"/>
      <c r="AS187" s="77"/>
      <c r="AT187" s="77"/>
      <c r="AU187" s="77"/>
      <c r="AV187" s="77"/>
      <c r="AW187" s="77"/>
      <c r="AX187" s="77"/>
      <c r="AY187" s="77"/>
      <c r="AZ187" s="77"/>
      <c r="BA187" s="77"/>
      <c r="BB187" s="77"/>
      <c r="BC187" s="77"/>
      <c r="BD187" s="77"/>
      <c r="BE187" s="77"/>
      <c r="BF187" s="77"/>
      <c r="BG187" s="77"/>
      <c r="BH187" s="77"/>
      <c r="BI187" s="77"/>
      <c r="BJ187" s="77"/>
      <c r="BK187" s="77"/>
      <c r="BL187" s="77"/>
      <c r="BM187" s="77"/>
      <c r="BN187" s="77"/>
      <c r="BO187" s="77"/>
      <c r="BP187" s="77"/>
      <c r="BQ187" s="77"/>
      <c r="BR187" s="77"/>
      <c r="BS187" s="77"/>
      <c r="BT187" s="77"/>
      <c r="BU187" s="77"/>
      <c r="BV187" s="77"/>
      <c r="BW187" s="77"/>
      <c r="BX187" s="77"/>
      <c r="BY187" s="77"/>
      <c r="BZ187" s="77"/>
      <c r="CA187" s="77"/>
      <c r="CB187" s="77"/>
      <c r="CC187" s="77"/>
      <c r="CD187" s="77"/>
      <c r="CE187" s="77"/>
      <c r="CF187" s="77"/>
      <c r="CG187" s="77"/>
      <c r="CH187" s="77"/>
      <c r="CI187" s="77"/>
      <c r="CJ187" s="77"/>
      <c r="CK187" s="77"/>
      <c r="CL187" s="77"/>
      <c r="CM187" s="77"/>
      <c r="CN187" s="77"/>
      <c r="CO187" s="77"/>
      <c r="CP187" s="77"/>
      <c r="CQ187" s="77"/>
      <c r="CR187" s="77"/>
      <c r="CS187" s="77"/>
      <c r="CT187" s="77"/>
      <c r="CU187" s="77"/>
      <c r="CV187" s="77"/>
      <c r="CW187" s="77"/>
      <c r="CX187" s="77"/>
      <c r="CY187" s="77"/>
      <c r="CZ187" s="77"/>
      <c r="DA187" s="77"/>
      <c r="DB187" s="77"/>
      <c r="DC187" s="77"/>
      <c r="DD187" s="77"/>
      <c r="DE187" s="77"/>
      <c r="DF187" s="77"/>
      <c r="DG187" s="77"/>
      <c r="DH187" s="77"/>
      <c r="DI187" s="77"/>
      <c r="DJ187" s="77"/>
      <c r="DK187" s="77"/>
      <c r="DL187" s="77"/>
      <c r="DM187" s="77"/>
      <c r="DN187" s="77"/>
      <c r="DO187" s="77"/>
      <c r="DP187" s="77"/>
      <c r="DQ187" s="77"/>
      <c r="DR187" s="77"/>
      <c r="DS187" s="77"/>
      <c r="DT187" s="77"/>
      <c r="DU187" s="77"/>
      <c r="DV187" s="77"/>
      <c r="DW187" s="77"/>
      <c r="DX187" s="77"/>
      <c r="DY187" s="77"/>
      <c r="DZ187" s="77"/>
      <c r="EA187" s="77"/>
      <c r="EB187" s="77"/>
      <c r="EC187" s="77"/>
      <c r="ED187" s="77"/>
      <c r="EE187" s="77"/>
      <c r="EF187" s="77"/>
      <c r="EG187" s="77"/>
      <c r="EH187" s="77"/>
      <c r="EI187" s="77"/>
      <c r="EJ187" s="77"/>
      <c r="EK187" s="77"/>
      <c r="EL187" s="77"/>
      <c r="EM187" s="77"/>
      <c r="EN187" s="77"/>
      <c r="EO187" s="77"/>
      <c r="EP187" s="77"/>
      <c r="EQ187" s="77"/>
      <c r="ER187" s="77"/>
      <c r="ES187" s="77"/>
      <c r="ET187" s="77"/>
      <c r="EU187" s="77"/>
      <c r="EV187" s="77"/>
      <c r="EW187" s="77"/>
      <c r="EX187" s="77"/>
      <c r="EY187" s="77"/>
      <c r="EZ187" s="77"/>
      <c r="FA187" s="77"/>
      <c r="FB187" s="77"/>
      <c r="FC187" s="77"/>
      <c r="FD187" s="77"/>
      <c r="FE187" s="77"/>
      <c r="FF187" s="77"/>
      <c r="FG187" s="77"/>
      <c r="FH187" s="77"/>
      <c r="FI187" s="77"/>
      <c r="FJ187" s="77"/>
      <c r="FK187" s="77"/>
      <c r="FL187" s="77"/>
      <c r="FM187" s="77"/>
      <c r="FN187" s="77"/>
      <c r="FO187" s="77"/>
      <c r="FP187" s="77"/>
      <c r="FQ187" s="77"/>
      <c r="FR187" s="77"/>
      <c r="FS187" s="77"/>
      <c r="FT187" s="77"/>
      <c r="FU187" s="77"/>
      <c r="FV187" s="77"/>
      <c r="FW187" s="77"/>
      <c r="FX187" s="77"/>
      <c r="FY187" s="77"/>
      <c r="FZ187" s="77"/>
      <c r="GA187" s="77"/>
      <c r="GB187" s="77"/>
      <c r="GC187" s="77"/>
      <c r="GD187" s="77"/>
      <c r="GE187" s="77"/>
      <c r="GF187" s="77"/>
      <c r="GG187" s="77"/>
      <c r="GH187" s="77"/>
      <c r="GI187" s="77"/>
      <c r="GJ187" s="77"/>
      <c r="GK187" s="77"/>
      <c r="GL187" s="77"/>
      <c r="GM187" s="77"/>
      <c r="GN187" s="77"/>
      <c r="GO187" s="77"/>
      <c r="GP187" s="77"/>
      <c r="GQ187" s="77"/>
      <c r="GR187" s="77"/>
      <c r="GS187" s="77"/>
      <c r="GT187" s="77"/>
      <c r="GU187" s="77"/>
      <c r="GV187" s="77"/>
      <c r="GW187" s="77"/>
      <c r="GX187" s="77"/>
      <c r="GY187" s="77"/>
      <c r="GZ187" s="77"/>
      <c r="HA187" s="77"/>
      <c r="HB187" s="77"/>
      <c r="HC187" s="77"/>
      <c r="HD187" s="77"/>
      <c r="HE187" s="77"/>
      <c r="HF187" s="77"/>
      <c r="HG187" s="77"/>
      <c r="HH187" s="77"/>
      <c r="HI187" s="77"/>
      <c r="HJ187" s="77"/>
      <c r="HK187" s="77"/>
      <c r="HL187" s="77"/>
      <c r="HM187" s="77"/>
      <c r="HN187" s="77"/>
      <c r="HO187" s="77"/>
      <c r="HP187" s="77"/>
      <c r="HQ187" s="77"/>
    </row>
    <row r="188" spans="1:225" hidden="1" x14ac:dyDescent="0.3">
      <c r="A188" s="78">
        <f>'Entrada datos'!C185</f>
        <v>0</v>
      </c>
      <c r="B188" s="74">
        <f>'Entrada datos'!D185</f>
        <v>0</v>
      </c>
      <c r="C188" s="75">
        <f>'Entrada datos'!G185</f>
        <v>0</v>
      </c>
      <c r="D188" s="75">
        <f>'Entrada datos'!H185</f>
        <v>0</v>
      </c>
      <c r="E188" s="74">
        <f t="shared" si="7"/>
        <v>0</v>
      </c>
      <c r="F188" s="68" t="str">
        <f t="shared" si="8"/>
        <v>no procede</v>
      </c>
      <c r="G188" s="74">
        <f>'Entrada datos'!P185</f>
        <v>0</v>
      </c>
      <c r="H188" s="74">
        <f>'Entrada datos'!Q185</f>
        <v>0</v>
      </c>
      <c r="I188" s="74">
        <f>'Entrada datos'!R185</f>
        <v>0</v>
      </c>
      <c r="J188" s="74">
        <f>'Entrada datos'!S185</f>
        <v>0</v>
      </c>
      <c r="K188" s="74">
        <f>'Entrada datos'!T185</f>
        <v>0</v>
      </c>
      <c r="L188" s="74">
        <f>'Entrada datos'!U185</f>
        <v>0</v>
      </c>
      <c r="M188" s="76"/>
      <c r="N188" s="76"/>
      <c r="O188" s="76"/>
      <c r="P188" s="76"/>
      <c r="Q188" s="76"/>
      <c r="R188" s="76"/>
      <c r="S188" s="77" t="s">
        <v>74</v>
      </c>
      <c r="T188" s="77"/>
      <c r="U188" s="77"/>
      <c r="V188" s="77">
        <f t="shared" si="9"/>
        <v>0</v>
      </c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77"/>
      <c r="AJ188" s="77"/>
      <c r="AK188" s="77"/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C188" s="77"/>
      <c r="BD188" s="77"/>
      <c r="BE188" s="77"/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W188" s="77"/>
      <c r="BX188" s="77"/>
      <c r="BY188" s="77"/>
      <c r="BZ188" s="77"/>
      <c r="CA188" s="77"/>
      <c r="CB188" s="77"/>
      <c r="CC188" s="77"/>
      <c r="CD188" s="77"/>
      <c r="CE188" s="77"/>
      <c r="CF188" s="77"/>
      <c r="CG188" s="77"/>
      <c r="CH188" s="77"/>
      <c r="CI188" s="77"/>
      <c r="CJ188" s="77"/>
      <c r="CK188" s="77"/>
      <c r="CL188" s="77"/>
      <c r="CM188" s="77"/>
      <c r="CN188" s="77"/>
      <c r="CO188" s="77"/>
      <c r="CP188" s="77"/>
      <c r="CQ188" s="77"/>
      <c r="CR188" s="77"/>
      <c r="CS188" s="77"/>
      <c r="CT188" s="77"/>
      <c r="CU188" s="77"/>
      <c r="CV188" s="77"/>
      <c r="CW188" s="77"/>
      <c r="CX188" s="77"/>
      <c r="CY188" s="77"/>
      <c r="CZ188" s="77"/>
      <c r="DA188" s="77"/>
      <c r="DB188" s="77"/>
      <c r="DC188" s="77"/>
      <c r="DD188" s="77"/>
      <c r="DE188" s="77"/>
      <c r="DF188" s="77"/>
      <c r="DG188" s="77"/>
      <c r="DH188" s="77"/>
      <c r="DI188" s="77"/>
      <c r="DJ188" s="77"/>
      <c r="DK188" s="77"/>
      <c r="DL188" s="77"/>
      <c r="DM188" s="77"/>
      <c r="DN188" s="77"/>
      <c r="DO188" s="77"/>
      <c r="DP188" s="77"/>
      <c r="DQ188" s="77"/>
      <c r="DR188" s="77"/>
      <c r="DS188" s="77"/>
      <c r="DT188" s="77"/>
      <c r="DU188" s="77"/>
      <c r="DV188" s="77"/>
      <c r="DW188" s="77"/>
      <c r="DX188" s="77"/>
      <c r="DY188" s="77"/>
      <c r="DZ188" s="77"/>
      <c r="EA188" s="77"/>
      <c r="EB188" s="77"/>
      <c r="EC188" s="77"/>
      <c r="ED188" s="77"/>
      <c r="EE188" s="77"/>
      <c r="EF188" s="77"/>
      <c r="EG188" s="77"/>
      <c r="EH188" s="77"/>
      <c r="EI188" s="77"/>
      <c r="EJ188" s="77"/>
      <c r="EK188" s="77"/>
      <c r="EL188" s="77"/>
      <c r="EM188" s="77"/>
      <c r="EN188" s="77"/>
      <c r="EO188" s="77"/>
      <c r="EP188" s="77"/>
      <c r="EQ188" s="77"/>
      <c r="ER188" s="77"/>
      <c r="ES188" s="77"/>
      <c r="ET188" s="77"/>
      <c r="EU188" s="77"/>
      <c r="EV188" s="77"/>
      <c r="EW188" s="77"/>
      <c r="EX188" s="77"/>
      <c r="EY188" s="77"/>
      <c r="EZ188" s="77"/>
      <c r="FA188" s="77"/>
      <c r="FB188" s="77"/>
      <c r="FC188" s="77"/>
      <c r="FD188" s="77"/>
      <c r="FE188" s="77"/>
      <c r="FF188" s="77"/>
      <c r="FG188" s="77"/>
      <c r="FH188" s="77"/>
      <c r="FI188" s="77"/>
      <c r="FJ188" s="77"/>
      <c r="FK188" s="77"/>
      <c r="FL188" s="77"/>
      <c r="FM188" s="77"/>
      <c r="FN188" s="77"/>
      <c r="FO188" s="77"/>
      <c r="FP188" s="77"/>
      <c r="FQ188" s="77"/>
      <c r="FR188" s="77"/>
      <c r="FS188" s="77"/>
      <c r="FT188" s="77"/>
      <c r="FU188" s="77"/>
      <c r="FV188" s="77"/>
      <c r="FW188" s="77"/>
      <c r="FX188" s="77"/>
      <c r="FY188" s="77"/>
      <c r="FZ188" s="77"/>
      <c r="GA188" s="77"/>
      <c r="GB188" s="77"/>
      <c r="GC188" s="77"/>
      <c r="GD188" s="77"/>
      <c r="GE188" s="77"/>
      <c r="GF188" s="77"/>
      <c r="GG188" s="77"/>
      <c r="GH188" s="77"/>
      <c r="GI188" s="77"/>
      <c r="GJ188" s="77"/>
      <c r="GK188" s="77"/>
      <c r="GL188" s="77"/>
      <c r="GM188" s="77"/>
      <c r="GN188" s="77"/>
      <c r="GO188" s="77"/>
      <c r="GP188" s="77"/>
      <c r="GQ188" s="77"/>
      <c r="GR188" s="77"/>
      <c r="GS188" s="77"/>
      <c r="GT188" s="77"/>
      <c r="GU188" s="77"/>
      <c r="GV188" s="77"/>
      <c r="GW188" s="77"/>
      <c r="GX188" s="77"/>
      <c r="GY188" s="77"/>
      <c r="GZ188" s="77"/>
      <c r="HA188" s="77"/>
      <c r="HB188" s="77"/>
      <c r="HC188" s="77"/>
      <c r="HD188" s="77"/>
      <c r="HE188" s="77"/>
      <c r="HF188" s="77"/>
      <c r="HG188" s="77"/>
      <c r="HH188" s="77"/>
      <c r="HI188" s="77"/>
      <c r="HJ188" s="77"/>
      <c r="HK188" s="77"/>
      <c r="HL188" s="77"/>
      <c r="HM188" s="77"/>
      <c r="HN188" s="77"/>
      <c r="HO188" s="77"/>
      <c r="HP188" s="77"/>
      <c r="HQ188" s="77"/>
    </row>
    <row r="189" spans="1:225" hidden="1" x14ac:dyDescent="0.3">
      <c r="A189" s="78">
        <f>'Entrada datos'!C186</f>
        <v>0</v>
      </c>
      <c r="B189" s="74">
        <f>'Entrada datos'!D186</f>
        <v>0</v>
      </c>
      <c r="C189" s="75">
        <f>'Entrada datos'!G186</f>
        <v>0</v>
      </c>
      <c r="D189" s="75">
        <f>'Entrada datos'!H186</f>
        <v>0</v>
      </c>
      <c r="E189" s="74">
        <f t="shared" si="7"/>
        <v>0</v>
      </c>
      <c r="F189" s="68" t="str">
        <f t="shared" si="8"/>
        <v>no procede</v>
      </c>
      <c r="G189" s="74">
        <f>'Entrada datos'!P186</f>
        <v>0</v>
      </c>
      <c r="H189" s="74">
        <f>'Entrada datos'!Q186</f>
        <v>0</v>
      </c>
      <c r="I189" s="74">
        <f>'Entrada datos'!R186</f>
        <v>0</v>
      </c>
      <c r="J189" s="74">
        <f>'Entrada datos'!S186</f>
        <v>0</v>
      </c>
      <c r="K189" s="74">
        <f>'Entrada datos'!T186</f>
        <v>0</v>
      </c>
      <c r="L189" s="74">
        <f>'Entrada datos'!U186</f>
        <v>0</v>
      </c>
      <c r="M189" s="76"/>
      <c r="N189" s="76"/>
      <c r="O189" s="76"/>
      <c r="P189" s="76"/>
      <c r="Q189" s="76"/>
      <c r="R189" s="76"/>
      <c r="S189" s="77" t="s">
        <v>74</v>
      </c>
      <c r="T189" s="77"/>
      <c r="U189" s="77"/>
      <c r="V189" s="77">
        <f t="shared" si="9"/>
        <v>0</v>
      </c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  <c r="AI189" s="77"/>
      <c r="AJ189" s="77"/>
      <c r="AK189" s="77"/>
      <c r="AL189" s="77"/>
      <c r="AM189" s="77"/>
      <c r="AN189" s="77"/>
      <c r="AO189" s="77"/>
      <c r="AP189" s="77"/>
      <c r="AQ189" s="77"/>
      <c r="AR189" s="77"/>
      <c r="AS189" s="77"/>
      <c r="AT189" s="77"/>
      <c r="AU189" s="77"/>
      <c r="AV189" s="77"/>
      <c r="AW189" s="77"/>
      <c r="AX189" s="77"/>
      <c r="AY189" s="77"/>
      <c r="AZ189" s="77"/>
      <c r="BA189" s="77"/>
      <c r="BB189" s="77"/>
      <c r="BC189" s="77"/>
      <c r="BD189" s="77"/>
      <c r="BE189" s="77"/>
      <c r="BF189" s="77"/>
      <c r="BG189" s="77"/>
      <c r="BH189" s="77"/>
      <c r="BI189" s="77"/>
      <c r="BJ189" s="77"/>
      <c r="BK189" s="77"/>
      <c r="BL189" s="77"/>
      <c r="BM189" s="77"/>
      <c r="BN189" s="77"/>
      <c r="BO189" s="77"/>
      <c r="BP189" s="77"/>
      <c r="BQ189" s="77"/>
      <c r="BR189" s="77"/>
      <c r="BS189" s="77"/>
      <c r="BT189" s="77"/>
      <c r="BU189" s="77"/>
      <c r="BV189" s="77"/>
      <c r="BW189" s="77"/>
      <c r="BX189" s="77"/>
      <c r="BY189" s="77"/>
      <c r="BZ189" s="77"/>
      <c r="CA189" s="77"/>
      <c r="CB189" s="77"/>
      <c r="CC189" s="77"/>
      <c r="CD189" s="77"/>
      <c r="CE189" s="77"/>
      <c r="CF189" s="77"/>
      <c r="CG189" s="77"/>
      <c r="CH189" s="77"/>
      <c r="CI189" s="77"/>
      <c r="CJ189" s="77"/>
      <c r="CK189" s="77"/>
      <c r="CL189" s="77"/>
      <c r="CM189" s="77"/>
      <c r="CN189" s="77"/>
      <c r="CO189" s="77"/>
      <c r="CP189" s="77"/>
      <c r="CQ189" s="77"/>
      <c r="CR189" s="77"/>
      <c r="CS189" s="77"/>
      <c r="CT189" s="77"/>
      <c r="CU189" s="77"/>
      <c r="CV189" s="77"/>
      <c r="CW189" s="77"/>
      <c r="CX189" s="77"/>
      <c r="CY189" s="77"/>
      <c r="CZ189" s="77"/>
      <c r="DA189" s="77"/>
      <c r="DB189" s="77"/>
      <c r="DC189" s="77"/>
      <c r="DD189" s="77"/>
      <c r="DE189" s="77"/>
      <c r="DF189" s="77"/>
      <c r="DG189" s="77"/>
      <c r="DH189" s="77"/>
      <c r="DI189" s="77"/>
      <c r="DJ189" s="77"/>
      <c r="DK189" s="77"/>
      <c r="DL189" s="77"/>
      <c r="DM189" s="77"/>
      <c r="DN189" s="77"/>
      <c r="DO189" s="77"/>
      <c r="DP189" s="77"/>
      <c r="DQ189" s="77"/>
      <c r="DR189" s="77"/>
      <c r="DS189" s="77"/>
      <c r="DT189" s="77"/>
      <c r="DU189" s="77"/>
      <c r="DV189" s="77"/>
      <c r="DW189" s="77"/>
      <c r="DX189" s="77"/>
      <c r="DY189" s="77"/>
      <c r="DZ189" s="77"/>
      <c r="EA189" s="77"/>
      <c r="EB189" s="77"/>
      <c r="EC189" s="77"/>
      <c r="ED189" s="77"/>
      <c r="EE189" s="77"/>
      <c r="EF189" s="77"/>
      <c r="EG189" s="77"/>
      <c r="EH189" s="77"/>
      <c r="EI189" s="77"/>
      <c r="EJ189" s="77"/>
      <c r="EK189" s="77"/>
      <c r="EL189" s="77"/>
      <c r="EM189" s="77"/>
      <c r="EN189" s="77"/>
      <c r="EO189" s="77"/>
      <c r="EP189" s="77"/>
      <c r="EQ189" s="77"/>
      <c r="ER189" s="77"/>
      <c r="ES189" s="77"/>
      <c r="ET189" s="77"/>
      <c r="EU189" s="77"/>
      <c r="EV189" s="77"/>
      <c r="EW189" s="77"/>
      <c r="EX189" s="77"/>
      <c r="EY189" s="77"/>
      <c r="EZ189" s="77"/>
      <c r="FA189" s="77"/>
      <c r="FB189" s="77"/>
      <c r="FC189" s="77"/>
      <c r="FD189" s="77"/>
      <c r="FE189" s="77"/>
      <c r="FF189" s="77"/>
      <c r="FG189" s="77"/>
      <c r="FH189" s="77"/>
      <c r="FI189" s="77"/>
      <c r="FJ189" s="77"/>
      <c r="FK189" s="77"/>
      <c r="FL189" s="77"/>
      <c r="FM189" s="77"/>
      <c r="FN189" s="77"/>
      <c r="FO189" s="77"/>
      <c r="FP189" s="77"/>
      <c r="FQ189" s="77"/>
      <c r="FR189" s="77"/>
      <c r="FS189" s="77"/>
      <c r="FT189" s="77"/>
      <c r="FU189" s="77"/>
      <c r="FV189" s="77"/>
      <c r="FW189" s="77"/>
      <c r="FX189" s="77"/>
      <c r="FY189" s="77"/>
      <c r="FZ189" s="77"/>
      <c r="GA189" s="77"/>
      <c r="GB189" s="77"/>
      <c r="GC189" s="77"/>
      <c r="GD189" s="77"/>
      <c r="GE189" s="77"/>
      <c r="GF189" s="77"/>
      <c r="GG189" s="77"/>
      <c r="GH189" s="77"/>
      <c r="GI189" s="77"/>
      <c r="GJ189" s="77"/>
      <c r="GK189" s="77"/>
      <c r="GL189" s="77"/>
      <c r="GM189" s="77"/>
      <c r="GN189" s="77"/>
      <c r="GO189" s="77"/>
      <c r="GP189" s="77"/>
      <c r="GQ189" s="77"/>
      <c r="GR189" s="77"/>
      <c r="GS189" s="77"/>
      <c r="GT189" s="77"/>
      <c r="GU189" s="77"/>
      <c r="GV189" s="77"/>
      <c r="GW189" s="77"/>
      <c r="GX189" s="77"/>
      <c r="GY189" s="77"/>
      <c r="GZ189" s="77"/>
      <c r="HA189" s="77"/>
      <c r="HB189" s="77"/>
      <c r="HC189" s="77"/>
      <c r="HD189" s="77"/>
      <c r="HE189" s="77"/>
      <c r="HF189" s="77"/>
      <c r="HG189" s="77"/>
      <c r="HH189" s="77"/>
      <c r="HI189" s="77"/>
      <c r="HJ189" s="77"/>
      <c r="HK189" s="77"/>
      <c r="HL189" s="77"/>
      <c r="HM189" s="77"/>
      <c r="HN189" s="77"/>
      <c r="HO189" s="77"/>
      <c r="HP189" s="77"/>
      <c r="HQ189" s="77"/>
    </row>
    <row r="190" spans="1:225" hidden="1" x14ac:dyDescent="0.3">
      <c r="A190" s="78">
        <f>'Entrada datos'!C187</f>
        <v>0</v>
      </c>
      <c r="B190" s="74">
        <f>'Entrada datos'!D187</f>
        <v>0</v>
      </c>
      <c r="C190" s="75">
        <f>'Entrada datos'!G187</f>
        <v>0</v>
      </c>
      <c r="D190" s="75">
        <f>'Entrada datos'!H187</f>
        <v>0</v>
      </c>
      <c r="E190" s="74">
        <f t="shared" si="7"/>
        <v>0</v>
      </c>
      <c r="F190" s="68" t="str">
        <f t="shared" si="8"/>
        <v>no procede</v>
      </c>
      <c r="G190" s="74">
        <f>'Entrada datos'!P187</f>
        <v>0</v>
      </c>
      <c r="H190" s="74">
        <f>'Entrada datos'!Q187</f>
        <v>0</v>
      </c>
      <c r="I190" s="74">
        <f>'Entrada datos'!R187</f>
        <v>0</v>
      </c>
      <c r="J190" s="74">
        <f>'Entrada datos'!S187</f>
        <v>0</v>
      </c>
      <c r="K190" s="74">
        <f>'Entrada datos'!T187</f>
        <v>0</v>
      </c>
      <c r="L190" s="74">
        <f>'Entrada datos'!U187</f>
        <v>0</v>
      </c>
      <c r="M190" s="76"/>
      <c r="N190" s="76"/>
      <c r="O190" s="76"/>
      <c r="P190" s="76"/>
      <c r="Q190" s="76"/>
      <c r="R190" s="76"/>
      <c r="S190" s="77" t="s">
        <v>74</v>
      </c>
      <c r="T190" s="77"/>
      <c r="U190" s="77"/>
      <c r="V190" s="77">
        <f t="shared" si="9"/>
        <v>0</v>
      </c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  <c r="AI190" s="77"/>
      <c r="AJ190" s="77"/>
      <c r="AK190" s="77"/>
      <c r="AL190" s="77"/>
      <c r="AM190" s="77"/>
      <c r="AN190" s="77"/>
      <c r="AO190" s="77"/>
      <c r="AP190" s="77"/>
      <c r="AQ190" s="77"/>
      <c r="AR190" s="77"/>
      <c r="AS190" s="77"/>
      <c r="AT190" s="77"/>
      <c r="AU190" s="77"/>
      <c r="AV190" s="77"/>
      <c r="AW190" s="77"/>
      <c r="AX190" s="77"/>
      <c r="AY190" s="77"/>
      <c r="AZ190" s="77"/>
      <c r="BA190" s="77"/>
      <c r="BB190" s="77"/>
      <c r="BC190" s="77"/>
      <c r="BD190" s="77"/>
      <c r="BE190" s="77"/>
      <c r="BF190" s="77"/>
      <c r="BG190" s="77"/>
      <c r="BH190" s="77"/>
      <c r="BI190" s="77"/>
      <c r="BJ190" s="77"/>
      <c r="BK190" s="77"/>
      <c r="BL190" s="77"/>
      <c r="BM190" s="77"/>
      <c r="BN190" s="77"/>
      <c r="BO190" s="77"/>
      <c r="BP190" s="77"/>
      <c r="BQ190" s="77"/>
      <c r="BR190" s="77"/>
      <c r="BS190" s="77"/>
      <c r="BT190" s="77"/>
      <c r="BU190" s="77"/>
      <c r="BV190" s="77"/>
      <c r="BW190" s="77"/>
      <c r="BX190" s="77"/>
      <c r="BY190" s="77"/>
      <c r="BZ190" s="77"/>
      <c r="CA190" s="77"/>
      <c r="CB190" s="77"/>
      <c r="CC190" s="77"/>
      <c r="CD190" s="77"/>
      <c r="CE190" s="77"/>
      <c r="CF190" s="77"/>
      <c r="CG190" s="77"/>
      <c r="CH190" s="77"/>
      <c r="CI190" s="77"/>
      <c r="CJ190" s="77"/>
      <c r="CK190" s="77"/>
      <c r="CL190" s="77"/>
      <c r="CM190" s="77"/>
      <c r="CN190" s="77"/>
      <c r="CO190" s="77"/>
      <c r="CP190" s="77"/>
      <c r="CQ190" s="77"/>
      <c r="CR190" s="77"/>
      <c r="CS190" s="77"/>
      <c r="CT190" s="77"/>
      <c r="CU190" s="77"/>
      <c r="CV190" s="77"/>
      <c r="CW190" s="77"/>
      <c r="CX190" s="77"/>
      <c r="CY190" s="77"/>
      <c r="CZ190" s="77"/>
      <c r="DA190" s="77"/>
      <c r="DB190" s="77"/>
      <c r="DC190" s="77"/>
      <c r="DD190" s="77"/>
      <c r="DE190" s="77"/>
      <c r="DF190" s="77"/>
      <c r="DG190" s="77"/>
      <c r="DH190" s="77"/>
      <c r="DI190" s="77"/>
      <c r="DJ190" s="77"/>
      <c r="DK190" s="77"/>
      <c r="DL190" s="77"/>
      <c r="DM190" s="77"/>
      <c r="DN190" s="77"/>
      <c r="DO190" s="77"/>
      <c r="DP190" s="77"/>
      <c r="DQ190" s="77"/>
      <c r="DR190" s="77"/>
      <c r="DS190" s="77"/>
      <c r="DT190" s="77"/>
      <c r="DU190" s="77"/>
      <c r="DV190" s="77"/>
      <c r="DW190" s="77"/>
      <c r="DX190" s="77"/>
      <c r="DY190" s="77"/>
      <c r="DZ190" s="77"/>
      <c r="EA190" s="77"/>
      <c r="EB190" s="77"/>
      <c r="EC190" s="77"/>
      <c r="ED190" s="77"/>
      <c r="EE190" s="77"/>
      <c r="EF190" s="77"/>
      <c r="EG190" s="77"/>
      <c r="EH190" s="77"/>
      <c r="EI190" s="77"/>
      <c r="EJ190" s="77"/>
      <c r="EK190" s="77"/>
      <c r="EL190" s="77"/>
      <c r="EM190" s="77"/>
      <c r="EN190" s="77"/>
      <c r="EO190" s="77"/>
      <c r="EP190" s="77"/>
      <c r="EQ190" s="77"/>
      <c r="ER190" s="77"/>
      <c r="ES190" s="77"/>
      <c r="ET190" s="77"/>
      <c r="EU190" s="77"/>
      <c r="EV190" s="77"/>
      <c r="EW190" s="77"/>
      <c r="EX190" s="77"/>
      <c r="EY190" s="77"/>
      <c r="EZ190" s="77"/>
      <c r="FA190" s="77"/>
      <c r="FB190" s="77"/>
      <c r="FC190" s="77"/>
      <c r="FD190" s="77"/>
      <c r="FE190" s="77"/>
      <c r="FF190" s="77"/>
      <c r="FG190" s="77"/>
      <c r="FH190" s="77"/>
      <c r="FI190" s="77"/>
      <c r="FJ190" s="77"/>
      <c r="FK190" s="77"/>
      <c r="FL190" s="77"/>
      <c r="FM190" s="77"/>
      <c r="FN190" s="77"/>
      <c r="FO190" s="77"/>
      <c r="FP190" s="77"/>
      <c r="FQ190" s="77"/>
      <c r="FR190" s="77"/>
      <c r="FS190" s="77"/>
      <c r="FT190" s="77"/>
      <c r="FU190" s="77"/>
      <c r="FV190" s="77"/>
      <c r="FW190" s="77"/>
      <c r="FX190" s="77"/>
      <c r="FY190" s="77"/>
      <c r="FZ190" s="77"/>
      <c r="GA190" s="77"/>
      <c r="GB190" s="77"/>
      <c r="GC190" s="77"/>
      <c r="GD190" s="77"/>
      <c r="GE190" s="77"/>
      <c r="GF190" s="77"/>
      <c r="GG190" s="77"/>
      <c r="GH190" s="77"/>
      <c r="GI190" s="77"/>
      <c r="GJ190" s="77"/>
      <c r="GK190" s="77"/>
      <c r="GL190" s="77"/>
      <c r="GM190" s="77"/>
      <c r="GN190" s="77"/>
      <c r="GO190" s="77"/>
      <c r="GP190" s="77"/>
      <c r="GQ190" s="77"/>
      <c r="GR190" s="77"/>
      <c r="GS190" s="77"/>
      <c r="GT190" s="77"/>
      <c r="GU190" s="77"/>
      <c r="GV190" s="77"/>
      <c r="GW190" s="77"/>
      <c r="GX190" s="77"/>
      <c r="GY190" s="77"/>
      <c r="GZ190" s="77"/>
      <c r="HA190" s="77"/>
      <c r="HB190" s="77"/>
      <c r="HC190" s="77"/>
      <c r="HD190" s="77"/>
      <c r="HE190" s="77"/>
      <c r="HF190" s="77"/>
      <c r="HG190" s="77"/>
      <c r="HH190" s="77"/>
      <c r="HI190" s="77"/>
      <c r="HJ190" s="77"/>
      <c r="HK190" s="77"/>
      <c r="HL190" s="77"/>
      <c r="HM190" s="77"/>
      <c r="HN190" s="77"/>
      <c r="HO190" s="77"/>
      <c r="HP190" s="77"/>
      <c r="HQ190" s="77"/>
    </row>
    <row r="191" spans="1:225" hidden="1" x14ac:dyDescent="0.3">
      <c r="A191" s="78">
        <f>'Entrada datos'!C188</f>
        <v>0</v>
      </c>
      <c r="B191" s="74">
        <f>'Entrada datos'!D188</f>
        <v>0</v>
      </c>
      <c r="C191" s="75">
        <f>'Entrada datos'!G188</f>
        <v>0</v>
      </c>
      <c r="D191" s="75">
        <f>'Entrada datos'!H188</f>
        <v>0</v>
      </c>
      <c r="E191" s="74">
        <f t="shared" si="7"/>
        <v>0</v>
      </c>
      <c r="F191" s="68" t="str">
        <f t="shared" si="8"/>
        <v>no procede</v>
      </c>
      <c r="G191" s="74">
        <f>'Entrada datos'!P188</f>
        <v>0</v>
      </c>
      <c r="H191" s="74">
        <f>'Entrada datos'!Q188</f>
        <v>0</v>
      </c>
      <c r="I191" s="74">
        <f>'Entrada datos'!R188</f>
        <v>0</v>
      </c>
      <c r="J191" s="74">
        <f>'Entrada datos'!S188</f>
        <v>0</v>
      </c>
      <c r="K191" s="74">
        <f>'Entrada datos'!T188</f>
        <v>0</v>
      </c>
      <c r="L191" s="74">
        <f>'Entrada datos'!U188</f>
        <v>0</v>
      </c>
      <c r="M191" s="76"/>
      <c r="N191" s="76"/>
      <c r="O191" s="76"/>
      <c r="P191" s="76"/>
      <c r="Q191" s="76"/>
      <c r="R191" s="76"/>
      <c r="S191" s="77" t="s">
        <v>74</v>
      </c>
      <c r="T191" s="77"/>
      <c r="U191" s="77"/>
      <c r="V191" s="77">
        <f t="shared" si="9"/>
        <v>0</v>
      </c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  <c r="AO191" s="77"/>
      <c r="AP191" s="77"/>
      <c r="AQ191" s="77"/>
      <c r="AR191" s="77"/>
      <c r="AS191" s="77"/>
      <c r="AT191" s="77"/>
      <c r="AU191" s="77"/>
      <c r="AV191" s="77"/>
      <c r="AW191" s="77"/>
      <c r="AX191" s="77"/>
      <c r="AY191" s="77"/>
      <c r="AZ191" s="77"/>
      <c r="BA191" s="77"/>
      <c r="BB191" s="77"/>
      <c r="BC191" s="77"/>
      <c r="BD191" s="77"/>
      <c r="BE191" s="77"/>
      <c r="BF191" s="77"/>
      <c r="BG191" s="77"/>
      <c r="BH191" s="77"/>
      <c r="BI191" s="77"/>
      <c r="BJ191" s="77"/>
      <c r="BK191" s="77"/>
      <c r="BL191" s="77"/>
      <c r="BM191" s="77"/>
      <c r="BN191" s="77"/>
      <c r="BO191" s="77"/>
      <c r="BP191" s="77"/>
      <c r="BQ191" s="77"/>
      <c r="BR191" s="77"/>
      <c r="BS191" s="77"/>
      <c r="BT191" s="77"/>
      <c r="BU191" s="77"/>
      <c r="BV191" s="77"/>
      <c r="BW191" s="77"/>
      <c r="BX191" s="77"/>
      <c r="BY191" s="77"/>
      <c r="BZ191" s="77"/>
      <c r="CA191" s="77"/>
      <c r="CB191" s="77"/>
      <c r="CC191" s="77"/>
      <c r="CD191" s="77"/>
      <c r="CE191" s="77"/>
      <c r="CF191" s="77"/>
      <c r="CG191" s="77"/>
      <c r="CH191" s="77"/>
      <c r="CI191" s="77"/>
      <c r="CJ191" s="77"/>
      <c r="CK191" s="77"/>
      <c r="CL191" s="77"/>
      <c r="CM191" s="77"/>
      <c r="CN191" s="77"/>
      <c r="CO191" s="77"/>
      <c r="CP191" s="77"/>
      <c r="CQ191" s="77"/>
      <c r="CR191" s="77"/>
      <c r="CS191" s="77"/>
      <c r="CT191" s="77"/>
      <c r="CU191" s="77"/>
      <c r="CV191" s="77"/>
      <c r="CW191" s="77"/>
      <c r="CX191" s="77"/>
      <c r="CY191" s="77"/>
      <c r="CZ191" s="77"/>
      <c r="DA191" s="77"/>
      <c r="DB191" s="77"/>
      <c r="DC191" s="77"/>
      <c r="DD191" s="77"/>
      <c r="DE191" s="77"/>
      <c r="DF191" s="77"/>
      <c r="DG191" s="77"/>
      <c r="DH191" s="77"/>
      <c r="DI191" s="77"/>
      <c r="DJ191" s="77"/>
      <c r="DK191" s="77"/>
      <c r="DL191" s="77"/>
      <c r="DM191" s="77"/>
      <c r="DN191" s="77"/>
      <c r="DO191" s="77"/>
      <c r="DP191" s="77"/>
      <c r="DQ191" s="77"/>
      <c r="DR191" s="77"/>
      <c r="DS191" s="77"/>
      <c r="DT191" s="77"/>
      <c r="DU191" s="77"/>
      <c r="DV191" s="77"/>
      <c r="DW191" s="77"/>
      <c r="DX191" s="77"/>
      <c r="DY191" s="77"/>
      <c r="DZ191" s="77"/>
      <c r="EA191" s="77"/>
      <c r="EB191" s="77"/>
      <c r="EC191" s="77"/>
      <c r="ED191" s="77"/>
      <c r="EE191" s="77"/>
      <c r="EF191" s="77"/>
      <c r="EG191" s="77"/>
      <c r="EH191" s="77"/>
      <c r="EI191" s="77"/>
      <c r="EJ191" s="77"/>
      <c r="EK191" s="77"/>
      <c r="EL191" s="77"/>
      <c r="EM191" s="77"/>
      <c r="EN191" s="77"/>
      <c r="EO191" s="77"/>
      <c r="EP191" s="77"/>
      <c r="EQ191" s="77"/>
      <c r="ER191" s="77"/>
      <c r="ES191" s="77"/>
      <c r="ET191" s="77"/>
      <c r="EU191" s="77"/>
      <c r="EV191" s="77"/>
      <c r="EW191" s="77"/>
      <c r="EX191" s="77"/>
      <c r="EY191" s="77"/>
      <c r="EZ191" s="77"/>
      <c r="FA191" s="77"/>
      <c r="FB191" s="77"/>
      <c r="FC191" s="77"/>
      <c r="FD191" s="77"/>
      <c r="FE191" s="77"/>
      <c r="FF191" s="77"/>
      <c r="FG191" s="77"/>
      <c r="FH191" s="77"/>
      <c r="FI191" s="77"/>
      <c r="FJ191" s="77"/>
      <c r="FK191" s="77"/>
      <c r="FL191" s="77"/>
      <c r="FM191" s="77"/>
      <c r="FN191" s="77"/>
      <c r="FO191" s="77"/>
      <c r="FP191" s="77"/>
      <c r="FQ191" s="77"/>
      <c r="FR191" s="77"/>
      <c r="FS191" s="77"/>
      <c r="FT191" s="77"/>
      <c r="FU191" s="77"/>
      <c r="FV191" s="77"/>
      <c r="FW191" s="77"/>
      <c r="FX191" s="77"/>
      <c r="FY191" s="77"/>
      <c r="FZ191" s="77"/>
      <c r="GA191" s="77"/>
      <c r="GB191" s="77"/>
      <c r="GC191" s="77"/>
      <c r="GD191" s="77"/>
      <c r="GE191" s="77"/>
      <c r="GF191" s="77"/>
      <c r="GG191" s="77"/>
      <c r="GH191" s="77"/>
      <c r="GI191" s="77"/>
      <c r="GJ191" s="77"/>
      <c r="GK191" s="77"/>
      <c r="GL191" s="77"/>
      <c r="GM191" s="77"/>
      <c r="GN191" s="77"/>
      <c r="GO191" s="77"/>
      <c r="GP191" s="77"/>
      <c r="GQ191" s="77"/>
      <c r="GR191" s="77"/>
      <c r="GS191" s="77"/>
      <c r="GT191" s="77"/>
      <c r="GU191" s="77"/>
      <c r="GV191" s="77"/>
      <c r="GW191" s="77"/>
      <c r="GX191" s="77"/>
      <c r="GY191" s="77"/>
      <c r="GZ191" s="77"/>
      <c r="HA191" s="77"/>
      <c r="HB191" s="77"/>
      <c r="HC191" s="77"/>
      <c r="HD191" s="77"/>
      <c r="HE191" s="77"/>
      <c r="HF191" s="77"/>
      <c r="HG191" s="77"/>
      <c r="HH191" s="77"/>
      <c r="HI191" s="77"/>
      <c r="HJ191" s="77"/>
      <c r="HK191" s="77"/>
      <c r="HL191" s="77"/>
      <c r="HM191" s="77"/>
      <c r="HN191" s="77"/>
      <c r="HO191" s="77"/>
      <c r="HP191" s="77"/>
      <c r="HQ191" s="77"/>
    </row>
    <row r="192" spans="1:225" hidden="1" x14ac:dyDescent="0.3">
      <c r="A192" s="78">
        <f>'Entrada datos'!C189</f>
        <v>0</v>
      </c>
      <c r="B192" s="74">
        <f>'Entrada datos'!D189</f>
        <v>0</v>
      </c>
      <c r="C192" s="75">
        <f>'Entrada datos'!G189</f>
        <v>0</v>
      </c>
      <c r="D192" s="75">
        <f>'Entrada datos'!H189</f>
        <v>0</v>
      </c>
      <c r="E192" s="74">
        <f t="shared" si="7"/>
        <v>0</v>
      </c>
      <c r="F192" s="68" t="str">
        <f t="shared" si="8"/>
        <v>no procede</v>
      </c>
      <c r="G192" s="74">
        <f>'Entrada datos'!P189</f>
        <v>0</v>
      </c>
      <c r="H192" s="74">
        <f>'Entrada datos'!Q189</f>
        <v>0</v>
      </c>
      <c r="I192" s="74">
        <f>'Entrada datos'!R189</f>
        <v>0</v>
      </c>
      <c r="J192" s="74">
        <f>'Entrada datos'!S189</f>
        <v>0</v>
      </c>
      <c r="K192" s="74">
        <f>'Entrada datos'!T189</f>
        <v>0</v>
      </c>
      <c r="L192" s="74">
        <f>'Entrada datos'!U189</f>
        <v>0</v>
      </c>
      <c r="M192" s="76"/>
      <c r="N192" s="76"/>
      <c r="O192" s="76"/>
      <c r="P192" s="76"/>
      <c r="Q192" s="76"/>
      <c r="R192" s="76"/>
      <c r="S192" s="77" t="s">
        <v>74</v>
      </c>
      <c r="T192" s="77"/>
      <c r="U192" s="77"/>
      <c r="V192" s="77">
        <f t="shared" si="9"/>
        <v>0</v>
      </c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  <c r="AO192" s="77"/>
      <c r="AP192" s="77"/>
      <c r="AQ192" s="77"/>
      <c r="AR192" s="77"/>
      <c r="AS192" s="77"/>
      <c r="AT192" s="77"/>
      <c r="AU192" s="77"/>
      <c r="AV192" s="77"/>
      <c r="AW192" s="77"/>
      <c r="AX192" s="77"/>
      <c r="AY192" s="77"/>
      <c r="AZ192" s="77"/>
      <c r="BA192" s="77"/>
      <c r="BB192" s="77"/>
      <c r="BC192" s="77"/>
      <c r="BD192" s="77"/>
      <c r="BE192" s="77"/>
      <c r="BF192" s="77"/>
      <c r="BG192" s="77"/>
      <c r="BH192" s="77"/>
      <c r="BI192" s="77"/>
      <c r="BJ192" s="77"/>
      <c r="BK192" s="77"/>
      <c r="BL192" s="77"/>
      <c r="BM192" s="77"/>
      <c r="BN192" s="77"/>
      <c r="BO192" s="77"/>
      <c r="BP192" s="77"/>
      <c r="BQ192" s="77"/>
      <c r="BR192" s="77"/>
      <c r="BS192" s="77"/>
      <c r="BT192" s="77"/>
      <c r="BU192" s="77"/>
      <c r="BV192" s="77"/>
      <c r="BW192" s="77"/>
      <c r="BX192" s="77"/>
      <c r="BY192" s="77"/>
      <c r="BZ192" s="77"/>
      <c r="CA192" s="77"/>
      <c r="CB192" s="77"/>
      <c r="CC192" s="77"/>
      <c r="CD192" s="77"/>
      <c r="CE192" s="77"/>
      <c r="CF192" s="77"/>
      <c r="CG192" s="77"/>
      <c r="CH192" s="77"/>
      <c r="CI192" s="77"/>
      <c r="CJ192" s="77"/>
      <c r="CK192" s="77"/>
      <c r="CL192" s="77"/>
      <c r="CM192" s="77"/>
      <c r="CN192" s="77"/>
      <c r="CO192" s="77"/>
      <c r="CP192" s="77"/>
      <c r="CQ192" s="77"/>
      <c r="CR192" s="77"/>
      <c r="CS192" s="77"/>
      <c r="CT192" s="77"/>
      <c r="CU192" s="77"/>
      <c r="CV192" s="77"/>
      <c r="CW192" s="77"/>
      <c r="CX192" s="77"/>
      <c r="CY192" s="77"/>
      <c r="CZ192" s="77"/>
      <c r="DA192" s="77"/>
      <c r="DB192" s="77"/>
      <c r="DC192" s="77"/>
      <c r="DD192" s="77"/>
      <c r="DE192" s="77"/>
      <c r="DF192" s="77"/>
      <c r="DG192" s="77"/>
      <c r="DH192" s="77"/>
      <c r="DI192" s="77"/>
      <c r="DJ192" s="77"/>
      <c r="DK192" s="77"/>
      <c r="DL192" s="77"/>
      <c r="DM192" s="77"/>
      <c r="DN192" s="77"/>
      <c r="DO192" s="77"/>
      <c r="DP192" s="77"/>
      <c r="DQ192" s="77"/>
      <c r="DR192" s="77"/>
      <c r="DS192" s="77"/>
      <c r="DT192" s="77"/>
      <c r="DU192" s="77"/>
      <c r="DV192" s="77"/>
      <c r="DW192" s="77"/>
      <c r="DX192" s="77"/>
      <c r="DY192" s="77"/>
      <c r="DZ192" s="77"/>
      <c r="EA192" s="77"/>
      <c r="EB192" s="77"/>
      <c r="EC192" s="77"/>
      <c r="ED192" s="77"/>
      <c r="EE192" s="77"/>
      <c r="EF192" s="77"/>
      <c r="EG192" s="77"/>
      <c r="EH192" s="77"/>
      <c r="EI192" s="77"/>
      <c r="EJ192" s="77"/>
      <c r="EK192" s="77"/>
      <c r="EL192" s="77"/>
      <c r="EM192" s="77"/>
      <c r="EN192" s="77"/>
      <c r="EO192" s="77"/>
      <c r="EP192" s="77"/>
      <c r="EQ192" s="77"/>
      <c r="ER192" s="77"/>
      <c r="ES192" s="77"/>
      <c r="ET192" s="77"/>
      <c r="EU192" s="77"/>
      <c r="EV192" s="77"/>
      <c r="EW192" s="77"/>
      <c r="EX192" s="77"/>
      <c r="EY192" s="77"/>
      <c r="EZ192" s="77"/>
      <c r="FA192" s="77"/>
      <c r="FB192" s="77"/>
      <c r="FC192" s="77"/>
      <c r="FD192" s="77"/>
      <c r="FE192" s="77"/>
      <c r="FF192" s="77"/>
      <c r="FG192" s="77"/>
      <c r="FH192" s="77"/>
      <c r="FI192" s="77"/>
      <c r="FJ192" s="77"/>
      <c r="FK192" s="77"/>
      <c r="FL192" s="77"/>
      <c r="FM192" s="77"/>
      <c r="FN192" s="77"/>
      <c r="FO192" s="77"/>
      <c r="FP192" s="77"/>
      <c r="FQ192" s="77"/>
      <c r="FR192" s="77"/>
      <c r="FS192" s="77"/>
      <c r="FT192" s="77"/>
      <c r="FU192" s="77"/>
      <c r="FV192" s="77"/>
      <c r="FW192" s="77"/>
      <c r="FX192" s="77"/>
      <c r="FY192" s="77"/>
      <c r="FZ192" s="77"/>
      <c r="GA192" s="77"/>
      <c r="GB192" s="77"/>
      <c r="GC192" s="77"/>
      <c r="GD192" s="77"/>
      <c r="GE192" s="77"/>
      <c r="GF192" s="77"/>
      <c r="GG192" s="77"/>
      <c r="GH192" s="77"/>
      <c r="GI192" s="77"/>
      <c r="GJ192" s="77"/>
      <c r="GK192" s="77"/>
      <c r="GL192" s="77"/>
      <c r="GM192" s="77"/>
      <c r="GN192" s="77"/>
      <c r="GO192" s="77"/>
      <c r="GP192" s="77"/>
      <c r="GQ192" s="77"/>
      <c r="GR192" s="77"/>
      <c r="GS192" s="77"/>
      <c r="GT192" s="77"/>
      <c r="GU192" s="77"/>
      <c r="GV192" s="77"/>
      <c r="GW192" s="77"/>
      <c r="GX192" s="77"/>
      <c r="GY192" s="77"/>
      <c r="GZ192" s="77"/>
      <c r="HA192" s="77"/>
      <c r="HB192" s="77"/>
      <c r="HC192" s="77"/>
      <c r="HD192" s="77"/>
      <c r="HE192" s="77"/>
      <c r="HF192" s="77"/>
      <c r="HG192" s="77"/>
      <c r="HH192" s="77"/>
      <c r="HI192" s="77"/>
      <c r="HJ192" s="77"/>
      <c r="HK192" s="77"/>
      <c r="HL192" s="77"/>
      <c r="HM192" s="77"/>
      <c r="HN192" s="77"/>
      <c r="HO192" s="77"/>
      <c r="HP192" s="77"/>
      <c r="HQ192" s="77"/>
    </row>
    <row r="193" spans="1:225" hidden="1" x14ac:dyDescent="0.3">
      <c r="A193" s="78">
        <f>'Entrada datos'!C190</f>
        <v>0</v>
      </c>
      <c r="B193" s="74">
        <f>'Entrada datos'!D190</f>
        <v>0</v>
      </c>
      <c r="C193" s="75">
        <f>'Entrada datos'!G190</f>
        <v>0</v>
      </c>
      <c r="D193" s="75">
        <f>'Entrada datos'!H190</f>
        <v>0</v>
      </c>
      <c r="E193" s="74">
        <f t="shared" si="7"/>
        <v>0</v>
      </c>
      <c r="F193" s="68" t="str">
        <f t="shared" si="8"/>
        <v>no procede</v>
      </c>
      <c r="G193" s="74">
        <f>'Entrada datos'!P190</f>
        <v>0</v>
      </c>
      <c r="H193" s="74">
        <f>'Entrada datos'!Q190</f>
        <v>0</v>
      </c>
      <c r="I193" s="74">
        <f>'Entrada datos'!R190</f>
        <v>0</v>
      </c>
      <c r="J193" s="74">
        <f>'Entrada datos'!S190</f>
        <v>0</v>
      </c>
      <c r="K193" s="74">
        <f>'Entrada datos'!T190</f>
        <v>0</v>
      </c>
      <c r="L193" s="74">
        <f>'Entrada datos'!U190</f>
        <v>0</v>
      </c>
      <c r="M193" s="76"/>
      <c r="N193" s="76"/>
      <c r="O193" s="76"/>
      <c r="P193" s="76"/>
      <c r="Q193" s="76"/>
      <c r="R193" s="76"/>
      <c r="S193" s="77" t="s">
        <v>74</v>
      </c>
      <c r="T193" s="77"/>
      <c r="U193" s="77"/>
      <c r="V193" s="77">
        <f t="shared" si="9"/>
        <v>0</v>
      </c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  <c r="AO193" s="77"/>
      <c r="AP193" s="77"/>
      <c r="AQ193" s="77"/>
      <c r="AR193" s="77"/>
      <c r="AS193" s="77"/>
      <c r="AT193" s="77"/>
      <c r="AU193" s="77"/>
      <c r="AV193" s="77"/>
      <c r="AW193" s="77"/>
      <c r="AX193" s="77"/>
      <c r="AY193" s="77"/>
      <c r="AZ193" s="77"/>
      <c r="BA193" s="77"/>
      <c r="BB193" s="77"/>
      <c r="BC193" s="77"/>
      <c r="BD193" s="77"/>
      <c r="BE193" s="77"/>
      <c r="BF193" s="77"/>
      <c r="BG193" s="77"/>
      <c r="BH193" s="77"/>
      <c r="BI193" s="77"/>
      <c r="BJ193" s="77"/>
      <c r="BK193" s="77"/>
      <c r="BL193" s="77"/>
      <c r="BM193" s="77"/>
      <c r="BN193" s="77"/>
      <c r="BO193" s="77"/>
      <c r="BP193" s="77"/>
      <c r="BQ193" s="77"/>
      <c r="BR193" s="77"/>
      <c r="BS193" s="77"/>
      <c r="BT193" s="77"/>
      <c r="BU193" s="77"/>
      <c r="BV193" s="77"/>
      <c r="BW193" s="77"/>
      <c r="BX193" s="77"/>
      <c r="BY193" s="77"/>
      <c r="BZ193" s="77"/>
      <c r="CA193" s="77"/>
      <c r="CB193" s="77"/>
      <c r="CC193" s="77"/>
      <c r="CD193" s="77"/>
      <c r="CE193" s="77"/>
      <c r="CF193" s="77"/>
      <c r="CG193" s="77"/>
      <c r="CH193" s="77"/>
      <c r="CI193" s="77"/>
      <c r="CJ193" s="77"/>
      <c r="CK193" s="77"/>
      <c r="CL193" s="77"/>
      <c r="CM193" s="77"/>
      <c r="CN193" s="77"/>
      <c r="CO193" s="77"/>
      <c r="CP193" s="77"/>
      <c r="CQ193" s="77"/>
      <c r="CR193" s="77"/>
      <c r="CS193" s="77"/>
      <c r="CT193" s="77"/>
      <c r="CU193" s="77"/>
      <c r="CV193" s="77"/>
      <c r="CW193" s="77"/>
      <c r="CX193" s="77"/>
      <c r="CY193" s="77"/>
      <c r="CZ193" s="77"/>
      <c r="DA193" s="77"/>
      <c r="DB193" s="77"/>
      <c r="DC193" s="77"/>
      <c r="DD193" s="77"/>
      <c r="DE193" s="77"/>
      <c r="DF193" s="77"/>
      <c r="DG193" s="77"/>
      <c r="DH193" s="77"/>
      <c r="DI193" s="77"/>
      <c r="DJ193" s="77"/>
      <c r="DK193" s="77"/>
      <c r="DL193" s="77"/>
      <c r="DM193" s="77"/>
      <c r="DN193" s="77"/>
      <c r="DO193" s="77"/>
      <c r="DP193" s="77"/>
      <c r="DQ193" s="77"/>
      <c r="DR193" s="77"/>
      <c r="DS193" s="77"/>
      <c r="DT193" s="77"/>
      <c r="DU193" s="77"/>
      <c r="DV193" s="77"/>
      <c r="DW193" s="77"/>
      <c r="DX193" s="77"/>
      <c r="DY193" s="77"/>
      <c r="DZ193" s="77"/>
      <c r="EA193" s="77"/>
      <c r="EB193" s="77"/>
      <c r="EC193" s="77"/>
      <c r="ED193" s="77"/>
      <c r="EE193" s="77"/>
      <c r="EF193" s="77"/>
      <c r="EG193" s="77"/>
      <c r="EH193" s="77"/>
      <c r="EI193" s="77"/>
      <c r="EJ193" s="77"/>
      <c r="EK193" s="77"/>
      <c r="EL193" s="77"/>
      <c r="EM193" s="77"/>
      <c r="EN193" s="77"/>
      <c r="EO193" s="77"/>
      <c r="EP193" s="77"/>
      <c r="EQ193" s="77"/>
      <c r="ER193" s="77"/>
      <c r="ES193" s="77"/>
      <c r="ET193" s="77"/>
      <c r="EU193" s="77"/>
      <c r="EV193" s="77"/>
      <c r="EW193" s="77"/>
      <c r="EX193" s="77"/>
      <c r="EY193" s="77"/>
      <c r="EZ193" s="77"/>
      <c r="FA193" s="77"/>
      <c r="FB193" s="77"/>
      <c r="FC193" s="77"/>
      <c r="FD193" s="77"/>
      <c r="FE193" s="77"/>
      <c r="FF193" s="77"/>
      <c r="FG193" s="77"/>
      <c r="FH193" s="77"/>
      <c r="FI193" s="77"/>
      <c r="FJ193" s="77"/>
      <c r="FK193" s="77"/>
      <c r="FL193" s="77"/>
      <c r="FM193" s="77"/>
      <c r="FN193" s="77"/>
      <c r="FO193" s="77"/>
      <c r="FP193" s="77"/>
      <c r="FQ193" s="77"/>
      <c r="FR193" s="77"/>
      <c r="FS193" s="77"/>
      <c r="FT193" s="77"/>
      <c r="FU193" s="77"/>
      <c r="FV193" s="77"/>
      <c r="FW193" s="77"/>
      <c r="FX193" s="77"/>
      <c r="FY193" s="77"/>
      <c r="FZ193" s="77"/>
      <c r="GA193" s="77"/>
      <c r="GB193" s="77"/>
      <c r="GC193" s="77"/>
      <c r="GD193" s="77"/>
      <c r="GE193" s="77"/>
      <c r="GF193" s="77"/>
      <c r="GG193" s="77"/>
      <c r="GH193" s="77"/>
      <c r="GI193" s="77"/>
      <c r="GJ193" s="77"/>
      <c r="GK193" s="77"/>
      <c r="GL193" s="77"/>
      <c r="GM193" s="77"/>
      <c r="GN193" s="77"/>
      <c r="GO193" s="77"/>
      <c r="GP193" s="77"/>
      <c r="GQ193" s="77"/>
      <c r="GR193" s="77"/>
      <c r="GS193" s="77"/>
      <c r="GT193" s="77"/>
      <c r="GU193" s="77"/>
      <c r="GV193" s="77"/>
      <c r="GW193" s="77"/>
      <c r="GX193" s="77"/>
      <c r="GY193" s="77"/>
      <c r="GZ193" s="77"/>
      <c r="HA193" s="77"/>
      <c r="HB193" s="77"/>
      <c r="HC193" s="77"/>
      <c r="HD193" s="77"/>
      <c r="HE193" s="77"/>
      <c r="HF193" s="77"/>
      <c r="HG193" s="77"/>
      <c r="HH193" s="77"/>
      <c r="HI193" s="77"/>
      <c r="HJ193" s="77"/>
      <c r="HK193" s="77"/>
      <c r="HL193" s="77"/>
      <c r="HM193" s="77"/>
      <c r="HN193" s="77"/>
      <c r="HO193" s="77"/>
      <c r="HP193" s="77"/>
      <c r="HQ193" s="77"/>
    </row>
    <row r="194" spans="1:225" hidden="1" x14ac:dyDescent="0.3">
      <c r="A194" s="78">
        <f>'Entrada datos'!C191</f>
        <v>0</v>
      </c>
      <c r="B194" s="74">
        <f>'Entrada datos'!D191</f>
        <v>0</v>
      </c>
      <c r="C194" s="75">
        <f>'Entrada datos'!G191</f>
        <v>0</v>
      </c>
      <c r="D194" s="75">
        <f>'Entrada datos'!H191</f>
        <v>0</v>
      </c>
      <c r="E194" s="74">
        <f t="shared" si="7"/>
        <v>0</v>
      </c>
      <c r="F194" s="68" t="str">
        <f t="shared" si="8"/>
        <v>no procede</v>
      </c>
      <c r="G194" s="74">
        <f>'Entrada datos'!P191</f>
        <v>0</v>
      </c>
      <c r="H194" s="74">
        <f>'Entrada datos'!Q191</f>
        <v>0</v>
      </c>
      <c r="I194" s="74">
        <f>'Entrada datos'!R191</f>
        <v>0</v>
      </c>
      <c r="J194" s="74">
        <f>'Entrada datos'!S191</f>
        <v>0</v>
      </c>
      <c r="K194" s="74">
        <f>'Entrada datos'!T191</f>
        <v>0</v>
      </c>
      <c r="L194" s="74">
        <f>'Entrada datos'!U191</f>
        <v>0</v>
      </c>
      <c r="M194" s="76"/>
      <c r="N194" s="76"/>
      <c r="O194" s="76"/>
      <c r="P194" s="76"/>
      <c r="Q194" s="76"/>
      <c r="R194" s="76"/>
      <c r="S194" s="77" t="s">
        <v>74</v>
      </c>
      <c r="T194" s="77"/>
      <c r="U194" s="77"/>
      <c r="V194" s="77">
        <f t="shared" si="9"/>
        <v>0</v>
      </c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  <c r="AO194" s="77"/>
      <c r="AP194" s="77"/>
      <c r="AQ194" s="77"/>
      <c r="AR194" s="77"/>
      <c r="AS194" s="77"/>
      <c r="AT194" s="77"/>
      <c r="AU194" s="77"/>
      <c r="AV194" s="77"/>
      <c r="AW194" s="77"/>
      <c r="AX194" s="77"/>
      <c r="AY194" s="77"/>
      <c r="AZ194" s="77"/>
      <c r="BA194" s="77"/>
      <c r="BB194" s="77"/>
      <c r="BC194" s="77"/>
      <c r="BD194" s="77"/>
      <c r="BE194" s="77"/>
      <c r="BF194" s="77"/>
      <c r="BG194" s="77"/>
      <c r="BH194" s="77"/>
      <c r="BI194" s="77"/>
      <c r="BJ194" s="77"/>
      <c r="BK194" s="77"/>
      <c r="BL194" s="77"/>
      <c r="BM194" s="77"/>
      <c r="BN194" s="77"/>
      <c r="BO194" s="77"/>
      <c r="BP194" s="77"/>
      <c r="BQ194" s="77"/>
      <c r="BR194" s="77"/>
      <c r="BS194" s="77"/>
      <c r="BT194" s="77"/>
      <c r="BU194" s="77"/>
      <c r="BV194" s="77"/>
      <c r="BW194" s="77"/>
      <c r="BX194" s="77"/>
      <c r="BY194" s="77"/>
      <c r="BZ194" s="77"/>
      <c r="CA194" s="77"/>
      <c r="CB194" s="77"/>
      <c r="CC194" s="77"/>
      <c r="CD194" s="77"/>
      <c r="CE194" s="77"/>
      <c r="CF194" s="77"/>
      <c r="CG194" s="77"/>
      <c r="CH194" s="77"/>
      <c r="CI194" s="77"/>
      <c r="CJ194" s="77"/>
      <c r="CK194" s="77"/>
      <c r="CL194" s="77"/>
      <c r="CM194" s="77"/>
      <c r="CN194" s="77"/>
      <c r="CO194" s="77"/>
      <c r="CP194" s="77"/>
      <c r="CQ194" s="77"/>
      <c r="CR194" s="77"/>
      <c r="CS194" s="77"/>
      <c r="CT194" s="77"/>
      <c r="CU194" s="77"/>
      <c r="CV194" s="77"/>
      <c r="CW194" s="77"/>
      <c r="CX194" s="77"/>
      <c r="CY194" s="77"/>
      <c r="CZ194" s="77"/>
      <c r="DA194" s="77"/>
      <c r="DB194" s="77"/>
      <c r="DC194" s="77"/>
      <c r="DD194" s="77"/>
      <c r="DE194" s="77"/>
      <c r="DF194" s="77"/>
      <c r="DG194" s="77"/>
      <c r="DH194" s="77"/>
      <c r="DI194" s="77"/>
      <c r="DJ194" s="77"/>
      <c r="DK194" s="77"/>
      <c r="DL194" s="77"/>
      <c r="DM194" s="77"/>
      <c r="DN194" s="77"/>
      <c r="DO194" s="77"/>
      <c r="DP194" s="77"/>
      <c r="DQ194" s="77"/>
      <c r="DR194" s="77"/>
      <c r="DS194" s="77"/>
      <c r="DT194" s="77"/>
      <c r="DU194" s="77"/>
      <c r="DV194" s="77"/>
      <c r="DW194" s="77"/>
      <c r="DX194" s="77"/>
      <c r="DY194" s="77"/>
      <c r="DZ194" s="77"/>
      <c r="EA194" s="77"/>
      <c r="EB194" s="77"/>
      <c r="EC194" s="77"/>
      <c r="ED194" s="77"/>
      <c r="EE194" s="77"/>
      <c r="EF194" s="77"/>
      <c r="EG194" s="77"/>
      <c r="EH194" s="77"/>
      <c r="EI194" s="77"/>
      <c r="EJ194" s="77"/>
      <c r="EK194" s="77"/>
      <c r="EL194" s="77"/>
      <c r="EM194" s="77"/>
      <c r="EN194" s="77"/>
      <c r="EO194" s="77"/>
      <c r="EP194" s="77"/>
      <c r="EQ194" s="77"/>
      <c r="ER194" s="77"/>
      <c r="ES194" s="77"/>
      <c r="ET194" s="77"/>
      <c r="EU194" s="77"/>
      <c r="EV194" s="77"/>
      <c r="EW194" s="77"/>
      <c r="EX194" s="77"/>
      <c r="EY194" s="77"/>
      <c r="EZ194" s="77"/>
      <c r="FA194" s="77"/>
      <c r="FB194" s="77"/>
      <c r="FC194" s="77"/>
      <c r="FD194" s="77"/>
      <c r="FE194" s="77"/>
      <c r="FF194" s="77"/>
      <c r="FG194" s="77"/>
      <c r="FH194" s="77"/>
      <c r="FI194" s="77"/>
      <c r="FJ194" s="77"/>
      <c r="FK194" s="77"/>
      <c r="FL194" s="77"/>
      <c r="FM194" s="77"/>
      <c r="FN194" s="77"/>
      <c r="FO194" s="77"/>
      <c r="FP194" s="77"/>
      <c r="FQ194" s="77"/>
      <c r="FR194" s="77"/>
      <c r="FS194" s="77"/>
      <c r="FT194" s="77"/>
      <c r="FU194" s="77"/>
      <c r="FV194" s="77"/>
      <c r="FW194" s="77"/>
      <c r="FX194" s="77"/>
      <c r="FY194" s="77"/>
      <c r="FZ194" s="77"/>
      <c r="GA194" s="77"/>
      <c r="GB194" s="77"/>
      <c r="GC194" s="77"/>
      <c r="GD194" s="77"/>
      <c r="GE194" s="77"/>
      <c r="GF194" s="77"/>
      <c r="GG194" s="77"/>
      <c r="GH194" s="77"/>
      <c r="GI194" s="77"/>
      <c r="GJ194" s="77"/>
      <c r="GK194" s="77"/>
      <c r="GL194" s="77"/>
      <c r="GM194" s="77"/>
      <c r="GN194" s="77"/>
      <c r="GO194" s="77"/>
      <c r="GP194" s="77"/>
      <c r="GQ194" s="77"/>
      <c r="GR194" s="77"/>
      <c r="GS194" s="77"/>
      <c r="GT194" s="77"/>
      <c r="GU194" s="77"/>
      <c r="GV194" s="77"/>
      <c r="GW194" s="77"/>
      <c r="GX194" s="77"/>
      <c r="GY194" s="77"/>
      <c r="GZ194" s="77"/>
      <c r="HA194" s="77"/>
      <c r="HB194" s="77"/>
      <c r="HC194" s="77"/>
      <c r="HD194" s="77"/>
      <c r="HE194" s="77"/>
      <c r="HF194" s="77"/>
      <c r="HG194" s="77"/>
      <c r="HH194" s="77"/>
      <c r="HI194" s="77"/>
      <c r="HJ194" s="77"/>
      <c r="HK194" s="77"/>
      <c r="HL194" s="77"/>
      <c r="HM194" s="77"/>
      <c r="HN194" s="77"/>
      <c r="HO194" s="77"/>
      <c r="HP194" s="77"/>
      <c r="HQ194" s="77"/>
    </row>
    <row r="195" spans="1:225" hidden="1" x14ac:dyDescent="0.3">
      <c r="A195" s="78">
        <f>'Entrada datos'!C192</f>
        <v>0</v>
      </c>
      <c r="B195" s="74">
        <f>'Entrada datos'!D192</f>
        <v>0</v>
      </c>
      <c r="C195" s="75">
        <f>'Entrada datos'!G192</f>
        <v>0</v>
      </c>
      <c r="D195" s="75">
        <f>'Entrada datos'!H192</f>
        <v>0</v>
      </c>
      <c r="E195" s="74">
        <f t="shared" si="7"/>
        <v>0</v>
      </c>
      <c r="F195" s="68" t="str">
        <f t="shared" si="8"/>
        <v>no procede</v>
      </c>
      <c r="G195" s="74">
        <f>'Entrada datos'!P192</f>
        <v>0</v>
      </c>
      <c r="H195" s="74">
        <f>'Entrada datos'!Q192</f>
        <v>0</v>
      </c>
      <c r="I195" s="74">
        <f>'Entrada datos'!R192</f>
        <v>0</v>
      </c>
      <c r="J195" s="74">
        <f>'Entrada datos'!S192</f>
        <v>0</v>
      </c>
      <c r="K195" s="74">
        <f>'Entrada datos'!T192</f>
        <v>0</v>
      </c>
      <c r="L195" s="74">
        <f>'Entrada datos'!U192</f>
        <v>0</v>
      </c>
      <c r="M195" s="76"/>
      <c r="N195" s="76"/>
      <c r="O195" s="76"/>
      <c r="P195" s="76"/>
      <c r="Q195" s="76"/>
      <c r="R195" s="76"/>
      <c r="S195" s="77" t="s">
        <v>74</v>
      </c>
      <c r="T195" s="77"/>
      <c r="U195" s="77"/>
      <c r="V195" s="77">
        <f t="shared" si="9"/>
        <v>0</v>
      </c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  <c r="AO195" s="77"/>
      <c r="AP195" s="77"/>
      <c r="AQ195" s="77"/>
      <c r="AR195" s="77"/>
      <c r="AS195" s="77"/>
      <c r="AT195" s="77"/>
      <c r="AU195" s="77"/>
      <c r="AV195" s="77"/>
      <c r="AW195" s="77"/>
      <c r="AX195" s="77"/>
      <c r="AY195" s="77"/>
      <c r="AZ195" s="77"/>
      <c r="BA195" s="77"/>
      <c r="BB195" s="77"/>
      <c r="BC195" s="77"/>
      <c r="BD195" s="77"/>
      <c r="BE195" s="77"/>
      <c r="BF195" s="77"/>
      <c r="BG195" s="77"/>
      <c r="BH195" s="77"/>
      <c r="BI195" s="77"/>
      <c r="BJ195" s="77"/>
      <c r="BK195" s="77"/>
      <c r="BL195" s="77"/>
      <c r="BM195" s="77"/>
      <c r="BN195" s="77"/>
      <c r="BO195" s="77"/>
      <c r="BP195" s="77"/>
      <c r="BQ195" s="77"/>
      <c r="BR195" s="77"/>
      <c r="BS195" s="77"/>
      <c r="BT195" s="77"/>
      <c r="BU195" s="77"/>
      <c r="BV195" s="77"/>
      <c r="BW195" s="77"/>
      <c r="BX195" s="77"/>
      <c r="BY195" s="77"/>
      <c r="BZ195" s="77"/>
      <c r="CA195" s="77"/>
      <c r="CB195" s="77"/>
      <c r="CC195" s="77"/>
      <c r="CD195" s="77"/>
      <c r="CE195" s="77"/>
      <c r="CF195" s="77"/>
      <c r="CG195" s="77"/>
      <c r="CH195" s="77"/>
      <c r="CI195" s="77"/>
      <c r="CJ195" s="77"/>
      <c r="CK195" s="77"/>
      <c r="CL195" s="77"/>
      <c r="CM195" s="77"/>
      <c r="CN195" s="77"/>
      <c r="CO195" s="77"/>
      <c r="CP195" s="77"/>
      <c r="CQ195" s="77"/>
      <c r="CR195" s="77"/>
      <c r="CS195" s="77"/>
      <c r="CT195" s="77"/>
      <c r="CU195" s="77"/>
      <c r="CV195" s="77"/>
      <c r="CW195" s="77"/>
      <c r="CX195" s="77"/>
      <c r="CY195" s="77"/>
      <c r="CZ195" s="77"/>
      <c r="DA195" s="77"/>
      <c r="DB195" s="77"/>
      <c r="DC195" s="77"/>
      <c r="DD195" s="77"/>
      <c r="DE195" s="77"/>
      <c r="DF195" s="77"/>
      <c r="DG195" s="77"/>
      <c r="DH195" s="77"/>
      <c r="DI195" s="77"/>
      <c r="DJ195" s="77"/>
      <c r="DK195" s="77"/>
      <c r="DL195" s="77"/>
      <c r="DM195" s="77"/>
      <c r="DN195" s="77"/>
      <c r="DO195" s="77"/>
      <c r="DP195" s="77"/>
      <c r="DQ195" s="77"/>
      <c r="DR195" s="77"/>
      <c r="DS195" s="77"/>
      <c r="DT195" s="77"/>
      <c r="DU195" s="77"/>
      <c r="DV195" s="77"/>
      <c r="DW195" s="77"/>
      <c r="DX195" s="77"/>
      <c r="DY195" s="77"/>
      <c r="DZ195" s="77"/>
      <c r="EA195" s="77"/>
      <c r="EB195" s="77"/>
      <c r="EC195" s="77"/>
      <c r="ED195" s="77"/>
      <c r="EE195" s="77"/>
      <c r="EF195" s="77"/>
      <c r="EG195" s="77"/>
      <c r="EH195" s="77"/>
      <c r="EI195" s="77"/>
      <c r="EJ195" s="77"/>
      <c r="EK195" s="77"/>
      <c r="EL195" s="77"/>
      <c r="EM195" s="77"/>
      <c r="EN195" s="77"/>
      <c r="EO195" s="77"/>
      <c r="EP195" s="77"/>
      <c r="EQ195" s="77"/>
      <c r="ER195" s="77"/>
      <c r="ES195" s="77"/>
      <c r="ET195" s="77"/>
      <c r="EU195" s="77"/>
      <c r="EV195" s="77"/>
      <c r="EW195" s="77"/>
      <c r="EX195" s="77"/>
      <c r="EY195" s="77"/>
      <c r="EZ195" s="77"/>
      <c r="FA195" s="77"/>
      <c r="FB195" s="77"/>
      <c r="FC195" s="77"/>
      <c r="FD195" s="77"/>
      <c r="FE195" s="77"/>
      <c r="FF195" s="77"/>
      <c r="FG195" s="77"/>
      <c r="FH195" s="77"/>
      <c r="FI195" s="77"/>
      <c r="FJ195" s="77"/>
      <c r="FK195" s="77"/>
      <c r="FL195" s="77"/>
      <c r="FM195" s="77"/>
      <c r="FN195" s="77"/>
      <c r="FO195" s="77"/>
      <c r="FP195" s="77"/>
      <c r="FQ195" s="77"/>
      <c r="FR195" s="77"/>
      <c r="FS195" s="77"/>
      <c r="FT195" s="77"/>
      <c r="FU195" s="77"/>
      <c r="FV195" s="77"/>
      <c r="FW195" s="77"/>
      <c r="FX195" s="77"/>
      <c r="FY195" s="77"/>
      <c r="FZ195" s="77"/>
      <c r="GA195" s="77"/>
      <c r="GB195" s="77"/>
      <c r="GC195" s="77"/>
      <c r="GD195" s="77"/>
      <c r="GE195" s="77"/>
      <c r="GF195" s="77"/>
      <c r="GG195" s="77"/>
      <c r="GH195" s="77"/>
      <c r="GI195" s="77"/>
      <c r="GJ195" s="77"/>
      <c r="GK195" s="77"/>
      <c r="GL195" s="77"/>
      <c r="GM195" s="77"/>
      <c r="GN195" s="77"/>
      <c r="GO195" s="77"/>
      <c r="GP195" s="77"/>
      <c r="GQ195" s="77"/>
      <c r="GR195" s="77"/>
      <c r="GS195" s="77"/>
      <c r="GT195" s="77"/>
      <c r="GU195" s="77"/>
      <c r="GV195" s="77"/>
      <c r="GW195" s="77"/>
      <c r="GX195" s="77"/>
      <c r="GY195" s="77"/>
      <c r="GZ195" s="77"/>
      <c r="HA195" s="77"/>
      <c r="HB195" s="77"/>
      <c r="HC195" s="77"/>
      <c r="HD195" s="77"/>
      <c r="HE195" s="77"/>
      <c r="HF195" s="77"/>
      <c r="HG195" s="77"/>
      <c r="HH195" s="77"/>
      <c r="HI195" s="77"/>
      <c r="HJ195" s="77"/>
      <c r="HK195" s="77"/>
      <c r="HL195" s="77"/>
      <c r="HM195" s="77"/>
      <c r="HN195" s="77"/>
      <c r="HO195" s="77"/>
      <c r="HP195" s="77"/>
      <c r="HQ195" s="77"/>
    </row>
    <row r="196" spans="1:225" hidden="1" x14ac:dyDescent="0.3">
      <c r="A196" s="78">
        <f>'Entrada datos'!C193</f>
        <v>0</v>
      </c>
      <c r="B196" s="74">
        <f>'Entrada datos'!D193</f>
        <v>0</v>
      </c>
      <c r="C196" s="75">
        <f>'Entrada datos'!G193</f>
        <v>0</v>
      </c>
      <c r="D196" s="75">
        <f>'Entrada datos'!H193</f>
        <v>0</v>
      </c>
      <c r="E196" s="74">
        <f t="shared" si="7"/>
        <v>0</v>
      </c>
      <c r="F196" s="68" t="str">
        <f t="shared" si="8"/>
        <v>no procede</v>
      </c>
      <c r="G196" s="74">
        <f>'Entrada datos'!P193</f>
        <v>0</v>
      </c>
      <c r="H196" s="74">
        <f>'Entrada datos'!Q193</f>
        <v>0</v>
      </c>
      <c r="I196" s="74">
        <f>'Entrada datos'!R193</f>
        <v>0</v>
      </c>
      <c r="J196" s="74">
        <f>'Entrada datos'!S193</f>
        <v>0</v>
      </c>
      <c r="K196" s="74">
        <f>'Entrada datos'!T193</f>
        <v>0</v>
      </c>
      <c r="L196" s="74">
        <f>'Entrada datos'!U193</f>
        <v>0</v>
      </c>
      <c r="M196" s="76"/>
      <c r="N196" s="76"/>
      <c r="O196" s="76"/>
      <c r="P196" s="76"/>
      <c r="Q196" s="76"/>
      <c r="R196" s="76"/>
      <c r="S196" s="77" t="s">
        <v>74</v>
      </c>
      <c r="T196" s="77"/>
      <c r="U196" s="77"/>
      <c r="V196" s="77">
        <f t="shared" si="9"/>
        <v>0</v>
      </c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  <c r="AO196" s="77"/>
      <c r="AP196" s="77"/>
      <c r="AQ196" s="77"/>
      <c r="AR196" s="77"/>
      <c r="AS196" s="77"/>
      <c r="AT196" s="77"/>
      <c r="AU196" s="77"/>
      <c r="AV196" s="77"/>
      <c r="AW196" s="77"/>
      <c r="AX196" s="77"/>
      <c r="AY196" s="77"/>
      <c r="AZ196" s="77"/>
      <c r="BA196" s="77"/>
      <c r="BB196" s="77"/>
      <c r="BC196" s="77"/>
      <c r="BD196" s="77"/>
      <c r="BE196" s="77"/>
      <c r="BF196" s="77"/>
      <c r="BG196" s="77"/>
      <c r="BH196" s="77"/>
      <c r="BI196" s="77"/>
      <c r="BJ196" s="77"/>
      <c r="BK196" s="77"/>
      <c r="BL196" s="77"/>
      <c r="BM196" s="77"/>
      <c r="BN196" s="77"/>
      <c r="BO196" s="77"/>
      <c r="BP196" s="77"/>
      <c r="BQ196" s="77"/>
      <c r="BR196" s="77"/>
      <c r="BS196" s="77"/>
      <c r="BT196" s="77"/>
      <c r="BU196" s="77"/>
      <c r="BV196" s="77"/>
      <c r="BW196" s="77"/>
      <c r="BX196" s="77"/>
      <c r="BY196" s="77"/>
      <c r="BZ196" s="77"/>
      <c r="CA196" s="77"/>
      <c r="CB196" s="77"/>
      <c r="CC196" s="77"/>
      <c r="CD196" s="77"/>
      <c r="CE196" s="77"/>
      <c r="CF196" s="77"/>
      <c r="CG196" s="77"/>
      <c r="CH196" s="77"/>
      <c r="CI196" s="77"/>
      <c r="CJ196" s="77"/>
      <c r="CK196" s="77"/>
      <c r="CL196" s="77"/>
      <c r="CM196" s="77"/>
      <c r="CN196" s="77"/>
      <c r="CO196" s="77"/>
      <c r="CP196" s="77"/>
      <c r="CQ196" s="77"/>
      <c r="CR196" s="77"/>
      <c r="CS196" s="77"/>
      <c r="CT196" s="77"/>
      <c r="CU196" s="77"/>
      <c r="CV196" s="77"/>
      <c r="CW196" s="77"/>
      <c r="CX196" s="77"/>
      <c r="CY196" s="77"/>
      <c r="CZ196" s="77"/>
      <c r="DA196" s="77"/>
      <c r="DB196" s="77"/>
      <c r="DC196" s="77"/>
      <c r="DD196" s="77"/>
      <c r="DE196" s="77"/>
      <c r="DF196" s="77"/>
      <c r="DG196" s="77"/>
      <c r="DH196" s="77"/>
      <c r="DI196" s="77"/>
      <c r="DJ196" s="77"/>
      <c r="DK196" s="77"/>
      <c r="DL196" s="77"/>
      <c r="DM196" s="77"/>
      <c r="DN196" s="77"/>
      <c r="DO196" s="77"/>
      <c r="DP196" s="77"/>
      <c r="DQ196" s="77"/>
      <c r="DR196" s="77"/>
      <c r="DS196" s="77"/>
      <c r="DT196" s="77"/>
      <c r="DU196" s="77"/>
      <c r="DV196" s="77"/>
      <c r="DW196" s="77"/>
      <c r="DX196" s="77"/>
      <c r="DY196" s="77"/>
      <c r="DZ196" s="77"/>
      <c r="EA196" s="77"/>
      <c r="EB196" s="77"/>
      <c r="EC196" s="77"/>
      <c r="ED196" s="77"/>
      <c r="EE196" s="77"/>
      <c r="EF196" s="77"/>
      <c r="EG196" s="77"/>
      <c r="EH196" s="77"/>
      <c r="EI196" s="77"/>
      <c r="EJ196" s="77"/>
      <c r="EK196" s="77"/>
      <c r="EL196" s="77"/>
      <c r="EM196" s="77"/>
      <c r="EN196" s="77"/>
      <c r="EO196" s="77"/>
      <c r="EP196" s="77"/>
      <c r="EQ196" s="77"/>
      <c r="ER196" s="77"/>
      <c r="ES196" s="77"/>
      <c r="ET196" s="77"/>
      <c r="EU196" s="77"/>
      <c r="EV196" s="77"/>
      <c r="EW196" s="77"/>
      <c r="EX196" s="77"/>
      <c r="EY196" s="77"/>
      <c r="EZ196" s="77"/>
      <c r="FA196" s="77"/>
      <c r="FB196" s="77"/>
      <c r="FC196" s="77"/>
      <c r="FD196" s="77"/>
      <c r="FE196" s="77"/>
      <c r="FF196" s="77"/>
      <c r="FG196" s="77"/>
      <c r="FH196" s="77"/>
      <c r="FI196" s="77"/>
      <c r="FJ196" s="77"/>
      <c r="FK196" s="77"/>
      <c r="FL196" s="77"/>
      <c r="FM196" s="77"/>
      <c r="FN196" s="77"/>
      <c r="FO196" s="77"/>
      <c r="FP196" s="77"/>
      <c r="FQ196" s="77"/>
      <c r="FR196" s="77"/>
      <c r="FS196" s="77"/>
      <c r="FT196" s="77"/>
      <c r="FU196" s="77"/>
      <c r="FV196" s="77"/>
      <c r="FW196" s="77"/>
      <c r="FX196" s="77"/>
      <c r="FY196" s="77"/>
      <c r="FZ196" s="77"/>
      <c r="GA196" s="77"/>
      <c r="GB196" s="77"/>
      <c r="GC196" s="77"/>
      <c r="GD196" s="77"/>
      <c r="GE196" s="77"/>
      <c r="GF196" s="77"/>
      <c r="GG196" s="77"/>
      <c r="GH196" s="77"/>
      <c r="GI196" s="77"/>
      <c r="GJ196" s="77"/>
      <c r="GK196" s="77"/>
      <c r="GL196" s="77"/>
      <c r="GM196" s="77"/>
      <c r="GN196" s="77"/>
      <c r="GO196" s="77"/>
      <c r="GP196" s="77"/>
      <c r="GQ196" s="77"/>
      <c r="GR196" s="77"/>
      <c r="GS196" s="77"/>
      <c r="GT196" s="77"/>
      <c r="GU196" s="77"/>
      <c r="GV196" s="77"/>
      <c r="GW196" s="77"/>
      <c r="GX196" s="77"/>
      <c r="GY196" s="77"/>
      <c r="GZ196" s="77"/>
      <c r="HA196" s="77"/>
      <c r="HB196" s="77"/>
      <c r="HC196" s="77"/>
      <c r="HD196" s="77"/>
      <c r="HE196" s="77"/>
      <c r="HF196" s="77"/>
      <c r="HG196" s="77"/>
      <c r="HH196" s="77"/>
      <c r="HI196" s="77"/>
      <c r="HJ196" s="77"/>
      <c r="HK196" s="77"/>
      <c r="HL196" s="77"/>
      <c r="HM196" s="77"/>
      <c r="HN196" s="77"/>
      <c r="HO196" s="77"/>
      <c r="HP196" s="77"/>
      <c r="HQ196" s="77"/>
    </row>
    <row r="197" spans="1:225" hidden="1" x14ac:dyDescent="0.3">
      <c r="A197" s="78">
        <f>'Entrada datos'!C194</f>
        <v>0</v>
      </c>
      <c r="B197" s="74">
        <f>'Entrada datos'!D194</f>
        <v>0</v>
      </c>
      <c r="C197" s="75">
        <f>'Entrada datos'!G194</f>
        <v>0</v>
      </c>
      <c r="D197" s="75">
        <f>'Entrada datos'!H194</f>
        <v>0</v>
      </c>
      <c r="E197" s="74">
        <f t="shared" si="7"/>
        <v>0</v>
      </c>
      <c r="F197" s="68" t="str">
        <f t="shared" si="8"/>
        <v>no procede</v>
      </c>
      <c r="G197" s="74">
        <f>'Entrada datos'!P194</f>
        <v>0</v>
      </c>
      <c r="H197" s="74">
        <f>'Entrada datos'!Q194</f>
        <v>0</v>
      </c>
      <c r="I197" s="74">
        <f>'Entrada datos'!R194</f>
        <v>0</v>
      </c>
      <c r="J197" s="74">
        <f>'Entrada datos'!S194</f>
        <v>0</v>
      </c>
      <c r="K197" s="74">
        <f>'Entrada datos'!T194</f>
        <v>0</v>
      </c>
      <c r="L197" s="74">
        <f>'Entrada datos'!U194</f>
        <v>0</v>
      </c>
      <c r="M197" s="76"/>
      <c r="N197" s="76"/>
      <c r="O197" s="76"/>
      <c r="P197" s="76"/>
      <c r="Q197" s="76"/>
      <c r="R197" s="76"/>
      <c r="S197" s="77" t="s">
        <v>74</v>
      </c>
      <c r="T197" s="77"/>
      <c r="U197" s="77"/>
      <c r="V197" s="77">
        <f t="shared" si="9"/>
        <v>0</v>
      </c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  <c r="AO197" s="77"/>
      <c r="AP197" s="77"/>
      <c r="AQ197" s="77"/>
      <c r="AR197" s="77"/>
      <c r="AS197" s="77"/>
      <c r="AT197" s="77"/>
      <c r="AU197" s="77"/>
      <c r="AV197" s="77"/>
      <c r="AW197" s="77"/>
      <c r="AX197" s="77"/>
      <c r="AY197" s="77"/>
      <c r="AZ197" s="77"/>
      <c r="BA197" s="77"/>
      <c r="BB197" s="77"/>
      <c r="BC197" s="77"/>
      <c r="BD197" s="77"/>
      <c r="BE197" s="77"/>
      <c r="BF197" s="77"/>
      <c r="BG197" s="77"/>
      <c r="BH197" s="77"/>
      <c r="BI197" s="77"/>
      <c r="BJ197" s="77"/>
      <c r="BK197" s="77"/>
      <c r="BL197" s="77"/>
      <c r="BM197" s="77"/>
      <c r="BN197" s="77"/>
      <c r="BO197" s="77"/>
      <c r="BP197" s="77"/>
      <c r="BQ197" s="77"/>
      <c r="BR197" s="77"/>
      <c r="BS197" s="77"/>
      <c r="BT197" s="77"/>
      <c r="BU197" s="77"/>
      <c r="BV197" s="77"/>
      <c r="BW197" s="77"/>
      <c r="BX197" s="77"/>
      <c r="BY197" s="77"/>
      <c r="BZ197" s="77"/>
      <c r="CA197" s="77"/>
      <c r="CB197" s="77"/>
      <c r="CC197" s="77"/>
      <c r="CD197" s="77"/>
      <c r="CE197" s="77"/>
      <c r="CF197" s="77"/>
      <c r="CG197" s="77"/>
      <c r="CH197" s="77"/>
      <c r="CI197" s="77"/>
      <c r="CJ197" s="77"/>
      <c r="CK197" s="77"/>
      <c r="CL197" s="77"/>
      <c r="CM197" s="77"/>
      <c r="CN197" s="77"/>
      <c r="CO197" s="77"/>
      <c r="CP197" s="77"/>
      <c r="CQ197" s="77"/>
      <c r="CR197" s="77"/>
      <c r="CS197" s="77"/>
      <c r="CT197" s="77"/>
      <c r="CU197" s="77"/>
      <c r="CV197" s="77"/>
      <c r="CW197" s="77"/>
      <c r="CX197" s="77"/>
      <c r="CY197" s="77"/>
      <c r="CZ197" s="77"/>
      <c r="DA197" s="77"/>
      <c r="DB197" s="77"/>
      <c r="DC197" s="77"/>
      <c r="DD197" s="77"/>
      <c r="DE197" s="77"/>
      <c r="DF197" s="77"/>
      <c r="DG197" s="77"/>
      <c r="DH197" s="77"/>
      <c r="DI197" s="77"/>
      <c r="DJ197" s="77"/>
      <c r="DK197" s="77"/>
      <c r="DL197" s="77"/>
      <c r="DM197" s="77"/>
      <c r="DN197" s="77"/>
      <c r="DO197" s="77"/>
      <c r="DP197" s="77"/>
      <c r="DQ197" s="77"/>
      <c r="DR197" s="77"/>
      <c r="DS197" s="77"/>
      <c r="DT197" s="77"/>
      <c r="DU197" s="77"/>
      <c r="DV197" s="77"/>
      <c r="DW197" s="77"/>
      <c r="DX197" s="77"/>
      <c r="DY197" s="77"/>
      <c r="DZ197" s="77"/>
      <c r="EA197" s="77"/>
      <c r="EB197" s="77"/>
      <c r="EC197" s="77"/>
      <c r="ED197" s="77"/>
      <c r="EE197" s="77"/>
      <c r="EF197" s="77"/>
      <c r="EG197" s="77"/>
      <c r="EH197" s="77"/>
      <c r="EI197" s="77"/>
      <c r="EJ197" s="77"/>
      <c r="EK197" s="77"/>
      <c r="EL197" s="77"/>
      <c r="EM197" s="77"/>
      <c r="EN197" s="77"/>
      <c r="EO197" s="77"/>
      <c r="EP197" s="77"/>
      <c r="EQ197" s="77"/>
      <c r="ER197" s="77"/>
      <c r="ES197" s="77"/>
      <c r="ET197" s="77"/>
      <c r="EU197" s="77"/>
      <c r="EV197" s="77"/>
      <c r="EW197" s="77"/>
      <c r="EX197" s="77"/>
      <c r="EY197" s="77"/>
      <c r="EZ197" s="77"/>
      <c r="FA197" s="77"/>
      <c r="FB197" s="77"/>
      <c r="FC197" s="77"/>
      <c r="FD197" s="77"/>
      <c r="FE197" s="77"/>
      <c r="FF197" s="77"/>
      <c r="FG197" s="77"/>
      <c r="FH197" s="77"/>
      <c r="FI197" s="77"/>
      <c r="FJ197" s="77"/>
      <c r="FK197" s="77"/>
      <c r="FL197" s="77"/>
      <c r="FM197" s="77"/>
      <c r="FN197" s="77"/>
      <c r="FO197" s="77"/>
      <c r="FP197" s="77"/>
      <c r="FQ197" s="77"/>
      <c r="FR197" s="77"/>
      <c r="FS197" s="77"/>
      <c r="FT197" s="77"/>
      <c r="FU197" s="77"/>
      <c r="FV197" s="77"/>
      <c r="FW197" s="77"/>
      <c r="FX197" s="77"/>
      <c r="FY197" s="77"/>
      <c r="FZ197" s="77"/>
      <c r="GA197" s="77"/>
      <c r="GB197" s="77"/>
      <c r="GC197" s="77"/>
      <c r="GD197" s="77"/>
      <c r="GE197" s="77"/>
      <c r="GF197" s="77"/>
      <c r="GG197" s="77"/>
      <c r="GH197" s="77"/>
      <c r="GI197" s="77"/>
      <c r="GJ197" s="77"/>
      <c r="GK197" s="77"/>
      <c r="GL197" s="77"/>
      <c r="GM197" s="77"/>
      <c r="GN197" s="77"/>
      <c r="GO197" s="77"/>
      <c r="GP197" s="77"/>
      <c r="GQ197" s="77"/>
      <c r="GR197" s="77"/>
      <c r="GS197" s="77"/>
      <c r="GT197" s="77"/>
      <c r="GU197" s="77"/>
      <c r="GV197" s="77"/>
      <c r="GW197" s="77"/>
      <c r="GX197" s="77"/>
      <c r="GY197" s="77"/>
      <c r="GZ197" s="77"/>
      <c r="HA197" s="77"/>
      <c r="HB197" s="77"/>
      <c r="HC197" s="77"/>
      <c r="HD197" s="77"/>
      <c r="HE197" s="77"/>
      <c r="HF197" s="77"/>
      <c r="HG197" s="77"/>
      <c r="HH197" s="77"/>
      <c r="HI197" s="77"/>
      <c r="HJ197" s="77"/>
      <c r="HK197" s="77"/>
      <c r="HL197" s="77"/>
      <c r="HM197" s="77"/>
      <c r="HN197" s="77"/>
      <c r="HO197" s="77"/>
      <c r="HP197" s="77"/>
      <c r="HQ197" s="77"/>
    </row>
    <row r="198" spans="1:225" hidden="1" x14ac:dyDescent="0.3">
      <c r="A198" s="78">
        <f>'Entrada datos'!C195</f>
        <v>0</v>
      </c>
      <c r="B198" s="74">
        <f>'Entrada datos'!D195</f>
        <v>0</v>
      </c>
      <c r="C198" s="75">
        <f>'Entrada datos'!G195</f>
        <v>0</v>
      </c>
      <c r="D198" s="75">
        <f>'Entrada datos'!H195</f>
        <v>0</v>
      </c>
      <c r="E198" s="74">
        <f t="shared" ref="E198:E200" si="10">D198-C198</f>
        <v>0</v>
      </c>
      <c r="F198" s="68" t="str">
        <f t="shared" ref="F198:F200" si="11">IF(D198&lt;=$C$2,"no procede","Refacturar")</f>
        <v>no procede</v>
      </c>
      <c r="G198" s="74">
        <f>'Entrada datos'!P195</f>
        <v>0</v>
      </c>
      <c r="H198" s="74">
        <f>'Entrada datos'!Q195</f>
        <v>0</v>
      </c>
      <c r="I198" s="74">
        <f>'Entrada datos'!R195</f>
        <v>0</v>
      </c>
      <c r="J198" s="74">
        <f>'Entrada datos'!S195</f>
        <v>0</v>
      </c>
      <c r="K198" s="74">
        <f>'Entrada datos'!T195</f>
        <v>0</v>
      </c>
      <c r="L198" s="74">
        <f>'Entrada datos'!U195</f>
        <v>0</v>
      </c>
      <c r="M198" s="76"/>
      <c r="N198" s="76"/>
      <c r="O198" s="76"/>
      <c r="P198" s="76"/>
      <c r="Q198" s="76"/>
      <c r="R198" s="76"/>
      <c r="S198" s="77" t="s">
        <v>74</v>
      </c>
      <c r="T198" s="77"/>
      <c r="U198" s="77"/>
      <c r="V198" s="77">
        <f t="shared" si="9"/>
        <v>0</v>
      </c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  <c r="AO198" s="77"/>
      <c r="AP198" s="77"/>
      <c r="AQ198" s="77"/>
      <c r="AR198" s="77"/>
      <c r="AS198" s="77"/>
      <c r="AT198" s="77"/>
      <c r="AU198" s="77"/>
      <c r="AV198" s="77"/>
      <c r="AW198" s="77"/>
      <c r="AX198" s="77"/>
      <c r="AY198" s="77"/>
      <c r="AZ198" s="77"/>
      <c r="BA198" s="77"/>
      <c r="BB198" s="77"/>
      <c r="BC198" s="77"/>
      <c r="BD198" s="77"/>
      <c r="BE198" s="77"/>
      <c r="BF198" s="77"/>
      <c r="BG198" s="77"/>
      <c r="BH198" s="77"/>
      <c r="BI198" s="77"/>
      <c r="BJ198" s="77"/>
      <c r="BK198" s="77"/>
      <c r="BL198" s="77"/>
      <c r="BM198" s="77"/>
      <c r="BN198" s="77"/>
      <c r="BO198" s="77"/>
      <c r="BP198" s="77"/>
      <c r="BQ198" s="77"/>
      <c r="BR198" s="77"/>
      <c r="BS198" s="77"/>
      <c r="BT198" s="77"/>
      <c r="BU198" s="77"/>
      <c r="BV198" s="77"/>
      <c r="BW198" s="77"/>
      <c r="BX198" s="77"/>
      <c r="BY198" s="77"/>
      <c r="BZ198" s="77"/>
      <c r="CA198" s="77"/>
      <c r="CB198" s="77"/>
      <c r="CC198" s="77"/>
      <c r="CD198" s="77"/>
      <c r="CE198" s="77"/>
      <c r="CF198" s="77"/>
      <c r="CG198" s="77"/>
      <c r="CH198" s="77"/>
      <c r="CI198" s="77"/>
      <c r="CJ198" s="77"/>
      <c r="CK198" s="77"/>
      <c r="CL198" s="77"/>
      <c r="CM198" s="77"/>
      <c r="CN198" s="77"/>
      <c r="CO198" s="77"/>
      <c r="CP198" s="77"/>
      <c r="CQ198" s="77"/>
      <c r="CR198" s="77"/>
      <c r="CS198" s="77"/>
      <c r="CT198" s="77"/>
      <c r="CU198" s="77"/>
      <c r="CV198" s="77"/>
      <c r="CW198" s="77"/>
      <c r="CX198" s="77"/>
      <c r="CY198" s="77"/>
      <c r="CZ198" s="77"/>
      <c r="DA198" s="77"/>
      <c r="DB198" s="77"/>
      <c r="DC198" s="77"/>
      <c r="DD198" s="77"/>
      <c r="DE198" s="77"/>
      <c r="DF198" s="77"/>
      <c r="DG198" s="77"/>
      <c r="DH198" s="77"/>
      <c r="DI198" s="77"/>
      <c r="DJ198" s="77"/>
      <c r="DK198" s="77"/>
      <c r="DL198" s="77"/>
      <c r="DM198" s="77"/>
      <c r="DN198" s="77"/>
      <c r="DO198" s="77"/>
      <c r="DP198" s="77"/>
      <c r="DQ198" s="77"/>
      <c r="DR198" s="77"/>
      <c r="DS198" s="77"/>
      <c r="DT198" s="77"/>
      <c r="DU198" s="77"/>
      <c r="DV198" s="77"/>
      <c r="DW198" s="77"/>
      <c r="DX198" s="77"/>
      <c r="DY198" s="77"/>
      <c r="DZ198" s="77"/>
      <c r="EA198" s="77"/>
      <c r="EB198" s="77"/>
      <c r="EC198" s="77"/>
      <c r="ED198" s="77"/>
      <c r="EE198" s="77"/>
      <c r="EF198" s="77"/>
      <c r="EG198" s="77"/>
      <c r="EH198" s="77"/>
      <c r="EI198" s="77"/>
      <c r="EJ198" s="77"/>
      <c r="EK198" s="77"/>
      <c r="EL198" s="77"/>
      <c r="EM198" s="77"/>
      <c r="EN198" s="77"/>
      <c r="EO198" s="77"/>
      <c r="EP198" s="77"/>
      <c r="EQ198" s="77"/>
      <c r="ER198" s="77"/>
      <c r="ES198" s="77"/>
      <c r="ET198" s="77"/>
      <c r="EU198" s="77"/>
      <c r="EV198" s="77"/>
      <c r="EW198" s="77"/>
      <c r="EX198" s="77"/>
      <c r="EY198" s="77"/>
      <c r="EZ198" s="77"/>
      <c r="FA198" s="77"/>
      <c r="FB198" s="77"/>
      <c r="FC198" s="77"/>
      <c r="FD198" s="77"/>
      <c r="FE198" s="77"/>
      <c r="FF198" s="77"/>
      <c r="FG198" s="77"/>
      <c r="FH198" s="77"/>
      <c r="FI198" s="77"/>
      <c r="FJ198" s="77"/>
      <c r="FK198" s="77"/>
      <c r="FL198" s="77"/>
      <c r="FM198" s="77"/>
      <c r="FN198" s="77"/>
      <c r="FO198" s="77"/>
      <c r="FP198" s="77"/>
      <c r="FQ198" s="77"/>
      <c r="FR198" s="77"/>
      <c r="FS198" s="77"/>
      <c r="FT198" s="77"/>
      <c r="FU198" s="77"/>
      <c r="FV198" s="77"/>
      <c r="FW198" s="77"/>
      <c r="FX198" s="77"/>
      <c r="FY198" s="77"/>
      <c r="FZ198" s="77"/>
      <c r="GA198" s="77"/>
      <c r="GB198" s="77"/>
      <c r="GC198" s="77"/>
      <c r="GD198" s="77"/>
      <c r="GE198" s="77"/>
      <c r="GF198" s="77"/>
      <c r="GG198" s="77"/>
      <c r="GH198" s="77"/>
      <c r="GI198" s="77"/>
      <c r="GJ198" s="77"/>
      <c r="GK198" s="77"/>
      <c r="GL198" s="77"/>
      <c r="GM198" s="77"/>
      <c r="GN198" s="77"/>
      <c r="GO198" s="77"/>
      <c r="GP198" s="77"/>
      <c r="GQ198" s="77"/>
      <c r="GR198" s="77"/>
      <c r="GS198" s="77"/>
      <c r="GT198" s="77"/>
      <c r="GU198" s="77"/>
      <c r="GV198" s="77"/>
      <c r="GW198" s="77"/>
      <c r="GX198" s="77"/>
      <c r="GY198" s="77"/>
      <c r="GZ198" s="77"/>
      <c r="HA198" s="77"/>
      <c r="HB198" s="77"/>
      <c r="HC198" s="77"/>
      <c r="HD198" s="77"/>
      <c r="HE198" s="77"/>
      <c r="HF198" s="77"/>
      <c r="HG198" s="77"/>
      <c r="HH198" s="77"/>
      <c r="HI198" s="77"/>
      <c r="HJ198" s="77"/>
      <c r="HK198" s="77"/>
      <c r="HL198" s="77"/>
      <c r="HM198" s="77"/>
      <c r="HN198" s="77"/>
      <c r="HO198" s="77"/>
      <c r="HP198" s="77"/>
      <c r="HQ198" s="77"/>
    </row>
    <row r="199" spans="1:225" hidden="1" x14ac:dyDescent="0.3">
      <c r="A199" s="78">
        <f>'Entrada datos'!C196</f>
        <v>0</v>
      </c>
      <c r="B199" s="74">
        <f>'Entrada datos'!D196</f>
        <v>0</v>
      </c>
      <c r="C199" s="75">
        <f>'Entrada datos'!G196</f>
        <v>0</v>
      </c>
      <c r="D199" s="75">
        <f>'Entrada datos'!H196</f>
        <v>0</v>
      </c>
      <c r="E199" s="74">
        <f t="shared" si="10"/>
        <v>0</v>
      </c>
      <c r="F199" s="68" t="str">
        <f t="shared" si="11"/>
        <v>no procede</v>
      </c>
      <c r="G199" s="74">
        <f>'Entrada datos'!P196</f>
        <v>0</v>
      </c>
      <c r="H199" s="74">
        <f>'Entrada datos'!Q196</f>
        <v>0</v>
      </c>
      <c r="I199" s="74">
        <f>'Entrada datos'!R196</f>
        <v>0</v>
      </c>
      <c r="J199" s="74">
        <f>'Entrada datos'!S196</f>
        <v>0</v>
      </c>
      <c r="K199" s="74">
        <f>'Entrada datos'!T196</f>
        <v>0</v>
      </c>
      <c r="L199" s="74">
        <f>'Entrada datos'!U196</f>
        <v>0</v>
      </c>
      <c r="M199" s="76"/>
      <c r="N199" s="76"/>
      <c r="O199" s="76"/>
      <c r="P199" s="76"/>
      <c r="Q199" s="76"/>
      <c r="R199" s="76"/>
      <c r="S199" s="77" t="s">
        <v>74</v>
      </c>
      <c r="T199" s="77"/>
      <c r="U199" s="77"/>
      <c r="V199" s="77">
        <f t="shared" si="9"/>
        <v>0</v>
      </c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  <c r="AO199" s="77"/>
      <c r="AP199" s="77"/>
      <c r="AQ199" s="77"/>
      <c r="AR199" s="77"/>
      <c r="AS199" s="77"/>
      <c r="AT199" s="77"/>
      <c r="AU199" s="77"/>
      <c r="AV199" s="77"/>
      <c r="AW199" s="77"/>
      <c r="AX199" s="77"/>
      <c r="AY199" s="77"/>
      <c r="AZ199" s="77"/>
      <c r="BA199" s="77"/>
      <c r="BB199" s="77"/>
      <c r="BC199" s="77"/>
      <c r="BD199" s="77"/>
      <c r="BE199" s="77"/>
      <c r="BF199" s="77"/>
      <c r="BG199" s="77"/>
      <c r="BH199" s="77"/>
      <c r="BI199" s="77"/>
      <c r="BJ199" s="77"/>
      <c r="BK199" s="77"/>
      <c r="BL199" s="77"/>
      <c r="BM199" s="77"/>
      <c r="BN199" s="77"/>
      <c r="BO199" s="77"/>
      <c r="BP199" s="77"/>
      <c r="BQ199" s="77"/>
      <c r="BR199" s="77"/>
      <c r="BS199" s="77"/>
      <c r="BT199" s="77"/>
      <c r="BU199" s="77"/>
      <c r="BV199" s="77"/>
      <c r="BW199" s="77"/>
      <c r="BX199" s="77"/>
      <c r="BY199" s="77"/>
      <c r="BZ199" s="77"/>
      <c r="CA199" s="77"/>
      <c r="CB199" s="77"/>
      <c r="CC199" s="77"/>
      <c r="CD199" s="77"/>
      <c r="CE199" s="77"/>
      <c r="CF199" s="77"/>
      <c r="CG199" s="77"/>
      <c r="CH199" s="77"/>
      <c r="CI199" s="77"/>
      <c r="CJ199" s="77"/>
      <c r="CK199" s="77"/>
      <c r="CL199" s="77"/>
      <c r="CM199" s="77"/>
      <c r="CN199" s="77"/>
      <c r="CO199" s="77"/>
      <c r="CP199" s="77"/>
      <c r="CQ199" s="77"/>
      <c r="CR199" s="77"/>
      <c r="CS199" s="77"/>
      <c r="CT199" s="77"/>
      <c r="CU199" s="77"/>
      <c r="CV199" s="77"/>
      <c r="CW199" s="77"/>
      <c r="CX199" s="77"/>
      <c r="CY199" s="77"/>
      <c r="CZ199" s="77"/>
      <c r="DA199" s="77"/>
      <c r="DB199" s="77"/>
      <c r="DC199" s="77"/>
      <c r="DD199" s="77"/>
      <c r="DE199" s="77"/>
      <c r="DF199" s="77"/>
      <c r="DG199" s="77"/>
      <c r="DH199" s="77"/>
      <c r="DI199" s="77"/>
      <c r="DJ199" s="77"/>
      <c r="DK199" s="77"/>
      <c r="DL199" s="77"/>
      <c r="DM199" s="77"/>
      <c r="DN199" s="77"/>
      <c r="DO199" s="77"/>
      <c r="DP199" s="77"/>
      <c r="DQ199" s="77"/>
      <c r="DR199" s="77"/>
      <c r="DS199" s="77"/>
      <c r="DT199" s="77"/>
      <c r="DU199" s="77"/>
      <c r="DV199" s="77"/>
      <c r="DW199" s="77"/>
      <c r="DX199" s="77"/>
      <c r="DY199" s="77"/>
      <c r="DZ199" s="77"/>
      <c r="EA199" s="77"/>
      <c r="EB199" s="77"/>
      <c r="EC199" s="77"/>
      <c r="ED199" s="77"/>
      <c r="EE199" s="77"/>
      <c r="EF199" s="77"/>
      <c r="EG199" s="77"/>
      <c r="EH199" s="77"/>
      <c r="EI199" s="77"/>
      <c r="EJ199" s="77"/>
      <c r="EK199" s="77"/>
      <c r="EL199" s="77"/>
      <c r="EM199" s="77"/>
      <c r="EN199" s="77"/>
      <c r="EO199" s="77"/>
      <c r="EP199" s="77"/>
      <c r="EQ199" s="77"/>
      <c r="ER199" s="77"/>
      <c r="ES199" s="77"/>
      <c r="ET199" s="77"/>
      <c r="EU199" s="77"/>
      <c r="EV199" s="77"/>
      <c r="EW199" s="77"/>
      <c r="EX199" s="77"/>
      <c r="EY199" s="77"/>
      <c r="EZ199" s="77"/>
      <c r="FA199" s="77"/>
      <c r="FB199" s="77"/>
      <c r="FC199" s="77"/>
      <c r="FD199" s="77"/>
      <c r="FE199" s="77"/>
      <c r="FF199" s="77"/>
      <c r="FG199" s="77"/>
      <c r="FH199" s="77"/>
      <c r="FI199" s="77"/>
      <c r="FJ199" s="77"/>
      <c r="FK199" s="77"/>
      <c r="FL199" s="77"/>
      <c r="FM199" s="77"/>
      <c r="FN199" s="77"/>
      <c r="FO199" s="77"/>
      <c r="FP199" s="77"/>
      <c r="FQ199" s="77"/>
      <c r="FR199" s="77"/>
      <c r="FS199" s="77"/>
      <c r="FT199" s="77"/>
      <c r="FU199" s="77"/>
      <c r="FV199" s="77"/>
      <c r="FW199" s="77"/>
      <c r="FX199" s="77"/>
      <c r="FY199" s="77"/>
      <c r="FZ199" s="77"/>
      <c r="GA199" s="77"/>
      <c r="GB199" s="77"/>
      <c r="GC199" s="77"/>
      <c r="GD199" s="77"/>
      <c r="GE199" s="77"/>
      <c r="GF199" s="77"/>
      <c r="GG199" s="77"/>
      <c r="GH199" s="77"/>
      <c r="GI199" s="77"/>
      <c r="GJ199" s="77"/>
      <c r="GK199" s="77"/>
      <c r="GL199" s="77"/>
      <c r="GM199" s="77"/>
      <c r="GN199" s="77"/>
      <c r="GO199" s="77"/>
      <c r="GP199" s="77"/>
      <c r="GQ199" s="77"/>
      <c r="GR199" s="77"/>
      <c r="GS199" s="77"/>
      <c r="GT199" s="77"/>
      <c r="GU199" s="77"/>
      <c r="GV199" s="77"/>
      <c r="GW199" s="77"/>
      <c r="GX199" s="77"/>
      <c r="GY199" s="77"/>
      <c r="GZ199" s="77"/>
      <c r="HA199" s="77"/>
      <c r="HB199" s="77"/>
      <c r="HC199" s="77"/>
      <c r="HD199" s="77"/>
      <c r="HE199" s="77"/>
      <c r="HF199" s="77"/>
      <c r="HG199" s="77"/>
      <c r="HH199" s="77"/>
      <c r="HI199" s="77"/>
      <c r="HJ199" s="77"/>
      <c r="HK199" s="77"/>
      <c r="HL199" s="77"/>
      <c r="HM199" s="77"/>
      <c r="HN199" s="77"/>
      <c r="HO199" s="77"/>
      <c r="HP199" s="77"/>
      <c r="HQ199" s="77"/>
    </row>
    <row r="200" spans="1:225" hidden="1" x14ac:dyDescent="0.3">
      <c r="A200" s="78">
        <f>'Entrada datos'!C197</f>
        <v>0</v>
      </c>
      <c r="B200" s="74">
        <f>'Entrada datos'!D197</f>
        <v>0</v>
      </c>
      <c r="C200" s="75">
        <f>'Entrada datos'!G197</f>
        <v>0</v>
      </c>
      <c r="D200" s="75">
        <f>'Entrada datos'!H197</f>
        <v>0</v>
      </c>
      <c r="E200" s="74">
        <f t="shared" si="10"/>
        <v>0</v>
      </c>
      <c r="F200" s="68" t="str">
        <f t="shared" si="11"/>
        <v>no procede</v>
      </c>
      <c r="G200" s="74">
        <f>'Entrada datos'!P197</f>
        <v>0</v>
      </c>
      <c r="H200" s="74">
        <f>'Entrada datos'!Q197</f>
        <v>0</v>
      </c>
      <c r="I200" s="74">
        <f>'Entrada datos'!R197</f>
        <v>0</v>
      </c>
      <c r="J200" s="74">
        <f>'Entrada datos'!S197</f>
        <v>0</v>
      </c>
      <c r="K200" s="74">
        <f>'Entrada datos'!T197</f>
        <v>0</v>
      </c>
      <c r="L200" s="74">
        <f>'Entrada datos'!U197</f>
        <v>0</v>
      </c>
      <c r="M200" s="76"/>
      <c r="N200" s="76"/>
      <c r="O200" s="76"/>
      <c r="P200" s="76"/>
      <c r="Q200" s="76"/>
      <c r="R200" s="76"/>
      <c r="S200" s="77" t="s">
        <v>74</v>
      </c>
      <c r="T200" s="77"/>
      <c r="U200" s="77"/>
      <c r="V200" s="77">
        <f t="shared" ref="V200" si="12">SUM(G200:I200)</f>
        <v>0</v>
      </c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  <c r="AO200" s="77"/>
      <c r="AP200" s="77"/>
      <c r="AQ200" s="77"/>
      <c r="AR200" s="77"/>
      <c r="AS200" s="77"/>
      <c r="AT200" s="77"/>
      <c r="AU200" s="77"/>
      <c r="AV200" s="77"/>
      <c r="AW200" s="77"/>
      <c r="AX200" s="77"/>
      <c r="AY200" s="77"/>
      <c r="AZ200" s="77"/>
      <c r="BA200" s="77"/>
      <c r="BB200" s="77"/>
      <c r="BC200" s="77"/>
      <c r="BD200" s="77"/>
      <c r="BE200" s="77"/>
      <c r="BF200" s="77"/>
      <c r="BG200" s="77"/>
      <c r="BH200" s="77"/>
      <c r="BI200" s="77"/>
      <c r="BJ200" s="77"/>
      <c r="BK200" s="77"/>
      <c r="BL200" s="77"/>
      <c r="BM200" s="77"/>
      <c r="BN200" s="77"/>
      <c r="BO200" s="77"/>
      <c r="BP200" s="77"/>
      <c r="BQ200" s="77"/>
      <c r="BR200" s="77"/>
      <c r="BS200" s="77"/>
      <c r="BT200" s="77"/>
      <c r="BU200" s="77"/>
      <c r="BV200" s="77"/>
      <c r="BW200" s="77"/>
      <c r="BX200" s="77"/>
      <c r="BY200" s="77"/>
      <c r="BZ200" s="77"/>
      <c r="CA200" s="77"/>
      <c r="CB200" s="77"/>
      <c r="CC200" s="77"/>
      <c r="CD200" s="77"/>
      <c r="CE200" s="77"/>
      <c r="CF200" s="77"/>
      <c r="CG200" s="77"/>
      <c r="CH200" s="77"/>
      <c r="CI200" s="77"/>
      <c r="CJ200" s="77"/>
      <c r="CK200" s="77"/>
      <c r="CL200" s="77"/>
      <c r="CM200" s="77"/>
      <c r="CN200" s="77"/>
      <c r="CO200" s="77"/>
      <c r="CP200" s="77"/>
      <c r="CQ200" s="77"/>
      <c r="CR200" s="77"/>
      <c r="CS200" s="77"/>
      <c r="CT200" s="77"/>
      <c r="CU200" s="77"/>
      <c r="CV200" s="77"/>
      <c r="CW200" s="77"/>
      <c r="CX200" s="77"/>
      <c r="CY200" s="77"/>
      <c r="CZ200" s="77"/>
      <c r="DA200" s="77"/>
      <c r="DB200" s="77"/>
      <c r="DC200" s="77"/>
      <c r="DD200" s="77"/>
      <c r="DE200" s="77"/>
      <c r="DF200" s="77"/>
      <c r="DG200" s="77"/>
      <c r="DH200" s="77"/>
      <c r="DI200" s="77"/>
      <c r="DJ200" s="77"/>
      <c r="DK200" s="77"/>
      <c r="DL200" s="77"/>
      <c r="DM200" s="77"/>
      <c r="DN200" s="77"/>
      <c r="DO200" s="77"/>
      <c r="DP200" s="77"/>
      <c r="DQ200" s="77"/>
      <c r="DR200" s="77"/>
      <c r="DS200" s="77"/>
      <c r="DT200" s="77"/>
      <c r="DU200" s="77"/>
      <c r="DV200" s="77"/>
      <c r="DW200" s="77"/>
      <c r="DX200" s="77"/>
      <c r="DY200" s="77"/>
      <c r="DZ200" s="77"/>
      <c r="EA200" s="77"/>
      <c r="EB200" s="77"/>
      <c r="EC200" s="77"/>
      <c r="ED200" s="77"/>
      <c r="EE200" s="77"/>
      <c r="EF200" s="77"/>
      <c r="EG200" s="77"/>
      <c r="EH200" s="77"/>
      <c r="EI200" s="77"/>
      <c r="EJ200" s="77"/>
      <c r="EK200" s="77"/>
      <c r="EL200" s="77"/>
      <c r="EM200" s="77"/>
      <c r="EN200" s="77"/>
      <c r="EO200" s="77"/>
      <c r="EP200" s="77"/>
      <c r="EQ200" s="77"/>
      <c r="ER200" s="77"/>
      <c r="ES200" s="77"/>
      <c r="ET200" s="77"/>
      <c r="EU200" s="77"/>
      <c r="EV200" s="77"/>
      <c r="EW200" s="77"/>
      <c r="EX200" s="77"/>
      <c r="EY200" s="77"/>
      <c r="EZ200" s="77"/>
      <c r="FA200" s="77"/>
      <c r="FB200" s="77"/>
      <c r="FC200" s="77"/>
      <c r="FD200" s="77"/>
      <c r="FE200" s="77"/>
      <c r="FF200" s="77"/>
      <c r="FG200" s="77"/>
      <c r="FH200" s="77"/>
      <c r="FI200" s="77"/>
      <c r="FJ200" s="77"/>
      <c r="FK200" s="77"/>
      <c r="FL200" s="77"/>
      <c r="FM200" s="77"/>
      <c r="FN200" s="77"/>
      <c r="FO200" s="77"/>
      <c r="FP200" s="77"/>
      <c r="FQ200" s="77"/>
      <c r="FR200" s="77"/>
      <c r="FS200" s="77"/>
      <c r="FT200" s="77"/>
      <c r="FU200" s="77"/>
      <c r="FV200" s="77"/>
      <c r="FW200" s="77"/>
      <c r="FX200" s="77"/>
      <c r="FY200" s="77"/>
      <c r="FZ200" s="77"/>
      <c r="GA200" s="77"/>
      <c r="GB200" s="77"/>
      <c r="GC200" s="77"/>
      <c r="GD200" s="77"/>
      <c r="GE200" s="77"/>
      <c r="GF200" s="77"/>
      <c r="GG200" s="77"/>
      <c r="GH200" s="77"/>
      <c r="GI200" s="77"/>
      <c r="GJ200" s="77"/>
      <c r="GK200" s="77"/>
      <c r="GL200" s="77"/>
      <c r="GM200" s="77"/>
      <c r="GN200" s="77"/>
      <c r="GO200" s="77"/>
      <c r="GP200" s="77"/>
      <c r="GQ200" s="77"/>
      <c r="GR200" s="77"/>
      <c r="GS200" s="77"/>
      <c r="GT200" s="77"/>
      <c r="GU200" s="77"/>
      <c r="GV200" s="77"/>
      <c r="GW200" s="77"/>
      <c r="GX200" s="77"/>
      <c r="GY200" s="77"/>
      <c r="GZ200" s="77"/>
      <c r="HA200" s="77"/>
      <c r="HB200" s="77"/>
      <c r="HC200" s="77"/>
      <c r="HD200" s="77"/>
      <c r="HE200" s="77"/>
      <c r="HF200" s="77"/>
      <c r="HG200" s="77"/>
      <c r="HH200" s="77"/>
      <c r="HI200" s="77"/>
      <c r="HJ200" s="77"/>
      <c r="HK200" s="77"/>
      <c r="HL200" s="77"/>
      <c r="HM200" s="77"/>
      <c r="HN200" s="77"/>
      <c r="HO200" s="77"/>
      <c r="HP200" s="77"/>
      <c r="HQ200" s="77"/>
    </row>
  </sheetData>
  <autoFilter ref="A4:R200" xr:uid="{00000000-0009-0000-0000-000009000000}">
    <filterColumn colId="2">
      <filters>
        <dateGroupItem year="2024" dateTimeGrouping="year"/>
        <dateGroupItem year="2023" dateTimeGrouping="year"/>
        <dateGroupItem year="2022" dateTimeGrouping="year"/>
        <dateGroupItem year="2021" dateTimeGrouping="year"/>
      </filters>
    </filterColumn>
  </autoFilter>
  <dataConsolidate/>
  <mergeCells count="8">
    <mergeCell ref="A1:A2"/>
    <mergeCell ref="S1:S2"/>
    <mergeCell ref="L1:M1"/>
    <mergeCell ref="L2:M2"/>
    <mergeCell ref="J1:K1"/>
    <mergeCell ref="J2:K2"/>
    <mergeCell ref="N1:O1"/>
    <mergeCell ref="N2:O2"/>
  </mergeCells>
  <conditionalFormatting sqref="M5:R200">
    <cfRule type="cellIs" dxfId="0" priority="1" operator="greaterThan">
      <formula>0</formula>
    </cfRule>
  </conditionalFormatting>
  <dataValidations count="3">
    <dataValidation type="list" allowBlank="1" showInputMessage="1" showErrorMessage="1" sqref="F5:F200" xr:uid="{00000000-0002-0000-0900-000000000000}">
      <formula1>"no procede,Refacturar"</formula1>
    </dataValidation>
    <dataValidation type="list" sqref="Y5:HQ200" xr:uid="{00000000-0002-0000-0900-000001000000}">
      <mc:AlternateContent xmlns:x12ac="http://schemas.microsoft.com/office/spreadsheetml/2011/1/ac" xmlns:mc="http://schemas.openxmlformats.org/markup-compatibility/2006">
        <mc:Choice Requires="x12ac">
          <x12ac:list>Tipo V,TV DH,Tipo IV,""""""</x12ac:list>
        </mc:Choice>
        <mc:Fallback>
          <formula1>"Tipo V,TV DH,Tipo IV,"""""</formula1>
        </mc:Fallback>
      </mc:AlternateContent>
    </dataValidation>
    <dataValidation type="list" sqref="S5:S200" xr:uid="{00000000-0002-0000-0900-000002000000}">
      <formula1>$AA$1:$AA$3</formula1>
    </dataValidation>
  </dataValidations>
  <pageMargins left="0.7" right="0.7" top="0.75" bottom="0.75" header="0.3" footer="0.3"/>
  <pageSetup scale="50" orientation="portrait" r:id="rId1"/>
  <headerFooter>
    <oddHeader>&amp;C&amp;"Arial"&amp;8&amp;K000000INTERNAL&amp;1#</oddHeader>
  </headerFooter>
  <ignoredErrors>
    <ignoredError xmlns:x16r3="http://schemas.microsoft.com/office/spreadsheetml/2018/08/main" sqref="C134:D200 C106:D132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Option Button 1">
              <controlPr defaultSize="0" autoFill="0" autoLine="0" autoPict="0" macro="[0]!AhoraDA">
                <anchor moveWithCells="1">
                  <from>
                    <xdr:col>15</xdr:col>
                    <xdr:colOff>83820</xdr:colOff>
                    <xdr:row>1</xdr:row>
                    <xdr:rowOff>121920</xdr:rowOff>
                  </from>
                  <to>
                    <xdr:col>15</xdr:col>
                    <xdr:colOff>518160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Option Button 2">
              <controlPr defaultSize="0" autoFill="0" autoLine="0" autoPict="0" macro="[0]!AhoraFR">
                <anchor moveWithCells="1">
                  <from>
                    <xdr:col>15</xdr:col>
                    <xdr:colOff>83820</xdr:colOff>
                    <xdr:row>0</xdr:row>
                    <xdr:rowOff>99060</xdr:rowOff>
                  </from>
                  <to>
                    <xdr:col>15</xdr:col>
                    <xdr:colOff>518160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Option Button 4">
              <controlPr defaultSize="0" autoFill="0" autoLine="0" autoPict="0" macro="[0]!AhoraValorarCMD">
                <anchor moveWithCells="1">
                  <from>
                    <xdr:col>16</xdr:col>
                    <xdr:colOff>76200</xdr:colOff>
                    <xdr:row>0</xdr:row>
                    <xdr:rowOff>99060</xdr:rowOff>
                  </from>
                  <to>
                    <xdr:col>16</xdr:col>
                    <xdr:colOff>502920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Option Button 14">
              <controlPr defaultSize="0" autoFill="0" autoLine="0" autoPict="0" macro="[0]!AhoraLimpiar">
                <anchor moveWithCells="1">
                  <from>
                    <xdr:col>17</xdr:col>
                    <xdr:colOff>632460</xdr:colOff>
                    <xdr:row>0</xdr:row>
                    <xdr:rowOff>45720</xdr:rowOff>
                  </from>
                  <to>
                    <xdr:col>19</xdr:col>
                    <xdr:colOff>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8" name="Option Button 3">
              <controlPr defaultSize="0" autoFill="0" autoLine="0" autoPict="0" macro="[0]!AhoraValorarCTE">
                <anchor moveWithCells="1">
                  <from>
                    <xdr:col>16</xdr:col>
                    <xdr:colOff>76200</xdr:colOff>
                    <xdr:row>1</xdr:row>
                    <xdr:rowOff>121920</xdr:rowOff>
                  </from>
                  <to>
                    <xdr:col>16</xdr:col>
                    <xdr:colOff>502920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9" name="Button 17">
              <controlPr defaultSize="0" print="0" autoFill="0" autoPict="0" macro="[0]!AhoraTipoV">
                <anchor moveWithCells="1" sizeWithCells="1">
                  <from>
                    <xdr:col>0</xdr:col>
                    <xdr:colOff>7620</xdr:colOff>
                    <xdr:row>0</xdr:row>
                    <xdr:rowOff>7620</xdr:rowOff>
                  </from>
                  <to>
                    <xdr:col>0</xdr:col>
                    <xdr:colOff>617220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0" name="Button 19">
              <controlPr defaultSize="0" print="0" autoFill="0" autoPict="0" macro="[0]!AhoraTipoIV">
                <anchor moveWithCells="1" sizeWithCells="1">
                  <from>
                    <xdr:col>0</xdr:col>
                    <xdr:colOff>7620</xdr:colOff>
                    <xdr:row>1</xdr:row>
                    <xdr:rowOff>182880</xdr:rowOff>
                  </from>
                  <to>
                    <xdr:col>0</xdr:col>
                    <xdr:colOff>617220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1" name="Button 21">
              <controlPr defaultSize="0" print="0" autoFill="0" autoPict="0" macro="[0]!AhoraTipoVDH">
                <anchor moveWithCells="1" sizeWithCells="1">
                  <from>
                    <xdr:col>0</xdr:col>
                    <xdr:colOff>7620</xdr:colOff>
                    <xdr:row>1</xdr:row>
                    <xdr:rowOff>0</xdr:rowOff>
                  </from>
                  <to>
                    <xdr:col>0</xdr:col>
                    <xdr:colOff>617220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2" name="Button 22">
              <controlPr defaultSize="0" print="0" autoFill="0" autoPict="0" macro="[0]!AhoraValidarPeriodo">
                <anchor moveWithCells="1" sizeWithCells="1">
                  <from>
                    <xdr:col>0</xdr:col>
                    <xdr:colOff>640080</xdr:colOff>
                    <xdr:row>0</xdr:row>
                    <xdr:rowOff>7620</xdr:rowOff>
                  </from>
                  <to>
                    <xdr:col>1</xdr:col>
                    <xdr:colOff>518160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"/>
  <dimension ref="A1:AS108"/>
  <sheetViews>
    <sheetView workbookViewId="0"/>
  </sheetViews>
  <sheetFormatPr baseColWidth="10" defaultColWidth="10.77734375" defaultRowHeight="14.4" x14ac:dyDescent="0.3"/>
  <cols>
    <col min="1" max="1" width="14.88671875" customWidth="1"/>
  </cols>
  <sheetData>
    <row r="1" spans="1:27" x14ac:dyDescent="0.3">
      <c r="A1" s="62" t="s">
        <v>86</v>
      </c>
      <c r="B1" s="61" t="s">
        <v>85</v>
      </c>
      <c r="AA1" t="str">
        <f>CONCATENATE(A1," ",B1)</f>
        <v>Valoración por: FR</v>
      </c>
    </row>
    <row r="2" spans="1:27" x14ac:dyDescent="0.3">
      <c r="B2" s="1"/>
    </row>
    <row r="3" spans="1:27" x14ac:dyDescent="0.3">
      <c r="A3" s="40" t="str">
        <f>IF(B1="FR",A99,IF(B1="DA",A100,IF(B1="CTE",A101,IF(B1="CMD",A102))))</f>
        <v>Se valora por FR en función a la potencia contratada (PC) o debida de contratar por "X" horas de utilizacion y por "XXX" días, correspondientes al periodo de anomalia, a cuya energía resultante se le resta la energía facturada por ciclo.</v>
      </c>
      <c r="AA3" t="str">
        <f>A3</f>
        <v>Se valora por FR en función a la potencia contratada (PC) o debida de contratar por "X" horas de utilizacion y por "XXX" días, correspondientes al periodo de anomalia, a cuya energía resultante se le resta la energía facturada por ciclo.</v>
      </c>
    </row>
    <row r="5" spans="1:27" x14ac:dyDescent="0.3">
      <c r="A5" t="s">
        <v>90</v>
      </c>
      <c r="B5" s="64">
        <f>Valoración!C2</f>
        <v>0</v>
      </c>
      <c r="AA5" t="str">
        <f>CONCATENATE(A5," ",TEXT(B5,"dd/mm/aaaa"))</f>
        <v>I.A: 00/01/sábado</v>
      </c>
    </row>
    <row r="7" spans="1:27" x14ac:dyDescent="0.3">
      <c r="A7" t="s">
        <v>55</v>
      </c>
      <c r="B7" s="65">
        <f>Valoración!C2</f>
        <v>0</v>
      </c>
      <c r="C7" s="1" t="s">
        <v>80</v>
      </c>
      <c r="D7" s="64">
        <f>Valoración!D2</f>
        <v>0</v>
      </c>
      <c r="AA7" t="str">
        <f>CONCATENATE(A7," ",TEXT(B7,"dd/mm/aaaa")," ",C7," ",TEXT(D7,"dd/mm/aaaa"))</f>
        <v>Periodo anomalía: 00/01/sábado a 00/01/sábado</v>
      </c>
    </row>
    <row r="8" spans="1:27" x14ac:dyDescent="0.3">
      <c r="A8" t="s">
        <v>91</v>
      </c>
      <c r="B8" s="40">
        <f>D7-B7</f>
        <v>0</v>
      </c>
      <c r="C8" t="s">
        <v>92</v>
      </c>
      <c r="AA8" t="str">
        <f>CONCATENATE(A8," ",B8," ",C8)</f>
        <v>Días periodo: 0 días</v>
      </c>
    </row>
    <row r="9" spans="1:27" x14ac:dyDescent="0.3">
      <c r="A9" t="s">
        <v>88</v>
      </c>
      <c r="B9" s="40">
        <f>Valoración!E2</f>
        <v>0</v>
      </c>
      <c r="C9" t="s">
        <v>81</v>
      </c>
      <c r="AA9" t="str">
        <f>CONCATENATE(A9," ",B9," ",C9)</f>
        <v>PC: 0 kWh.</v>
      </c>
    </row>
    <row r="11" spans="1:27" x14ac:dyDescent="0.3">
      <c r="A11" t="s">
        <v>78</v>
      </c>
      <c r="B11" s="64" t="str">
        <f>IF($B$1="CMD",Listado!$AD$63,"No Aplica")</f>
        <v>No Aplica</v>
      </c>
      <c r="C11" s="1" t="s">
        <v>80</v>
      </c>
      <c r="D11" s="2" t="str">
        <f>IF($B$1="CMD",Listado!$AE$63,"No Aplica")</f>
        <v>No Aplica</v>
      </c>
      <c r="AA11" t="str">
        <f>CONCATENATE(A11," ",TEXT(B11,"dd/mm/aaaa")," ",C11," ",TEXT(D11,"dd/mm/aaaa"))</f>
        <v>Periodo de referencia: No Aplica a No Aplica</v>
      </c>
    </row>
    <row r="12" spans="1:27" x14ac:dyDescent="0.3">
      <c r="A12" t="s">
        <v>84</v>
      </c>
      <c r="B12" s="40" t="str">
        <f>IF($B$1="CMD",Listado!$AE$66,"No Aplica")</f>
        <v>No Aplica</v>
      </c>
      <c r="C12" s="18"/>
      <c r="D12" s="1"/>
      <c r="E12" s="18"/>
      <c r="AA12" t="str">
        <f>CONCATENATE(A12," ",B12)</f>
        <v>Consumo: No Aplica</v>
      </c>
    </row>
    <row r="13" spans="1:27" x14ac:dyDescent="0.3">
      <c r="A13" t="s">
        <v>77</v>
      </c>
      <c r="B13" s="40" t="str">
        <f>IF($B$1="CMD",Listado!$AE$64,"No Aplica")</f>
        <v>No Aplica</v>
      </c>
      <c r="AA13" t="str">
        <f>CONCATENATE(A13," ",B13)</f>
        <v>Días: No Aplica</v>
      </c>
    </row>
    <row r="15" spans="1:27" x14ac:dyDescent="0.3">
      <c r="A15" s="61" t="str">
        <f>IF($B$1="FR","HU:",IF($B$1="DA","HU:",IF($B$1="CTE","CTE:",IF($B$1="CMD","CMD:"))))</f>
        <v>HU:</v>
      </c>
      <c r="B15" s="66">
        <f>IF(A15="HU:",Valoración!F2,IF(A15="CMD:",Valoración!G2,IF(A15="CTE:",Valoración!H2,"---")))</f>
        <v>0</v>
      </c>
      <c r="AA15" t="str">
        <f>CONCATENATE(A15," ",B15)</f>
        <v>HU: 0</v>
      </c>
    </row>
    <row r="17" spans="1:27" x14ac:dyDescent="0.3">
      <c r="A17" t="s">
        <v>93</v>
      </c>
      <c r="C17" s="63">
        <f>Valoración!L2</f>
        <v>0</v>
      </c>
      <c r="D17" t="s">
        <v>81</v>
      </c>
      <c r="AA17" t="str">
        <f>CONCATENATE(A17," ",B17," ",TEXT(C17,"0")," ",D17)</f>
        <v>Consumo a recuperar (Enofa):  0 kWh.</v>
      </c>
    </row>
    <row r="18" spans="1:27" x14ac:dyDescent="0.3">
      <c r="A18" t="s">
        <v>79</v>
      </c>
      <c r="D18" t="s">
        <v>82</v>
      </c>
      <c r="AA18" t="str">
        <f>CONCATENATE(A18," ",B18," ",TEXT(C18,"0")," ",D18)</f>
        <v>Consumo React. Total:  0 kVARh.</v>
      </c>
    </row>
    <row r="20" spans="1:27" x14ac:dyDescent="0.3">
      <c r="A20" t="s">
        <v>158</v>
      </c>
      <c r="AA20" t="str">
        <f>CONCATENATE(A20," ",B20," ",TEXT(C20," ")," ",D20)</f>
        <v xml:space="preserve">Aclaración:     </v>
      </c>
    </row>
    <row r="50" spans="1:45" x14ac:dyDescent="0.3">
      <c r="A50" t="s">
        <v>114</v>
      </c>
      <c r="B50" t="s">
        <v>115</v>
      </c>
      <c r="C50" t="s">
        <v>116</v>
      </c>
      <c r="D50" t="s">
        <v>117</v>
      </c>
      <c r="E50" t="s">
        <v>118</v>
      </c>
      <c r="F50" t="s">
        <v>119</v>
      </c>
      <c r="G50" t="s">
        <v>120</v>
      </c>
      <c r="H50" t="s">
        <v>58</v>
      </c>
      <c r="I50" t="s">
        <v>121</v>
      </c>
      <c r="J50" t="s">
        <v>122</v>
      </c>
      <c r="K50" t="s">
        <v>123</v>
      </c>
      <c r="L50" t="s">
        <v>124</v>
      </c>
      <c r="M50" t="s">
        <v>125</v>
      </c>
      <c r="N50" t="s">
        <v>126</v>
      </c>
      <c r="O50" t="s">
        <v>127</v>
      </c>
      <c r="P50" t="s">
        <v>128</v>
      </c>
      <c r="Q50" t="s">
        <v>129</v>
      </c>
      <c r="R50" t="s">
        <v>130</v>
      </c>
      <c r="S50" t="s">
        <v>131</v>
      </c>
      <c r="T50" t="s">
        <v>132</v>
      </c>
      <c r="U50" t="s">
        <v>133</v>
      </c>
      <c r="V50" t="s">
        <v>134</v>
      </c>
      <c r="W50" t="s">
        <v>135</v>
      </c>
      <c r="X50" t="s">
        <v>136</v>
      </c>
      <c r="Y50" t="s">
        <v>137</v>
      </c>
      <c r="Z50" t="s">
        <v>138</v>
      </c>
      <c r="AA50" t="s">
        <v>139</v>
      </c>
      <c r="AB50" t="s">
        <v>140</v>
      </c>
      <c r="AC50" t="s">
        <v>141</v>
      </c>
      <c r="AD50" t="s">
        <v>142</v>
      </c>
      <c r="AE50" t="s">
        <v>143</v>
      </c>
      <c r="AF50" t="s">
        <v>144</v>
      </c>
      <c r="AG50" t="s">
        <v>145</v>
      </c>
      <c r="AH50" t="s">
        <v>146</v>
      </c>
      <c r="AI50" t="s">
        <v>147</v>
      </c>
      <c r="AJ50" t="s">
        <v>148</v>
      </c>
      <c r="AK50" t="s">
        <v>149</v>
      </c>
      <c r="AL50" t="s">
        <v>150</v>
      </c>
      <c r="AM50" t="s">
        <v>151</v>
      </c>
      <c r="AN50" t="s">
        <v>152</v>
      </c>
      <c r="AO50" t="s">
        <v>153</v>
      </c>
      <c r="AP50" t="s">
        <v>154</v>
      </c>
      <c r="AQ50" t="s">
        <v>155</v>
      </c>
      <c r="AR50" t="s">
        <v>156</v>
      </c>
      <c r="AS50" t="s">
        <v>157</v>
      </c>
    </row>
    <row r="99" spans="1:21" x14ac:dyDescent="0.3">
      <c r="A99" t="s">
        <v>96</v>
      </c>
    </row>
    <row r="100" spans="1:21" x14ac:dyDescent="0.3">
      <c r="A100" t="s">
        <v>87</v>
      </c>
    </row>
    <row r="101" spans="1:21" x14ac:dyDescent="0.3">
      <c r="A101" t="s">
        <v>159</v>
      </c>
    </row>
    <row r="102" spans="1:21" x14ac:dyDescent="0.3">
      <c r="A102" t="s">
        <v>160</v>
      </c>
    </row>
    <row r="107" spans="1:21" x14ac:dyDescent="0.3">
      <c r="A107" s="74"/>
      <c r="B107" s="74"/>
      <c r="C107" s="75"/>
      <c r="D107" s="75"/>
      <c r="E107" s="74"/>
      <c r="F107" s="68"/>
      <c r="G107" s="74"/>
      <c r="H107" s="74"/>
      <c r="I107" s="74"/>
      <c r="J107" s="74"/>
      <c r="K107" s="74"/>
      <c r="L107" s="74"/>
      <c r="M107" s="76"/>
      <c r="N107" s="76"/>
      <c r="O107" s="76"/>
      <c r="P107" s="76"/>
      <c r="Q107" s="76"/>
      <c r="R107" s="76"/>
      <c r="S107" s="77"/>
      <c r="T107" s="74"/>
      <c r="U107" s="78"/>
    </row>
    <row r="108" spans="1:21" x14ac:dyDescent="0.3">
      <c r="A108" s="74"/>
      <c r="B108" s="74"/>
      <c r="C108" s="75"/>
      <c r="D108" s="75"/>
      <c r="E108" s="74"/>
      <c r="F108" s="68"/>
      <c r="G108" s="74"/>
      <c r="H108" s="74"/>
      <c r="I108" s="74"/>
      <c r="J108" s="74"/>
      <c r="K108" s="74"/>
      <c r="L108" s="74"/>
      <c r="M108" s="76"/>
      <c r="N108" s="76"/>
      <c r="O108" s="76"/>
      <c r="P108" s="76"/>
      <c r="Q108" s="76"/>
      <c r="R108" s="76"/>
      <c r="S108" s="77"/>
      <c r="T108" s="74"/>
      <c r="U108" s="78"/>
    </row>
  </sheetData>
  <dataValidations count="3">
    <dataValidation type="list" allowBlank="1" showInputMessage="1" showErrorMessage="1" sqref="B1:B2" xr:uid="{00000000-0002-0000-0A00-000000000000}">
      <formula1>"FR,DA,CTE,CMD"</formula1>
    </dataValidation>
    <dataValidation type="list" allowBlank="1" showInputMessage="1" showErrorMessage="1" sqref="S107:S108" xr:uid="{00000000-0002-0000-0A00-000001000000}">
      <mc:AlternateContent xmlns:x12ac="http://schemas.microsoft.com/office/spreadsheetml/2011/1/ac" xmlns:mc="http://schemas.openxmlformats.org/markup-compatibility/2006">
        <mc:Choice Requires="x12ac">
          <x12ac:list>Tipo V,TV DH,Tipo IV,""""""</x12ac:list>
        </mc:Choice>
        <mc:Fallback>
          <formula1>"Tipo V,TV DH,Tipo IV,"""""</formula1>
        </mc:Fallback>
      </mc:AlternateContent>
    </dataValidation>
    <dataValidation type="list" allowBlank="1" showInputMessage="1" showErrorMessage="1" sqref="F107:F108" xr:uid="{00000000-0002-0000-0A00-000002000000}">
      <formula1>"no procede,Refacturar"</formula1>
    </dataValidation>
  </dataValidations>
  <pageMargins left="0.7" right="0.7" top="0.75" bottom="0.75" header="0.3" footer="0.3"/>
  <pageSetup paperSize="9" orientation="portrait" r:id="rId1"/>
  <headerFooter>
    <oddHeader>&amp;C&amp;"Arial"&amp;8&amp;K000000INTERNAL&amp;1#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9</vt:i4>
      </vt:variant>
      <vt:variant>
        <vt:lpstr>Gráficos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15" baseType="lpstr">
      <vt:lpstr>Entrada datos</vt:lpstr>
      <vt:lpstr>Suma</vt:lpstr>
      <vt:lpstr>Temp Hisfa</vt:lpstr>
      <vt:lpstr>Vista por años</vt:lpstr>
      <vt:lpstr>Comparativa mensual</vt:lpstr>
      <vt:lpstr>Listado</vt:lpstr>
      <vt:lpstr>Resumen</vt:lpstr>
      <vt:lpstr>Valoración</vt:lpstr>
      <vt:lpstr>Comentario</vt:lpstr>
      <vt:lpstr>Gráfico</vt:lpstr>
      <vt:lpstr>Gráfico ER</vt:lpstr>
      <vt:lpstr>Listado!Área_de_impresión</vt:lpstr>
      <vt:lpstr>Resumen!Área_de_impresión</vt:lpstr>
      <vt:lpstr>Valoración!Área_de_impresión</vt:lpstr>
      <vt:lpstr>'Vista por años'!Área_de_impresión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joseluis.torres@enel.com</dc:creator>
  <cp:lastModifiedBy>HP AMD</cp:lastModifiedBy>
  <cp:lastPrinted>2019-03-20T22:14:22Z</cp:lastPrinted>
  <dcterms:created xsi:type="dcterms:W3CDTF">2013-08-13T15:24:08Z</dcterms:created>
  <dcterms:modified xsi:type="dcterms:W3CDTF">2025-09-29T23:19:01Z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7ad33d-ed35-43c0-b526-22bc83c17deb_Enabled">
    <vt:lpwstr>true</vt:lpwstr>
  </property>
  <property fmtid="{D5CDD505-2E9C-101B-9397-08002B2CF9AE}" pid="3" name="MSIP_Label_797ad33d-ed35-43c0-b526-22bc83c17deb_SetDate">
    <vt:lpwstr>2023-01-30T08:31:58Z</vt:lpwstr>
  </property>
  <property fmtid="{D5CDD505-2E9C-101B-9397-08002B2CF9AE}" pid="4" name="MSIP_Label_797ad33d-ed35-43c0-b526-22bc83c17deb_Method">
    <vt:lpwstr>Standard</vt:lpwstr>
  </property>
  <property fmtid="{D5CDD505-2E9C-101B-9397-08002B2CF9AE}" pid="5" name="MSIP_Label_797ad33d-ed35-43c0-b526-22bc83c17deb_Name">
    <vt:lpwstr>797ad33d-ed35-43c0-b526-22bc83c17deb</vt:lpwstr>
  </property>
  <property fmtid="{D5CDD505-2E9C-101B-9397-08002B2CF9AE}" pid="6" name="MSIP_Label_797ad33d-ed35-43c0-b526-22bc83c17deb_SiteId">
    <vt:lpwstr>d539d4bf-5610-471a-afc2-1c76685cfefa</vt:lpwstr>
  </property>
  <property fmtid="{D5CDD505-2E9C-101B-9397-08002B2CF9AE}" pid="7" name="MSIP_Label_797ad33d-ed35-43c0-b526-22bc83c17deb_ActionId">
    <vt:lpwstr>4394256c-1f60-469a-a85d-32e93c116884</vt:lpwstr>
  </property>
  <property fmtid="{D5CDD505-2E9C-101B-9397-08002B2CF9AE}" pid="8" name="MSIP_Label_797ad33d-ed35-43c0-b526-22bc83c17deb_ContentBits">
    <vt:lpwstr>1</vt:lpwstr>
  </property>
</Properties>
</file>